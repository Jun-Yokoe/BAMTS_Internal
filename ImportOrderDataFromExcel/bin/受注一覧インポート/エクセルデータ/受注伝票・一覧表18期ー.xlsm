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2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エクセルデータ\"/>
    </mc:Choice>
  </mc:AlternateContent>
  <xr:revisionPtr revIDLastSave="0" documentId="8_{58B73CC3-BAB7-41B6-8432-0858C7F1723E}" xr6:coauthVersionLast="47" xr6:coauthVersionMax="47" xr10:uidLastSave="{00000000-0000-0000-0000-000000000000}"/>
  <workbookProtection workbookPassword="80CA" lockStructure="1"/>
  <bookViews>
    <workbookView xWindow="-120" yWindow="-120" windowWidth="57840" windowHeight="32640" tabRatio="598" activeTab="1"/>
  </bookViews>
  <sheets>
    <sheet name="受注伝票" sheetId="1" r:id="rId1"/>
    <sheet name="受注一覧" sheetId="2" r:id="rId2"/>
    <sheet name="メモ" sheetId="9" r:id="rId3"/>
    <sheet name="LISTCOLDEFNUM_W" sheetId="10" state="hidden" r:id="rId4"/>
    <sheet name="LISTCOLDEFNUM_R" sheetId="11" state="hidden" r:id="rId5"/>
    <sheet name="LISTCOLDEFALP" sheetId="12" state="hidden" r:id="rId6"/>
    <sheet name="MASTER" sheetId="5" state="hidden" r:id="rId7"/>
  </sheets>
  <functionGroups builtInGroupCount="19"/>
  <definedNames>
    <definedName name="_xlnm._FilterDatabase" localSheetId="1" hidden="1">受注一覧!$A$5:$CK$1905</definedName>
    <definedName name="_xlnm._FilterDatabase" localSheetId="0" hidden="1">受注伝票!$IO$2:$IO$4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1908" i="2" l="1"/>
  <c r="AZ1908" i="2"/>
  <c r="AY1909" i="2"/>
  <c r="AZ1909" i="2"/>
  <c r="AY1910" i="2"/>
  <c r="AZ1910" i="2"/>
  <c r="AY1911" i="2"/>
  <c r="AZ1911" i="2"/>
  <c r="AY1912" i="2"/>
  <c r="AZ1912" i="2"/>
  <c r="AY1913" i="2"/>
  <c r="AZ1913" i="2"/>
  <c r="AY1914" i="2"/>
  <c r="AZ1914" i="2"/>
  <c r="AY1915" i="2"/>
  <c r="AZ1915" i="2"/>
  <c r="AY1916" i="2"/>
  <c r="AZ1916" i="2"/>
  <c r="AY1917" i="2"/>
  <c r="AZ1917" i="2"/>
  <c r="AY1918" i="2"/>
  <c r="AZ1918" i="2"/>
  <c r="AY1919" i="2"/>
  <c r="AZ1919" i="2"/>
  <c r="AY1920" i="2"/>
  <c r="AZ1920" i="2"/>
  <c r="AY1921" i="2"/>
  <c r="AZ1921" i="2"/>
  <c r="AY1922" i="2"/>
  <c r="AZ1922" i="2"/>
  <c r="AY1923" i="2"/>
  <c r="AZ1923" i="2"/>
  <c r="AY1924" i="2"/>
  <c r="AZ1924" i="2"/>
  <c r="AY1925" i="2"/>
  <c r="AZ1925" i="2"/>
  <c r="AY1926" i="2"/>
  <c r="AZ1926" i="2"/>
  <c r="AY1927" i="2"/>
  <c r="AZ1927" i="2"/>
  <c r="AY1928" i="2"/>
  <c r="AZ1928" i="2"/>
  <c r="AY1929" i="2"/>
  <c r="AZ1929" i="2"/>
  <c r="AY1930" i="2"/>
  <c r="AZ1930" i="2"/>
  <c r="AY1931" i="2"/>
  <c r="AZ1931" i="2"/>
  <c r="AY1932" i="2"/>
  <c r="AZ1932" i="2"/>
  <c r="AY1933" i="2"/>
  <c r="AZ1933" i="2"/>
  <c r="AY1934" i="2"/>
  <c r="AZ1934" i="2"/>
  <c r="AY1935" i="2"/>
  <c r="AZ1935" i="2"/>
  <c r="AY1936" i="2"/>
  <c r="AZ1936" i="2"/>
  <c r="AY1937" i="2"/>
  <c r="AZ1937" i="2"/>
  <c r="AY1938" i="2"/>
  <c r="AZ1938" i="2"/>
  <c r="AY1939" i="2"/>
  <c r="AZ1939" i="2"/>
  <c r="AY1940" i="2"/>
  <c r="AZ1940" i="2"/>
  <c r="AY1941" i="2"/>
  <c r="AZ1941" i="2"/>
  <c r="AY1942" i="2"/>
  <c r="AZ1942" i="2"/>
  <c r="AY1943" i="2"/>
  <c r="AZ1943" i="2"/>
  <c r="AY1944" i="2"/>
  <c r="AZ1944" i="2"/>
  <c r="AY1945" i="2"/>
  <c r="AZ1945" i="2"/>
  <c r="AY1946" i="2"/>
  <c r="AZ1946" i="2"/>
  <c r="AY1947" i="2"/>
  <c r="AZ1947" i="2"/>
  <c r="AY1948" i="2"/>
  <c r="AZ1948" i="2"/>
  <c r="AY1949" i="2"/>
  <c r="AZ1949" i="2"/>
  <c r="AY1950" i="2"/>
  <c r="AZ1950" i="2"/>
  <c r="AY1951" i="2"/>
  <c r="AZ1951" i="2"/>
  <c r="AY1906" i="2"/>
  <c r="AZ1906" i="2"/>
  <c r="AY1907" i="2"/>
  <c r="AZ1907" i="2"/>
  <c r="AY1905" i="2"/>
  <c r="AZ1905" i="2"/>
  <c r="AZ1904" i="2"/>
  <c r="AY1901" i="2"/>
  <c r="AZ1901" i="2"/>
  <c r="AY1902" i="2"/>
  <c r="AZ1902" i="2"/>
  <c r="AY1903" i="2"/>
  <c r="AZ1903" i="2"/>
  <c r="AY1898" i="2"/>
  <c r="AZ1898" i="2"/>
  <c r="AY1899" i="2"/>
  <c r="AZ1899" i="2"/>
  <c r="AY1900" i="2"/>
  <c r="AZ1900" i="2"/>
  <c r="AY1897" i="2"/>
  <c r="AZ1897" i="2"/>
  <c r="AY1895" i="2"/>
  <c r="AZ1895" i="2"/>
  <c r="AY1896" i="2"/>
  <c r="AZ1896" i="2"/>
  <c r="AY1894" i="2"/>
  <c r="AZ1894" i="2"/>
  <c r="AZ1724" i="2"/>
  <c r="AZ1893" i="2"/>
  <c r="AY1888" i="2"/>
  <c r="AZ1888" i="2"/>
  <c r="AY1889" i="2"/>
  <c r="AZ1889" i="2"/>
  <c r="AY1890" i="2"/>
  <c r="AZ1890" i="2"/>
  <c r="AY1891" i="2"/>
  <c r="AZ1891" i="2"/>
  <c r="AY1892" i="2"/>
  <c r="AZ1892" i="2"/>
  <c r="AY1887" i="2"/>
  <c r="AZ1887" i="2"/>
  <c r="AY1806" i="2"/>
  <c r="AZ1806" i="2"/>
  <c r="AY1807" i="2"/>
  <c r="AZ1807" i="2"/>
  <c r="AY1808" i="2"/>
  <c r="AZ1808" i="2"/>
  <c r="AY1809" i="2"/>
  <c r="AZ1809" i="2"/>
  <c r="AY1810" i="2"/>
  <c r="AZ1810" i="2"/>
  <c r="AY1811" i="2"/>
  <c r="AZ1811" i="2"/>
  <c r="AY1812" i="2"/>
  <c r="AZ1812" i="2"/>
  <c r="AY1813" i="2"/>
  <c r="AZ1813" i="2"/>
  <c r="AY1814" i="2"/>
  <c r="AZ1814" i="2"/>
  <c r="AY1815" i="2"/>
  <c r="AZ1815" i="2"/>
  <c r="AY1816" i="2"/>
  <c r="AZ1816" i="2"/>
  <c r="AY1817" i="2"/>
  <c r="AZ1817" i="2"/>
  <c r="AY1818" i="2"/>
  <c r="AZ1818" i="2"/>
  <c r="AY1819" i="2"/>
  <c r="AZ1819" i="2"/>
  <c r="AY1820" i="2"/>
  <c r="AZ1820" i="2"/>
  <c r="AY1821" i="2"/>
  <c r="AZ1821" i="2"/>
  <c r="AY1822" i="2"/>
  <c r="AZ1822" i="2"/>
  <c r="AY1823" i="2"/>
  <c r="AZ1823" i="2"/>
  <c r="AY1824" i="2"/>
  <c r="AZ1824" i="2"/>
  <c r="AY1825" i="2"/>
  <c r="AZ1825" i="2"/>
  <c r="AY1826" i="2"/>
  <c r="AZ1826" i="2"/>
  <c r="AY1827" i="2"/>
  <c r="AZ1827" i="2"/>
  <c r="AY1828" i="2"/>
  <c r="AZ1828" i="2"/>
  <c r="AY1829" i="2"/>
  <c r="AZ1829" i="2"/>
  <c r="AY1830" i="2"/>
  <c r="AZ1830" i="2"/>
  <c r="AY1831" i="2"/>
  <c r="AZ1831" i="2"/>
  <c r="AY1832" i="2"/>
  <c r="AZ1832" i="2"/>
  <c r="AY1833" i="2"/>
  <c r="AZ1833" i="2"/>
  <c r="AY1834" i="2"/>
  <c r="AZ1834" i="2"/>
  <c r="AY1835" i="2"/>
  <c r="AZ1835" i="2"/>
  <c r="AY1836" i="2"/>
  <c r="AZ1836" i="2"/>
  <c r="AY1837" i="2"/>
  <c r="AZ1837" i="2"/>
  <c r="AY1838" i="2"/>
  <c r="AZ1838" i="2"/>
  <c r="AY1839" i="2"/>
  <c r="AZ1839" i="2"/>
  <c r="AZ1840" i="2"/>
  <c r="AY1841" i="2"/>
  <c r="AZ1841" i="2"/>
  <c r="AY1842" i="2"/>
  <c r="AZ1842" i="2"/>
  <c r="AY1843" i="2"/>
  <c r="AZ1843" i="2"/>
  <c r="AY1844" i="2"/>
  <c r="AZ1844" i="2"/>
  <c r="AY1845" i="2"/>
  <c r="AZ1845" i="2"/>
  <c r="AY1846" i="2"/>
  <c r="AZ1846" i="2"/>
  <c r="AY1847" i="2"/>
  <c r="AZ1847" i="2"/>
  <c r="AY1848" i="2"/>
  <c r="AZ1848" i="2"/>
  <c r="AY1849" i="2"/>
  <c r="AZ1849" i="2"/>
  <c r="AY1850" i="2"/>
  <c r="AZ1850" i="2"/>
  <c r="AY1851" i="2"/>
  <c r="AZ1851" i="2"/>
  <c r="AY1852" i="2"/>
  <c r="AZ1852" i="2"/>
  <c r="AY1853" i="2"/>
  <c r="AZ1853" i="2"/>
  <c r="AY1854" i="2"/>
  <c r="AZ1854" i="2"/>
  <c r="AY1855" i="2"/>
  <c r="AZ1855" i="2"/>
  <c r="AY1856" i="2"/>
  <c r="AZ1856" i="2"/>
  <c r="AY1857" i="2"/>
  <c r="AZ1857" i="2"/>
  <c r="AY1858" i="2"/>
  <c r="AZ1858" i="2"/>
  <c r="AY1859" i="2"/>
  <c r="AZ1859" i="2"/>
  <c r="AY1860" i="2"/>
  <c r="AZ1860" i="2"/>
  <c r="AY1861" i="2"/>
  <c r="AZ1861" i="2"/>
  <c r="AY1862" i="2"/>
  <c r="AZ1862" i="2"/>
  <c r="AY1863" i="2"/>
  <c r="AZ1863" i="2"/>
  <c r="AY1864" i="2"/>
  <c r="AZ1864" i="2"/>
  <c r="AY1865" i="2"/>
  <c r="AZ1865" i="2"/>
  <c r="AY1866" i="2"/>
  <c r="AZ1866" i="2"/>
  <c r="AY1867" i="2"/>
  <c r="AZ1867" i="2"/>
  <c r="AY1868" i="2"/>
  <c r="AZ1868" i="2"/>
  <c r="AY1869" i="2"/>
  <c r="AZ1869" i="2"/>
  <c r="AY1870" i="2"/>
  <c r="AZ1870" i="2"/>
  <c r="AY1871" i="2"/>
  <c r="AZ1871" i="2"/>
  <c r="AY1872" i="2"/>
  <c r="AZ1872" i="2"/>
  <c r="AY1873" i="2"/>
  <c r="AZ1873" i="2"/>
  <c r="AY1874" i="2"/>
  <c r="AZ1874" i="2"/>
  <c r="AY1875" i="2"/>
  <c r="AZ1875" i="2"/>
  <c r="AY1876" i="2"/>
  <c r="AZ1876" i="2"/>
  <c r="AY1877" i="2"/>
  <c r="AZ1877" i="2"/>
  <c r="AY1878" i="2"/>
  <c r="AZ1878" i="2"/>
  <c r="AY1879" i="2"/>
  <c r="AZ1879" i="2"/>
  <c r="AY1880" i="2"/>
  <c r="AZ1880" i="2"/>
  <c r="AY1881" i="2"/>
  <c r="AZ1881" i="2"/>
  <c r="AY1882" i="2"/>
  <c r="AZ1882" i="2"/>
  <c r="AY1883" i="2"/>
  <c r="AZ1883" i="2"/>
  <c r="AY1884" i="2"/>
  <c r="AZ1884" i="2"/>
  <c r="AY1885" i="2"/>
  <c r="AZ1885" i="2"/>
  <c r="AY1886" i="2"/>
  <c r="AZ1886" i="2"/>
  <c r="AY1805" i="2"/>
  <c r="AZ1805" i="2"/>
  <c r="AY1804" i="2"/>
  <c r="AZ1804" i="2"/>
  <c r="AZ1803" i="2"/>
  <c r="AY1802" i="2"/>
  <c r="AZ1802" i="2"/>
  <c r="AY1799" i="2"/>
  <c r="AZ1799" i="2"/>
  <c r="AY1800" i="2"/>
  <c r="AZ1800" i="2"/>
  <c r="AY1801" i="2"/>
  <c r="AZ1801" i="2"/>
  <c r="AY1798" i="2"/>
  <c r="AZ1798" i="2"/>
  <c r="AY1797" i="2"/>
  <c r="AZ1797" i="2"/>
  <c r="AZ1796" i="2"/>
  <c r="AY1785" i="2"/>
  <c r="AZ1785" i="2"/>
  <c r="AY1786" i="2"/>
  <c r="AZ1786" i="2"/>
  <c r="AY1787" i="2"/>
  <c r="AZ1787" i="2"/>
  <c r="AY1788" i="2"/>
  <c r="AZ1788" i="2"/>
  <c r="AY1789" i="2"/>
  <c r="AZ1789" i="2"/>
  <c r="AY1790" i="2"/>
  <c r="AZ1790" i="2"/>
  <c r="AY1791" i="2"/>
  <c r="AZ1791" i="2"/>
  <c r="AY1792" i="2"/>
  <c r="AZ1792" i="2"/>
  <c r="AY1793" i="2"/>
  <c r="AZ1793" i="2"/>
  <c r="AY1794" i="2"/>
  <c r="AZ1794" i="2"/>
  <c r="AY1795" i="2"/>
  <c r="AZ1795" i="2"/>
  <c r="AY1784" i="2"/>
  <c r="AZ1784" i="2"/>
  <c r="AY1743" i="2"/>
  <c r="AZ1743" i="2"/>
  <c r="AZ1779" i="2"/>
  <c r="AZ1780" i="2"/>
  <c r="AZ1781" i="2"/>
  <c r="AZ1782" i="2"/>
  <c r="AY1783" i="2"/>
  <c r="AZ1783" i="2"/>
  <c r="AY1774" i="2"/>
  <c r="AZ1774" i="2"/>
  <c r="AY1775" i="2"/>
  <c r="AZ1775" i="2"/>
  <c r="AY1776" i="2"/>
  <c r="AZ1776" i="2"/>
  <c r="AY1777" i="2"/>
  <c r="AZ1777" i="2"/>
  <c r="AZ1778" i="2"/>
  <c r="AZ1771" i="2"/>
  <c r="AZ1772" i="2"/>
  <c r="AZ1773" i="2"/>
  <c r="AY1770" i="2"/>
  <c r="AZ1770" i="2"/>
  <c r="AZ1769" i="2"/>
  <c r="AZ1768" i="2"/>
  <c r="AZ1767" i="2"/>
  <c r="AZ1765" i="2"/>
  <c r="AZ1766" i="2"/>
  <c r="AY1763" i="2"/>
  <c r="AZ1763" i="2"/>
  <c r="AY1764" i="2"/>
  <c r="AZ1764" i="2"/>
  <c r="AZ1760" i="2"/>
  <c r="AZ1759" i="2"/>
  <c r="AY1761" i="2"/>
  <c r="AZ1761" i="2"/>
  <c r="AZ1762" i="2"/>
  <c r="AZ1754" i="2"/>
  <c r="AY1755" i="2"/>
  <c r="AZ1755" i="2"/>
  <c r="AZ1756" i="2"/>
  <c r="AY1757" i="2"/>
  <c r="AZ1757" i="2"/>
  <c r="AY1758" i="2"/>
  <c r="AZ1758" i="2"/>
  <c r="AY1753" i="2"/>
  <c r="AZ1753" i="2"/>
  <c r="AZ1751" i="2"/>
  <c r="AZ1752" i="2"/>
  <c r="AZ1749" i="2"/>
  <c r="AZ1750" i="2"/>
  <c r="AZ1744" i="2"/>
  <c r="AZ1745" i="2"/>
  <c r="AY1746" i="2"/>
  <c r="AZ1746" i="2"/>
  <c r="AY1747" i="2"/>
  <c r="AZ1747" i="2"/>
  <c r="AY1748" i="2"/>
  <c r="AZ1748" i="2"/>
  <c r="AY1742" i="2"/>
  <c r="AZ1742" i="2"/>
  <c r="AY1741" i="2"/>
  <c r="AZ1741" i="2"/>
  <c r="AZ1739" i="2"/>
  <c r="AZ1740" i="2"/>
  <c r="AZ1738" i="2"/>
  <c r="AY1737" i="2"/>
  <c r="AZ1737" i="2"/>
  <c r="AZ1736" i="2"/>
  <c r="AZ1735" i="2"/>
  <c r="AZ1734" i="2"/>
  <c r="AZ1733" i="2"/>
  <c r="AZ1732" i="2"/>
  <c r="AZ1731" i="2"/>
  <c r="AZ1730" i="2"/>
  <c r="AZ1728" i="2"/>
  <c r="AZ1729" i="2"/>
  <c r="AZ1725" i="2"/>
  <c r="AY1726" i="2"/>
  <c r="AZ1726" i="2"/>
  <c r="AZ1727" i="2"/>
  <c r="AY1691" i="2"/>
  <c r="AZ1691" i="2"/>
  <c r="AZ1713" i="2"/>
  <c r="AZ1714" i="2"/>
  <c r="AZ1715" i="2"/>
  <c r="AY1716" i="2"/>
  <c r="AZ1716" i="2"/>
  <c r="AZ1717" i="2"/>
  <c r="AY1718" i="2"/>
  <c r="AZ1718" i="2"/>
  <c r="AY1719" i="2"/>
  <c r="AZ1719" i="2"/>
  <c r="AZ1720" i="2"/>
  <c r="AY1721" i="2"/>
  <c r="AZ1721" i="2"/>
  <c r="AY1722" i="2"/>
  <c r="AZ1722" i="2"/>
  <c r="AZ1712" i="2"/>
  <c r="AZ1710" i="2"/>
  <c r="AZ1711" i="2"/>
  <c r="AZ1692" i="2"/>
  <c r="AZ1693" i="2"/>
  <c r="AZ1694" i="2"/>
  <c r="AZ1695" i="2"/>
  <c r="AZ1696" i="2"/>
  <c r="AZ1697" i="2"/>
  <c r="AZ1698" i="2"/>
  <c r="AZ1699" i="2"/>
  <c r="AZ1700" i="2"/>
  <c r="AZ1701" i="2"/>
  <c r="AZ1702" i="2"/>
  <c r="AZ1703" i="2"/>
  <c r="AZ1704" i="2"/>
  <c r="AZ1705" i="2"/>
  <c r="AZ1706" i="2"/>
  <c r="AZ1707" i="2"/>
  <c r="AZ1708" i="2"/>
  <c r="AZ1709" i="2"/>
  <c r="AY1690" i="2"/>
  <c r="AZ1690" i="2"/>
  <c r="AZ1646" i="2"/>
  <c r="AZ1647" i="2"/>
  <c r="AY1648" i="2"/>
  <c r="AZ1648" i="2"/>
  <c r="AZ1649" i="2"/>
  <c r="AY1650" i="2"/>
  <c r="AZ1650" i="2"/>
  <c r="AZ1651" i="2"/>
  <c r="AY1652" i="2"/>
  <c r="AZ1652" i="2"/>
  <c r="AY1653" i="2"/>
  <c r="AZ1653" i="2"/>
  <c r="AY1654" i="2"/>
  <c r="AZ1654" i="2"/>
  <c r="AY1655" i="2"/>
  <c r="AZ1655" i="2"/>
  <c r="AZ1656" i="2"/>
  <c r="AY1657" i="2"/>
  <c r="AZ1657" i="2"/>
  <c r="AY1658" i="2"/>
  <c r="AZ1658" i="2"/>
  <c r="AY1659" i="2"/>
  <c r="AZ1659" i="2"/>
  <c r="AZ1660" i="2"/>
  <c r="AY1661" i="2"/>
  <c r="AZ1661" i="2"/>
  <c r="AZ1662" i="2"/>
  <c r="AY1663" i="2"/>
  <c r="AZ1663" i="2"/>
  <c r="AZ1664" i="2"/>
  <c r="AZ1665" i="2"/>
  <c r="AY1666" i="2"/>
  <c r="AZ1666" i="2"/>
  <c r="AZ1667" i="2"/>
  <c r="AY1668" i="2"/>
  <c r="AZ1668" i="2"/>
  <c r="AY1669" i="2"/>
  <c r="AZ1669" i="2"/>
  <c r="AZ1670" i="2"/>
  <c r="AY1671" i="2"/>
  <c r="AZ1671" i="2"/>
  <c r="AY1672" i="2"/>
  <c r="AZ1672" i="2"/>
  <c r="AY1673" i="2"/>
  <c r="AZ1673" i="2"/>
  <c r="AZ1674" i="2"/>
  <c r="AY1675" i="2"/>
  <c r="AZ1675" i="2"/>
  <c r="AZ1676" i="2"/>
  <c r="AY1677" i="2"/>
  <c r="AZ1677" i="2"/>
  <c r="AZ1678" i="2"/>
  <c r="AY1679" i="2"/>
  <c r="AZ1679" i="2"/>
  <c r="AZ1680" i="2"/>
  <c r="AZ1681" i="2"/>
  <c r="AY1682" i="2"/>
  <c r="AZ1682" i="2"/>
  <c r="AZ1683" i="2"/>
  <c r="AY1684" i="2"/>
  <c r="AZ1684" i="2"/>
  <c r="AZ1685" i="2"/>
  <c r="AZ1686" i="2"/>
  <c r="AY1687" i="2"/>
  <c r="AZ1687" i="2"/>
  <c r="AY1688" i="2"/>
  <c r="AZ1688" i="2"/>
  <c r="AY1689" i="2"/>
  <c r="AZ1689" i="2"/>
  <c r="AZ1645" i="2"/>
  <c r="AZ1644" i="2"/>
  <c r="AZ1631" i="2"/>
  <c r="AY1632" i="2"/>
  <c r="AZ1632" i="2"/>
  <c r="AY1633" i="2"/>
  <c r="AZ1633" i="2"/>
  <c r="AY1634" i="2"/>
  <c r="AZ1634" i="2"/>
  <c r="AZ1635" i="2"/>
  <c r="AY1636" i="2"/>
  <c r="AZ1636" i="2"/>
  <c r="AY1637" i="2"/>
  <c r="AZ1637" i="2"/>
  <c r="AY1638" i="2"/>
  <c r="AZ1638" i="2"/>
  <c r="AY1639" i="2"/>
  <c r="AZ1639" i="2"/>
  <c r="AY1640" i="2"/>
  <c r="AZ1640" i="2"/>
  <c r="AY1641" i="2"/>
  <c r="AZ1641" i="2"/>
  <c r="AZ1642" i="2"/>
  <c r="AZ1643" i="2"/>
  <c r="AZ1627" i="2"/>
  <c r="AZ1628" i="2"/>
  <c r="AZ1629" i="2"/>
  <c r="AZ1630" i="2"/>
  <c r="AZ1626" i="2"/>
  <c r="AZ1623" i="2"/>
  <c r="AZ1624" i="2"/>
  <c r="AZ1625" i="2"/>
  <c r="AZ1622" i="2"/>
  <c r="AZ1621" i="2"/>
  <c r="AZ1607" i="2"/>
  <c r="AZ1608" i="2"/>
  <c r="AZ1609" i="2"/>
  <c r="AZ1610" i="2"/>
  <c r="AZ1611" i="2"/>
  <c r="AZ1612" i="2"/>
  <c r="AZ1613" i="2"/>
  <c r="AZ1614" i="2"/>
  <c r="AZ1615" i="2"/>
  <c r="AZ1616" i="2"/>
  <c r="AZ1617" i="2"/>
  <c r="AZ1618" i="2"/>
  <c r="AZ1619" i="2"/>
  <c r="AZ1620" i="2"/>
  <c r="AZ1603" i="2"/>
  <c r="AZ1604" i="2"/>
  <c r="AZ1605" i="2"/>
  <c r="AZ1606" i="2"/>
  <c r="AZ1583" i="2"/>
  <c r="AZ1584" i="2"/>
  <c r="AZ1585" i="2"/>
  <c r="AZ1586" i="2"/>
  <c r="AZ1587" i="2"/>
  <c r="AZ1588" i="2"/>
  <c r="AZ1589" i="2"/>
  <c r="AZ1590" i="2"/>
  <c r="AZ1591" i="2"/>
  <c r="AZ1592" i="2"/>
  <c r="AZ1593" i="2"/>
  <c r="AZ1594" i="2"/>
  <c r="AZ1595" i="2"/>
  <c r="AZ1597" i="2"/>
  <c r="AZ1598" i="2"/>
  <c r="AZ1599" i="2"/>
  <c r="AZ1600" i="2"/>
  <c r="AZ1601" i="2"/>
  <c r="AZ1577" i="2"/>
  <c r="AY1578" i="2"/>
  <c r="AZ1578" i="2"/>
  <c r="AY1579" i="2"/>
  <c r="AZ1579" i="2"/>
  <c r="AZ1580" i="2"/>
  <c r="AZ1581" i="2"/>
  <c r="AZ1582" i="2"/>
  <c r="AZ1576" i="2"/>
  <c r="AZ1602" i="2"/>
  <c r="AZ1575" i="2"/>
  <c r="AZ1574" i="2"/>
  <c r="AZ1572" i="2"/>
  <c r="AZ1573" i="2"/>
  <c r="AY1571" i="2"/>
  <c r="AZ1571" i="2"/>
  <c r="AY1569" i="2"/>
  <c r="AZ1569" i="2"/>
  <c r="AZ1570" i="2"/>
  <c r="AZ1568" i="2"/>
  <c r="AZ1567" i="2"/>
  <c r="AZ1566" i="2"/>
  <c r="AZ1563" i="2"/>
  <c r="AZ1564" i="2"/>
  <c r="AZ1565" i="2"/>
  <c r="AZ1460" i="2"/>
  <c r="AZ1562" i="2"/>
  <c r="AZ1561" i="2"/>
  <c r="AY1487" i="2"/>
  <c r="AZ1487" i="2"/>
  <c r="AZ1560" i="2"/>
  <c r="AZ1557" i="2"/>
  <c r="AY1558" i="2"/>
  <c r="AZ1558" i="2"/>
  <c r="AZ1559" i="2"/>
  <c r="AZ1194" i="2"/>
  <c r="AZ1555" i="2"/>
  <c r="AZ1556" i="2"/>
  <c r="AZ1549" i="2"/>
  <c r="AZ1550" i="2"/>
  <c r="AY1551" i="2"/>
  <c r="AZ1551" i="2"/>
  <c r="AZ1552" i="2"/>
  <c r="AZ1553" i="2"/>
  <c r="AZ1554" i="2"/>
  <c r="AZ1548" i="2"/>
  <c r="AY1540" i="2"/>
  <c r="AZ1540" i="2"/>
  <c r="AZ1541" i="2"/>
  <c r="AZ1542" i="2"/>
  <c r="AY1543" i="2"/>
  <c r="AZ1543" i="2"/>
  <c r="AZ1544" i="2"/>
  <c r="AZ1545" i="2"/>
  <c r="AZ1546" i="2"/>
  <c r="AZ1547" i="2"/>
  <c r="AZ1539" i="2"/>
  <c r="AZ1538" i="2"/>
  <c r="AZ1494" i="2"/>
  <c r="AZ1495" i="2"/>
  <c r="AZ1496" i="2"/>
  <c r="AZ1497" i="2"/>
  <c r="AZ1498" i="2"/>
  <c r="AZ1499" i="2"/>
  <c r="AZ1500" i="2"/>
  <c r="AZ1501" i="2"/>
  <c r="AZ1502" i="2"/>
  <c r="AZ1503" i="2"/>
  <c r="AZ1504" i="2"/>
  <c r="AZ1505" i="2"/>
  <c r="AZ1506" i="2"/>
  <c r="AZ1507" i="2"/>
  <c r="AZ1508" i="2"/>
  <c r="AZ1509" i="2"/>
  <c r="AZ1510" i="2"/>
  <c r="AZ1511" i="2"/>
  <c r="AZ1512" i="2"/>
  <c r="AZ1513" i="2"/>
  <c r="AZ1514" i="2"/>
  <c r="AZ1515" i="2"/>
  <c r="AZ1516" i="2"/>
  <c r="AZ1517" i="2"/>
  <c r="AZ1518" i="2"/>
  <c r="AZ1519" i="2"/>
  <c r="AZ1520" i="2"/>
  <c r="AZ1521" i="2"/>
  <c r="AZ1522" i="2"/>
  <c r="AZ1523" i="2"/>
  <c r="AZ1524" i="2"/>
  <c r="AZ1525" i="2"/>
  <c r="AZ1526" i="2"/>
  <c r="AZ1527" i="2"/>
  <c r="AZ1528" i="2"/>
  <c r="AZ1529" i="2"/>
  <c r="AZ1530" i="2"/>
  <c r="AZ1531" i="2"/>
  <c r="AZ1532" i="2"/>
  <c r="AZ1533" i="2"/>
  <c r="AZ1534" i="2"/>
  <c r="AZ1535" i="2"/>
  <c r="AZ1536" i="2"/>
  <c r="AZ1537" i="2"/>
  <c r="AZ1491" i="2"/>
  <c r="AZ1492" i="2"/>
  <c r="AZ1493" i="2"/>
  <c r="AZ1490" i="2"/>
  <c r="AY1489" i="2"/>
  <c r="AZ1489" i="2"/>
  <c r="AZ1485" i="2"/>
  <c r="AZ1484" i="2"/>
  <c r="AZ1480" i="2"/>
  <c r="AZ1482" i="2"/>
  <c r="AZ1479" i="2"/>
  <c r="AZ1478" i="2"/>
  <c r="AZ1476" i="2"/>
  <c r="AZ1473" i="2"/>
  <c r="AZ1474" i="2"/>
  <c r="AZ1475" i="2"/>
  <c r="AY1469" i="2"/>
  <c r="AZ1469" i="2"/>
  <c r="AZ1470" i="2"/>
  <c r="AZ1471" i="2"/>
  <c r="AZ1472" i="2"/>
  <c r="AZ1468" i="2"/>
  <c r="AZ1385" i="2"/>
  <c r="AZ1467" i="2"/>
  <c r="AZ1465" i="2"/>
  <c r="AZ1464" i="2"/>
  <c r="AZ1466" i="2"/>
  <c r="AZ1463" i="2"/>
  <c r="AZ1462" i="2"/>
  <c r="AZ1459" i="2"/>
  <c r="AZ1461" i="2"/>
  <c r="AZ1455" i="2"/>
  <c r="AZ1456" i="2"/>
  <c r="AZ1457" i="2"/>
  <c r="AZ1458" i="2"/>
  <c r="AZ1453" i="2"/>
  <c r="AZ1454" i="2"/>
  <c r="AZ1452" i="2"/>
  <c r="AZ1451" i="2"/>
  <c r="AZ1445" i="2"/>
  <c r="AZ1446" i="2"/>
  <c r="AZ1447" i="2"/>
  <c r="AZ1448" i="2"/>
  <c r="AZ1449" i="2"/>
  <c r="AZ1444" i="2"/>
  <c r="AZ1443" i="2"/>
  <c r="AZ1442" i="2"/>
  <c r="AZ1439" i="2"/>
  <c r="AZ1440" i="2"/>
  <c r="AZ1434" i="2"/>
  <c r="AZ1435" i="2"/>
  <c r="AZ1436" i="2"/>
  <c r="AZ1437" i="2"/>
  <c r="AZ1438" i="2"/>
  <c r="AY1433" i="2"/>
  <c r="AZ1433" i="2"/>
  <c r="AZ1389" i="2"/>
  <c r="AZ1390" i="2"/>
  <c r="AZ1391" i="2"/>
  <c r="AZ1392" i="2"/>
  <c r="AZ1393" i="2"/>
  <c r="AZ1394" i="2"/>
  <c r="AZ1395" i="2"/>
  <c r="AZ1396" i="2"/>
  <c r="AZ1397" i="2"/>
  <c r="AZ1398" i="2"/>
  <c r="AZ1399" i="2"/>
  <c r="AZ1400" i="2"/>
  <c r="AZ1401" i="2"/>
  <c r="AZ1402" i="2"/>
  <c r="AZ1403" i="2"/>
  <c r="AZ1404" i="2"/>
  <c r="AZ1405" i="2"/>
  <c r="AZ1406" i="2"/>
  <c r="AZ1407" i="2"/>
  <c r="AZ1408" i="2"/>
  <c r="AZ1409" i="2"/>
  <c r="AZ1410" i="2"/>
  <c r="AZ1411" i="2"/>
  <c r="AZ1412" i="2"/>
  <c r="AZ1413" i="2"/>
  <c r="AZ1414" i="2"/>
  <c r="AZ1415" i="2"/>
  <c r="AZ1416" i="2"/>
  <c r="AZ1417" i="2"/>
  <c r="AZ1418" i="2"/>
  <c r="AZ1419" i="2"/>
  <c r="AZ1420" i="2"/>
  <c r="AZ1421" i="2"/>
  <c r="AZ1422" i="2"/>
  <c r="AZ1423" i="2"/>
  <c r="AZ1424" i="2"/>
  <c r="AZ1425" i="2"/>
  <c r="AZ1426" i="2"/>
  <c r="AZ1427" i="2"/>
  <c r="AZ1428" i="2"/>
  <c r="AZ1429" i="2"/>
  <c r="AZ1430" i="2"/>
  <c r="AZ1431" i="2"/>
  <c r="AZ1432" i="2"/>
  <c r="AZ1388" i="2"/>
  <c r="AZ1387" i="2"/>
  <c r="AZ1386" i="2"/>
  <c r="AY1377" i="2"/>
  <c r="AZ1377" i="2"/>
  <c r="AZ1378" i="2"/>
  <c r="AZ1379" i="2"/>
  <c r="AZ1380" i="2"/>
  <c r="AZ1381" i="2"/>
  <c r="AZ1382" i="2"/>
  <c r="AZ1383" i="2"/>
  <c r="AZ1384" i="2"/>
  <c r="AZ1191" i="2"/>
  <c r="AZ1190" i="2"/>
  <c r="AZ1189" i="2"/>
  <c r="AZ1188" i="2"/>
  <c r="AZ1375" i="2"/>
  <c r="AZ1376" i="2"/>
  <c r="AZ1374" i="2"/>
  <c r="AZ1373" i="2"/>
  <c r="AZ1372" i="2"/>
  <c r="AZ1371" i="2"/>
  <c r="AY1369" i="2"/>
  <c r="AZ1369" i="2"/>
  <c r="AZ1368" i="2"/>
  <c r="AZ1367" i="2"/>
  <c r="AZ1366" i="2"/>
  <c r="AZ1365" i="2"/>
  <c r="AZ1362" i="2"/>
  <c r="AZ1363" i="2"/>
  <c r="AZ1364" i="2"/>
  <c r="AZ1361" i="2"/>
  <c r="AZ1360" i="2"/>
  <c r="AZ1359" i="2"/>
  <c r="AZ1358" i="2"/>
  <c r="AZ1357" i="2"/>
  <c r="AZ1356" i="2"/>
  <c r="AZ1355" i="2"/>
  <c r="AZ1354" i="2"/>
  <c r="AZ1353" i="2"/>
  <c r="AZ1352" i="2"/>
  <c r="AZ1351" i="2"/>
  <c r="AY1350" i="2"/>
  <c r="AZ1350" i="2"/>
  <c r="AZ1349" i="2"/>
  <c r="AZ1347" i="2"/>
  <c r="AZ1348" i="2"/>
  <c r="AZ1344" i="2"/>
  <c r="AZ1345" i="2"/>
  <c r="AZ1346" i="2"/>
  <c r="AZ1338" i="2"/>
  <c r="AZ1339" i="2"/>
  <c r="AZ1340" i="2"/>
  <c r="AZ1341" i="2"/>
  <c r="AZ1342" i="2"/>
  <c r="AZ1343" i="2"/>
  <c r="AZ1333" i="2"/>
  <c r="AY1334" i="2"/>
  <c r="AZ1334" i="2"/>
  <c r="AZ1335" i="2"/>
  <c r="AZ1336" i="2"/>
  <c r="AZ1337" i="2"/>
  <c r="AZ1332" i="2"/>
  <c r="AZ1331" i="2"/>
  <c r="AZ1330" i="2"/>
  <c r="AY1328" i="2"/>
  <c r="AZ1328" i="2"/>
  <c r="AZ1326" i="2"/>
  <c r="AZ1325" i="2"/>
  <c r="AZ1318" i="2"/>
  <c r="AZ1319" i="2"/>
  <c r="AZ1320" i="2"/>
  <c r="AZ1321" i="2"/>
  <c r="AZ1322" i="2"/>
  <c r="AZ1323" i="2"/>
  <c r="AZ1324" i="2"/>
  <c r="AZ1316" i="2"/>
  <c r="AZ1317" i="2"/>
  <c r="AY1315" i="2"/>
  <c r="AZ1315" i="2"/>
  <c r="AZ1274" i="2"/>
  <c r="AZ1275" i="2"/>
  <c r="AZ1276" i="2"/>
  <c r="AZ1277" i="2"/>
  <c r="AZ1278" i="2"/>
  <c r="AZ1279" i="2"/>
  <c r="AZ1280" i="2"/>
  <c r="AZ1281" i="2"/>
  <c r="AZ1282" i="2"/>
  <c r="AZ1283" i="2"/>
  <c r="AZ1284" i="2"/>
  <c r="AZ1285" i="2"/>
  <c r="AZ1286" i="2"/>
  <c r="AZ1287" i="2"/>
  <c r="AZ1288" i="2"/>
  <c r="AZ1289" i="2"/>
  <c r="AZ1290" i="2"/>
  <c r="AZ1291" i="2"/>
  <c r="AZ1292" i="2"/>
  <c r="AZ1293" i="2"/>
  <c r="AZ1294" i="2"/>
  <c r="AZ1295" i="2"/>
  <c r="AZ1296" i="2"/>
  <c r="AZ1297" i="2"/>
  <c r="AZ1298" i="2"/>
  <c r="AZ1299" i="2"/>
  <c r="AZ1300" i="2"/>
  <c r="AZ1301" i="2"/>
  <c r="AZ1302" i="2"/>
  <c r="AZ1303" i="2"/>
  <c r="AZ1304" i="2"/>
  <c r="AZ1305" i="2"/>
  <c r="AZ1306" i="2"/>
  <c r="AZ1307" i="2"/>
  <c r="AZ1308" i="2"/>
  <c r="AZ1309" i="2"/>
  <c r="AZ1310" i="2"/>
  <c r="AZ1311" i="2"/>
  <c r="AZ1312" i="2"/>
  <c r="AZ1313" i="2"/>
  <c r="AZ1314" i="2"/>
  <c r="AZ1273" i="2"/>
  <c r="AZ1271" i="2"/>
  <c r="AZ1272" i="2"/>
  <c r="AZ1269" i="2"/>
  <c r="AZ1270" i="2"/>
  <c r="AZ1268" i="2"/>
  <c r="AZ1266" i="2"/>
  <c r="AZ1267" i="2"/>
  <c r="AZ1264" i="2"/>
  <c r="AZ1263" i="2"/>
  <c r="AZ1262" i="2"/>
  <c r="AZ1243" i="2"/>
  <c r="AZ1244" i="2"/>
  <c r="AZ1245" i="2"/>
  <c r="AZ1246" i="2"/>
  <c r="AZ1247" i="2"/>
  <c r="AZ1248" i="2"/>
  <c r="AZ1249" i="2"/>
  <c r="AZ1250" i="2"/>
  <c r="AZ1251" i="2"/>
  <c r="AZ1252" i="2"/>
  <c r="AZ1253" i="2"/>
  <c r="AZ1254" i="2"/>
  <c r="AZ1255" i="2"/>
  <c r="AZ1256" i="2"/>
  <c r="AZ1257" i="2"/>
  <c r="AZ1258" i="2"/>
  <c r="AZ1259" i="2"/>
  <c r="AZ1260" i="2"/>
  <c r="AZ1261" i="2"/>
  <c r="AZ1242" i="2"/>
  <c r="AZ1241" i="2"/>
  <c r="AZ1240" i="2"/>
  <c r="AZ1233" i="2"/>
  <c r="AZ1234" i="2"/>
  <c r="AZ1235" i="2"/>
  <c r="AZ1236" i="2"/>
  <c r="AZ1237" i="2"/>
  <c r="AZ1231" i="2"/>
  <c r="AZ1232" i="2"/>
  <c r="AZ1229" i="2"/>
  <c r="AZ1230" i="2"/>
  <c r="AZ1227" i="2"/>
  <c r="AZ1228" i="2"/>
  <c r="AZ1224" i="2"/>
  <c r="AZ1225" i="2"/>
  <c r="AZ1226" i="2"/>
  <c r="AZ1223" i="2"/>
  <c r="AZ1222" i="2"/>
  <c r="AZ1220" i="2"/>
  <c r="AZ1221" i="2"/>
  <c r="AZ1219" i="2"/>
  <c r="AZ1216" i="2"/>
  <c r="AZ1217" i="2"/>
  <c r="AZ1218" i="2"/>
  <c r="AZ1215" i="2"/>
  <c r="AZ1214" i="2"/>
  <c r="AY1210" i="2"/>
  <c r="AZ1210" i="2"/>
  <c r="AZ1211" i="2"/>
  <c r="AZ1212" i="2"/>
  <c r="AZ1213" i="2"/>
  <c r="AZ1209" i="2"/>
  <c r="AZ1208" i="2"/>
  <c r="AZ1207" i="2"/>
  <c r="AY1205" i="2"/>
  <c r="AZ1205" i="2"/>
  <c r="AZ1206" i="2"/>
  <c r="AZ1201" i="2"/>
  <c r="AZ1202" i="2"/>
  <c r="AZ1203" i="2"/>
  <c r="AZ1204" i="2"/>
  <c r="AZ1141" i="2"/>
  <c r="AZ1200" i="2"/>
  <c r="AZ1198" i="2"/>
  <c r="AZ1199" i="2"/>
  <c r="AZ1196" i="2"/>
  <c r="AZ1197" i="2"/>
  <c r="AZ1195" i="2"/>
  <c r="AZ1192" i="2"/>
  <c r="AZ1193" i="2"/>
  <c r="AZ1186" i="2"/>
  <c r="AZ1185" i="2"/>
  <c r="AZ1183" i="2"/>
  <c r="AZ1177" i="2"/>
  <c r="AY1178" i="2"/>
  <c r="AZ1178" i="2"/>
  <c r="AZ1179" i="2"/>
  <c r="AZ1180" i="2"/>
  <c r="AZ1181" i="2"/>
  <c r="AZ1182" i="2"/>
  <c r="AZ1176" i="2"/>
  <c r="AZ1175" i="2"/>
  <c r="AZ1173" i="2"/>
  <c r="AZ1172" i="2"/>
  <c r="AZ1171" i="2"/>
  <c r="AZ1169" i="2"/>
  <c r="AZ1170" i="2"/>
  <c r="AZ1167" i="2"/>
  <c r="AZ1168" i="2"/>
  <c r="AZ1164" i="2"/>
  <c r="AZ1165" i="2"/>
  <c r="AZ1166" i="2"/>
  <c r="AZ1163" i="2"/>
  <c r="AZ1160" i="2"/>
  <c r="AY1161" i="2"/>
  <c r="AZ1161" i="2"/>
  <c r="AZ1157" i="2"/>
  <c r="AZ1158" i="2"/>
  <c r="AZ1132" i="2"/>
  <c r="AZ1155" i="2"/>
  <c r="AZ1156" i="2"/>
  <c r="AZ1154" i="2"/>
  <c r="AZ1153" i="2"/>
  <c r="AZ1152" i="2"/>
  <c r="AZ1149" i="2"/>
  <c r="AZ1150" i="2"/>
  <c r="AZ1151" i="2"/>
  <c r="AZ1143" i="2"/>
  <c r="AZ1144" i="2"/>
  <c r="AZ1145" i="2"/>
  <c r="AZ1146" i="2"/>
  <c r="AZ1147" i="2"/>
  <c r="AZ1148" i="2"/>
  <c r="AZ1142" i="2"/>
  <c r="AZ1139" i="2"/>
  <c r="AZ1138" i="2"/>
  <c r="AZ1136" i="2"/>
  <c r="AZ1137" i="2"/>
  <c r="AY1133" i="2"/>
  <c r="AZ1133" i="2"/>
  <c r="AZ1134" i="2"/>
  <c r="AZ1135" i="2"/>
  <c r="AZ1122" i="2"/>
  <c r="AZ1123" i="2"/>
  <c r="AY1124" i="2"/>
  <c r="AZ1124" i="2"/>
  <c r="AY1125" i="2"/>
  <c r="AZ1125" i="2"/>
  <c r="AZ1126" i="2"/>
  <c r="AZ1127" i="2"/>
  <c r="AZ1129" i="2"/>
  <c r="AZ1130" i="2"/>
  <c r="AZ1131" i="2"/>
  <c r="AZ1120" i="2"/>
  <c r="AZ1121" i="2"/>
  <c r="AZ1119" i="2"/>
  <c r="AZ1118" i="2"/>
  <c r="AZ1115" i="2"/>
  <c r="AZ1116" i="2"/>
  <c r="AZ1114" i="2"/>
  <c r="AY1111" i="2"/>
  <c r="AZ1111" i="2"/>
  <c r="AY1112" i="2"/>
  <c r="AZ1112" i="2"/>
  <c r="AY1113" i="2"/>
  <c r="AZ1113" i="2"/>
  <c r="AZ1117" i="2"/>
  <c r="AZ1109" i="2"/>
  <c r="AZ1110" i="2"/>
  <c r="AZ1106" i="2"/>
  <c r="AZ1107" i="2"/>
  <c r="AZ1108" i="2"/>
  <c r="AZ1104" i="2"/>
  <c r="AZ1105" i="2"/>
  <c r="AZ1103" i="2"/>
  <c r="AZ1099" i="2"/>
  <c r="AZ1100" i="2"/>
  <c r="AZ1101" i="2"/>
  <c r="AZ1095" i="2"/>
  <c r="AZ1096" i="2"/>
  <c r="AZ1097" i="2"/>
  <c r="AZ1098" i="2"/>
  <c r="AZ1093" i="2"/>
  <c r="AZ1094" i="2"/>
  <c r="AY1088" i="2"/>
  <c r="AZ1088" i="2"/>
  <c r="AY1089" i="2"/>
  <c r="AZ1089" i="2"/>
  <c r="AY1090" i="2"/>
  <c r="AZ1090" i="2"/>
  <c r="AY1091" i="2"/>
  <c r="AZ1091" i="2"/>
  <c r="AY1092" i="2"/>
  <c r="AZ1092" i="2"/>
  <c r="AZ1085" i="2"/>
  <c r="AZ1086" i="2"/>
  <c r="AZ1087" i="2"/>
  <c r="AZ1084" i="2"/>
  <c r="AZ1080" i="2"/>
  <c r="AY1081" i="2"/>
  <c r="AZ1081" i="2"/>
  <c r="AZ1082" i="2"/>
  <c r="AZ1083" i="2"/>
  <c r="AZ1078" i="2"/>
  <c r="AZ1079" i="2"/>
  <c r="AZ1077" i="2"/>
  <c r="AZ1076" i="2"/>
  <c r="AY1075" i="2"/>
  <c r="AZ1075" i="2"/>
  <c r="AZ1072" i="2"/>
  <c r="AZ1073" i="2"/>
  <c r="AZ1071" i="2"/>
  <c r="AZ1069" i="2"/>
  <c r="AZ1070" i="2"/>
  <c r="AZ1068" i="2"/>
  <c r="AZ1067" i="2"/>
  <c r="AZ1066" i="2"/>
  <c r="AZ1065" i="2"/>
  <c r="AZ1064" i="2"/>
  <c r="AZ1063" i="2"/>
  <c r="L45" i="12"/>
  <c r="L45" i="11"/>
  <c r="T5" i="2"/>
  <c r="U5" i="2"/>
  <c r="V5" i="2"/>
  <c r="W5" i="2"/>
  <c r="X5" i="2"/>
  <c r="Y5" i="2"/>
  <c r="Z5" i="2"/>
  <c r="AD5" i="2"/>
  <c r="AE5" i="2"/>
  <c r="AF5" i="2"/>
  <c r="AG5" i="2"/>
  <c r="AH5" i="2"/>
  <c r="AI5" i="2"/>
  <c r="AJ5" i="2"/>
  <c r="AK5" i="2"/>
  <c r="AL5" i="2"/>
  <c r="BB5" i="2"/>
  <c r="BC5" i="2"/>
  <c r="BF5" i="2"/>
  <c r="BG5" i="2"/>
  <c r="BJ5" i="2"/>
  <c r="BK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K5" i="2"/>
  <c r="AZ6" i="2"/>
  <c r="AZ5" i="2"/>
  <c r="AZ7" i="2"/>
  <c r="AZ8" i="2"/>
  <c r="AZ9" i="2"/>
  <c r="AZ10" i="2"/>
  <c r="AZ11" i="2"/>
  <c r="AZ12" i="2"/>
  <c r="AZ13" i="2"/>
  <c r="AZ14" i="2"/>
  <c r="AZ15" i="2"/>
  <c r="AZ16" i="2"/>
  <c r="AY17" i="2"/>
  <c r="AZ18" i="2"/>
  <c r="AZ19" i="2"/>
  <c r="AZ20" i="2"/>
  <c r="AZ21" i="2"/>
  <c r="AZ22" i="2"/>
  <c r="AZ23" i="2"/>
  <c r="AZ24" i="2"/>
  <c r="AZ25" i="2"/>
  <c r="AZ26" i="2"/>
  <c r="AZ27" i="2"/>
  <c r="AZ28" i="2"/>
  <c r="AZ29" i="2"/>
  <c r="AZ30" i="2"/>
  <c r="AZ31" i="2"/>
  <c r="AZ32" i="2"/>
  <c r="AZ33" i="2"/>
  <c r="AZ34" i="2"/>
  <c r="AZ35" i="2"/>
  <c r="AZ36" i="2"/>
  <c r="AZ37" i="2"/>
  <c r="AZ39" i="2"/>
  <c r="AZ40" i="2"/>
  <c r="AZ41" i="2"/>
  <c r="AZ42" i="2"/>
  <c r="AZ43" i="2"/>
  <c r="AZ44" i="2"/>
  <c r="AZ45" i="2"/>
  <c r="AZ46" i="2"/>
  <c r="AZ47" i="2"/>
  <c r="AZ49" i="2"/>
  <c r="AZ50" i="2"/>
  <c r="AZ51" i="2"/>
  <c r="AZ52" i="2"/>
  <c r="AY53" i="2"/>
  <c r="AZ53" i="2"/>
  <c r="AZ54" i="2"/>
  <c r="AZ55" i="2"/>
  <c r="AZ56" i="2"/>
  <c r="AZ57" i="2"/>
  <c r="AZ58" i="2"/>
  <c r="AZ59" i="2"/>
  <c r="AZ60" i="2"/>
  <c r="AZ61" i="2"/>
  <c r="AZ62" i="2"/>
  <c r="AZ63" i="2"/>
  <c r="AZ64" i="2"/>
  <c r="AZ65" i="2"/>
  <c r="AZ66" i="2"/>
  <c r="AZ67" i="2"/>
  <c r="AZ68" i="2"/>
  <c r="AZ69" i="2"/>
  <c r="AZ70" i="2"/>
  <c r="AZ72" i="2"/>
  <c r="AZ73" i="2"/>
  <c r="AZ74" i="2"/>
  <c r="AZ75" i="2"/>
  <c r="AZ76" i="2"/>
  <c r="AZ77" i="2"/>
  <c r="AZ78" i="2"/>
  <c r="AZ79" i="2"/>
  <c r="AZ80" i="2"/>
  <c r="AZ81" i="2"/>
  <c r="AZ82" i="2"/>
  <c r="AZ83" i="2"/>
  <c r="AZ84" i="2"/>
  <c r="AZ85" i="2"/>
  <c r="AZ86" i="2"/>
  <c r="AZ87" i="2"/>
  <c r="AZ88" i="2"/>
  <c r="AZ89" i="2"/>
  <c r="AZ90" i="2"/>
  <c r="AZ91" i="2"/>
  <c r="AZ92" i="2"/>
  <c r="AZ93" i="2"/>
  <c r="AZ94" i="2"/>
  <c r="AZ95" i="2"/>
  <c r="AZ96" i="2"/>
  <c r="AZ97" i="2"/>
  <c r="AZ98" i="2"/>
  <c r="AZ99" i="2"/>
  <c r="AZ100" i="2"/>
  <c r="AZ101" i="2"/>
  <c r="AZ102" i="2"/>
  <c r="AZ104" i="2"/>
  <c r="AZ105" i="2"/>
  <c r="AZ106" i="2"/>
  <c r="AZ107" i="2"/>
  <c r="AZ108" i="2"/>
  <c r="AZ109" i="2"/>
  <c r="AZ110" i="2"/>
  <c r="AZ111" i="2"/>
  <c r="AZ113" i="2"/>
  <c r="AY114" i="2"/>
  <c r="AZ114" i="2"/>
  <c r="AZ115" i="2"/>
  <c r="AZ116" i="2"/>
  <c r="AZ117" i="2"/>
  <c r="AZ118" i="2"/>
  <c r="AZ119" i="2"/>
  <c r="AZ120" i="2"/>
  <c r="AZ121" i="2"/>
  <c r="AZ122" i="2"/>
  <c r="AZ123" i="2"/>
  <c r="AZ124" i="2"/>
  <c r="AZ125" i="2"/>
  <c r="AZ126" i="2"/>
  <c r="AZ127" i="2"/>
  <c r="AZ128" i="2"/>
  <c r="AZ129" i="2"/>
  <c r="AZ130" i="2"/>
  <c r="AZ131" i="2"/>
  <c r="AZ132" i="2"/>
  <c r="AZ133" i="2"/>
  <c r="AZ134" i="2"/>
  <c r="AZ135" i="2"/>
  <c r="AZ136" i="2"/>
  <c r="AZ137" i="2"/>
  <c r="AZ138" i="2"/>
  <c r="AZ139" i="2"/>
  <c r="AZ140" i="2"/>
  <c r="AZ141" i="2"/>
  <c r="AZ142" i="2"/>
  <c r="AZ143" i="2"/>
  <c r="AZ144" i="2"/>
  <c r="AZ145" i="2"/>
  <c r="AZ146" i="2"/>
  <c r="AZ147" i="2"/>
  <c r="AZ148" i="2"/>
  <c r="AZ149" i="2"/>
  <c r="AZ150" i="2"/>
  <c r="AZ151" i="2"/>
  <c r="AZ154" i="2"/>
  <c r="AZ155" i="2"/>
  <c r="AZ156" i="2"/>
  <c r="AZ157" i="2"/>
  <c r="AZ158" i="2"/>
  <c r="AZ159" i="2"/>
  <c r="AZ160" i="2"/>
  <c r="AZ161" i="2"/>
  <c r="AZ162" i="2"/>
  <c r="AZ163" i="2"/>
  <c r="AZ164" i="2"/>
  <c r="AZ165" i="2"/>
  <c r="AZ166" i="2"/>
  <c r="AZ167" i="2"/>
  <c r="AZ168" i="2"/>
  <c r="AZ170" i="2"/>
  <c r="AZ171" i="2"/>
  <c r="AZ172" i="2"/>
  <c r="AZ173" i="2"/>
  <c r="AZ174" i="2"/>
  <c r="AY175" i="2"/>
  <c r="AZ175" i="2"/>
  <c r="AZ176" i="2"/>
  <c r="AZ177" i="2"/>
  <c r="AZ178" i="2"/>
  <c r="AZ179" i="2"/>
  <c r="AZ180" i="2"/>
  <c r="AZ181" i="2"/>
  <c r="AZ182" i="2"/>
  <c r="AZ183" i="2"/>
  <c r="AZ184" i="2"/>
  <c r="AZ185" i="2"/>
  <c r="AZ186" i="2"/>
  <c r="AZ187" i="2"/>
  <c r="AZ188" i="2"/>
  <c r="AZ189" i="2"/>
  <c r="AZ190" i="2"/>
  <c r="AZ191" i="2"/>
  <c r="AZ192" i="2"/>
  <c r="AZ193" i="2"/>
  <c r="AZ194" i="2"/>
  <c r="AZ195" i="2"/>
  <c r="AZ196" i="2"/>
  <c r="AZ197" i="2"/>
  <c r="AZ198" i="2"/>
  <c r="AZ199" i="2"/>
  <c r="AZ200" i="2"/>
  <c r="AZ201" i="2"/>
  <c r="AZ202" i="2"/>
  <c r="AZ204" i="2"/>
  <c r="AZ205" i="2"/>
  <c r="AZ206" i="2"/>
  <c r="AZ207" i="2"/>
  <c r="AZ208" i="2"/>
  <c r="AZ209" i="2"/>
  <c r="AZ210" i="2"/>
  <c r="AZ211" i="2"/>
  <c r="AZ212" i="2"/>
  <c r="AZ213" i="2"/>
  <c r="AZ214" i="2"/>
  <c r="AZ215" i="2"/>
  <c r="AZ216" i="2"/>
  <c r="AZ217" i="2"/>
  <c r="AZ218" i="2"/>
  <c r="AZ219" i="2"/>
  <c r="AZ220" i="2"/>
  <c r="AZ221" i="2"/>
  <c r="AZ222" i="2"/>
  <c r="AZ223" i="2"/>
  <c r="AZ224" i="2"/>
  <c r="AZ225" i="2"/>
  <c r="AZ226" i="2"/>
  <c r="AZ227" i="2"/>
  <c r="AZ228" i="2"/>
  <c r="AZ229" i="2"/>
  <c r="AZ230" i="2"/>
  <c r="AZ231" i="2"/>
  <c r="AZ232" i="2"/>
  <c r="AZ233" i="2"/>
  <c r="AZ235" i="2"/>
  <c r="AZ236" i="2"/>
  <c r="AZ237" i="2"/>
  <c r="AZ238" i="2"/>
  <c r="AZ239" i="2"/>
  <c r="AZ240" i="2"/>
  <c r="AZ241" i="2"/>
  <c r="AZ242" i="2"/>
  <c r="AZ243" i="2"/>
  <c r="AZ244" i="2"/>
  <c r="AZ245" i="2"/>
  <c r="AZ246" i="2"/>
  <c r="AZ247" i="2"/>
  <c r="AZ248" i="2"/>
  <c r="AZ251" i="2"/>
  <c r="AZ252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7" i="2"/>
  <c r="AZ269" i="2"/>
  <c r="AZ270" i="2"/>
  <c r="AY271" i="2"/>
  <c r="AZ271" i="2"/>
  <c r="AZ272" i="2"/>
  <c r="AZ274" i="2"/>
  <c r="AZ275" i="2"/>
  <c r="AZ276" i="2"/>
  <c r="AZ277" i="2"/>
  <c r="AZ278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AZ292" i="2"/>
  <c r="AZ293" i="2"/>
  <c r="AZ294" i="2"/>
  <c r="AZ295" i="2"/>
  <c r="AZ296" i="2"/>
  <c r="AZ297" i="2"/>
  <c r="AZ298" i="2"/>
  <c r="AZ299" i="2"/>
  <c r="AZ300" i="2"/>
  <c r="AZ301" i="2"/>
  <c r="AZ302" i="2"/>
  <c r="AZ303" i="2"/>
  <c r="AZ304" i="2"/>
  <c r="AZ305" i="2"/>
  <c r="AZ306" i="2"/>
  <c r="AZ307" i="2"/>
  <c r="AZ308" i="2"/>
  <c r="AZ309" i="2"/>
  <c r="AZ310" i="2"/>
  <c r="AZ311" i="2"/>
  <c r="AZ312" i="2"/>
  <c r="AZ313" i="2"/>
  <c r="AZ314" i="2"/>
  <c r="AZ315" i="2"/>
  <c r="AZ316" i="2"/>
  <c r="AZ317" i="2"/>
  <c r="AZ318" i="2"/>
  <c r="AZ319" i="2"/>
  <c r="AZ320" i="2"/>
  <c r="AZ321" i="2"/>
  <c r="AZ322" i="2"/>
  <c r="AZ323" i="2"/>
  <c r="AZ324" i="2"/>
  <c r="AZ325" i="2"/>
  <c r="AZ326" i="2"/>
  <c r="AZ327" i="2"/>
  <c r="AZ328" i="2"/>
  <c r="AZ329" i="2"/>
  <c r="AZ331" i="2"/>
  <c r="AZ332" i="2"/>
  <c r="AZ333" i="2"/>
  <c r="AZ334" i="2"/>
  <c r="AZ335" i="2"/>
  <c r="AZ336" i="2"/>
  <c r="AZ337" i="2"/>
  <c r="AZ338" i="2"/>
  <c r="AZ339" i="2"/>
  <c r="AY340" i="2"/>
  <c r="AZ340" i="2"/>
  <c r="AZ341" i="2"/>
  <c r="AZ342" i="2"/>
  <c r="AZ343" i="2"/>
  <c r="AZ344" i="2"/>
  <c r="AZ345" i="2"/>
  <c r="AZ346" i="2"/>
  <c r="AZ348" i="2"/>
  <c r="AZ349" i="2"/>
  <c r="AZ350" i="2"/>
  <c r="AZ351" i="2"/>
  <c r="AZ352" i="2"/>
  <c r="AZ353" i="2"/>
  <c r="AZ354" i="2"/>
  <c r="AY355" i="2"/>
  <c r="AZ355" i="2"/>
  <c r="AZ356" i="2"/>
  <c r="AZ357" i="2"/>
  <c r="AZ358" i="2"/>
  <c r="AZ359" i="2"/>
  <c r="AZ360" i="2"/>
  <c r="AZ361" i="2"/>
  <c r="AZ362" i="2"/>
  <c r="AZ363" i="2"/>
  <c r="AZ364" i="2"/>
  <c r="AY365" i="2"/>
  <c r="AZ365" i="2"/>
  <c r="AZ366" i="2"/>
  <c r="AZ367" i="2"/>
  <c r="AZ368" i="2"/>
  <c r="AZ369" i="2"/>
  <c r="AZ370" i="2"/>
  <c r="AZ371" i="2"/>
  <c r="AZ372" i="2"/>
  <c r="AZ373" i="2"/>
  <c r="AZ374" i="2"/>
  <c r="AZ376" i="2"/>
  <c r="AZ377" i="2"/>
  <c r="AZ378" i="2"/>
  <c r="AZ380" i="2"/>
  <c r="AZ381" i="2"/>
  <c r="AZ382" i="2"/>
  <c r="AZ383" i="2"/>
  <c r="AZ384" i="2"/>
  <c r="AZ385" i="2"/>
  <c r="AZ386" i="2"/>
  <c r="AZ387" i="2"/>
  <c r="AZ388" i="2"/>
  <c r="AZ389" i="2"/>
  <c r="AZ390" i="2"/>
  <c r="AZ391" i="2"/>
  <c r="AZ392" i="2"/>
  <c r="AZ393" i="2"/>
  <c r="AZ394" i="2"/>
  <c r="AZ395" i="2"/>
  <c r="AZ396" i="2"/>
  <c r="AZ397" i="2"/>
  <c r="AZ399" i="2"/>
  <c r="AZ400" i="2"/>
  <c r="AZ401" i="2"/>
  <c r="AZ402" i="2"/>
  <c r="AZ403" i="2"/>
  <c r="AZ404" i="2"/>
  <c r="AZ405" i="2"/>
  <c r="AZ406" i="2"/>
  <c r="AZ407" i="2"/>
  <c r="AZ408" i="2"/>
  <c r="AZ409" i="2"/>
  <c r="AY410" i="2"/>
  <c r="AZ410" i="2"/>
  <c r="AY411" i="2"/>
  <c r="AZ411" i="2"/>
  <c r="AZ412" i="2"/>
  <c r="AZ413" i="2"/>
  <c r="AZ414" i="2"/>
  <c r="AY415" i="2"/>
  <c r="AZ415" i="2"/>
  <c r="AY416" i="2"/>
  <c r="AZ416" i="2"/>
  <c r="AZ417" i="2"/>
  <c r="AZ418" i="2"/>
  <c r="AZ419" i="2"/>
  <c r="AZ420" i="2"/>
  <c r="AZ421" i="2"/>
  <c r="AZ422" i="2"/>
  <c r="AZ423" i="2"/>
  <c r="AZ424" i="2"/>
  <c r="AZ425" i="2"/>
  <c r="AZ426" i="2"/>
  <c r="AZ427" i="2"/>
  <c r="AZ428" i="2"/>
  <c r="AZ429" i="2"/>
  <c r="AZ430" i="2"/>
  <c r="AZ431" i="2"/>
  <c r="AZ432" i="2"/>
  <c r="AZ433" i="2"/>
  <c r="AZ434" i="2"/>
  <c r="AZ435" i="2"/>
  <c r="AZ436" i="2"/>
  <c r="AZ437" i="2"/>
  <c r="AZ438" i="2"/>
  <c r="AZ439" i="2"/>
  <c r="AZ440" i="2"/>
  <c r="AZ441" i="2"/>
  <c r="AZ442" i="2"/>
  <c r="AZ443" i="2"/>
  <c r="AZ444" i="2"/>
  <c r="AZ445" i="2"/>
  <c r="AZ446" i="2"/>
  <c r="AZ447" i="2"/>
  <c r="AZ448" i="2"/>
  <c r="AZ449" i="2"/>
  <c r="AZ450" i="2"/>
  <c r="AZ451" i="2"/>
  <c r="AZ452" i="2"/>
  <c r="AZ453" i="2"/>
  <c r="AZ454" i="2"/>
  <c r="AZ455" i="2"/>
  <c r="AZ456" i="2"/>
  <c r="AZ457" i="2"/>
  <c r="AZ458" i="2"/>
  <c r="AZ459" i="2"/>
  <c r="AZ460" i="2"/>
  <c r="AZ461" i="2"/>
  <c r="AZ462" i="2"/>
  <c r="AZ463" i="2"/>
  <c r="AZ464" i="2"/>
  <c r="AZ465" i="2"/>
  <c r="AZ466" i="2"/>
  <c r="AZ467" i="2"/>
  <c r="AZ468" i="2"/>
  <c r="AZ469" i="2"/>
  <c r="AZ470" i="2"/>
  <c r="AZ471" i="2"/>
  <c r="AZ472" i="2"/>
  <c r="AZ473" i="2"/>
  <c r="AZ474" i="2"/>
  <c r="AZ475" i="2"/>
  <c r="AZ476" i="2"/>
  <c r="AZ477" i="2"/>
  <c r="AZ478" i="2"/>
  <c r="AZ479" i="2"/>
  <c r="AZ480" i="2"/>
  <c r="AZ481" i="2"/>
  <c r="AZ482" i="2"/>
  <c r="AZ483" i="2"/>
  <c r="AZ484" i="2"/>
  <c r="AZ485" i="2"/>
  <c r="AZ486" i="2"/>
  <c r="AZ487" i="2"/>
  <c r="AZ488" i="2"/>
  <c r="AZ489" i="2"/>
  <c r="AZ490" i="2"/>
  <c r="AZ491" i="2"/>
  <c r="AZ493" i="2"/>
  <c r="AZ494" i="2"/>
  <c r="AZ495" i="2"/>
  <c r="AZ496" i="2"/>
  <c r="AZ497" i="2"/>
  <c r="AZ498" i="2"/>
  <c r="AZ499" i="2"/>
  <c r="AZ500" i="2"/>
  <c r="AZ501" i="2"/>
  <c r="AZ502" i="2"/>
  <c r="AZ503" i="2"/>
  <c r="AZ504" i="2"/>
  <c r="AZ505" i="2"/>
  <c r="AZ506" i="2"/>
  <c r="AZ507" i="2"/>
  <c r="AZ508" i="2"/>
  <c r="AZ509" i="2"/>
  <c r="AZ510" i="2"/>
  <c r="AZ511" i="2"/>
  <c r="AZ512" i="2"/>
  <c r="AZ513" i="2"/>
  <c r="AZ514" i="2"/>
  <c r="AZ515" i="2"/>
  <c r="AZ516" i="2"/>
  <c r="AZ517" i="2"/>
  <c r="AZ518" i="2"/>
  <c r="AZ519" i="2"/>
  <c r="AZ520" i="2"/>
  <c r="AZ528" i="2"/>
  <c r="AZ529" i="2"/>
  <c r="AZ530" i="2"/>
  <c r="AZ531" i="2"/>
  <c r="AZ532" i="2"/>
  <c r="AY533" i="2"/>
  <c r="AZ533" i="2"/>
  <c r="AZ534" i="2"/>
  <c r="AZ535" i="2"/>
  <c r="AZ536" i="2"/>
  <c r="AZ537" i="2"/>
  <c r="AZ538" i="2"/>
  <c r="AZ539" i="2"/>
  <c r="AY540" i="2"/>
  <c r="AZ540" i="2"/>
  <c r="AZ541" i="2"/>
  <c r="AZ542" i="2"/>
  <c r="AZ543" i="2"/>
  <c r="AZ544" i="2"/>
  <c r="AZ545" i="2"/>
  <c r="AZ546" i="2"/>
  <c r="AZ547" i="2"/>
  <c r="AZ548" i="2"/>
  <c r="AZ549" i="2"/>
  <c r="AZ550" i="2"/>
  <c r="AZ551" i="2"/>
  <c r="AZ552" i="2"/>
  <c r="AZ553" i="2"/>
  <c r="AZ554" i="2"/>
  <c r="AZ555" i="2"/>
  <c r="AZ556" i="2"/>
  <c r="AZ557" i="2"/>
  <c r="AZ558" i="2"/>
  <c r="AZ559" i="2"/>
  <c r="AZ560" i="2"/>
  <c r="AZ561" i="2"/>
  <c r="AZ562" i="2"/>
  <c r="AZ563" i="2"/>
  <c r="AZ564" i="2"/>
  <c r="AZ565" i="2"/>
  <c r="AZ566" i="2"/>
  <c r="AZ567" i="2"/>
  <c r="AZ568" i="2"/>
  <c r="AZ569" i="2"/>
  <c r="AZ570" i="2"/>
  <c r="AZ571" i="2"/>
  <c r="AZ572" i="2"/>
  <c r="AZ573" i="2"/>
  <c r="AZ574" i="2"/>
  <c r="AZ575" i="2"/>
  <c r="AZ576" i="2"/>
  <c r="AZ577" i="2"/>
  <c r="AZ578" i="2"/>
  <c r="AZ579" i="2"/>
  <c r="AZ580" i="2"/>
  <c r="AZ581" i="2"/>
  <c r="AZ582" i="2"/>
  <c r="AZ583" i="2"/>
  <c r="AZ584" i="2"/>
  <c r="AZ585" i="2"/>
  <c r="AZ586" i="2"/>
  <c r="AZ587" i="2"/>
  <c r="AZ588" i="2"/>
  <c r="AZ589" i="2"/>
  <c r="AZ590" i="2"/>
  <c r="AZ591" i="2"/>
  <c r="AZ592" i="2"/>
  <c r="AZ593" i="2"/>
  <c r="AZ594" i="2"/>
  <c r="AZ595" i="2"/>
  <c r="AZ596" i="2"/>
  <c r="AZ597" i="2"/>
  <c r="AZ598" i="2"/>
  <c r="AY599" i="2"/>
  <c r="AZ599" i="2"/>
  <c r="AY600" i="2"/>
  <c r="AZ600" i="2"/>
  <c r="AY601" i="2"/>
  <c r="AZ601" i="2"/>
  <c r="AY602" i="2"/>
  <c r="AZ602" i="2"/>
  <c r="AZ603" i="2"/>
  <c r="AZ604" i="2"/>
  <c r="AY605" i="2"/>
  <c r="AZ605" i="2"/>
  <c r="AY606" i="2"/>
  <c r="AZ606" i="2"/>
  <c r="AZ607" i="2"/>
  <c r="AZ608" i="2"/>
  <c r="AZ609" i="2"/>
  <c r="AZ610" i="2"/>
  <c r="AZ611" i="2"/>
  <c r="AZ612" i="2"/>
  <c r="AZ613" i="2"/>
  <c r="AZ614" i="2"/>
  <c r="AZ615" i="2"/>
  <c r="AZ616" i="2"/>
  <c r="AZ617" i="2"/>
  <c r="AZ618" i="2"/>
  <c r="AZ619" i="2"/>
  <c r="AZ620" i="2"/>
  <c r="AZ621" i="2"/>
  <c r="AZ622" i="2"/>
  <c r="AZ623" i="2"/>
  <c r="AZ624" i="2"/>
  <c r="AZ625" i="2"/>
  <c r="AZ626" i="2"/>
  <c r="AZ627" i="2"/>
  <c r="AZ628" i="2"/>
  <c r="AZ629" i="2"/>
  <c r="AZ630" i="2"/>
  <c r="AZ631" i="2"/>
  <c r="AZ632" i="2"/>
  <c r="AZ633" i="2"/>
  <c r="AZ634" i="2"/>
  <c r="AZ635" i="2"/>
  <c r="AZ636" i="2"/>
  <c r="AZ637" i="2"/>
  <c r="AZ638" i="2"/>
  <c r="AZ639" i="2"/>
  <c r="AZ640" i="2"/>
  <c r="AZ641" i="2"/>
  <c r="AZ642" i="2"/>
  <c r="AZ643" i="2"/>
  <c r="AZ644" i="2"/>
  <c r="AZ645" i="2"/>
  <c r="AZ646" i="2"/>
  <c r="AZ647" i="2"/>
  <c r="AZ648" i="2"/>
  <c r="AZ649" i="2"/>
  <c r="AZ650" i="2"/>
  <c r="AZ651" i="2"/>
  <c r="AZ652" i="2"/>
  <c r="AZ653" i="2"/>
  <c r="AZ654" i="2"/>
  <c r="AZ655" i="2"/>
  <c r="AZ656" i="2"/>
  <c r="AZ657" i="2"/>
  <c r="AZ658" i="2"/>
  <c r="AZ659" i="2"/>
  <c r="AZ660" i="2"/>
  <c r="AZ661" i="2"/>
  <c r="AY662" i="2"/>
  <c r="AZ662" i="2"/>
  <c r="AZ663" i="2"/>
  <c r="AZ664" i="2"/>
  <c r="AZ665" i="2"/>
  <c r="AZ666" i="2"/>
  <c r="AZ667" i="2"/>
  <c r="AZ668" i="2"/>
  <c r="AZ669" i="2"/>
  <c r="AZ670" i="2"/>
  <c r="AZ671" i="2"/>
  <c r="AZ672" i="2"/>
  <c r="AZ673" i="2"/>
  <c r="AZ674" i="2"/>
  <c r="AZ675" i="2"/>
  <c r="AZ676" i="2"/>
  <c r="AZ677" i="2"/>
  <c r="AZ678" i="2"/>
  <c r="AZ679" i="2"/>
  <c r="AZ680" i="2"/>
  <c r="AZ681" i="2"/>
  <c r="AZ682" i="2"/>
  <c r="AZ683" i="2"/>
  <c r="AZ684" i="2"/>
  <c r="AZ685" i="2"/>
  <c r="AZ686" i="2"/>
  <c r="AZ687" i="2"/>
  <c r="AZ688" i="2"/>
  <c r="AZ689" i="2"/>
  <c r="AZ690" i="2"/>
  <c r="AZ691" i="2"/>
  <c r="AZ692" i="2"/>
  <c r="AZ693" i="2"/>
  <c r="AZ694" i="2"/>
  <c r="AZ695" i="2"/>
  <c r="AZ696" i="2"/>
  <c r="AZ697" i="2"/>
  <c r="AZ698" i="2"/>
  <c r="AZ699" i="2"/>
  <c r="AZ700" i="2"/>
  <c r="AZ701" i="2"/>
  <c r="AZ702" i="2"/>
  <c r="AZ703" i="2"/>
  <c r="AZ704" i="2"/>
  <c r="AZ705" i="2"/>
  <c r="AZ706" i="2"/>
  <c r="AZ707" i="2"/>
  <c r="AZ708" i="2"/>
  <c r="AZ709" i="2"/>
  <c r="AZ710" i="2"/>
  <c r="AZ711" i="2"/>
  <c r="AZ712" i="2"/>
  <c r="AZ713" i="2"/>
  <c r="AZ714" i="2"/>
  <c r="AZ715" i="2"/>
  <c r="AZ716" i="2"/>
  <c r="AZ717" i="2"/>
  <c r="AZ718" i="2"/>
  <c r="AZ719" i="2"/>
  <c r="AZ720" i="2"/>
  <c r="AZ721" i="2"/>
  <c r="AZ722" i="2"/>
  <c r="AZ723" i="2"/>
  <c r="AZ724" i="2"/>
  <c r="AZ725" i="2"/>
  <c r="AZ726" i="2"/>
  <c r="AZ727" i="2"/>
  <c r="AZ728" i="2"/>
  <c r="AZ729" i="2"/>
  <c r="AZ730" i="2"/>
  <c r="AZ731" i="2"/>
  <c r="AZ732" i="2"/>
  <c r="AZ733" i="2"/>
  <c r="AZ734" i="2"/>
  <c r="AZ735" i="2"/>
  <c r="AZ736" i="2"/>
  <c r="AZ737" i="2"/>
  <c r="AZ738" i="2"/>
  <c r="AZ739" i="2"/>
  <c r="AZ740" i="2"/>
  <c r="AZ741" i="2"/>
  <c r="AZ742" i="2"/>
  <c r="AZ743" i="2"/>
  <c r="AZ744" i="2"/>
  <c r="AZ745" i="2"/>
  <c r="AZ746" i="2"/>
  <c r="AZ747" i="2"/>
  <c r="AZ748" i="2"/>
  <c r="AZ749" i="2"/>
  <c r="AZ750" i="2"/>
  <c r="AZ751" i="2"/>
  <c r="AZ752" i="2"/>
  <c r="AZ753" i="2"/>
  <c r="AY754" i="2"/>
  <c r="AZ754" i="2"/>
  <c r="AZ755" i="2"/>
  <c r="AZ756" i="2"/>
  <c r="AZ757" i="2"/>
  <c r="AZ758" i="2"/>
  <c r="AZ759" i="2"/>
  <c r="AZ760" i="2"/>
  <c r="AZ761" i="2"/>
  <c r="AZ762" i="2"/>
  <c r="AZ763" i="2"/>
  <c r="AZ764" i="2"/>
  <c r="AZ765" i="2"/>
  <c r="AZ766" i="2"/>
  <c r="AZ767" i="2"/>
  <c r="AZ768" i="2"/>
  <c r="AZ769" i="2"/>
  <c r="AY770" i="2"/>
  <c r="AZ770" i="2"/>
  <c r="AY771" i="2"/>
  <c r="AZ771" i="2"/>
  <c r="AZ772" i="2"/>
  <c r="AZ773" i="2"/>
  <c r="AZ774" i="2"/>
  <c r="AZ775" i="2"/>
  <c r="AZ776" i="2"/>
  <c r="AZ777" i="2"/>
  <c r="AZ778" i="2"/>
  <c r="AZ779" i="2"/>
  <c r="AZ780" i="2"/>
  <c r="AZ781" i="2"/>
  <c r="AZ782" i="2"/>
  <c r="AZ783" i="2"/>
  <c r="AZ784" i="2"/>
  <c r="AZ785" i="2"/>
  <c r="AZ786" i="2"/>
  <c r="AZ787" i="2"/>
  <c r="AZ788" i="2"/>
  <c r="AZ789" i="2"/>
  <c r="AZ790" i="2"/>
  <c r="AZ791" i="2"/>
  <c r="AZ792" i="2"/>
  <c r="AZ793" i="2"/>
  <c r="AZ794" i="2"/>
  <c r="AZ795" i="2"/>
  <c r="AZ796" i="2"/>
  <c r="AZ797" i="2"/>
  <c r="AZ798" i="2"/>
  <c r="AZ799" i="2"/>
  <c r="AZ800" i="2"/>
  <c r="AZ801" i="2"/>
  <c r="AZ802" i="2"/>
  <c r="AZ803" i="2"/>
  <c r="AZ804" i="2"/>
  <c r="AZ805" i="2"/>
  <c r="AY806" i="2"/>
  <c r="AZ806" i="2"/>
  <c r="AZ807" i="2"/>
  <c r="AZ808" i="2"/>
  <c r="AZ810" i="2"/>
  <c r="AZ811" i="2"/>
  <c r="AZ812" i="2"/>
  <c r="AZ813" i="2"/>
  <c r="AY814" i="2"/>
  <c r="AZ814" i="2"/>
  <c r="AY815" i="2"/>
  <c r="AZ815" i="2"/>
  <c r="AY816" i="2"/>
  <c r="AZ816" i="2"/>
  <c r="AY817" i="2"/>
  <c r="AZ817" i="2"/>
  <c r="AY818" i="2"/>
  <c r="AZ818" i="2"/>
  <c r="AY819" i="2"/>
  <c r="AZ819" i="2"/>
  <c r="AY820" i="2"/>
  <c r="AZ820" i="2"/>
  <c r="AY821" i="2"/>
  <c r="AZ821" i="2"/>
  <c r="AY822" i="2"/>
  <c r="AZ822" i="2"/>
  <c r="AY823" i="2"/>
  <c r="AZ823" i="2"/>
  <c r="AY824" i="2"/>
  <c r="AZ824" i="2"/>
  <c r="AY825" i="2"/>
  <c r="AZ825" i="2"/>
  <c r="AY826" i="2"/>
  <c r="AZ826" i="2"/>
  <c r="AZ827" i="2"/>
  <c r="AZ828" i="2"/>
  <c r="AZ829" i="2"/>
  <c r="AZ830" i="2"/>
  <c r="AZ831" i="2"/>
  <c r="AZ832" i="2"/>
  <c r="AZ833" i="2"/>
  <c r="AZ835" i="2"/>
  <c r="AZ836" i="2"/>
  <c r="AZ837" i="2"/>
  <c r="AZ838" i="2"/>
  <c r="AZ840" i="2"/>
  <c r="AZ841" i="2"/>
  <c r="AZ842" i="2"/>
  <c r="AZ843" i="2"/>
  <c r="AZ844" i="2"/>
  <c r="AZ845" i="2"/>
  <c r="AZ846" i="2"/>
  <c r="AZ847" i="2"/>
  <c r="AZ850" i="2"/>
  <c r="AZ851" i="2"/>
  <c r="AZ852" i="2"/>
  <c r="AZ853" i="2"/>
  <c r="AZ854" i="2"/>
  <c r="AY855" i="2"/>
  <c r="AZ855" i="2"/>
  <c r="AZ856" i="2"/>
  <c r="AZ857" i="2"/>
  <c r="AZ858" i="2"/>
  <c r="AZ859" i="2"/>
  <c r="AZ860" i="2"/>
  <c r="AZ861" i="2"/>
  <c r="AZ862" i="2"/>
  <c r="AZ863" i="2"/>
  <c r="AZ864" i="2"/>
  <c r="AZ865" i="2"/>
  <c r="AZ866" i="2"/>
  <c r="AZ867" i="2"/>
  <c r="AZ868" i="2"/>
  <c r="AZ869" i="2"/>
  <c r="AZ870" i="2"/>
  <c r="AZ871" i="2"/>
  <c r="AZ872" i="2"/>
  <c r="AZ873" i="2"/>
  <c r="AZ874" i="2"/>
  <c r="AZ875" i="2"/>
  <c r="AZ876" i="2"/>
  <c r="AZ877" i="2"/>
  <c r="AZ878" i="2"/>
  <c r="AZ879" i="2"/>
  <c r="AZ880" i="2"/>
  <c r="AZ881" i="2"/>
  <c r="AZ882" i="2"/>
  <c r="AZ884" i="2"/>
  <c r="AZ885" i="2"/>
  <c r="AZ886" i="2"/>
  <c r="AZ887" i="2"/>
  <c r="AZ888" i="2"/>
  <c r="AZ889" i="2"/>
  <c r="AZ890" i="2"/>
  <c r="AZ891" i="2"/>
  <c r="AZ892" i="2"/>
  <c r="AZ893" i="2"/>
  <c r="AZ894" i="2"/>
  <c r="AZ895" i="2"/>
  <c r="AZ897" i="2"/>
  <c r="AZ898" i="2"/>
  <c r="AZ899" i="2"/>
  <c r="AZ900" i="2"/>
  <c r="AZ901" i="2"/>
  <c r="AZ902" i="2"/>
  <c r="AZ903" i="2"/>
  <c r="AZ904" i="2"/>
  <c r="AZ905" i="2"/>
  <c r="AZ906" i="2"/>
  <c r="AZ907" i="2"/>
  <c r="AZ908" i="2"/>
  <c r="AZ909" i="2"/>
  <c r="AZ910" i="2"/>
  <c r="AZ911" i="2"/>
  <c r="AZ912" i="2"/>
  <c r="AZ913" i="2"/>
  <c r="AZ914" i="2"/>
  <c r="AZ915" i="2"/>
  <c r="AY916" i="2"/>
  <c r="AZ916" i="2"/>
  <c r="AZ917" i="2"/>
  <c r="AZ918" i="2"/>
  <c r="AZ919" i="2"/>
  <c r="AZ920" i="2"/>
  <c r="AZ921" i="2"/>
  <c r="AZ922" i="2"/>
  <c r="AZ923" i="2"/>
  <c r="AZ925" i="2"/>
  <c r="AZ926" i="2"/>
  <c r="AZ927" i="2"/>
  <c r="AZ928" i="2"/>
  <c r="AZ930" i="2"/>
  <c r="AZ931" i="2"/>
  <c r="AZ932" i="2"/>
  <c r="AZ933" i="2"/>
  <c r="AZ934" i="2"/>
  <c r="AZ935" i="2"/>
  <c r="AZ936" i="2"/>
  <c r="AZ937" i="2"/>
  <c r="AZ938" i="2"/>
  <c r="AZ939" i="2"/>
  <c r="AZ940" i="2"/>
  <c r="AZ941" i="2"/>
  <c r="AZ942" i="2"/>
  <c r="AZ943" i="2"/>
  <c r="AZ944" i="2"/>
  <c r="AZ945" i="2"/>
  <c r="AZ946" i="2"/>
  <c r="AZ947" i="2"/>
  <c r="AZ948" i="2"/>
  <c r="AZ949" i="2"/>
  <c r="AZ951" i="2"/>
  <c r="AZ952" i="2"/>
  <c r="AZ953" i="2"/>
  <c r="AZ954" i="2"/>
  <c r="AZ955" i="2"/>
  <c r="AZ956" i="2"/>
  <c r="AZ957" i="2"/>
  <c r="AZ958" i="2"/>
  <c r="AZ959" i="2"/>
  <c r="AZ961" i="2"/>
  <c r="AZ962" i="2"/>
  <c r="AZ963" i="2"/>
  <c r="AZ964" i="2"/>
  <c r="AZ965" i="2"/>
  <c r="AZ966" i="2"/>
  <c r="AY968" i="2"/>
  <c r="AZ968" i="2"/>
  <c r="AZ969" i="2"/>
  <c r="AZ970" i="2"/>
  <c r="AZ971" i="2"/>
  <c r="AZ972" i="2"/>
  <c r="AZ974" i="2"/>
  <c r="AZ975" i="2"/>
  <c r="AZ976" i="2"/>
  <c r="AZ977" i="2"/>
  <c r="AZ978" i="2"/>
  <c r="AZ979" i="2"/>
  <c r="AZ981" i="2"/>
  <c r="AZ982" i="2"/>
  <c r="AZ983" i="2"/>
  <c r="AZ984" i="2"/>
  <c r="AZ985" i="2"/>
  <c r="AZ986" i="2"/>
  <c r="AZ987" i="2"/>
  <c r="AZ988" i="2"/>
  <c r="AZ989" i="2"/>
  <c r="AZ990" i="2"/>
  <c r="AY991" i="2"/>
  <c r="AZ991" i="2"/>
  <c r="AZ992" i="2"/>
  <c r="AZ993" i="2"/>
  <c r="AZ994" i="2"/>
  <c r="AZ995" i="2"/>
  <c r="AZ996" i="2"/>
  <c r="AZ997" i="2"/>
  <c r="AZ999" i="2"/>
  <c r="AZ1000" i="2"/>
  <c r="AZ1001" i="2"/>
  <c r="AZ1002" i="2"/>
  <c r="AZ1004" i="2"/>
  <c r="AZ1005" i="2"/>
  <c r="AZ1007" i="2"/>
  <c r="AZ1008" i="2"/>
  <c r="AZ1009" i="2"/>
  <c r="AZ1010" i="2"/>
  <c r="AZ1011" i="2"/>
  <c r="AZ1012" i="2"/>
  <c r="AZ1013" i="2"/>
  <c r="AZ1014" i="2"/>
  <c r="AZ1015" i="2"/>
  <c r="AZ1016" i="2"/>
  <c r="AZ1017" i="2"/>
  <c r="AZ1018" i="2"/>
  <c r="AZ1019" i="2"/>
  <c r="AZ1020" i="2"/>
  <c r="AZ1021" i="2"/>
  <c r="AZ1022" i="2"/>
  <c r="AZ1023" i="2"/>
  <c r="AZ1024" i="2"/>
  <c r="AZ1025" i="2"/>
  <c r="AY1026" i="2"/>
  <c r="AZ1026" i="2"/>
  <c r="AY1027" i="2"/>
  <c r="AZ1027" i="2"/>
  <c r="AY1028" i="2"/>
  <c r="AZ1028" i="2"/>
  <c r="AY1029" i="2"/>
  <c r="AZ1029" i="2"/>
  <c r="AY1030" i="2"/>
  <c r="AZ1030" i="2"/>
  <c r="AY1031" i="2"/>
  <c r="AZ1031" i="2"/>
  <c r="AZ1032" i="2"/>
  <c r="AZ1033" i="2"/>
  <c r="AZ1034" i="2"/>
  <c r="AZ1035" i="2"/>
  <c r="AZ1036" i="2"/>
  <c r="AZ1037" i="2"/>
  <c r="AY1038" i="2"/>
  <c r="AZ1038" i="2"/>
  <c r="AZ1039" i="2"/>
  <c r="AY1040" i="2"/>
  <c r="AZ1040" i="2"/>
  <c r="AZ1041" i="2"/>
  <c r="AZ1044" i="2"/>
  <c r="AZ1045" i="2"/>
  <c r="AZ1046" i="2"/>
  <c r="AZ1047" i="2"/>
  <c r="AZ1048" i="2"/>
  <c r="AZ1049" i="2"/>
  <c r="AZ1050" i="2"/>
  <c r="AZ1051" i="2"/>
  <c r="AY1052" i="2"/>
  <c r="AZ1052" i="2"/>
  <c r="AZ1053" i="2"/>
  <c r="AZ1054" i="2"/>
  <c r="AZ1055" i="2"/>
  <c r="AZ1056" i="2"/>
  <c r="AZ1057" i="2"/>
  <c r="AZ1058" i="2"/>
  <c r="AZ1059" i="2"/>
  <c r="AZ1060" i="2"/>
  <c r="AZ1061" i="2"/>
  <c r="AZ1062" i="2"/>
  <c r="C1" i="1"/>
  <c r="N4" i="1"/>
  <c r="P4" i="1"/>
  <c r="N8" i="1"/>
  <c r="I12" i="1"/>
  <c r="I13" i="1"/>
  <c r="O13" i="1"/>
  <c r="D52" i="1"/>
  <c r="I16" i="1"/>
  <c r="O16" i="1"/>
  <c r="D32" i="1"/>
  <c r="J52" i="1"/>
  <c r="D36" i="1"/>
  <c r="J36" i="1"/>
  <c r="J53" i="1"/>
  <c r="D40" i="1"/>
  <c r="L45" i="1"/>
  <c r="F46" i="1"/>
  <c r="F47" i="1"/>
  <c r="AZ1128" i="2"/>
  <c r="AZ973" i="2"/>
  <c r="AZ1596" i="2"/>
  <c r="AZ17" i="2"/>
  <c r="P52" i="1"/>
  <c r="P53" i="1"/>
  <c r="AY5" i="2"/>
</calcChain>
</file>

<file path=xl/comments1.xml><?xml version="1.0" encoding="utf-8"?>
<comments xmlns="http://schemas.openxmlformats.org/spreadsheetml/2006/main">
  <authors>
    <author>Masashi.Moritani</author>
  </authors>
  <commentList>
    <comment ref="D3" authorId="0" shapeId="0">
      <text>
        <r>
          <rPr>
            <sz val="8"/>
            <color indexed="81"/>
            <rFont val="ＭＳ Ｐゴシック"/>
            <family val="3"/>
            <charset val="128"/>
          </rPr>
          <t>SSTS区分を入力</t>
        </r>
      </text>
    </comment>
    <comment ref="D5" authorId="0" shapeId="0">
      <text>
        <r>
          <rPr>
            <sz val="8"/>
            <color indexed="81"/>
            <rFont val="ＭＳ Ｐゴシック"/>
            <family val="3"/>
            <charset val="128"/>
          </rPr>
          <t>B&amp;Mの○期を入力</t>
        </r>
      </text>
    </comment>
    <comment ref="E5" authorId="0" shapeId="0">
      <text>
        <r>
          <rPr>
            <sz val="8"/>
            <color indexed="81"/>
            <rFont val="ＭＳ Ｐゴシック"/>
            <family val="3"/>
            <charset val="128"/>
          </rPr>
          <t xml:space="preserve">A　PHC新店舗工事施工業務
B　PHC新店舗工事オープン対応業務
C　HSC新店舗工事施工業務
D　HSC新店舗工事オープン対応業務
E　ドアセンサー取付
F　HSC金庫オープン工事施工業務
G　MDV
H　情報端末機
I　ロッカー監視システム
J
K　改造工事
L　保守作業
Y　保守受付業務
Z　その他
</t>
        </r>
      </text>
    </comment>
    <comment ref="F5" authorId="0" shapeId="0">
      <text>
        <r>
          <rPr>
            <sz val="8"/>
            <color indexed="81"/>
            <rFont val="ＭＳ Ｐゴシック"/>
            <family val="3"/>
            <charset val="128"/>
          </rPr>
          <t>受注月度を入力</t>
        </r>
      </text>
    </comment>
    <comment ref="G5" authorId="0" shapeId="0">
      <text>
        <r>
          <rPr>
            <sz val="8"/>
            <color indexed="81"/>
            <rFont val="ＭＳ Ｐゴシック"/>
            <family val="3"/>
            <charset val="128"/>
          </rPr>
          <t>期始めより、0001～連番であること。</t>
        </r>
      </text>
    </comment>
    <comment ref="D22" authorId="0" shapeId="0">
      <text>
        <r>
          <rPr>
            <sz val="8"/>
            <color indexed="81"/>
            <rFont val="ＭＳ Ｐゴシック"/>
            <family val="3"/>
            <charset val="128"/>
          </rPr>
          <t>種類
YRECM-
YSECM-</t>
        </r>
      </text>
    </comment>
    <comment ref="D30" authorId="0" shapeId="0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4" authorId="0" shapeId="0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8" authorId="0" shapeId="0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</commentList>
</comments>
</file>

<file path=xl/comments2.xml><?xml version="1.0" encoding="utf-8"?>
<comments xmlns="http://schemas.openxmlformats.org/spreadsheetml/2006/main">
  <authors>
    <author>Masashi.Moritani</author>
  </authors>
  <commentList>
    <comment ref="D3" authorId="0" shapeId="0">
      <text>
        <r>
          <rPr>
            <sz val="8"/>
            <color indexed="81"/>
            <rFont val="ＭＳ Ｐゴシック"/>
            <family val="3"/>
            <charset val="128"/>
          </rPr>
          <t>SSTS区分を入力</t>
        </r>
      </text>
    </comment>
    <comment ref="D5" authorId="0" shapeId="0">
      <text>
        <r>
          <rPr>
            <sz val="8"/>
            <color indexed="81"/>
            <rFont val="ＭＳ Ｐゴシック"/>
            <family val="3"/>
            <charset val="128"/>
          </rPr>
          <t>B&amp;Mの○期を入力</t>
        </r>
      </text>
    </comment>
    <comment ref="E5" authorId="0" shapeId="0">
      <text>
        <r>
          <rPr>
            <sz val="8"/>
            <color indexed="81"/>
            <rFont val="ＭＳ Ｐゴシック"/>
            <family val="3"/>
            <charset val="128"/>
          </rPr>
          <t xml:space="preserve">A　PHC新店舗工事施工業務
B　PHC新店舗工事オープン対応業務
C　HSC新店舗工事施工業務
D　HSC新店舗工事オープン対応業務
E　ドアセンサー取付
F　HSC金庫オープン工事施工業務
G　MDV
H　情報端末機
I　ロッカー監視システム
J
K　改造工事
L　保守作業
Y　保守受付業務
Z　その他
</t>
        </r>
      </text>
    </comment>
    <comment ref="F5" authorId="0" shapeId="0">
      <text>
        <r>
          <rPr>
            <sz val="8"/>
            <color indexed="81"/>
            <rFont val="ＭＳ Ｐゴシック"/>
            <family val="3"/>
            <charset val="128"/>
          </rPr>
          <t>受注月度を入力</t>
        </r>
      </text>
    </comment>
    <comment ref="G5" authorId="0" shapeId="0">
      <text>
        <r>
          <rPr>
            <sz val="8"/>
            <color indexed="81"/>
            <rFont val="ＭＳ Ｐゴシック"/>
            <family val="3"/>
            <charset val="128"/>
          </rPr>
          <t>期始めより、0001～連番であること。</t>
        </r>
      </text>
    </comment>
    <comment ref="D22" authorId="0" shapeId="0">
      <text>
        <r>
          <rPr>
            <sz val="8"/>
            <color indexed="81"/>
            <rFont val="ＭＳ Ｐゴシック"/>
            <family val="3"/>
            <charset val="128"/>
          </rPr>
          <t>種類
YRECM-
YSECM-</t>
        </r>
      </text>
    </comment>
    <comment ref="D30" authorId="0" shapeId="0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4" authorId="0" shapeId="0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8" authorId="0" shapeId="0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</commentList>
</comments>
</file>

<file path=xl/comments3.xml><?xml version="1.0" encoding="utf-8"?>
<comments xmlns="http://schemas.openxmlformats.org/spreadsheetml/2006/main">
  <authors>
    <author>Masashi.Moritani</author>
  </authors>
  <commentList>
    <comment ref="D5" authorId="0" shapeId="0">
      <text>
        <r>
          <rPr>
            <sz val="8"/>
            <color indexed="81"/>
            <rFont val="ＭＳ Ｐゴシック"/>
            <family val="3"/>
            <charset val="128"/>
          </rPr>
          <t>B&amp;Mの○期を入力</t>
        </r>
      </text>
    </comment>
    <comment ref="E5" authorId="0" shapeId="0">
      <text>
        <r>
          <rPr>
            <sz val="8"/>
            <color indexed="81"/>
            <rFont val="ＭＳ Ｐゴシック"/>
            <family val="3"/>
            <charset val="128"/>
          </rPr>
          <t xml:space="preserve">A　PHC新店舗工事施工業務
B　PHC新店舗工事オープン対応業務
C　HSC新店舗工事施工業務
D　HSC新店舗工事オープン対応業務
E　ドアセンサー取付
F　HSC金庫オープン工事施工業務
G　MDV
H　情報端末機
I　ロッカー監視システム
J
K　改造工事
L　保守作業
Y　保守受付業務
Z　その他
</t>
        </r>
      </text>
    </comment>
    <comment ref="F5" authorId="0" shapeId="0">
      <text>
        <r>
          <rPr>
            <sz val="8"/>
            <color indexed="81"/>
            <rFont val="ＭＳ Ｐゴシック"/>
            <family val="3"/>
            <charset val="128"/>
          </rPr>
          <t>受注月度を入力</t>
        </r>
      </text>
    </comment>
    <comment ref="G5" authorId="0" shapeId="0">
      <text>
        <r>
          <rPr>
            <sz val="8"/>
            <color indexed="81"/>
            <rFont val="ＭＳ Ｐゴシック"/>
            <family val="3"/>
            <charset val="128"/>
          </rPr>
          <t>期始めより、0001～連番であること。</t>
        </r>
      </text>
    </comment>
    <comment ref="J5" authorId="0" shapeId="0">
      <text>
        <r>
          <rPr>
            <sz val="8"/>
            <color indexed="81"/>
            <rFont val="ＭＳ Ｐゴシック"/>
            <family val="3"/>
            <charset val="128"/>
          </rPr>
          <t>SSTS区分を入力</t>
        </r>
      </text>
    </comment>
    <comment ref="D22" authorId="0" shapeId="0">
      <text>
        <r>
          <rPr>
            <sz val="8"/>
            <color indexed="81"/>
            <rFont val="ＭＳ Ｐゴシック"/>
            <family val="3"/>
            <charset val="128"/>
          </rPr>
          <t>種類
YRECM-
YSECM-</t>
        </r>
      </text>
    </comment>
    <comment ref="D30" authorId="0" shapeId="0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4" authorId="0" shapeId="0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8" authorId="0" shapeId="0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</commentList>
</comments>
</file>

<file path=xl/sharedStrings.xml><?xml version="1.0" encoding="utf-8"?>
<sst xmlns="http://schemas.openxmlformats.org/spreadsheetml/2006/main" count="24810" uniqueCount="5277">
  <si>
    <t>確認欄</t>
    <rPh sb="0" eb="2">
      <t>カクニン</t>
    </rPh>
    <rPh sb="2" eb="3">
      <t>ラン</t>
    </rPh>
    <phoneticPr fontId="2"/>
  </si>
  <si>
    <t>消費税</t>
    <rPh sb="0" eb="3">
      <t>ショウヒゼイ</t>
    </rPh>
    <phoneticPr fontId="2"/>
  </si>
  <si>
    <t>AO</t>
    <phoneticPr fontId="2"/>
  </si>
  <si>
    <t>AW</t>
    <phoneticPr fontId="2"/>
  </si>
  <si>
    <t>提出期日</t>
    <rPh sb="0" eb="2">
      <t>テイシュツ</t>
    </rPh>
    <rPh sb="2" eb="4">
      <t>キジツ</t>
    </rPh>
    <phoneticPr fontId="2"/>
  </si>
  <si>
    <t>提出者</t>
    <rPh sb="0" eb="2">
      <t>テイシュツ</t>
    </rPh>
    <rPh sb="2" eb="3">
      <t>シャ</t>
    </rPh>
    <phoneticPr fontId="2"/>
  </si>
  <si>
    <t>L</t>
    <phoneticPr fontId="2"/>
  </si>
  <si>
    <t>T</t>
    <phoneticPr fontId="2"/>
  </si>
  <si>
    <t>配信日</t>
    <rPh sb="0" eb="2">
      <t>ハイシン</t>
    </rPh>
    <rPh sb="2" eb="3">
      <t>ヒ</t>
    </rPh>
    <phoneticPr fontId="2"/>
  </si>
  <si>
    <t>期日</t>
    <rPh sb="0" eb="2">
      <t>キジツ</t>
    </rPh>
    <phoneticPr fontId="2"/>
  </si>
  <si>
    <t>外注先（1）</t>
    <rPh sb="0" eb="3">
      <t>ガイチュウサキ</t>
    </rPh>
    <phoneticPr fontId="2"/>
  </si>
  <si>
    <t>S金庫</t>
    <rPh sb="1" eb="3">
      <t>キンコ</t>
    </rPh>
    <phoneticPr fontId="2"/>
  </si>
  <si>
    <t>男子</t>
    <rPh sb="0" eb="2">
      <t>ダンシ</t>
    </rPh>
    <phoneticPr fontId="2"/>
  </si>
  <si>
    <t>車輌交通費</t>
    <rPh sb="0" eb="2">
      <t>シャリョウ</t>
    </rPh>
    <rPh sb="2" eb="4">
      <t>コウツウ</t>
    </rPh>
    <rPh sb="4" eb="5">
      <t>ヒ</t>
    </rPh>
    <phoneticPr fontId="2"/>
  </si>
  <si>
    <t>レイシステム</t>
    <phoneticPr fontId="2"/>
  </si>
  <si>
    <t>≫工数</t>
    <rPh sb="1" eb="3">
      <t>コウスウ</t>
    </rPh>
    <phoneticPr fontId="2"/>
  </si>
  <si>
    <t>旅費交通費／材料費</t>
    <rPh sb="0" eb="2">
      <t>リョヒ</t>
    </rPh>
    <rPh sb="2" eb="4">
      <t>コウツウ</t>
    </rPh>
    <rPh sb="4" eb="5">
      <t>ヒ</t>
    </rPh>
    <rPh sb="6" eb="8">
      <t>ザイリョウ</t>
    </rPh>
    <rPh sb="8" eb="9">
      <t>ヒ</t>
    </rPh>
    <phoneticPr fontId="2"/>
  </si>
  <si>
    <t>3.キャンセル</t>
    <phoneticPr fontId="2"/>
  </si>
  <si>
    <t>納品書提出</t>
    <rPh sb="0" eb="3">
      <t>ノウヒンショ</t>
    </rPh>
    <rPh sb="3" eb="5">
      <t>テイシュツ</t>
    </rPh>
    <phoneticPr fontId="2"/>
  </si>
  <si>
    <t>売上金額</t>
    <rPh sb="0" eb="2">
      <t>ウリアゲ</t>
    </rPh>
    <rPh sb="2" eb="4">
      <t>キンガク</t>
    </rPh>
    <phoneticPr fontId="2"/>
  </si>
  <si>
    <t>検収日</t>
    <rPh sb="0" eb="2">
      <t>ケンシュウ</t>
    </rPh>
    <rPh sb="2" eb="3">
      <t>ヒ</t>
    </rPh>
    <phoneticPr fontId="2"/>
  </si>
  <si>
    <t>税込み</t>
    <rPh sb="0" eb="2">
      <t>ゼイコ</t>
    </rPh>
    <phoneticPr fontId="2"/>
  </si>
  <si>
    <t>引渡報告書</t>
    <rPh sb="0" eb="1">
      <t>ヒ</t>
    </rPh>
    <rPh sb="1" eb="2">
      <t>ワタ</t>
    </rPh>
    <rPh sb="2" eb="4">
      <t>ホウコク</t>
    </rPh>
    <rPh sb="4" eb="5">
      <t>ショ</t>
    </rPh>
    <phoneticPr fontId="2"/>
  </si>
  <si>
    <t>島金庫数</t>
    <rPh sb="0" eb="3">
      <t>シマキンコ</t>
    </rPh>
    <rPh sb="3" eb="4">
      <t>スウ</t>
    </rPh>
    <phoneticPr fontId="2"/>
  </si>
  <si>
    <t>E</t>
    <phoneticPr fontId="2"/>
  </si>
  <si>
    <t>粗利（金額）</t>
    <rPh sb="0" eb="1">
      <t>アラ</t>
    </rPh>
    <rPh sb="1" eb="2">
      <t>リ</t>
    </rPh>
    <rPh sb="3" eb="5">
      <t>キンガク</t>
    </rPh>
    <phoneticPr fontId="2"/>
  </si>
  <si>
    <t>K</t>
    <phoneticPr fontId="2"/>
  </si>
  <si>
    <t>合計</t>
    <rPh sb="0" eb="2">
      <t>ゴウケイ</t>
    </rPh>
    <phoneticPr fontId="2"/>
  </si>
  <si>
    <t>E</t>
    <phoneticPr fontId="2"/>
  </si>
  <si>
    <t>F</t>
    <phoneticPr fontId="2"/>
  </si>
  <si>
    <t>AE</t>
    <phoneticPr fontId="2"/>
  </si>
  <si>
    <t>初版(0)</t>
    <rPh sb="0" eb="2">
      <t>ショハン</t>
    </rPh>
    <phoneticPr fontId="2"/>
  </si>
  <si>
    <t>※2_運送</t>
    <rPh sb="3" eb="5">
      <t>ウンソウ</t>
    </rPh>
    <phoneticPr fontId="2"/>
  </si>
  <si>
    <t>※3_その他</t>
    <rPh sb="5" eb="6">
      <t>タ</t>
    </rPh>
    <phoneticPr fontId="2"/>
  </si>
  <si>
    <t>見積依頼№</t>
    <rPh sb="0" eb="2">
      <t>ミツモリ</t>
    </rPh>
    <rPh sb="2" eb="4">
      <t>イライ</t>
    </rPh>
    <phoneticPr fontId="2"/>
  </si>
  <si>
    <t>谷</t>
    <rPh sb="0" eb="1">
      <t>タニ</t>
    </rPh>
    <phoneticPr fontId="2"/>
  </si>
  <si>
    <t>状態</t>
    <rPh sb="0" eb="2">
      <t>ジョウタイ</t>
    </rPh>
    <phoneticPr fontId="2"/>
  </si>
  <si>
    <t>納品書</t>
    <rPh sb="0" eb="2">
      <t>ノウヒン</t>
    </rPh>
    <rPh sb="2" eb="3">
      <t>ショ</t>
    </rPh>
    <phoneticPr fontId="2"/>
  </si>
  <si>
    <t>B</t>
    <phoneticPr fontId="2"/>
  </si>
  <si>
    <t>AI</t>
    <phoneticPr fontId="2"/>
  </si>
  <si>
    <t>01</t>
    <phoneticPr fontId="2"/>
  </si>
  <si>
    <t>受注情報</t>
    <rPh sb="0" eb="2">
      <t>ジュチュウ</t>
    </rPh>
    <rPh sb="2" eb="4">
      <t>ジョウホウ</t>
    </rPh>
    <phoneticPr fontId="2"/>
  </si>
  <si>
    <t>工事名称</t>
    <rPh sb="0" eb="2">
      <t>コウジ</t>
    </rPh>
    <rPh sb="2" eb="4">
      <t>メイショウ</t>
    </rPh>
    <phoneticPr fontId="2"/>
  </si>
  <si>
    <t>工事期間</t>
    <rPh sb="0" eb="2">
      <t>コウジ</t>
    </rPh>
    <rPh sb="2" eb="4">
      <t>キカン</t>
    </rPh>
    <phoneticPr fontId="2"/>
  </si>
  <si>
    <t>I</t>
    <phoneticPr fontId="2"/>
  </si>
  <si>
    <t>I</t>
    <phoneticPr fontId="2"/>
  </si>
  <si>
    <t>09</t>
    <phoneticPr fontId="2"/>
  </si>
  <si>
    <t>請求月</t>
    <rPh sb="0" eb="2">
      <t>セイキュウ</t>
    </rPh>
    <rPh sb="2" eb="3">
      <t>ツキ</t>
    </rPh>
    <phoneticPr fontId="2"/>
  </si>
  <si>
    <t>粗利（％）</t>
    <rPh sb="0" eb="1">
      <t>アラ</t>
    </rPh>
    <rPh sb="1" eb="2">
      <t>リ</t>
    </rPh>
    <phoneticPr fontId="2"/>
  </si>
  <si>
    <t>納品先
（店舗名）</t>
    <rPh sb="0" eb="2">
      <t>ノウヒン</t>
    </rPh>
    <rPh sb="2" eb="3">
      <t>サキ</t>
    </rPh>
    <rPh sb="5" eb="7">
      <t>テンポ</t>
    </rPh>
    <rPh sb="7" eb="8">
      <t>メイ</t>
    </rPh>
    <phoneticPr fontId="2"/>
  </si>
  <si>
    <t>S</t>
    <phoneticPr fontId="2"/>
  </si>
  <si>
    <t>2.完了</t>
    <rPh sb="2" eb="4">
      <t>カンリョウ</t>
    </rPh>
    <phoneticPr fontId="2"/>
  </si>
  <si>
    <t>・受注伝票の最後方列(IT列など)にリスト値を設定してある。</t>
    <rPh sb="1" eb="3">
      <t>ジュチュウ</t>
    </rPh>
    <rPh sb="3" eb="5">
      <t>デンピョウ</t>
    </rPh>
    <rPh sb="6" eb="7">
      <t>サイ</t>
    </rPh>
    <rPh sb="7" eb="9">
      <t>コウホウ</t>
    </rPh>
    <rPh sb="9" eb="10">
      <t>レツ</t>
    </rPh>
    <rPh sb="13" eb="14">
      <t>レツ</t>
    </rPh>
    <rPh sb="21" eb="22">
      <t>チ</t>
    </rPh>
    <rPh sb="23" eb="25">
      <t>セッテイ</t>
    </rPh>
    <phoneticPr fontId="2"/>
  </si>
  <si>
    <t>完了報告書</t>
    <rPh sb="0" eb="2">
      <t>カンリョウ</t>
    </rPh>
    <rPh sb="2" eb="4">
      <t>ホウコク</t>
    </rPh>
    <rPh sb="4" eb="5">
      <t>ショ</t>
    </rPh>
    <phoneticPr fontId="2"/>
  </si>
  <si>
    <t>検収
〆月</t>
    <rPh sb="0" eb="2">
      <t>ケンシュウ</t>
    </rPh>
    <rPh sb="4" eb="5">
      <t>ツキ</t>
    </rPh>
    <phoneticPr fontId="2"/>
  </si>
  <si>
    <t>備考</t>
    <rPh sb="0" eb="2">
      <t>ビコウ</t>
    </rPh>
    <phoneticPr fontId="2"/>
  </si>
  <si>
    <t>4.　その他</t>
    <rPh sb="5" eb="6">
      <t>タ</t>
    </rPh>
    <phoneticPr fontId="2"/>
  </si>
  <si>
    <t>作業工数
(ｾｯﾄｱｯﾌﾟ)</t>
    <rPh sb="0" eb="2">
      <t>サギョウ</t>
    </rPh>
    <rPh sb="2" eb="4">
      <t>コウスウ</t>
    </rPh>
    <phoneticPr fontId="2"/>
  </si>
  <si>
    <t>注文日</t>
    <rPh sb="0" eb="2">
      <t>チュウモン</t>
    </rPh>
    <rPh sb="2" eb="3">
      <t>ビ</t>
    </rPh>
    <phoneticPr fontId="2"/>
  </si>
  <si>
    <t>Q</t>
    <phoneticPr fontId="2"/>
  </si>
  <si>
    <t>依頼№</t>
    <rPh sb="0" eb="2">
      <t>イライ</t>
    </rPh>
    <phoneticPr fontId="2"/>
  </si>
  <si>
    <t>島金庫</t>
    <rPh sb="0" eb="1">
      <t>シマ</t>
    </rPh>
    <rPh sb="1" eb="3">
      <t>キンコ</t>
    </rPh>
    <phoneticPr fontId="2"/>
  </si>
  <si>
    <t>自</t>
    <rPh sb="0" eb="1">
      <t>ジ</t>
    </rPh>
    <phoneticPr fontId="2"/>
  </si>
  <si>
    <t>至</t>
    <rPh sb="0" eb="1">
      <t>イタル</t>
    </rPh>
    <phoneticPr fontId="2"/>
  </si>
  <si>
    <t>外注先（2）</t>
    <rPh sb="0" eb="2">
      <t>ガイチュウ</t>
    </rPh>
    <rPh sb="2" eb="3">
      <t>サキ</t>
    </rPh>
    <phoneticPr fontId="2"/>
  </si>
  <si>
    <t>外注先（2）</t>
    <rPh sb="0" eb="3">
      <t>ガイチュウサキ</t>
    </rPh>
    <phoneticPr fontId="2"/>
  </si>
  <si>
    <t>運送費</t>
    <rPh sb="0" eb="3">
      <t>ウンソウヒ</t>
    </rPh>
    <phoneticPr fontId="2"/>
  </si>
  <si>
    <t>受注伝票</t>
    <rPh sb="0" eb="2">
      <t>ジュチュウ</t>
    </rPh>
    <rPh sb="2" eb="4">
      <t>デンピョウ</t>
    </rPh>
    <phoneticPr fontId="2"/>
  </si>
  <si>
    <t>改訂履歴</t>
    <rPh sb="0" eb="2">
      <t>カイテイ</t>
    </rPh>
    <rPh sb="2" eb="4">
      <t>リレキ</t>
    </rPh>
    <phoneticPr fontId="2"/>
  </si>
  <si>
    <t>原価管理</t>
    <rPh sb="0" eb="2">
      <t>ゲンカ</t>
    </rPh>
    <rPh sb="2" eb="4">
      <t>カンリ</t>
    </rPh>
    <phoneticPr fontId="2"/>
  </si>
  <si>
    <t>備考
（※1）</t>
    <rPh sb="0" eb="2">
      <t>ビコウ</t>
    </rPh>
    <phoneticPr fontId="2"/>
  </si>
  <si>
    <t>見積依頼</t>
    <rPh sb="0" eb="2">
      <t>ミツモリ</t>
    </rPh>
    <rPh sb="2" eb="4">
      <t>イライ</t>
    </rPh>
    <phoneticPr fontId="2"/>
  </si>
  <si>
    <t>≫諸経費</t>
    <rPh sb="1" eb="4">
      <t>ショケイヒ</t>
    </rPh>
    <phoneticPr fontId="2"/>
  </si>
  <si>
    <t>M</t>
    <phoneticPr fontId="2"/>
  </si>
  <si>
    <t>依頼日</t>
    <rPh sb="0" eb="2">
      <t>イライ</t>
    </rPh>
    <rPh sb="2" eb="3">
      <t>ヒ</t>
    </rPh>
    <phoneticPr fontId="2"/>
  </si>
  <si>
    <t>粗利／売上－原価</t>
    <rPh sb="0" eb="1">
      <t>アラ</t>
    </rPh>
    <rPh sb="1" eb="2">
      <t>リ</t>
    </rPh>
    <rPh sb="3" eb="5">
      <t>ウリアゲ</t>
    </rPh>
    <rPh sb="6" eb="8">
      <t>ゲンカ</t>
    </rPh>
    <phoneticPr fontId="2"/>
  </si>
  <si>
    <t>T</t>
    <phoneticPr fontId="2"/>
  </si>
  <si>
    <t>P</t>
    <phoneticPr fontId="2"/>
  </si>
  <si>
    <t>FF見積依頼</t>
    <rPh sb="2" eb="4">
      <t>ミツモリ</t>
    </rPh>
    <rPh sb="4" eb="6">
      <t>イライ</t>
    </rPh>
    <phoneticPr fontId="2"/>
  </si>
  <si>
    <t>発行日</t>
    <rPh sb="0" eb="2">
      <t>ハッコウ</t>
    </rPh>
    <rPh sb="2" eb="3">
      <t>ヒ</t>
    </rPh>
    <phoneticPr fontId="2"/>
  </si>
  <si>
    <t>※1_材料</t>
    <rPh sb="3" eb="5">
      <t>ザイリョウ</t>
    </rPh>
    <phoneticPr fontId="2"/>
  </si>
  <si>
    <t>作業工数(施工)</t>
    <rPh sb="0" eb="2">
      <t>サギョウ</t>
    </rPh>
    <rPh sb="2" eb="4">
      <t>コウスウ</t>
    </rPh>
    <rPh sb="5" eb="7">
      <t>セコウ</t>
    </rPh>
    <phoneticPr fontId="2"/>
  </si>
  <si>
    <t>AF</t>
    <phoneticPr fontId="2"/>
  </si>
  <si>
    <t>見積提出日</t>
    <rPh sb="0" eb="2">
      <t>ミツモリ</t>
    </rPh>
    <rPh sb="2" eb="4">
      <t>テイシュツ</t>
    </rPh>
    <rPh sb="4" eb="5">
      <t>ヒ</t>
    </rPh>
    <phoneticPr fontId="2"/>
  </si>
  <si>
    <t>売上
金額</t>
    <rPh sb="0" eb="2">
      <t>ウリアゲ</t>
    </rPh>
    <rPh sb="3" eb="5">
      <t>キンガク</t>
    </rPh>
    <phoneticPr fontId="2"/>
  </si>
  <si>
    <t>検収日</t>
    <rPh sb="0" eb="2">
      <t>ケンシュウ</t>
    </rPh>
    <rPh sb="2" eb="3">
      <t>ビ</t>
    </rPh>
    <phoneticPr fontId="2"/>
  </si>
  <si>
    <t>FF注文依頼</t>
    <rPh sb="2" eb="4">
      <t>チュウモン</t>
    </rPh>
    <rPh sb="4" eb="6">
      <t>イライ</t>
    </rPh>
    <phoneticPr fontId="2"/>
  </si>
  <si>
    <t>女子</t>
    <rPh sb="0" eb="2">
      <t>ジョシ</t>
    </rPh>
    <phoneticPr fontId="2"/>
  </si>
  <si>
    <t>AP</t>
    <phoneticPr fontId="2"/>
  </si>
  <si>
    <t>P金庫</t>
    <rPh sb="1" eb="3">
      <t>キンコ</t>
    </rPh>
    <phoneticPr fontId="2"/>
  </si>
  <si>
    <t>AB</t>
    <phoneticPr fontId="2"/>
  </si>
  <si>
    <t>・シート保護</t>
    <rPh sb="4" eb="6">
      <t>ホゴ</t>
    </rPh>
    <phoneticPr fontId="2"/>
  </si>
  <si>
    <t>・隠しシート(LISTxxxxやMASTER)に設定値が記録されている。</t>
    <rPh sb="1" eb="2">
      <t>カク</t>
    </rPh>
    <rPh sb="24" eb="26">
      <t>セッテイ</t>
    </rPh>
    <rPh sb="26" eb="27">
      <t>チ</t>
    </rPh>
    <rPh sb="28" eb="30">
      <t>キロク</t>
    </rPh>
    <phoneticPr fontId="2"/>
  </si>
  <si>
    <t>受注区分</t>
    <rPh sb="0" eb="2">
      <t>ジュチュウ</t>
    </rPh>
    <rPh sb="2" eb="4">
      <t>クブン</t>
    </rPh>
    <phoneticPr fontId="2"/>
  </si>
  <si>
    <t>提出者</t>
    <rPh sb="0" eb="3">
      <t>テイシュツシャ</t>
    </rPh>
    <phoneticPr fontId="2"/>
  </si>
  <si>
    <t>金額</t>
    <rPh sb="0" eb="2">
      <t>キンガク</t>
    </rPh>
    <phoneticPr fontId="2"/>
  </si>
  <si>
    <t>引渡報告書</t>
    <rPh sb="0" eb="1">
      <t>ヒ</t>
    </rPh>
    <rPh sb="1" eb="2">
      <t>ワタ</t>
    </rPh>
    <rPh sb="2" eb="5">
      <t>ホウコクショ</t>
    </rPh>
    <phoneticPr fontId="2"/>
  </si>
  <si>
    <t>検収（月）</t>
    <rPh sb="0" eb="2">
      <t>ケンシュウ</t>
    </rPh>
    <rPh sb="3" eb="4">
      <t>ツキ</t>
    </rPh>
    <phoneticPr fontId="2"/>
  </si>
  <si>
    <t>AV</t>
    <phoneticPr fontId="2"/>
  </si>
  <si>
    <t>AD</t>
    <phoneticPr fontId="2"/>
  </si>
  <si>
    <t>AA</t>
    <phoneticPr fontId="2"/>
  </si>
  <si>
    <t>作業工数（SU）</t>
    <rPh sb="0" eb="2">
      <t>サギョウ</t>
    </rPh>
    <rPh sb="2" eb="4">
      <t>コウスウ</t>
    </rPh>
    <phoneticPr fontId="2"/>
  </si>
  <si>
    <t>作業工数
(施工)</t>
    <rPh sb="0" eb="2">
      <t>サギョウ</t>
    </rPh>
    <rPh sb="2" eb="4">
      <t>コウスウ</t>
    </rPh>
    <rPh sb="6" eb="8">
      <t>セコウ</t>
    </rPh>
    <phoneticPr fontId="2"/>
  </si>
  <si>
    <t>遊技台</t>
    <rPh sb="0" eb="2">
      <t>ユウギ</t>
    </rPh>
    <rPh sb="2" eb="3">
      <t>ダイ</t>
    </rPh>
    <phoneticPr fontId="2"/>
  </si>
  <si>
    <t>森谷</t>
    <rPh sb="0" eb="2">
      <t>モリタニ</t>
    </rPh>
    <phoneticPr fontId="2"/>
  </si>
  <si>
    <t>10</t>
    <phoneticPr fontId="2"/>
  </si>
  <si>
    <t>受注番号</t>
    <rPh sb="0" eb="2">
      <t>ジュチュウ</t>
    </rPh>
    <rPh sb="2" eb="4">
      <t>バンゴウ</t>
    </rPh>
    <phoneticPr fontId="2"/>
  </si>
  <si>
    <t>依頼無</t>
  </si>
  <si>
    <t>外注先（3）</t>
    <rPh sb="0" eb="3">
      <t>ガイチュウサキ</t>
    </rPh>
    <phoneticPr fontId="2"/>
  </si>
  <si>
    <t>宿泊日当費</t>
    <rPh sb="0" eb="2">
      <t>シュクハク</t>
    </rPh>
    <rPh sb="2" eb="4">
      <t>ニットウ</t>
    </rPh>
    <rPh sb="4" eb="5">
      <t>ヒ</t>
    </rPh>
    <phoneticPr fontId="2"/>
  </si>
  <si>
    <t>外注先</t>
    <rPh sb="0" eb="2">
      <t>ガイチュウ</t>
    </rPh>
    <rPh sb="2" eb="3">
      <t>サキ</t>
    </rPh>
    <phoneticPr fontId="2"/>
  </si>
  <si>
    <t>※新店舗のみ入力</t>
    <rPh sb="1" eb="4">
      <t>シンテンポ</t>
    </rPh>
    <rPh sb="6" eb="8">
      <t>ニュウリョク</t>
    </rPh>
    <phoneticPr fontId="2"/>
  </si>
  <si>
    <t>≫外注費</t>
    <rPh sb="1" eb="3">
      <t>ガイチュウ</t>
    </rPh>
    <rPh sb="3" eb="4">
      <t>ヒ</t>
    </rPh>
    <phoneticPr fontId="2"/>
  </si>
  <si>
    <t>ロッカー台数</t>
    <rPh sb="4" eb="6">
      <t>ダイスウ</t>
    </rPh>
    <phoneticPr fontId="2"/>
  </si>
  <si>
    <t>再発行日</t>
    <rPh sb="0" eb="3">
      <t>サイハッコウ</t>
    </rPh>
    <rPh sb="3" eb="4">
      <t>ビ</t>
    </rPh>
    <phoneticPr fontId="2"/>
  </si>
  <si>
    <t>列1</t>
  </si>
  <si>
    <t>種類</t>
    <rPh sb="0" eb="2">
      <t>シュルイ</t>
    </rPh>
    <phoneticPr fontId="2"/>
  </si>
  <si>
    <t>提出報告期日</t>
    <rPh sb="0" eb="2">
      <t>テイシュツ</t>
    </rPh>
    <rPh sb="2" eb="4">
      <t>ホウコク</t>
    </rPh>
    <rPh sb="4" eb="6">
      <t>キジツ</t>
    </rPh>
    <phoneticPr fontId="2"/>
  </si>
  <si>
    <t>08</t>
    <phoneticPr fontId="2"/>
  </si>
  <si>
    <t>G</t>
    <phoneticPr fontId="2"/>
  </si>
  <si>
    <t>11</t>
    <phoneticPr fontId="2"/>
  </si>
  <si>
    <t>粗利</t>
    <rPh sb="0" eb="1">
      <t>アラ</t>
    </rPh>
    <rPh sb="1" eb="2">
      <t>リ</t>
    </rPh>
    <phoneticPr fontId="2"/>
  </si>
  <si>
    <t>1.受注待ち</t>
    <rPh sb="2" eb="4">
      <t>ジュチュウ</t>
    </rPh>
    <rPh sb="4" eb="5">
      <t>マ</t>
    </rPh>
    <phoneticPr fontId="2"/>
  </si>
  <si>
    <t>遊技台数</t>
    <rPh sb="0" eb="2">
      <t>ユウギ</t>
    </rPh>
    <rPh sb="2" eb="3">
      <t>ダイ</t>
    </rPh>
    <rPh sb="3" eb="4">
      <t>スウ</t>
    </rPh>
    <phoneticPr fontId="2"/>
  </si>
  <si>
    <t>外注先（3）</t>
    <rPh sb="0" eb="2">
      <t>ガイチュウ</t>
    </rPh>
    <rPh sb="2" eb="3">
      <t>サキ</t>
    </rPh>
    <phoneticPr fontId="2"/>
  </si>
  <si>
    <t>12</t>
    <phoneticPr fontId="2"/>
  </si>
  <si>
    <t>受注合計金額</t>
    <rPh sb="0" eb="2">
      <t>ジュチュウ</t>
    </rPh>
    <rPh sb="2" eb="4">
      <t>ゴウケイ</t>
    </rPh>
    <rPh sb="4" eb="6">
      <t>キンガク</t>
    </rPh>
    <phoneticPr fontId="2"/>
  </si>
  <si>
    <t>依頼日</t>
    <rPh sb="0" eb="3">
      <t>イライビ</t>
    </rPh>
    <phoneticPr fontId="2"/>
  </si>
  <si>
    <t>≫施工金額</t>
    <rPh sb="1" eb="3">
      <t>セコウ</t>
    </rPh>
    <rPh sb="3" eb="5">
      <t>キンガク</t>
    </rPh>
    <phoneticPr fontId="2"/>
  </si>
  <si>
    <t>その他</t>
    <rPh sb="2" eb="3">
      <t>タ</t>
    </rPh>
    <phoneticPr fontId="2"/>
  </si>
  <si>
    <t>AJ</t>
    <phoneticPr fontId="2"/>
  </si>
  <si>
    <t>備考
（※2）</t>
    <rPh sb="0" eb="2">
      <t>ビコウ</t>
    </rPh>
    <phoneticPr fontId="2"/>
  </si>
  <si>
    <t>粗利／売上－原価（施工）</t>
    <rPh sb="0" eb="1">
      <t>アラ</t>
    </rPh>
    <rPh sb="1" eb="2">
      <t>リ</t>
    </rPh>
    <rPh sb="3" eb="5">
      <t>ウリアゲ</t>
    </rPh>
    <rPh sb="6" eb="8">
      <t>ゲンカ</t>
    </rPh>
    <rPh sb="9" eb="11">
      <t>セコウ</t>
    </rPh>
    <phoneticPr fontId="2"/>
  </si>
  <si>
    <t>S</t>
    <phoneticPr fontId="2"/>
  </si>
  <si>
    <t>施工
管理者</t>
    <rPh sb="0" eb="2">
      <t>セコウ</t>
    </rPh>
    <rPh sb="3" eb="5">
      <t>カンリ</t>
    </rPh>
    <rPh sb="5" eb="6">
      <t>シャ</t>
    </rPh>
    <phoneticPr fontId="2"/>
  </si>
  <si>
    <t>03</t>
    <phoneticPr fontId="2"/>
  </si>
  <si>
    <t>04</t>
    <phoneticPr fontId="2"/>
  </si>
  <si>
    <t>05</t>
    <phoneticPr fontId="2"/>
  </si>
  <si>
    <t>06</t>
    <phoneticPr fontId="2"/>
  </si>
  <si>
    <t>2.　施工のみ</t>
    <rPh sb="3" eb="5">
      <t>セコウ</t>
    </rPh>
    <phoneticPr fontId="2"/>
  </si>
  <si>
    <t>施工管理者</t>
    <rPh sb="0" eb="2">
      <t>セコウ</t>
    </rPh>
    <rPh sb="2" eb="4">
      <t>カンリ</t>
    </rPh>
    <rPh sb="4" eb="5">
      <t>シャ</t>
    </rPh>
    <phoneticPr fontId="2"/>
  </si>
  <si>
    <t>02</t>
    <phoneticPr fontId="2"/>
  </si>
  <si>
    <t>取引先情報</t>
    <rPh sb="0" eb="2">
      <t>トリヒキ</t>
    </rPh>
    <rPh sb="2" eb="3">
      <t>サキ</t>
    </rPh>
    <rPh sb="3" eb="5">
      <t>ジョウホウ</t>
    </rPh>
    <phoneticPr fontId="2"/>
  </si>
  <si>
    <t>AM</t>
    <phoneticPr fontId="2"/>
  </si>
  <si>
    <t>改訂</t>
    <rPh sb="0" eb="2">
      <t>カイテイ</t>
    </rPh>
    <phoneticPr fontId="2"/>
  </si>
  <si>
    <t>T金庫</t>
    <rPh sb="1" eb="3">
      <t>キンコ</t>
    </rPh>
    <phoneticPr fontId="2"/>
  </si>
  <si>
    <t>入金（月）</t>
    <rPh sb="0" eb="2">
      <t>ニュウキン</t>
    </rPh>
    <rPh sb="3" eb="4">
      <t>ツキ</t>
    </rPh>
    <phoneticPr fontId="2"/>
  </si>
  <si>
    <t>月</t>
    <rPh sb="0" eb="1">
      <t>ツキ</t>
    </rPh>
    <phoneticPr fontId="2"/>
  </si>
  <si>
    <t>北村</t>
    <rPh sb="0" eb="2">
      <t>キタムラ</t>
    </rPh>
    <phoneticPr fontId="2"/>
  </si>
  <si>
    <t>見積種類</t>
    <rPh sb="0" eb="2">
      <t>ミツモリ</t>
    </rPh>
    <rPh sb="2" eb="4">
      <t>シュルイ</t>
    </rPh>
    <phoneticPr fontId="2"/>
  </si>
  <si>
    <t>担当者</t>
    <rPh sb="0" eb="3">
      <t>タントウシャ</t>
    </rPh>
    <phoneticPr fontId="2"/>
  </si>
  <si>
    <t>発行日</t>
    <rPh sb="0" eb="2">
      <t>ハッコウ</t>
    </rPh>
    <rPh sb="2" eb="3">
      <t>ビ</t>
    </rPh>
    <phoneticPr fontId="2"/>
  </si>
  <si>
    <t>AR</t>
    <phoneticPr fontId="2"/>
  </si>
  <si>
    <t>AS</t>
    <phoneticPr fontId="2"/>
  </si>
  <si>
    <t>AT</t>
    <phoneticPr fontId="2"/>
  </si>
  <si>
    <t>AU</t>
    <phoneticPr fontId="2"/>
  </si>
  <si>
    <t>D</t>
    <phoneticPr fontId="2"/>
  </si>
  <si>
    <t>備考
（※3）</t>
    <rPh sb="0" eb="2">
      <t>ビコウ</t>
    </rPh>
    <phoneticPr fontId="2"/>
  </si>
  <si>
    <t>提出日</t>
    <rPh sb="0" eb="2">
      <t>テイシュツ</t>
    </rPh>
    <rPh sb="2" eb="3">
      <t>ヒ</t>
    </rPh>
    <phoneticPr fontId="2"/>
  </si>
  <si>
    <t>1月</t>
    <rPh sb="1" eb="2">
      <t>ガツ</t>
    </rPh>
    <phoneticPr fontId="2"/>
  </si>
  <si>
    <t>T</t>
    <phoneticPr fontId="2"/>
  </si>
  <si>
    <t>1.　施工＋セットアップ</t>
    <rPh sb="3" eb="5">
      <t>セコウ</t>
    </rPh>
    <phoneticPr fontId="2"/>
  </si>
  <si>
    <t>内藤</t>
    <rPh sb="0" eb="2">
      <t>ナイトウ</t>
    </rPh>
    <phoneticPr fontId="2"/>
  </si>
  <si>
    <t>粗利
（％）</t>
    <rPh sb="0" eb="1">
      <t>アラ</t>
    </rPh>
    <rPh sb="1" eb="2">
      <t>リ</t>
    </rPh>
    <phoneticPr fontId="2"/>
  </si>
  <si>
    <t>受注金額</t>
    <rPh sb="0" eb="2">
      <t>ジュチュウ</t>
    </rPh>
    <rPh sb="2" eb="4">
      <t>キンガク</t>
    </rPh>
    <phoneticPr fontId="2"/>
  </si>
  <si>
    <t>A</t>
    <phoneticPr fontId="2"/>
  </si>
  <si>
    <t>A</t>
  </si>
  <si>
    <t>3.　セットアップのみ</t>
    <phoneticPr fontId="2"/>
  </si>
  <si>
    <t>AK</t>
    <phoneticPr fontId="2"/>
  </si>
  <si>
    <t>AN</t>
    <phoneticPr fontId="2"/>
  </si>
  <si>
    <t>J</t>
    <phoneticPr fontId="2"/>
  </si>
  <si>
    <t>N</t>
    <phoneticPr fontId="2"/>
  </si>
  <si>
    <t>AC</t>
    <phoneticPr fontId="2"/>
  </si>
  <si>
    <t>外注費</t>
    <rPh sb="0" eb="1">
      <t>ガイ</t>
    </rPh>
    <rPh sb="1" eb="2">
      <t>チュウ</t>
    </rPh>
    <rPh sb="2" eb="3">
      <t>ヒ</t>
    </rPh>
    <phoneticPr fontId="2"/>
  </si>
  <si>
    <t>諸経費</t>
    <rPh sb="0" eb="3">
      <t>ショケイヒ</t>
    </rPh>
    <phoneticPr fontId="2"/>
  </si>
  <si>
    <t>≫受注金額合計</t>
    <rPh sb="1" eb="3">
      <t>ジュチュウ</t>
    </rPh>
    <rPh sb="3" eb="5">
      <t>キンガク</t>
    </rPh>
    <rPh sb="5" eb="7">
      <t>ゴウケイ</t>
    </rPh>
    <phoneticPr fontId="2"/>
  </si>
  <si>
    <t>西田</t>
    <rPh sb="0" eb="2">
      <t>ニシダ</t>
    </rPh>
    <phoneticPr fontId="2"/>
  </si>
  <si>
    <t>※新規ロッカー監視のみ入力</t>
    <rPh sb="1" eb="3">
      <t>シンキ</t>
    </rPh>
    <rPh sb="7" eb="9">
      <t>カンシ</t>
    </rPh>
    <rPh sb="11" eb="13">
      <t>ニュウリョク</t>
    </rPh>
    <phoneticPr fontId="2"/>
  </si>
  <si>
    <r>
      <t>≫種類　</t>
    </r>
    <r>
      <rPr>
        <b/>
        <sz val="12"/>
        <rFont val="ＭＳ Ｐ明朝"/>
        <family val="1"/>
        <charset val="128"/>
      </rPr>
      <t>　</t>
    </r>
    <rPh sb="1" eb="3">
      <t>シュルイ</t>
    </rPh>
    <phoneticPr fontId="2"/>
  </si>
  <si>
    <t>納品先
（店舗名）</t>
    <rPh sb="0" eb="2">
      <t>ノウヒン</t>
    </rPh>
    <rPh sb="2" eb="3">
      <t>サキ</t>
    </rPh>
    <rPh sb="5" eb="8">
      <t>テンポメイ</t>
    </rPh>
    <phoneticPr fontId="2"/>
  </si>
  <si>
    <t>注文№</t>
    <rPh sb="0" eb="2">
      <t>チュウモン</t>
    </rPh>
    <phoneticPr fontId="2"/>
  </si>
  <si>
    <t>R</t>
    <phoneticPr fontId="2"/>
  </si>
  <si>
    <t>10月</t>
    <phoneticPr fontId="2"/>
  </si>
  <si>
    <t>11月</t>
    <phoneticPr fontId="2"/>
  </si>
  <si>
    <t>12月</t>
    <phoneticPr fontId="2"/>
  </si>
  <si>
    <t>受注月</t>
    <rPh sb="0" eb="2">
      <t>ジュチュウ</t>
    </rPh>
    <rPh sb="2" eb="3">
      <t>ツキ</t>
    </rPh>
    <phoneticPr fontId="2"/>
  </si>
  <si>
    <t>藤原</t>
    <rPh sb="0" eb="2">
      <t>フジワラ</t>
    </rPh>
    <phoneticPr fontId="2"/>
  </si>
  <si>
    <t>材料費</t>
    <rPh sb="0" eb="2">
      <t>ザイリョウ</t>
    </rPh>
    <rPh sb="2" eb="3">
      <t>ヒ</t>
    </rPh>
    <phoneticPr fontId="2"/>
  </si>
  <si>
    <t>オープン日</t>
    <rPh sb="4" eb="5">
      <t>ヒ</t>
    </rPh>
    <phoneticPr fontId="2"/>
  </si>
  <si>
    <t>AL</t>
    <phoneticPr fontId="2"/>
  </si>
  <si>
    <t>粗利
金額</t>
    <rPh sb="0" eb="1">
      <t>アラ</t>
    </rPh>
    <rPh sb="1" eb="2">
      <t>リ</t>
    </rPh>
    <rPh sb="3" eb="5">
      <t>キンガク</t>
    </rPh>
    <phoneticPr fontId="2"/>
  </si>
  <si>
    <t>完了報告書</t>
    <rPh sb="0" eb="2">
      <t>カンリョウ</t>
    </rPh>
    <rPh sb="2" eb="5">
      <t>ホウコクショ</t>
    </rPh>
    <phoneticPr fontId="2"/>
  </si>
  <si>
    <t>外注金額</t>
    <rPh sb="0" eb="2">
      <t>ガイチュウ</t>
    </rPh>
    <rPh sb="2" eb="4">
      <t>キンガク</t>
    </rPh>
    <phoneticPr fontId="2"/>
  </si>
  <si>
    <t>入金
月</t>
    <rPh sb="0" eb="2">
      <t>ニュウキン</t>
    </rPh>
    <rPh sb="3" eb="4">
      <t>ツキ</t>
    </rPh>
    <phoneticPr fontId="2"/>
  </si>
  <si>
    <t>AH</t>
    <phoneticPr fontId="2"/>
  </si>
  <si>
    <t>会社名</t>
    <rPh sb="0" eb="2">
      <t>カイシャ</t>
    </rPh>
    <rPh sb="2" eb="3">
      <t>メイ</t>
    </rPh>
    <phoneticPr fontId="2"/>
  </si>
  <si>
    <t>外注先（1）</t>
    <rPh sb="0" eb="2">
      <t>ガイチュウ</t>
    </rPh>
    <rPh sb="2" eb="3">
      <t>サキ</t>
    </rPh>
    <phoneticPr fontId="2"/>
  </si>
  <si>
    <t>AQ</t>
    <phoneticPr fontId="2"/>
  </si>
  <si>
    <t>書式-シート-再表示で表示可能。</t>
    <rPh sb="0" eb="2">
      <t>ショシキ</t>
    </rPh>
    <rPh sb="7" eb="10">
      <t>サイヒョウジ</t>
    </rPh>
    <rPh sb="11" eb="13">
      <t>ヒョウジ</t>
    </rPh>
    <rPh sb="13" eb="15">
      <t>カノウ</t>
    </rPh>
    <phoneticPr fontId="2"/>
  </si>
  <si>
    <t>セルを選択して、データ-入力規則でリストを参照している。</t>
    <rPh sb="3" eb="5">
      <t>センタク</t>
    </rPh>
    <rPh sb="12" eb="14">
      <t>ニュウリョク</t>
    </rPh>
    <rPh sb="14" eb="16">
      <t>キソク</t>
    </rPh>
    <rPh sb="21" eb="23">
      <t>サンショウ</t>
    </rPh>
    <phoneticPr fontId="2"/>
  </si>
  <si>
    <t>07</t>
    <phoneticPr fontId="2"/>
  </si>
  <si>
    <t>完了メール</t>
    <rPh sb="0" eb="2">
      <t>カンリョウ</t>
    </rPh>
    <phoneticPr fontId="2"/>
  </si>
  <si>
    <t>≫セットアップ金額</t>
    <rPh sb="7" eb="9">
      <t>キンガク</t>
    </rPh>
    <phoneticPr fontId="2"/>
  </si>
  <si>
    <t>3.キャンセル</t>
    <phoneticPr fontId="2"/>
  </si>
  <si>
    <t>施工金額</t>
    <rPh sb="0" eb="2">
      <t>セコウ</t>
    </rPh>
    <rPh sb="2" eb="4">
      <t>キンガク</t>
    </rPh>
    <phoneticPr fontId="2"/>
  </si>
  <si>
    <t>セットアップ金額</t>
    <rPh sb="6" eb="8">
      <t>キンガク</t>
    </rPh>
    <phoneticPr fontId="2"/>
  </si>
  <si>
    <t>レンタカー費</t>
    <rPh sb="5" eb="6">
      <t>ヒ</t>
    </rPh>
    <phoneticPr fontId="2"/>
  </si>
  <si>
    <t>K</t>
    <phoneticPr fontId="2"/>
  </si>
  <si>
    <t>H</t>
    <phoneticPr fontId="2"/>
  </si>
  <si>
    <t>G</t>
    <phoneticPr fontId="2"/>
  </si>
  <si>
    <t>3.　セットアップのみ</t>
    <phoneticPr fontId="2"/>
  </si>
  <si>
    <t>AG</t>
    <phoneticPr fontId="2"/>
  </si>
  <si>
    <t>≫種類</t>
    <rPh sb="1" eb="3">
      <t>シュルイ</t>
    </rPh>
    <phoneticPr fontId="2"/>
  </si>
  <si>
    <t>B</t>
    <phoneticPr fontId="2"/>
  </si>
  <si>
    <t>C</t>
    <phoneticPr fontId="2"/>
  </si>
  <si>
    <t>D</t>
    <phoneticPr fontId="2"/>
  </si>
  <si>
    <t>OP</t>
    <phoneticPr fontId="2"/>
  </si>
  <si>
    <t>T</t>
    <phoneticPr fontId="2"/>
  </si>
  <si>
    <t>P</t>
    <phoneticPr fontId="2"/>
  </si>
  <si>
    <t>S</t>
    <phoneticPr fontId="2"/>
  </si>
  <si>
    <t>チェック
開始行</t>
    <phoneticPr fontId="2"/>
  </si>
  <si>
    <t>CC</t>
    <phoneticPr fontId="2"/>
  </si>
  <si>
    <t>AZ</t>
    <phoneticPr fontId="2"/>
  </si>
  <si>
    <t>BA</t>
    <phoneticPr fontId="2"/>
  </si>
  <si>
    <t>BB</t>
    <phoneticPr fontId="2"/>
  </si>
  <si>
    <t>BC</t>
    <phoneticPr fontId="2"/>
  </si>
  <si>
    <t>BD</t>
    <phoneticPr fontId="2"/>
  </si>
  <si>
    <t>BE</t>
    <phoneticPr fontId="2"/>
  </si>
  <si>
    <t>BF</t>
    <phoneticPr fontId="2"/>
  </si>
  <si>
    <t>BG</t>
    <phoneticPr fontId="2"/>
  </si>
  <si>
    <t>BH</t>
    <phoneticPr fontId="2"/>
  </si>
  <si>
    <t>BI</t>
    <phoneticPr fontId="2"/>
  </si>
  <si>
    <t>BJ</t>
    <phoneticPr fontId="2"/>
  </si>
  <si>
    <t>BK</t>
    <phoneticPr fontId="2"/>
  </si>
  <si>
    <t>BL</t>
    <phoneticPr fontId="2"/>
  </si>
  <si>
    <t>BM</t>
    <phoneticPr fontId="2"/>
  </si>
  <si>
    <t>BN</t>
    <phoneticPr fontId="2"/>
  </si>
  <si>
    <t>BO</t>
    <phoneticPr fontId="2"/>
  </si>
  <si>
    <t>BP</t>
    <phoneticPr fontId="2"/>
  </si>
  <si>
    <t>BQ</t>
    <phoneticPr fontId="2"/>
  </si>
  <si>
    <t>BR</t>
    <phoneticPr fontId="2"/>
  </si>
  <si>
    <t>BS</t>
    <phoneticPr fontId="2"/>
  </si>
  <si>
    <t>BT</t>
    <phoneticPr fontId="2"/>
  </si>
  <si>
    <t>BU</t>
    <phoneticPr fontId="2"/>
  </si>
  <si>
    <t>BV</t>
    <phoneticPr fontId="2"/>
  </si>
  <si>
    <t>BW</t>
    <phoneticPr fontId="2"/>
  </si>
  <si>
    <t>BX</t>
    <phoneticPr fontId="2"/>
  </si>
  <si>
    <t>BY</t>
    <phoneticPr fontId="2"/>
  </si>
  <si>
    <t>BZ</t>
    <phoneticPr fontId="2"/>
  </si>
  <si>
    <t>CA</t>
    <phoneticPr fontId="2"/>
  </si>
  <si>
    <t>CB</t>
    <phoneticPr fontId="2"/>
  </si>
  <si>
    <t>≫FF回答金額合計</t>
    <rPh sb="3" eb="5">
      <t>カイトウ</t>
    </rPh>
    <rPh sb="5" eb="7">
      <t>キンガク</t>
    </rPh>
    <rPh sb="7" eb="9">
      <t>ゴウケイ</t>
    </rPh>
    <phoneticPr fontId="2"/>
  </si>
  <si>
    <t>AX</t>
    <phoneticPr fontId="2"/>
  </si>
  <si>
    <t>AY</t>
    <phoneticPr fontId="2"/>
  </si>
  <si>
    <t>FF回答金額</t>
    <rPh sb="2" eb="4">
      <t>カイトウ</t>
    </rPh>
    <rPh sb="4" eb="6">
      <t>キンガク</t>
    </rPh>
    <phoneticPr fontId="2"/>
  </si>
  <si>
    <t>SS</t>
    <phoneticPr fontId="2"/>
  </si>
  <si>
    <t>TS</t>
    <phoneticPr fontId="2"/>
  </si>
  <si>
    <t>SS/TS
区分</t>
    <rPh sb="6" eb="8">
      <t>クブン</t>
    </rPh>
    <phoneticPr fontId="2"/>
  </si>
  <si>
    <t>U</t>
    <phoneticPr fontId="2"/>
  </si>
  <si>
    <t>V</t>
    <phoneticPr fontId="2"/>
  </si>
  <si>
    <t>W</t>
    <phoneticPr fontId="2"/>
  </si>
  <si>
    <t>X</t>
    <phoneticPr fontId="2"/>
  </si>
  <si>
    <t>Y</t>
    <phoneticPr fontId="2"/>
  </si>
  <si>
    <t>Z</t>
    <phoneticPr fontId="2"/>
  </si>
  <si>
    <t>CD</t>
    <phoneticPr fontId="2"/>
  </si>
  <si>
    <t>SSTS区分</t>
    <rPh sb="4" eb="6">
      <t>クブン</t>
    </rPh>
    <phoneticPr fontId="2"/>
  </si>
  <si>
    <t>その他</t>
  </si>
  <si>
    <t>B&amp;Mソフトウエアサービス</t>
  </si>
  <si>
    <t>CK</t>
    <phoneticPr fontId="2"/>
  </si>
  <si>
    <t>保守業務管理費</t>
    <rPh sb="0" eb="2">
      <t>ホシュ</t>
    </rPh>
    <rPh sb="2" eb="4">
      <t>ギョウム</t>
    </rPh>
    <rPh sb="4" eb="7">
      <t>カンリヒ</t>
    </rPh>
    <phoneticPr fontId="2"/>
  </si>
  <si>
    <t>保守業務管理費用</t>
    <phoneticPr fontId="2"/>
  </si>
  <si>
    <t>保守業務管理費</t>
    <phoneticPr fontId="2"/>
  </si>
  <si>
    <t>エス．イー．ティー</t>
    <phoneticPr fontId="2"/>
  </si>
  <si>
    <t>YRECM</t>
    <phoneticPr fontId="2"/>
  </si>
  <si>
    <t>YSECM</t>
    <phoneticPr fontId="2"/>
  </si>
  <si>
    <t>O</t>
    <phoneticPr fontId="2"/>
  </si>
  <si>
    <t>期の変更：開発⇒デザインモード⇒VisualBasic⇒\basCommom⇒MANAGEMENT_NOを編集　</t>
    <rPh sb="0" eb="1">
      <t>キ</t>
    </rPh>
    <rPh sb="2" eb="4">
      <t>ヘンコウ</t>
    </rPh>
    <rPh sb="5" eb="7">
      <t>カイハツ</t>
    </rPh>
    <phoneticPr fontId="2"/>
  </si>
  <si>
    <t>L</t>
    <phoneticPr fontId="2"/>
  </si>
  <si>
    <t>2月</t>
    <rPh sb="1" eb="2">
      <t>ガツ</t>
    </rPh>
    <phoneticPr fontId="2"/>
  </si>
  <si>
    <t>3月</t>
    <rPh sb="1" eb="2">
      <t>ガツ</t>
    </rPh>
    <phoneticPr fontId="2"/>
  </si>
  <si>
    <t>4月</t>
    <rPh sb="1" eb="2">
      <t>ガツ</t>
    </rPh>
    <phoneticPr fontId="2"/>
  </si>
  <si>
    <t>5月</t>
    <rPh sb="1" eb="2">
      <t>ガツ</t>
    </rPh>
    <phoneticPr fontId="2"/>
  </si>
  <si>
    <t>6月</t>
    <rPh sb="1" eb="2">
      <t>ガツ</t>
    </rPh>
    <phoneticPr fontId="2"/>
  </si>
  <si>
    <t>7月</t>
    <rPh sb="1" eb="2">
      <t>ガツ</t>
    </rPh>
    <phoneticPr fontId="2"/>
  </si>
  <si>
    <t>8月</t>
    <rPh sb="1" eb="2">
      <t>ガツ</t>
    </rPh>
    <phoneticPr fontId="2"/>
  </si>
  <si>
    <t>9月</t>
    <rPh sb="1" eb="2">
      <t>ガツ</t>
    </rPh>
    <phoneticPr fontId="2"/>
  </si>
  <si>
    <t>A　PHC新店舗工事施工業務</t>
  </si>
  <si>
    <t>B　PHC新店舗工事オープン対応業務</t>
  </si>
  <si>
    <t>C　HSC新店舗工事施工業務</t>
  </si>
  <si>
    <t>D　HSC新店舗工事オープン対応業務</t>
  </si>
  <si>
    <t>E　ドアセンサー取付</t>
  </si>
  <si>
    <t>F　HSC金庫オープン工事施工業務</t>
  </si>
  <si>
    <t>G　MDV</t>
  </si>
  <si>
    <t>H　情報端末機</t>
  </si>
  <si>
    <t>I　ロッカー監視システム</t>
  </si>
  <si>
    <t>J</t>
  </si>
  <si>
    <t>K　改造工事</t>
  </si>
  <si>
    <t>L　保守作業</t>
  </si>
  <si>
    <t>O S変換ハーネス</t>
  </si>
  <si>
    <t>P POS</t>
  </si>
  <si>
    <t>Q</t>
  </si>
  <si>
    <t>R</t>
  </si>
  <si>
    <t>T</t>
  </si>
  <si>
    <t>U</t>
  </si>
  <si>
    <t>V　研修・イベント</t>
  </si>
  <si>
    <t>W 問い合わせ業務</t>
  </si>
  <si>
    <t>X</t>
  </si>
  <si>
    <t>Y　保守受付業務</t>
  </si>
  <si>
    <t>Z　その他</t>
  </si>
  <si>
    <t/>
  </si>
  <si>
    <t>S　システム開発</t>
    <rPh sb="6" eb="8">
      <t>カイハツ</t>
    </rPh>
    <phoneticPr fontId="2"/>
  </si>
  <si>
    <t>横江</t>
    <rPh sb="0" eb="2">
      <t>ヨコエ</t>
    </rPh>
    <phoneticPr fontId="2"/>
  </si>
  <si>
    <t xml:space="preserve">M </t>
    <phoneticPr fontId="2"/>
  </si>
  <si>
    <t xml:space="preserve">N </t>
    <phoneticPr fontId="2"/>
  </si>
  <si>
    <t>ｙｈｓ</t>
    <phoneticPr fontId="2"/>
  </si>
  <si>
    <t>高橋電機商会</t>
    <rPh sb="0" eb="2">
      <t>タカハシ</t>
    </rPh>
    <phoneticPr fontId="2"/>
  </si>
  <si>
    <t>文元電気サービス</t>
    <rPh sb="0" eb="2">
      <t>フミモト</t>
    </rPh>
    <phoneticPr fontId="2"/>
  </si>
  <si>
    <t>DTサクセション</t>
    <phoneticPr fontId="2"/>
  </si>
  <si>
    <t>プライムシステム</t>
    <phoneticPr fontId="2"/>
  </si>
  <si>
    <t>インフォックス</t>
    <phoneticPr fontId="2"/>
  </si>
  <si>
    <t>遊ワークス</t>
    <rPh sb="0" eb="1">
      <t>アソ</t>
    </rPh>
    <phoneticPr fontId="2"/>
  </si>
  <si>
    <t>テンペストシステムズ</t>
    <phoneticPr fontId="2"/>
  </si>
  <si>
    <t>バム･システム･サポート</t>
    <phoneticPr fontId="2"/>
  </si>
  <si>
    <t>川村</t>
    <rPh sb="0" eb="2">
      <t>カワムラ</t>
    </rPh>
    <phoneticPr fontId="2"/>
  </si>
  <si>
    <t>神山</t>
    <rPh sb="0" eb="2">
      <t>コウヤマ</t>
    </rPh>
    <phoneticPr fontId="2"/>
  </si>
  <si>
    <t>BAMTS1486</t>
    <phoneticPr fontId="2"/>
  </si>
  <si>
    <t>TDS</t>
    <phoneticPr fontId="2"/>
  </si>
  <si>
    <t>0001</t>
    <phoneticPr fontId="2"/>
  </si>
  <si>
    <t>0002</t>
    <phoneticPr fontId="2"/>
  </si>
  <si>
    <t>0003</t>
    <phoneticPr fontId="2"/>
  </si>
  <si>
    <t>製造番号</t>
    <rPh sb="0" eb="4">
      <t>セイゾウバンゴウ</t>
    </rPh>
    <phoneticPr fontId="2"/>
  </si>
  <si>
    <t>18</t>
    <phoneticPr fontId="2"/>
  </si>
  <si>
    <t>ホールコンサポートセンター受付業務(10月分)　北日本カンパニー</t>
    <phoneticPr fontId="2"/>
  </si>
  <si>
    <t>ホールコンサポートセンター受付業務(10月分)　東日本カンパニー</t>
    <phoneticPr fontId="2"/>
  </si>
  <si>
    <t>ホールコンサポートセンター受付業務(10月分)　西日本カンパニー</t>
    <phoneticPr fontId="2"/>
  </si>
  <si>
    <t>18</t>
  </si>
  <si>
    <t>10</t>
  </si>
  <si>
    <t>0006</t>
    <phoneticPr fontId="2"/>
  </si>
  <si>
    <t>津山</t>
    <phoneticPr fontId="2"/>
  </si>
  <si>
    <t>保守作業／カウンターコンピュータ(タッチパネル仕様)／マカフィアプリVerUp作業費</t>
    <phoneticPr fontId="2"/>
  </si>
  <si>
    <t>老朽化更新：カウンタコンピュータ導入工事</t>
    <phoneticPr fontId="2"/>
  </si>
  <si>
    <t>0007</t>
    <phoneticPr fontId="2"/>
  </si>
  <si>
    <t>池袋</t>
    <phoneticPr fontId="2"/>
  </si>
  <si>
    <t>E30057410100</t>
    <phoneticPr fontId="2"/>
  </si>
  <si>
    <t>YHCPM</t>
    <phoneticPr fontId="2"/>
  </si>
  <si>
    <t>1481k</t>
    <phoneticPr fontId="2"/>
  </si>
  <si>
    <t>KKS老朽化更新（WingPOS）</t>
    <phoneticPr fontId="2"/>
  </si>
  <si>
    <t>0008</t>
    <phoneticPr fontId="2"/>
  </si>
  <si>
    <t>茂原</t>
    <phoneticPr fontId="2"/>
  </si>
  <si>
    <t>K</t>
  </si>
  <si>
    <t>YRECM</t>
  </si>
  <si>
    <t>0005</t>
    <phoneticPr fontId="2"/>
  </si>
  <si>
    <t>保守作業／カウンターコンピュータ(タッチパネル仕様)／レンタル品セットアップ費用</t>
    <phoneticPr fontId="2"/>
  </si>
  <si>
    <t>0012</t>
    <phoneticPr fontId="2"/>
  </si>
  <si>
    <t>マルハン</t>
    <phoneticPr fontId="2"/>
  </si>
  <si>
    <t>ARCNT通信ケーブル（長）（L＝1.0ｍ）</t>
    <phoneticPr fontId="2"/>
  </si>
  <si>
    <t>その他</t>
    <phoneticPr fontId="2"/>
  </si>
  <si>
    <t>開発案件テスト作業（祝日マスタ）</t>
    <phoneticPr fontId="2"/>
  </si>
  <si>
    <t>0014</t>
    <phoneticPr fontId="2"/>
  </si>
  <si>
    <t>紙幣搬送交換に伴う島内機器撤去再設置作業</t>
    <phoneticPr fontId="2"/>
  </si>
  <si>
    <t>0015</t>
    <phoneticPr fontId="2"/>
  </si>
  <si>
    <t>川中島</t>
    <phoneticPr fontId="2"/>
  </si>
  <si>
    <t>0013</t>
    <phoneticPr fontId="2"/>
  </si>
  <si>
    <t>弘前</t>
    <phoneticPr fontId="2"/>
  </si>
  <si>
    <t>保守作業</t>
    <phoneticPr fontId="2"/>
  </si>
  <si>
    <t>E30035920100</t>
    <phoneticPr fontId="2"/>
  </si>
  <si>
    <t>0017</t>
    <phoneticPr fontId="2"/>
  </si>
  <si>
    <t>矢吹</t>
    <phoneticPr fontId="2"/>
  </si>
  <si>
    <t>保守作業／カウンタ本体　動作確認作業</t>
    <phoneticPr fontId="2"/>
  </si>
  <si>
    <t>L</t>
  </si>
  <si>
    <t>0020</t>
    <phoneticPr fontId="2"/>
  </si>
  <si>
    <t>吉原</t>
    <phoneticPr fontId="2"/>
  </si>
  <si>
    <t xml:space="preserve">TE01630440 </t>
    <phoneticPr fontId="2"/>
  </si>
  <si>
    <t>保守作業</t>
  </si>
  <si>
    <t>E30058710100</t>
    <phoneticPr fontId="2"/>
  </si>
  <si>
    <t>E30042810100</t>
    <phoneticPr fontId="2"/>
  </si>
  <si>
    <t>0027</t>
    <phoneticPr fontId="2"/>
  </si>
  <si>
    <t>顧客管理システム導入サポート④</t>
    <phoneticPr fontId="2"/>
  </si>
  <si>
    <t>0023</t>
    <phoneticPr fontId="2"/>
  </si>
  <si>
    <t>深谷</t>
    <phoneticPr fontId="2"/>
  </si>
  <si>
    <t>E30058620100</t>
    <phoneticPr fontId="2"/>
  </si>
  <si>
    <t>E30058610100</t>
    <phoneticPr fontId="2"/>
  </si>
  <si>
    <t>E30056430100</t>
    <phoneticPr fontId="2"/>
  </si>
  <si>
    <t>0031</t>
    <phoneticPr fontId="2"/>
  </si>
  <si>
    <t>弘前石渡</t>
    <phoneticPr fontId="2"/>
  </si>
  <si>
    <t>保守作業／新型カウンタ本体セットアップ作業</t>
    <phoneticPr fontId="2"/>
  </si>
  <si>
    <t>保守作業／カウンタタブレットセットアップ作業</t>
    <phoneticPr fontId="2"/>
  </si>
  <si>
    <t>0032</t>
    <phoneticPr fontId="2"/>
  </si>
  <si>
    <t>仙台卸町</t>
    <phoneticPr fontId="2"/>
  </si>
  <si>
    <t>未定</t>
    <phoneticPr fontId="2"/>
  </si>
  <si>
    <t>0033</t>
    <phoneticPr fontId="2"/>
  </si>
  <si>
    <t>川口</t>
    <phoneticPr fontId="2"/>
  </si>
  <si>
    <t>S→P（40台）／玉メダル貸しC（116台）へのホールコン対応作業</t>
    <phoneticPr fontId="2"/>
  </si>
  <si>
    <t>6545</t>
    <phoneticPr fontId="2"/>
  </si>
  <si>
    <t>TE01632022</t>
    <phoneticPr fontId="2"/>
  </si>
  <si>
    <t>TE01632047</t>
    <phoneticPr fontId="2"/>
  </si>
  <si>
    <t>E30042830100</t>
    <phoneticPr fontId="2"/>
  </si>
  <si>
    <t>E30042820100</t>
    <phoneticPr fontId="2"/>
  </si>
  <si>
    <t>E30042790100</t>
    <phoneticPr fontId="2"/>
  </si>
  <si>
    <t>E30059930100</t>
    <phoneticPr fontId="2"/>
  </si>
  <si>
    <t>0022</t>
    <phoneticPr fontId="2"/>
  </si>
  <si>
    <t>橿原南</t>
    <phoneticPr fontId="2"/>
  </si>
  <si>
    <t>0037</t>
    <phoneticPr fontId="2"/>
  </si>
  <si>
    <t>加賀</t>
    <phoneticPr fontId="2"/>
  </si>
  <si>
    <t>0038</t>
    <phoneticPr fontId="2"/>
  </si>
  <si>
    <t>0039</t>
    <phoneticPr fontId="2"/>
  </si>
  <si>
    <t>黒石</t>
    <phoneticPr fontId="2"/>
  </si>
  <si>
    <t>TE01632730</t>
    <phoneticPr fontId="2"/>
  </si>
  <si>
    <t>0040</t>
    <phoneticPr fontId="2"/>
  </si>
  <si>
    <t>四日市北</t>
    <phoneticPr fontId="2"/>
  </si>
  <si>
    <t>PS増減台（40台）／玉メダル貸しＣ（40台）へのホールコン対応作業</t>
    <phoneticPr fontId="2"/>
  </si>
  <si>
    <t>6548</t>
    <phoneticPr fontId="2"/>
  </si>
  <si>
    <t>老朽化更新／UPS交換作業　※現地作業あり</t>
  </si>
  <si>
    <t>0018</t>
    <phoneticPr fontId="2"/>
  </si>
  <si>
    <t>名古屋南</t>
    <phoneticPr fontId="2"/>
  </si>
  <si>
    <t>追加作業／ギガらくWi-Fi導入工事</t>
    <phoneticPr fontId="2"/>
  </si>
  <si>
    <t>0004</t>
    <phoneticPr fontId="2"/>
  </si>
  <si>
    <t>問い合わせ受付業務</t>
    <phoneticPr fontId="2"/>
  </si>
  <si>
    <t>携帯システム関連／保守料(10月分)</t>
    <phoneticPr fontId="2"/>
  </si>
  <si>
    <t>0024</t>
    <phoneticPr fontId="2"/>
  </si>
  <si>
    <t>顧客管理システム導入サポート①</t>
    <phoneticPr fontId="2"/>
  </si>
  <si>
    <t>0025</t>
    <phoneticPr fontId="2"/>
  </si>
  <si>
    <t>顧客管理システム導入サポート②</t>
    <phoneticPr fontId="2"/>
  </si>
  <si>
    <t>0026</t>
    <phoneticPr fontId="2"/>
  </si>
  <si>
    <t>顧客管理システム導入サポート③</t>
    <phoneticPr fontId="2"/>
  </si>
  <si>
    <t xml:space="preserve">TE01633102 </t>
    <phoneticPr fontId="2"/>
  </si>
  <si>
    <t>甲府</t>
    <phoneticPr fontId="2"/>
  </si>
  <si>
    <t>0046</t>
    <phoneticPr fontId="2"/>
  </si>
  <si>
    <t>店舗様無償</t>
    <phoneticPr fontId="2"/>
  </si>
  <si>
    <t>0048</t>
  </si>
  <si>
    <t>Z</t>
  </si>
  <si>
    <t>TDS</t>
  </si>
  <si>
    <t>WEBカメラ用スタンド（試作品）</t>
  </si>
  <si>
    <t>10月</t>
  </si>
  <si>
    <t>E30060410100</t>
    <phoneticPr fontId="2"/>
  </si>
  <si>
    <t>E30060650100</t>
    <phoneticPr fontId="2"/>
  </si>
  <si>
    <t xml:space="preserve">TE01633985 </t>
    <phoneticPr fontId="2"/>
  </si>
  <si>
    <t>液晶ワイドディスプレ（HST用）／動作確認作業</t>
    <phoneticPr fontId="2"/>
  </si>
  <si>
    <t>0056</t>
    <phoneticPr fontId="2"/>
  </si>
  <si>
    <t>福井</t>
    <phoneticPr fontId="2"/>
  </si>
  <si>
    <t>0009</t>
    <phoneticPr fontId="2"/>
  </si>
  <si>
    <t>袋井東西①</t>
    <phoneticPr fontId="2"/>
  </si>
  <si>
    <t>紙幣搬送入替に伴う作業</t>
    <phoneticPr fontId="2"/>
  </si>
  <si>
    <t>6529k</t>
    <phoneticPr fontId="2"/>
  </si>
  <si>
    <t>E30061040100</t>
    <phoneticPr fontId="2"/>
  </si>
  <si>
    <t>E30060860100</t>
    <phoneticPr fontId="2"/>
  </si>
  <si>
    <t xml:space="preserve">TE01634577 </t>
    <phoneticPr fontId="2"/>
  </si>
  <si>
    <t>中原</t>
    <phoneticPr fontId="2"/>
  </si>
  <si>
    <t>0068</t>
    <phoneticPr fontId="2"/>
  </si>
  <si>
    <t>ぶらくり丁</t>
    <phoneticPr fontId="2"/>
  </si>
  <si>
    <t>泉南</t>
    <phoneticPr fontId="2"/>
  </si>
  <si>
    <t>和歌山湊</t>
    <phoneticPr fontId="2"/>
  </si>
  <si>
    <t>今福</t>
    <phoneticPr fontId="2"/>
  </si>
  <si>
    <t>寝屋川</t>
    <phoneticPr fontId="2"/>
  </si>
  <si>
    <t>羽曳野</t>
    <phoneticPr fontId="2"/>
  </si>
  <si>
    <t>八尾泉</t>
    <phoneticPr fontId="2"/>
  </si>
  <si>
    <t>原山台</t>
    <phoneticPr fontId="2"/>
  </si>
  <si>
    <t>和泉寺田</t>
    <phoneticPr fontId="2"/>
  </si>
  <si>
    <t>E30030000100</t>
    <phoneticPr fontId="2"/>
  </si>
  <si>
    <t>0074</t>
    <phoneticPr fontId="2"/>
  </si>
  <si>
    <t>茨木</t>
    <phoneticPr fontId="2"/>
  </si>
  <si>
    <t>0081</t>
    <phoneticPr fontId="2"/>
  </si>
  <si>
    <t>土佐道路西</t>
    <phoneticPr fontId="2"/>
  </si>
  <si>
    <t>カウンタPCタブレット(本体交換)</t>
    <phoneticPr fontId="2"/>
  </si>
  <si>
    <t>仙台卸町①</t>
    <phoneticPr fontId="2"/>
  </si>
  <si>
    <t>S→P（13→14台）へのホールコン対応作業</t>
    <phoneticPr fontId="2"/>
  </si>
  <si>
    <t>0082</t>
    <phoneticPr fontId="2"/>
  </si>
  <si>
    <t>仙台卸町②</t>
    <phoneticPr fontId="2"/>
  </si>
  <si>
    <t>仙台卸町③</t>
    <phoneticPr fontId="2"/>
  </si>
  <si>
    <t>S→P（14台）へのホールコン対応作業</t>
    <phoneticPr fontId="2"/>
  </si>
  <si>
    <t>0083</t>
    <phoneticPr fontId="2"/>
  </si>
  <si>
    <t>6560</t>
    <phoneticPr fontId="2"/>
  </si>
  <si>
    <t>個別計数機増台（107台）へのホールコン対応作業</t>
    <phoneticPr fontId="2"/>
  </si>
  <si>
    <t>0084</t>
    <phoneticPr fontId="2"/>
  </si>
  <si>
    <t>E30061450100</t>
    <phoneticPr fontId="2"/>
  </si>
  <si>
    <t>E30061480100</t>
    <phoneticPr fontId="2"/>
  </si>
  <si>
    <t>E30061300100</t>
    <phoneticPr fontId="2"/>
  </si>
  <si>
    <t>E30061490100</t>
    <phoneticPr fontId="2"/>
  </si>
  <si>
    <t>E30061350100</t>
    <phoneticPr fontId="2"/>
  </si>
  <si>
    <t>E30060940100</t>
    <phoneticPr fontId="2"/>
  </si>
  <si>
    <t>E30061680100</t>
    <phoneticPr fontId="2"/>
  </si>
  <si>
    <t>0079</t>
    <phoneticPr fontId="2"/>
  </si>
  <si>
    <t>横浜町田</t>
    <phoneticPr fontId="2"/>
  </si>
  <si>
    <t>0042</t>
    <phoneticPr fontId="2"/>
  </si>
  <si>
    <t>亀有</t>
    <phoneticPr fontId="2"/>
  </si>
  <si>
    <t>老朽化更新：セキュリティコンピュータ導入工事</t>
    <phoneticPr fontId="2"/>
  </si>
  <si>
    <t>0091</t>
    <phoneticPr fontId="2"/>
  </si>
  <si>
    <t>二又瀬</t>
    <phoneticPr fontId="2"/>
  </si>
  <si>
    <t>0093</t>
    <phoneticPr fontId="2"/>
  </si>
  <si>
    <t>KKS工事用</t>
    <phoneticPr fontId="2"/>
  </si>
  <si>
    <t>KKSシステム向け／マイク線加工</t>
    <phoneticPr fontId="2"/>
  </si>
  <si>
    <t>E30059600102</t>
    <phoneticPr fontId="2"/>
  </si>
  <si>
    <t>ｙｈｓ</t>
  </si>
  <si>
    <t>11月</t>
  </si>
  <si>
    <t>神山</t>
  </si>
  <si>
    <t>TE01635583</t>
    <phoneticPr fontId="2"/>
  </si>
  <si>
    <t>0028</t>
    <phoneticPr fontId="2"/>
  </si>
  <si>
    <t>鷲宮</t>
    <phoneticPr fontId="2"/>
  </si>
  <si>
    <t>個別計数機増設（40台）へのホールコン対応作業</t>
    <phoneticPr fontId="2"/>
  </si>
  <si>
    <t>6542</t>
    <phoneticPr fontId="2"/>
  </si>
  <si>
    <t>0052</t>
    <phoneticPr fontId="2"/>
  </si>
  <si>
    <t>石和</t>
    <phoneticPr fontId="2"/>
  </si>
  <si>
    <t>玉貸しC（40台）へのホールコン対応作業</t>
    <phoneticPr fontId="2"/>
  </si>
  <si>
    <t>6553</t>
    <phoneticPr fontId="2"/>
  </si>
  <si>
    <t>E30029920100</t>
    <phoneticPr fontId="2"/>
  </si>
  <si>
    <t>E30061870100</t>
    <phoneticPr fontId="2"/>
  </si>
  <si>
    <t>E30061890100</t>
    <phoneticPr fontId="2"/>
  </si>
  <si>
    <t>TE01636149</t>
    <phoneticPr fontId="2"/>
  </si>
  <si>
    <t>0097</t>
    <phoneticPr fontId="2"/>
  </si>
  <si>
    <t>那須塩原</t>
    <phoneticPr fontId="2"/>
  </si>
  <si>
    <t>6574</t>
    <phoneticPr fontId="2"/>
  </si>
  <si>
    <t>西田</t>
    <phoneticPr fontId="2"/>
  </si>
  <si>
    <t>0099</t>
    <phoneticPr fontId="2"/>
  </si>
  <si>
    <t>鶴見</t>
    <phoneticPr fontId="2"/>
  </si>
  <si>
    <t>0090</t>
    <phoneticPr fontId="2"/>
  </si>
  <si>
    <t>外旭川</t>
    <phoneticPr fontId="2"/>
  </si>
  <si>
    <t>0035</t>
    <phoneticPr fontId="2"/>
  </si>
  <si>
    <t>天理</t>
    <phoneticPr fontId="2"/>
  </si>
  <si>
    <t>KKS緊急老朽化更新（MDF）</t>
    <phoneticPr fontId="2"/>
  </si>
  <si>
    <t>0100</t>
    <phoneticPr fontId="2"/>
  </si>
  <si>
    <t>つくば</t>
    <phoneticPr fontId="2"/>
  </si>
  <si>
    <t>PS増減台（40台）へのホールコン対応作業</t>
    <phoneticPr fontId="2"/>
  </si>
  <si>
    <t>6575</t>
    <phoneticPr fontId="2"/>
  </si>
  <si>
    <t>TE01635654</t>
    <phoneticPr fontId="2"/>
  </si>
  <si>
    <t>0069</t>
    <phoneticPr fontId="2"/>
  </si>
  <si>
    <t>0070</t>
    <phoneticPr fontId="2"/>
  </si>
  <si>
    <t>0071</t>
    <phoneticPr fontId="2"/>
  </si>
  <si>
    <t>0072</t>
    <phoneticPr fontId="2"/>
  </si>
  <si>
    <t>0073</t>
    <phoneticPr fontId="2"/>
  </si>
  <si>
    <t>1</t>
    <phoneticPr fontId="2"/>
  </si>
  <si>
    <t>下松→茨木に変更</t>
    <phoneticPr fontId="2"/>
  </si>
  <si>
    <t>0075</t>
    <phoneticPr fontId="2"/>
  </si>
  <si>
    <t>0076</t>
    <phoneticPr fontId="2"/>
  </si>
  <si>
    <t>0077</t>
    <phoneticPr fontId="2"/>
  </si>
  <si>
    <t>0078</t>
    <phoneticPr fontId="2"/>
  </si>
  <si>
    <t>E30062060100</t>
    <phoneticPr fontId="2"/>
  </si>
  <si>
    <t>E30062000100</t>
    <phoneticPr fontId="2"/>
  </si>
  <si>
    <t xml:space="preserve">TE01636637 </t>
    <phoneticPr fontId="2"/>
  </si>
  <si>
    <t>DTサクセション</t>
  </si>
  <si>
    <t>0101</t>
    <phoneticPr fontId="2"/>
  </si>
  <si>
    <t>昭島</t>
    <phoneticPr fontId="2"/>
  </si>
  <si>
    <t>E30062260100</t>
    <phoneticPr fontId="2"/>
  </si>
  <si>
    <t>E30042840100</t>
    <phoneticPr fontId="2"/>
  </si>
  <si>
    <t>E30040290100</t>
    <phoneticPr fontId="2"/>
  </si>
  <si>
    <t>E30040270100</t>
    <phoneticPr fontId="2"/>
  </si>
  <si>
    <t>E30040260100</t>
    <phoneticPr fontId="2"/>
  </si>
  <si>
    <t>E30062390100</t>
    <phoneticPr fontId="2"/>
  </si>
  <si>
    <t>E30062350100</t>
    <phoneticPr fontId="2"/>
  </si>
  <si>
    <t>E30062400100</t>
    <phoneticPr fontId="2"/>
  </si>
  <si>
    <t>0049</t>
    <phoneticPr fontId="2"/>
  </si>
  <si>
    <t>習志野</t>
    <phoneticPr fontId="2"/>
  </si>
  <si>
    <t>0094</t>
    <phoneticPr fontId="2"/>
  </si>
  <si>
    <t>伊勢</t>
    <phoneticPr fontId="2"/>
  </si>
  <si>
    <t>0045</t>
    <phoneticPr fontId="2"/>
  </si>
  <si>
    <t>大牟田銀水</t>
    <phoneticPr fontId="2"/>
  </si>
  <si>
    <t>TE01636835</t>
    <phoneticPr fontId="2"/>
  </si>
  <si>
    <t>0104</t>
    <phoneticPr fontId="2"/>
  </si>
  <si>
    <t>松島</t>
    <phoneticPr fontId="2"/>
  </si>
  <si>
    <t>10/21キャンセル</t>
  </si>
  <si>
    <t>0087</t>
    <phoneticPr fontId="2"/>
  </si>
  <si>
    <t>伊勢崎</t>
    <phoneticPr fontId="2"/>
  </si>
  <si>
    <t>6569</t>
    <phoneticPr fontId="2"/>
  </si>
  <si>
    <t>0034</t>
    <phoneticPr fontId="2"/>
  </si>
  <si>
    <t>清河寺</t>
    <phoneticPr fontId="2"/>
  </si>
  <si>
    <t>売上機変更（149台）へのホールコン対応作業</t>
    <phoneticPr fontId="2"/>
  </si>
  <si>
    <t>6546</t>
    <phoneticPr fontId="2"/>
  </si>
  <si>
    <t>0058</t>
    <phoneticPr fontId="2"/>
  </si>
  <si>
    <t>厚木</t>
    <phoneticPr fontId="2"/>
  </si>
  <si>
    <t>CRM-SVのUPS監視化</t>
    <phoneticPr fontId="2"/>
  </si>
  <si>
    <t>0059</t>
    <phoneticPr fontId="2"/>
  </si>
  <si>
    <t>0060</t>
    <phoneticPr fontId="2"/>
  </si>
  <si>
    <t>0061</t>
    <phoneticPr fontId="2"/>
  </si>
  <si>
    <t>0062</t>
    <phoneticPr fontId="2"/>
  </si>
  <si>
    <t>0063</t>
    <phoneticPr fontId="2"/>
  </si>
  <si>
    <t>村松</t>
    <phoneticPr fontId="2"/>
  </si>
  <si>
    <t>0064</t>
    <phoneticPr fontId="2"/>
  </si>
  <si>
    <t>0065</t>
    <phoneticPr fontId="2"/>
  </si>
  <si>
    <t>入間</t>
    <phoneticPr fontId="2"/>
  </si>
  <si>
    <t>0080</t>
    <phoneticPr fontId="2"/>
  </si>
  <si>
    <t>加治木</t>
    <phoneticPr fontId="2"/>
  </si>
  <si>
    <t>E30042800100</t>
    <phoneticPr fontId="2"/>
  </si>
  <si>
    <t>E30062600100</t>
    <phoneticPr fontId="2"/>
  </si>
  <si>
    <t>高橋電機商会</t>
    <phoneticPr fontId="2"/>
  </si>
  <si>
    <t>八千代緑が丘</t>
    <phoneticPr fontId="2"/>
  </si>
  <si>
    <t>老朽化更新：マルチコントローラ＋ホストコンピュータ＋カウンタコンピュータ導入工事</t>
    <phoneticPr fontId="2"/>
  </si>
  <si>
    <t>0105</t>
    <phoneticPr fontId="2"/>
  </si>
  <si>
    <t xml:space="preserve">TE01637836 </t>
    <phoneticPr fontId="2"/>
  </si>
  <si>
    <t>TE01637926</t>
    <phoneticPr fontId="2"/>
  </si>
  <si>
    <t>0103</t>
    <phoneticPr fontId="2"/>
  </si>
  <si>
    <t>東岡山</t>
    <phoneticPr fontId="2"/>
  </si>
  <si>
    <t>10/25キャンセル</t>
    <phoneticPr fontId="2"/>
  </si>
  <si>
    <t>E30062960100</t>
    <phoneticPr fontId="2"/>
  </si>
  <si>
    <t>E30062820100</t>
    <phoneticPr fontId="2"/>
  </si>
  <si>
    <t>E30062970100</t>
    <phoneticPr fontId="2"/>
  </si>
  <si>
    <t>TE01638372</t>
    <phoneticPr fontId="2"/>
  </si>
  <si>
    <t>HC11</t>
    <phoneticPr fontId="2"/>
  </si>
  <si>
    <t>0051</t>
    <phoneticPr fontId="2"/>
  </si>
  <si>
    <t>厚別</t>
    <phoneticPr fontId="2"/>
  </si>
  <si>
    <t>玉貸しC（72台）へのホールコン対応作業</t>
    <phoneticPr fontId="2"/>
  </si>
  <si>
    <t>6552</t>
    <phoneticPr fontId="2"/>
  </si>
  <si>
    <t xml:space="preserve">TE01638724 </t>
    <phoneticPr fontId="2"/>
  </si>
  <si>
    <t>0109</t>
  </si>
  <si>
    <t>マルハン</t>
  </si>
  <si>
    <t>プライムシステム</t>
  </si>
  <si>
    <t>0110</t>
    <phoneticPr fontId="2"/>
  </si>
  <si>
    <t>0066</t>
    <phoneticPr fontId="2"/>
  </si>
  <si>
    <t>川崎桜本</t>
    <phoneticPr fontId="2"/>
  </si>
  <si>
    <t>S→P（40台）／玉メダル貸しC（40台）へのホールコン対応作業</t>
    <phoneticPr fontId="2"/>
  </si>
  <si>
    <t>6558k</t>
    <phoneticPr fontId="2"/>
  </si>
  <si>
    <t>0043</t>
    <phoneticPr fontId="2"/>
  </si>
  <si>
    <t>S→P（80台）／玉メダル貸しC（120台）へのホールコン対応作業</t>
    <phoneticPr fontId="2"/>
  </si>
  <si>
    <t>6550k</t>
    <phoneticPr fontId="2"/>
  </si>
  <si>
    <t>川村</t>
    <phoneticPr fontId="2"/>
  </si>
  <si>
    <t>文元電気サービス</t>
    <phoneticPr fontId="2"/>
  </si>
  <si>
    <t>E30063230100</t>
    <phoneticPr fontId="2"/>
  </si>
  <si>
    <t>E30063350100</t>
    <phoneticPr fontId="2"/>
  </si>
  <si>
    <t>6559</t>
    <phoneticPr fontId="2"/>
  </si>
  <si>
    <t>蒲田駅東</t>
    <phoneticPr fontId="2"/>
  </si>
  <si>
    <t>メダル貸しC（30台）へのホールコン対応作業</t>
    <phoneticPr fontId="2"/>
  </si>
  <si>
    <t>0149</t>
    <phoneticPr fontId="2"/>
  </si>
  <si>
    <t>6586</t>
    <phoneticPr fontId="2"/>
  </si>
  <si>
    <t>個別計数機増設（80台）へのホールコン対応作業</t>
    <phoneticPr fontId="2"/>
  </si>
  <si>
    <t>0150</t>
    <phoneticPr fontId="2"/>
  </si>
  <si>
    <t>柏</t>
    <phoneticPr fontId="2"/>
  </si>
  <si>
    <t>6585</t>
    <phoneticPr fontId="2"/>
  </si>
  <si>
    <t>P増台（26台）／玉貸しC（133台）へのホールコン対応作業</t>
    <phoneticPr fontId="2"/>
  </si>
  <si>
    <t>0151</t>
    <phoneticPr fontId="2"/>
  </si>
  <si>
    <t>福島</t>
    <phoneticPr fontId="2"/>
  </si>
  <si>
    <t>6584</t>
    <phoneticPr fontId="2"/>
  </si>
  <si>
    <t>0106</t>
    <phoneticPr fontId="2"/>
  </si>
  <si>
    <t>松飛台</t>
    <phoneticPr fontId="2"/>
  </si>
  <si>
    <t>TE01639260</t>
    <phoneticPr fontId="2"/>
  </si>
  <si>
    <t>ホールコンサポートセンター受付業務(11月分)　北日本カンパニー</t>
    <phoneticPr fontId="2"/>
  </si>
  <si>
    <t>ホールコンサポートセンター受付業務(11月分)　東日本カンパニー</t>
    <phoneticPr fontId="2"/>
  </si>
  <si>
    <t>ホールコンサポートセンター受付業務(11月分)　西日本カンパニー</t>
    <phoneticPr fontId="2"/>
  </si>
  <si>
    <t>携帯システム関連／保守料(11月分)</t>
    <phoneticPr fontId="2"/>
  </si>
  <si>
    <t>0152</t>
    <phoneticPr fontId="2"/>
  </si>
  <si>
    <t>E30063640100</t>
    <phoneticPr fontId="2"/>
  </si>
  <si>
    <t>E30063630100</t>
    <phoneticPr fontId="2"/>
  </si>
  <si>
    <t>E30063690100</t>
    <phoneticPr fontId="2"/>
  </si>
  <si>
    <t>E30063850100</t>
    <phoneticPr fontId="2"/>
  </si>
  <si>
    <t>三菱鉛筆SCM-P1機器増設等対応</t>
    <phoneticPr fontId="2"/>
  </si>
  <si>
    <t>0156</t>
    <phoneticPr fontId="2"/>
  </si>
  <si>
    <t>4月</t>
    <phoneticPr fontId="2"/>
  </si>
  <si>
    <t xml:space="preserve">TE01639430 </t>
    <phoneticPr fontId="2"/>
  </si>
  <si>
    <t>11</t>
  </si>
  <si>
    <t>0160</t>
    <phoneticPr fontId="2"/>
  </si>
  <si>
    <t>仙台駅東</t>
    <phoneticPr fontId="2"/>
  </si>
  <si>
    <t>E30063880100</t>
    <phoneticPr fontId="2"/>
  </si>
  <si>
    <t>E30030020100</t>
    <phoneticPr fontId="2"/>
  </si>
  <si>
    <t>E30029760100</t>
    <phoneticPr fontId="2"/>
  </si>
  <si>
    <t>E30029780100</t>
    <phoneticPr fontId="2"/>
  </si>
  <si>
    <t>0161</t>
    <phoneticPr fontId="2"/>
  </si>
  <si>
    <t>NEOS：DS-7改造対応等</t>
    <phoneticPr fontId="2"/>
  </si>
  <si>
    <t>0162</t>
    <phoneticPr fontId="2"/>
  </si>
  <si>
    <t>筑西</t>
    <phoneticPr fontId="2"/>
  </si>
  <si>
    <t>老朽化更新／UPS交換作業　※現地作業あり</t>
    <phoneticPr fontId="2"/>
  </si>
  <si>
    <t>0163</t>
    <phoneticPr fontId="2"/>
  </si>
  <si>
    <t>鈴鹿</t>
    <phoneticPr fontId="2"/>
  </si>
  <si>
    <t>太田新道町</t>
    <phoneticPr fontId="2"/>
  </si>
  <si>
    <t>E00000960102</t>
    <phoneticPr fontId="2"/>
  </si>
  <si>
    <t>P増台（25台）へのホールコン対応作業</t>
    <phoneticPr fontId="2"/>
  </si>
  <si>
    <t>6501</t>
    <phoneticPr fontId="2"/>
  </si>
  <si>
    <t>0168</t>
    <phoneticPr fontId="2"/>
  </si>
  <si>
    <t>千葉みなと</t>
    <phoneticPr fontId="2"/>
  </si>
  <si>
    <t>0145</t>
    <phoneticPr fontId="2"/>
  </si>
  <si>
    <t>焼津</t>
    <phoneticPr fontId="2"/>
  </si>
  <si>
    <t>個別計数機撤去（40台）へのホールコン対応作業</t>
    <phoneticPr fontId="2"/>
  </si>
  <si>
    <t>6580</t>
    <phoneticPr fontId="2"/>
  </si>
  <si>
    <t>11/4中止</t>
  </si>
  <si>
    <t>0170</t>
  </si>
  <si>
    <t>POS老朽化更新／10月度</t>
  </si>
  <si>
    <t>P</t>
  </si>
  <si>
    <t>エス．イー．ティー</t>
  </si>
  <si>
    <t>レイシステム</t>
  </si>
  <si>
    <t>TE01640289</t>
    <phoneticPr fontId="2"/>
  </si>
  <si>
    <t>TE01640252</t>
    <phoneticPr fontId="2"/>
  </si>
  <si>
    <t>E30063380100</t>
    <phoneticPr fontId="2"/>
  </si>
  <si>
    <t>E30064380100</t>
    <phoneticPr fontId="2"/>
  </si>
  <si>
    <t>E30062640100</t>
    <phoneticPr fontId="2"/>
  </si>
  <si>
    <t>E30064360100</t>
    <phoneticPr fontId="2"/>
  </si>
  <si>
    <t>0029</t>
    <phoneticPr fontId="2"/>
  </si>
  <si>
    <t>PS増減台（28台）へのホールコン対応作業</t>
    <phoneticPr fontId="2"/>
  </si>
  <si>
    <t>6543</t>
    <phoneticPr fontId="2"/>
  </si>
  <si>
    <t>0019</t>
    <phoneticPr fontId="2"/>
  </si>
  <si>
    <t>高浜</t>
    <phoneticPr fontId="2"/>
  </si>
  <si>
    <t>P増台（16台）へのホールコン対応作業</t>
    <phoneticPr fontId="2"/>
  </si>
  <si>
    <t>6541</t>
    <phoneticPr fontId="2"/>
  </si>
  <si>
    <t>0092</t>
    <phoneticPr fontId="2"/>
  </si>
  <si>
    <t>小牧</t>
    <phoneticPr fontId="2"/>
  </si>
  <si>
    <t>PS増減台（19台）へのホールコン対応作業</t>
    <phoneticPr fontId="2"/>
  </si>
  <si>
    <t>6572</t>
    <phoneticPr fontId="2"/>
  </si>
  <si>
    <t>0010</t>
    <phoneticPr fontId="2"/>
  </si>
  <si>
    <t>袋井東西②</t>
    <phoneticPr fontId="2"/>
  </si>
  <si>
    <t>6530k</t>
    <phoneticPr fontId="2"/>
  </si>
  <si>
    <t>0111</t>
    <phoneticPr fontId="2"/>
  </si>
  <si>
    <t>綾瀬上土棚</t>
    <phoneticPr fontId="2"/>
  </si>
  <si>
    <t>0112</t>
    <phoneticPr fontId="2"/>
  </si>
  <si>
    <t>茅ヶ崎</t>
    <phoneticPr fontId="2"/>
  </si>
  <si>
    <t>0113</t>
    <phoneticPr fontId="2"/>
  </si>
  <si>
    <t>大山</t>
    <phoneticPr fontId="2"/>
  </si>
  <si>
    <t>0131</t>
    <phoneticPr fontId="2"/>
  </si>
  <si>
    <t>小松</t>
    <phoneticPr fontId="2"/>
  </si>
  <si>
    <t>0130</t>
    <phoneticPr fontId="2"/>
  </si>
  <si>
    <t>0139</t>
    <phoneticPr fontId="2"/>
  </si>
  <si>
    <t>金沢</t>
    <phoneticPr fontId="2"/>
  </si>
  <si>
    <t>0128</t>
    <phoneticPr fontId="2"/>
  </si>
  <si>
    <t>福久</t>
    <phoneticPr fontId="2"/>
  </si>
  <si>
    <t>0140</t>
    <phoneticPr fontId="2"/>
  </si>
  <si>
    <t>可児</t>
    <phoneticPr fontId="2"/>
  </si>
  <si>
    <t>0135</t>
    <phoneticPr fontId="2"/>
  </si>
  <si>
    <t>0136</t>
    <phoneticPr fontId="2"/>
  </si>
  <si>
    <t>津</t>
    <phoneticPr fontId="2"/>
  </si>
  <si>
    <t>0133</t>
    <phoneticPr fontId="2"/>
  </si>
  <si>
    <t>松阪</t>
    <phoneticPr fontId="2"/>
  </si>
  <si>
    <t>0117</t>
    <phoneticPr fontId="2"/>
  </si>
  <si>
    <t>0115</t>
    <phoneticPr fontId="2"/>
  </si>
  <si>
    <t>千葉北</t>
    <phoneticPr fontId="2"/>
  </si>
  <si>
    <t>0116</t>
    <phoneticPr fontId="2"/>
  </si>
  <si>
    <t>所沢</t>
    <phoneticPr fontId="2"/>
  </si>
  <si>
    <t>0050</t>
    <phoneticPr fontId="2"/>
  </si>
  <si>
    <t>PS減台（16台）へのホールコン対応作業</t>
    <phoneticPr fontId="2"/>
  </si>
  <si>
    <t>6551</t>
    <phoneticPr fontId="2"/>
  </si>
  <si>
    <t>TE01640746</t>
    <phoneticPr fontId="2"/>
  </si>
  <si>
    <t xml:space="preserve"> TE01640749  </t>
    <phoneticPr fontId="2"/>
  </si>
  <si>
    <t>上里</t>
    <phoneticPr fontId="28"/>
  </si>
  <si>
    <t>富士宮駅南</t>
    <phoneticPr fontId="2"/>
  </si>
  <si>
    <t>売上機変更（160台）へのホールコン対応作業</t>
    <phoneticPr fontId="2"/>
  </si>
  <si>
    <t>0198</t>
    <phoneticPr fontId="2"/>
  </si>
  <si>
    <t>0199</t>
    <phoneticPr fontId="2"/>
  </si>
  <si>
    <t>0200</t>
    <phoneticPr fontId="2"/>
  </si>
  <si>
    <t>秦野元町</t>
    <phoneticPr fontId="2"/>
  </si>
  <si>
    <t>佐世保</t>
    <phoneticPr fontId="2"/>
  </si>
  <si>
    <t>E30061270100</t>
    <phoneticPr fontId="2"/>
  </si>
  <si>
    <t>E30064720100</t>
    <phoneticPr fontId="2"/>
  </si>
  <si>
    <t>E30030720100</t>
    <phoneticPr fontId="2"/>
  </si>
  <si>
    <t>0202</t>
    <phoneticPr fontId="2"/>
  </si>
  <si>
    <t>新田</t>
    <phoneticPr fontId="2"/>
  </si>
  <si>
    <t xml:space="preserve">TE01641315 </t>
    <phoneticPr fontId="2"/>
  </si>
  <si>
    <t xml:space="preserve"> TE01641318 </t>
    <phoneticPr fontId="2"/>
  </si>
  <si>
    <t>0153</t>
    <phoneticPr fontId="2"/>
  </si>
  <si>
    <t>0154</t>
    <phoneticPr fontId="2"/>
  </si>
  <si>
    <t>0155</t>
    <phoneticPr fontId="2"/>
  </si>
  <si>
    <t>彦根</t>
    <phoneticPr fontId="2"/>
  </si>
  <si>
    <t>KKS老朽化更新（MDF）</t>
    <phoneticPr fontId="2"/>
  </si>
  <si>
    <t xml:space="preserve">TE01641460 </t>
    <phoneticPr fontId="2"/>
  </si>
  <si>
    <t>E30064420100</t>
    <phoneticPr fontId="2"/>
  </si>
  <si>
    <t>E30064430100</t>
    <phoneticPr fontId="2"/>
  </si>
  <si>
    <t>B&amp;Mソフトウエアサービス</t>
    <phoneticPr fontId="2"/>
  </si>
  <si>
    <t>E30065270100</t>
    <phoneticPr fontId="2"/>
  </si>
  <si>
    <t>E30065260100</t>
    <phoneticPr fontId="2"/>
  </si>
  <si>
    <t>E30065180100</t>
    <phoneticPr fontId="2"/>
  </si>
  <si>
    <t>E30030030100</t>
    <phoneticPr fontId="2"/>
  </si>
  <si>
    <t>E30029930100</t>
    <phoneticPr fontId="2"/>
  </si>
  <si>
    <t>0169</t>
    <phoneticPr fontId="2"/>
  </si>
  <si>
    <t>アカデミー</t>
    <phoneticPr fontId="2"/>
  </si>
  <si>
    <t>老朽化更新：マルチコントローラ導入工事</t>
    <phoneticPr fontId="2"/>
  </si>
  <si>
    <t>上小田井駅前店①</t>
    <phoneticPr fontId="2"/>
  </si>
  <si>
    <t>上小田井駅前店②</t>
    <phoneticPr fontId="2"/>
  </si>
  <si>
    <t>P増台（51台）へのホールコン対応作業</t>
    <phoneticPr fontId="2"/>
  </si>
  <si>
    <t>0209</t>
    <phoneticPr fontId="2"/>
  </si>
  <si>
    <t>6600</t>
    <phoneticPr fontId="2"/>
  </si>
  <si>
    <t>P増台（34台）へのホールコン対応作業</t>
    <phoneticPr fontId="2"/>
  </si>
  <si>
    <t>0210</t>
    <phoneticPr fontId="2"/>
  </si>
  <si>
    <t>－</t>
    <phoneticPr fontId="2"/>
  </si>
  <si>
    <t>依頼無</t>
    <phoneticPr fontId="2"/>
  </si>
  <si>
    <t>神山</t>
    <phoneticPr fontId="2"/>
  </si>
  <si>
    <t>E30029770100</t>
    <phoneticPr fontId="2"/>
  </si>
  <si>
    <t>E30065190100</t>
    <phoneticPr fontId="2"/>
  </si>
  <si>
    <t>E30065170100</t>
    <phoneticPr fontId="2"/>
  </si>
  <si>
    <t>E30064790100</t>
    <phoneticPr fontId="2"/>
  </si>
  <si>
    <t>E30064260100</t>
    <phoneticPr fontId="2"/>
  </si>
  <si>
    <t>0171</t>
    <phoneticPr fontId="2"/>
  </si>
  <si>
    <t>ＰＨＣ業務補助／10月度</t>
    <phoneticPr fontId="2"/>
  </si>
  <si>
    <t>森谷</t>
    <phoneticPr fontId="2"/>
  </si>
  <si>
    <t xml:space="preserve">TE01642428 </t>
    <phoneticPr fontId="2"/>
  </si>
  <si>
    <t xml:space="preserve">TE01642523 </t>
    <phoneticPr fontId="2"/>
  </si>
  <si>
    <t>TE01642525</t>
    <phoneticPr fontId="2"/>
  </si>
  <si>
    <t>E30030730100</t>
    <phoneticPr fontId="2"/>
  </si>
  <si>
    <t>E30061920100</t>
    <phoneticPr fontId="2"/>
  </si>
  <si>
    <t>遊ワークス</t>
    <phoneticPr fontId="2"/>
  </si>
  <si>
    <t>0217</t>
    <phoneticPr fontId="2"/>
  </si>
  <si>
    <t>茨島</t>
    <phoneticPr fontId="2"/>
  </si>
  <si>
    <t>M'sネット（TMDV（1台）撤去</t>
    <phoneticPr fontId="2"/>
  </si>
  <si>
    <t>NTT・ ギガらくＷｉ－Ｆｉ／ＡＰ移設</t>
    <phoneticPr fontId="2"/>
  </si>
  <si>
    <t>0218</t>
    <phoneticPr fontId="2"/>
  </si>
  <si>
    <t>新宿東宝ビル</t>
    <phoneticPr fontId="2"/>
  </si>
  <si>
    <t>0208</t>
    <phoneticPr fontId="2"/>
  </si>
  <si>
    <t>都筑</t>
    <phoneticPr fontId="2"/>
  </si>
  <si>
    <t xml:space="preserve">TE01642814 </t>
    <phoneticPr fontId="2"/>
  </si>
  <si>
    <t>0159</t>
    <phoneticPr fontId="2"/>
  </si>
  <si>
    <t>（追加作業）PS増減台（19台）へのホールコン対応作業</t>
    <phoneticPr fontId="2"/>
  </si>
  <si>
    <t>6590</t>
    <phoneticPr fontId="2"/>
  </si>
  <si>
    <t>0203</t>
    <phoneticPr fontId="2"/>
  </si>
  <si>
    <t>上里</t>
    <phoneticPr fontId="2"/>
  </si>
  <si>
    <t>0204</t>
    <phoneticPr fontId="2"/>
  </si>
  <si>
    <t>0205</t>
    <phoneticPr fontId="2"/>
  </si>
  <si>
    <t>高知一宮</t>
    <phoneticPr fontId="2"/>
  </si>
  <si>
    <t>0206</t>
    <phoneticPr fontId="2"/>
  </si>
  <si>
    <t>遊ワークス</t>
  </si>
  <si>
    <t>0219</t>
    <phoneticPr fontId="2"/>
  </si>
  <si>
    <t>八王子四谷</t>
    <phoneticPr fontId="2"/>
  </si>
  <si>
    <t>E30065880100</t>
    <phoneticPr fontId="2"/>
  </si>
  <si>
    <t>E30065890100</t>
    <phoneticPr fontId="2"/>
  </si>
  <si>
    <t xml:space="preserve">E30065930100 </t>
    <phoneticPr fontId="2"/>
  </si>
  <si>
    <t>E30065900100</t>
    <phoneticPr fontId="2"/>
  </si>
  <si>
    <t>E30065980100</t>
    <phoneticPr fontId="2"/>
  </si>
  <si>
    <t>E30065720100</t>
    <phoneticPr fontId="2"/>
  </si>
  <si>
    <t>E30066100100</t>
    <phoneticPr fontId="2"/>
  </si>
  <si>
    <t>E30066090100</t>
    <phoneticPr fontId="2"/>
  </si>
  <si>
    <t>E30066070100</t>
    <phoneticPr fontId="2"/>
  </si>
  <si>
    <t>0220</t>
    <phoneticPr fontId="2"/>
  </si>
  <si>
    <t>0222</t>
    <phoneticPr fontId="2"/>
  </si>
  <si>
    <t>東浦</t>
    <phoneticPr fontId="2"/>
  </si>
  <si>
    <t>PS増減台（50台）へのホールコン対応作業</t>
    <phoneticPr fontId="2"/>
  </si>
  <si>
    <t>6608</t>
    <phoneticPr fontId="2"/>
  </si>
  <si>
    <t>0224</t>
    <phoneticPr fontId="2"/>
  </si>
  <si>
    <t>E30062650106</t>
    <phoneticPr fontId="2"/>
  </si>
  <si>
    <t>TE01643497</t>
    <phoneticPr fontId="2"/>
  </si>
  <si>
    <t>TE01643580</t>
    <phoneticPr fontId="2"/>
  </si>
  <si>
    <t>0098</t>
    <phoneticPr fontId="2"/>
  </si>
  <si>
    <t>6562k</t>
    <phoneticPr fontId="2"/>
  </si>
  <si>
    <t>0053</t>
    <phoneticPr fontId="2"/>
  </si>
  <si>
    <t>青森柏</t>
    <phoneticPr fontId="2"/>
  </si>
  <si>
    <t>6554</t>
    <phoneticPr fontId="2"/>
  </si>
  <si>
    <t>E30066230100</t>
    <phoneticPr fontId="2"/>
  </si>
  <si>
    <t>E30066220100</t>
    <phoneticPr fontId="2"/>
  </si>
  <si>
    <t>0228</t>
    <phoneticPr fontId="2"/>
  </si>
  <si>
    <t>東新田</t>
    <phoneticPr fontId="2"/>
  </si>
  <si>
    <t>0229</t>
    <phoneticPr fontId="2"/>
  </si>
  <si>
    <t>柏林台</t>
    <phoneticPr fontId="2"/>
  </si>
  <si>
    <t>玉補給機交換（440台）に伴う作業</t>
    <phoneticPr fontId="2"/>
  </si>
  <si>
    <t>6612</t>
    <phoneticPr fontId="2"/>
  </si>
  <si>
    <t>0121</t>
    <phoneticPr fontId="2"/>
  </si>
  <si>
    <t>善通寺</t>
    <phoneticPr fontId="2"/>
  </si>
  <si>
    <t>0127</t>
    <phoneticPr fontId="2"/>
  </si>
  <si>
    <t>今治</t>
    <phoneticPr fontId="2"/>
  </si>
  <si>
    <t>0122</t>
    <phoneticPr fontId="2"/>
  </si>
  <si>
    <t>高知桟橋</t>
    <phoneticPr fontId="2"/>
  </si>
  <si>
    <t>0114</t>
    <phoneticPr fontId="2"/>
  </si>
  <si>
    <t>厚木北</t>
    <phoneticPr fontId="2"/>
  </si>
  <si>
    <t>0134</t>
    <phoneticPr fontId="2"/>
  </si>
  <si>
    <t>会津若松一箕</t>
    <phoneticPr fontId="2"/>
  </si>
  <si>
    <t>0137</t>
    <phoneticPr fontId="2"/>
  </si>
  <si>
    <t>郡山</t>
    <phoneticPr fontId="2"/>
  </si>
  <si>
    <t>0132</t>
    <phoneticPr fontId="2"/>
  </si>
  <si>
    <t>小名浜</t>
    <phoneticPr fontId="2"/>
  </si>
  <si>
    <t>0129</t>
    <phoneticPr fontId="2"/>
  </si>
  <si>
    <t>名取</t>
    <phoneticPr fontId="2"/>
  </si>
  <si>
    <t>0138</t>
    <phoneticPr fontId="2"/>
  </si>
  <si>
    <t>古川</t>
    <phoneticPr fontId="2"/>
  </si>
  <si>
    <t>0230</t>
    <phoneticPr fontId="2"/>
  </si>
  <si>
    <t xml:space="preserve"> TE01644222  </t>
    <phoneticPr fontId="2"/>
  </si>
  <si>
    <t xml:space="preserve"> TE01644095 </t>
    <phoneticPr fontId="2"/>
  </si>
  <si>
    <t>E30063360103</t>
    <phoneticPr fontId="2"/>
  </si>
  <si>
    <t>0234</t>
    <phoneticPr fontId="2"/>
  </si>
  <si>
    <t>水戸けやき台</t>
    <phoneticPr fontId="2"/>
  </si>
  <si>
    <t>個別計数機撤去（17台）へのホールコン対応作業</t>
    <phoneticPr fontId="2"/>
  </si>
  <si>
    <t>6617</t>
    <phoneticPr fontId="2"/>
  </si>
  <si>
    <t>E30030600100</t>
    <phoneticPr fontId="2"/>
  </si>
  <si>
    <t>E30066730100</t>
    <phoneticPr fontId="2"/>
  </si>
  <si>
    <t>E30066960100</t>
    <phoneticPr fontId="2"/>
  </si>
  <si>
    <t>E30066750100</t>
    <phoneticPr fontId="2"/>
  </si>
  <si>
    <t>E30066740100</t>
    <phoneticPr fontId="2"/>
  </si>
  <si>
    <t>E30066720100</t>
    <phoneticPr fontId="2"/>
  </si>
  <si>
    <t>0235</t>
    <phoneticPr fontId="2"/>
  </si>
  <si>
    <t>名寄</t>
    <phoneticPr fontId="2"/>
  </si>
  <si>
    <t>導入１年未満で店舗様無償、１年未満値引きあるため調達値引きなしとする</t>
    <phoneticPr fontId="2"/>
  </si>
  <si>
    <t>台コン・島コン（流通部品）の動作確認作業</t>
    <phoneticPr fontId="2"/>
  </si>
  <si>
    <t>0236</t>
    <phoneticPr fontId="2"/>
  </si>
  <si>
    <t>0237</t>
    <phoneticPr fontId="2"/>
  </si>
  <si>
    <t>岩見沢</t>
    <phoneticPr fontId="2"/>
  </si>
  <si>
    <t>E30066860100</t>
    <phoneticPr fontId="2"/>
  </si>
  <si>
    <t>E30066950100</t>
    <phoneticPr fontId="2"/>
  </si>
  <si>
    <t>E30066840100</t>
    <phoneticPr fontId="2"/>
  </si>
  <si>
    <t>E30066850100</t>
    <phoneticPr fontId="2"/>
  </si>
  <si>
    <t>E30067070100</t>
    <phoneticPr fontId="2"/>
  </si>
  <si>
    <t>E30056570100</t>
    <phoneticPr fontId="2"/>
  </si>
  <si>
    <t>TE01644847</t>
    <phoneticPr fontId="2"/>
  </si>
  <si>
    <t>0238</t>
    <phoneticPr fontId="2"/>
  </si>
  <si>
    <t>八斗島</t>
    <phoneticPr fontId="2"/>
  </si>
  <si>
    <t xml:space="preserve">TE01644919 </t>
    <phoneticPr fontId="2"/>
  </si>
  <si>
    <t xml:space="preserve"> TE01644932 </t>
    <phoneticPr fontId="2"/>
  </si>
  <si>
    <t>POSシステム向け／LANケーブル</t>
    <phoneticPr fontId="2"/>
  </si>
  <si>
    <t>0241</t>
    <phoneticPr fontId="2"/>
  </si>
  <si>
    <t>E30062650112</t>
    <phoneticPr fontId="2"/>
  </si>
  <si>
    <t>E30067310100</t>
    <phoneticPr fontId="2"/>
  </si>
  <si>
    <t>E30067250100</t>
    <phoneticPr fontId="2"/>
  </si>
  <si>
    <t>0243</t>
    <phoneticPr fontId="2"/>
  </si>
  <si>
    <t>小山</t>
    <phoneticPr fontId="2"/>
  </si>
  <si>
    <t>玉貸しC（180台）へのホールコン対応作業</t>
    <phoneticPr fontId="2"/>
  </si>
  <si>
    <t>6622</t>
    <phoneticPr fontId="2"/>
  </si>
  <si>
    <t>0244</t>
    <phoneticPr fontId="2"/>
  </si>
  <si>
    <t>赤塚</t>
    <phoneticPr fontId="2"/>
  </si>
  <si>
    <t>S→P（40台）／玉メダル貸しC（106台）へのホールコン対応作業</t>
    <phoneticPr fontId="2"/>
  </si>
  <si>
    <t>6619</t>
    <phoneticPr fontId="2"/>
  </si>
  <si>
    <t>0247</t>
    <phoneticPr fontId="2"/>
  </si>
  <si>
    <t>萩原東</t>
    <phoneticPr fontId="2"/>
  </si>
  <si>
    <t xml:space="preserve">TE01645455 </t>
    <phoneticPr fontId="2"/>
  </si>
  <si>
    <t>0248</t>
    <phoneticPr fontId="2"/>
  </si>
  <si>
    <t>袋井西</t>
    <phoneticPr fontId="2"/>
  </si>
  <si>
    <t>文元電気サービス</t>
  </si>
  <si>
    <t xml:space="preserve">TE01645586 </t>
    <phoneticPr fontId="2"/>
  </si>
  <si>
    <t>0167</t>
    <phoneticPr fontId="2"/>
  </si>
  <si>
    <t>S補給研磨機移設に伴う島内機器撤去再設置作業</t>
    <phoneticPr fontId="2"/>
  </si>
  <si>
    <t>6592</t>
    <phoneticPr fontId="2"/>
  </si>
  <si>
    <t>6540</t>
    <phoneticPr fontId="2"/>
  </si>
  <si>
    <t>0016</t>
    <phoneticPr fontId="2"/>
  </si>
  <si>
    <t>NTT／ギガらくWi-Fi導入工事</t>
    <phoneticPr fontId="2"/>
  </si>
  <si>
    <t>E30067380100</t>
    <phoneticPr fontId="2"/>
  </si>
  <si>
    <t>0041</t>
    <phoneticPr fontId="2"/>
  </si>
  <si>
    <t>大型計数機移設（１台）へのホールコン対応作業</t>
    <phoneticPr fontId="2"/>
  </si>
  <si>
    <t>6549</t>
    <phoneticPr fontId="2"/>
  </si>
  <si>
    <t>11/19中止</t>
  </si>
  <si>
    <t>0067</t>
    <phoneticPr fontId="2"/>
  </si>
  <si>
    <t>五所川原</t>
    <phoneticPr fontId="2"/>
  </si>
  <si>
    <t>S→P（36台）／玉メダル貸しC（36台）へのホールコン対応作業</t>
    <phoneticPr fontId="2"/>
  </si>
  <si>
    <t>6557</t>
    <phoneticPr fontId="2"/>
  </si>
  <si>
    <t>E30067960100</t>
    <phoneticPr fontId="2"/>
  </si>
  <si>
    <t>0164</t>
    <phoneticPr fontId="2"/>
  </si>
  <si>
    <t>S→P（40台）／玉メダル貸しC（160台）へのホールコン対応作業</t>
    <phoneticPr fontId="2"/>
  </si>
  <si>
    <t>6595</t>
    <phoneticPr fontId="2"/>
  </si>
  <si>
    <t>0257</t>
    <phoneticPr fontId="2"/>
  </si>
  <si>
    <t>白山D3_SONARトラブル対応</t>
    <phoneticPr fontId="2"/>
  </si>
  <si>
    <t>0054</t>
    <phoneticPr fontId="2"/>
  </si>
  <si>
    <t>個別計数機減台（40台）へのホールコン対応作業</t>
    <phoneticPr fontId="2"/>
  </si>
  <si>
    <t>6555</t>
    <phoneticPr fontId="2"/>
  </si>
  <si>
    <t>11/24中止</t>
  </si>
  <si>
    <t>メダル貸しC（65台）へのホールコン対応作業</t>
    <phoneticPr fontId="2"/>
  </si>
  <si>
    <t>0259</t>
    <phoneticPr fontId="2"/>
  </si>
  <si>
    <t>TE01647528</t>
    <phoneticPr fontId="2"/>
  </si>
  <si>
    <t>TE01647498</t>
    <phoneticPr fontId="2"/>
  </si>
  <si>
    <t>E30068180100</t>
    <phoneticPr fontId="2"/>
  </si>
  <si>
    <t>TE01647720</t>
    <phoneticPr fontId="2"/>
  </si>
  <si>
    <t>E30068170100</t>
    <phoneticPr fontId="2"/>
  </si>
  <si>
    <t>E30068160100</t>
    <phoneticPr fontId="2"/>
  </si>
  <si>
    <t>E30068060100</t>
    <phoneticPr fontId="2"/>
  </si>
  <si>
    <t>E30068040100</t>
    <phoneticPr fontId="2"/>
  </si>
  <si>
    <t>E30068330100</t>
    <phoneticPr fontId="2"/>
  </si>
  <si>
    <t>E30068340100</t>
    <phoneticPr fontId="2"/>
  </si>
  <si>
    <t>E30068370100</t>
    <phoneticPr fontId="2"/>
  </si>
  <si>
    <t>TE01647988</t>
    <phoneticPr fontId="2"/>
  </si>
  <si>
    <t>0262</t>
    <phoneticPr fontId="2"/>
  </si>
  <si>
    <t>サンスター徳島工場・上位通信テスト対応</t>
    <phoneticPr fontId="2"/>
  </si>
  <si>
    <t>0263</t>
    <phoneticPr fontId="2"/>
  </si>
  <si>
    <t>0126</t>
    <phoneticPr fontId="2"/>
  </si>
  <si>
    <t>0124</t>
    <phoneticPr fontId="2"/>
  </si>
  <si>
    <t>佐賀</t>
    <phoneticPr fontId="2"/>
  </si>
  <si>
    <t>0118</t>
    <phoneticPr fontId="2"/>
  </si>
  <si>
    <t>荒尾</t>
    <phoneticPr fontId="2"/>
  </si>
  <si>
    <t>0119</t>
    <phoneticPr fontId="2"/>
  </si>
  <si>
    <t>高城</t>
    <phoneticPr fontId="2"/>
  </si>
  <si>
    <t>0125</t>
    <phoneticPr fontId="2"/>
  </si>
  <si>
    <t>大分古国府</t>
    <phoneticPr fontId="2"/>
  </si>
  <si>
    <t>0120</t>
    <phoneticPr fontId="2"/>
  </si>
  <si>
    <t>中津</t>
    <phoneticPr fontId="2"/>
  </si>
  <si>
    <t>E30068800100</t>
    <phoneticPr fontId="2"/>
  </si>
  <si>
    <t>E30068730100</t>
    <phoneticPr fontId="2"/>
  </si>
  <si>
    <t>E30068580100</t>
    <phoneticPr fontId="2"/>
  </si>
  <si>
    <t>E30068380100</t>
    <phoneticPr fontId="2"/>
  </si>
  <si>
    <t>E30068550100</t>
    <phoneticPr fontId="2"/>
  </si>
  <si>
    <t>0123</t>
    <phoneticPr fontId="2"/>
  </si>
  <si>
    <t>下松</t>
    <phoneticPr fontId="2"/>
  </si>
  <si>
    <t>0095</t>
    <phoneticPr fontId="2"/>
  </si>
  <si>
    <t>保守作業／TMDVタッチモニター交換</t>
    <phoneticPr fontId="2"/>
  </si>
  <si>
    <t>№0226で実施</t>
  </si>
  <si>
    <t>0021</t>
    <phoneticPr fontId="2"/>
  </si>
  <si>
    <t>E30067770100</t>
    <phoneticPr fontId="2"/>
  </si>
  <si>
    <t xml:space="preserve"> E30067780100</t>
    <phoneticPr fontId="2"/>
  </si>
  <si>
    <t>0265</t>
    <phoneticPr fontId="2"/>
  </si>
  <si>
    <t>高橋電機商会</t>
  </si>
  <si>
    <t>0239</t>
    <phoneticPr fontId="2"/>
  </si>
  <si>
    <t>保守作業／再発対応</t>
    <phoneticPr fontId="2"/>
  </si>
  <si>
    <t>保守受付業務補助／10月度</t>
    <phoneticPr fontId="2"/>
  </si>
  <si>
    <t>0266</t>
  </si>
  <si>
    <t>保守受付業務補助／11月度</t>
  </si>
  <si>
    <t>TE01648837</t>
    <phoneticPr fontId="2"/>
  </si>
  <si>
    <t>0178</t>
    <phoneticPr fontId="2"/>
  </si>
  <si>
    <t>此花島屋</t>
    <phoneticPr fontId="2"/>
  </si>
  <si>
    <t>0182</t>
    <phoneticPr fontId="2"/>
  </si>
  <si>
    <t>なんば新館</t>
    <phoneticPr fontId="2"/>
  </si>
  <si>
    <t>0179</t>
    <phoneticPr fontId="2"/>
  </si>
  <si>
    <t>中石切</t>
    <phoneticPr fontId="2"/>
  </si>
  <si>
    <t>0184</t>
    <phoneticPr fontId="2"/>
  </si>
  <si>
    <t>水走</t>
    <phoneticPr fontId="2"/>
  </si>
  <si>
    <t>0181</t>
    <phoneticPr fontId="2"/>
  </si>
  <si>
    <t>東大阪</t>
    <phoneticPr fontId="2"/>
  </si>
  <si>
    <t>0183</t>
    <phoneticPr fontId="2"/>
  </si>
  <si>
    <t>布施</t>
    <phoneticPr fontId="2"/>
  </si>
  <si>
    <t>台コン更新(E→F)に伴う変更工事／本工事</t>
    <phoneticPr fontId="2"/>
  </si>
  <si>
    <t>6528①</t>
    <phoneticPr fontId="2"/>
  </si>
  <si>
    <t>台コン更新(E→F)に伴う変更工事／撤去工事</t>
    <phoneticPr fontId="2"/>
  </si>
  <si>
    <t>6528②</t>
    <phoneticPr fontId="2"/>
  </si>
  <si>
    <t>0268</t>
    <phoneticPr fontId="2"/>
  </si>
  <si>
    <t>0269</t>
    <phoneticPr fontId="2"/>
  </si>
  <si>
    <t xml:space="preserve">TE01648829 </t>
    <phoneticPr fontId="2"/>
  </si>
  <si>
    <t>0144</t>
    <phoneticPr fontId="2"/>
  </si>
  <si>
    <t>開発案件テスト作業（来店ポイント）</t>
    <phoneticPr fontId="2"/>
  </si>
  <si>
    <t>E30068410100</t>
    <phoneticPr fontId="2"/>
  </si>
  <si>
    <t>0231</t>
    <phoneticPr fontId="2"/>
  </si>
  <si>
    <t>能代</t>
    <phoneticPr fontId="2"/>
  </si>
  <si>
    <t>M'sネット（TMDVｰS（1台）撤去</t>
    <phoneticPr fontId="2"/>
  </si>
  <si>
    <t>6614</t>
    <phoneticPr fontId="2"/>
  </si>
  <si>
    <t>E30069460100</t>
    <phoneticPr fontId="2"/>
  </si>
  <si>
    <t>6633</t>
    <phoneticPr fontId="2"/>
  </si>
  <si>
    <t>0249</t>
    <phoneticPr fontId="2"/>
  </si>
  <si>
    <t>6625</t>
    <phoneticPr fontId="2"/>
  </si>
  <si>
    <t>6601</t>
    <phoneticPr fontId="2"/>
  </si>
  <si>
    <t>0227</t>
    <phoneticPr fontId="2"/>
  </si>
  <si>
    <t>鶴岡</t>
    <phoneticPr fontId="2"/>
  </si>
  <si>
    <t>大型計数機撤去（4台）へのホールコン対応作業</t>
    <phoneticPr fontId="2"/>
  </si>
  <si>
    <t>6611</t>
    <phoneticPr fontId="2"/>
  </si>
  <si>
    <t>6561</t>
    <phoneticPr fontId="2"/>
  </si>
  <si>
    <t>0258</t>
    <phoneticPr fontId="2"/>
  </si>
  <si>
    <t>峰山</t>
    <phoneticPr fontId="2"/>
  </si>
  <si>
    <t>0195</t>
    <phoneticPr fontId="2"/>
  </si>
  <si>
    <t>上小田井駅前</t>
    <phoneticPr fontId="2"/>
  </si>
  <si>
    <t>0185</t>
    <phoneticPr fontId="2"/>
  </si>
  <si>
    <t>0192</t>
    <phoneticPr fontId="2"/>
  </si>
  <si>
    <t>木曽川</t>
    <phoneticPr fontId="2"/>
  </si>
  <si>
    <t>0194</t>
    <phoneticPr fontId="2"/>
  </si>
  <si>
    <t>岐阜六条</t>
    <phoneticPr fontId="2"/>
  </si>
  <si>
    <t>0188</t>
    <phoneticPr fontId="2"/>
  </si>
  <si>
    <t>新守山駅前</t>
    <phoneticPr fontId="2"/>
  </si>
  <si>
    <t>0187</t>
    <phoneticPr fontId="2"/>
  </si>
  <si>
    <t>0193</t>
    <phoneticPr fontId="2"/>
  </si>
  <si>
    <t>中川</t>
    <phoneticPr fontId="2"/>
  </si>
  <si>
    <t>0189</t>
    <phoneticPr fontId="2"/>
  </si>
  <si>
    <t>安城</t>
    <phoneticPr fontId="2"/>
  </si>
  <si>
    <t>0190</t>
    <phoneticPr fontId="2"/>
  </si>
  <si>
    <t>0180</t>
    <phoneticPr fontId="2"/>
  </si>
  <si>
    <t>加古川</t>
    <phoneticPr fontId="2"/>
  </si>
  <si>
    <t>0186</t>
    <phoneticPr fontId="2"/>
  </si>
  <si>
    <t>姫路野里</t>
    <phoneticPr fontId="28"/>
  </si>
  <si>
    <t>6624</t>
    <phoneticPr fontId="2"/>
  </si>
  <si>
    <t>0177</t>
    <phoneticPr fontId="2"/>
  </si>
  <si>
    <t>川崎桜本</t>
    <phoneticPr fontId="28"/>
  </si>
  <si>
    <t>0176</t>
    <phoneticPr fontId="2"/>
  </si>
  <si>
    <t>0158</t>
    <phoneticPr fontId="2"/>
  </si>
  <si>
    <t>メダル貸しC（50台）へのホールコン対応作業</t>
    <phoneticPr fontId="2"/>
  </si>
  <si>
    <t>6589</t>
    <phoneticPr fontId="2"/>
  </si>
  <si>
    <t>0055</t>
    <phoneticPr fontId="2"/>
  </si>
  <si>
    <t>沼津</t>
    <phoneticPr fontId="2"/>
  </si>
  <si>
    <t>個別計数機増減台（160台）へのホールコン対応作業</t>
    <phoneticPr fontId="2"/>
  </si>
  <si>
    <t>6556</t>
    <phoneticPr fontId="2"/>
  </si>
  <si>
    <t>0201</t>
    <phoneticPr fontId="2"/>
  </si>
  <si>
    <t>カウンタPC撤去再設置作業</t>
    <phoneticPr fontId="2"/>
  </si>
  <si>
    <t>6599</t>
    <phoneticPr fontId="2"/>
  </si>
  <si>
    <t>0191</t>
    <phoneticPr fontId="2"/>
  </si>
  <si>
    <t>富山</t>
    <phoneticPr fontId="2"/>
  </si>
  <si>
    <t>0096</t>
    <phoneticPr fontId="2"/>
  </si>
  <si>
    <t>土浦</t>
    <phoneticPr fontId="2"/>
  </si>
  <si>
    <t>6573</t>
    <phoneticPr fontId="2"/>
  </si>
  <si>
    <t>0275</t>
    <phoneticPr fontId="2"/>
  </si>
  <si>
    <t>ホールコンサポートセンター受付業務(12月分)　北日本カンパニー</t>
    <phoneticPr fontId="2"/>
  </si>
  <si>
    <t>0276</t>
    <phoneticPr fontId="2"/>
  </si>
  <si>
    <t>ホールコンサポートセンター受付業務(12月分)　東日本カンパニー</t>
    <phoneticPr fontId="2"/>
  </si>
  <si>
    <t>0277</t>
    <phoneticPr fontId="2"/>
  </si>
  <si>
    <t>ホールコンサポートセンター受付業務(12月分)　西日本カンパニー</t>
    <phoneticPr fontId="2"/>
  </si>
  <si>
    <t>0278</t>
    <phoneticPr fontId="2"/>
  </si>
  <si>
    <t>携帯システム関連／保守料(12月分)</t>
    <phoneticPr fontId="2"/>
  </si>
  <si>
    <t>美しが丘</t>
    <phoneticPr fontId="2"/>
  </si>
  <si>
    <t>苗穂</t>
    <phoneticPr fontId="2"/>
  </si>
  <si>
    <t>江別</t>
    <phoneticPr fontId="2"/>
  </si>
  <si>
    <t>手稲</t>
    <phoneticPr fontId="2"/>
  </si>
  <si>
    <t>函館大門</t>
    <phoneticPr fontId="2"/>
  </si>
  <si>
    <t>仙台新港</t>
    <phoneticPr fontId="2"/>
  </si>
  <si>
    <t>石巻</t>
    <phoneticPr fontId="2"/>
  </si>
  <si>
    <t>むつ</t>
    <phoneticPr fontId="2"/>
  </si>
  <si>
    <t>十和田</t>
    <phoneticPr fontId="2"/>
  </si>
  <si>
    <t>青森下田</t>
    <phoneticPr fontId="2"/>
  </si>
  <si>
    <t>八戸</t>
    <phoneticPr fontId="2"/>
  </si>
  <si>
    <t>七尾</t>
    <phoneticPr fontId="2"/>
  </si>
  <si>
    <t>東三条</t>
    <phoneticPr fontId="2"/>
  </si>
  <si>
    <t>E30069720100</t>
    <phoneticPr fontId="2"/>
  </si>
  <si>
    <t>E30068570100</t>
    <phoneticPr fontId="2"/>
  </si>
  <si>
    <t>E30069030100</t>
    <phoneticPr fontId="2"/>
  </si>
  <si>
    <t>TE01649435</t>
    <phoneticPr fontId="2"/>
  </si>
  <si>
    <t>0316</t>
    <phoneticPr fontId="2"/>
  </si>
  <si>
    <t>小岩パチンコ館</t>
    <phoneticPr fontId="2"/>
  </si>
  <si>
    <t>12</t>
  </si>
  <si>
    <t>KKS老朽化更新（MDNH）</t>
    <phoneticPr fontId="2"/>
  </si>
  <si>
    <t>0326</t>
    <phoneticPr fontId="2"/>
  </si>
  <si>
    <t>浜松泉</t>
    <phoneticPr fontId="2"/>
  </si>
  <si>
    <t>0327</t>
    <phoneticPr fontId="2"/>
  </si>
  <si>
    <t>若林</t>
    <phoneticPr fontId="2"/>
  </si>
  <si>
    <t xml:space="preserve">TE01649566 </t>
    <phoneticPr fontId="2"/>
  </si>
  <si>
    <t>0329</t>
    <phoneticPr fontId="2"/>
  </si>
  <si>
    <t>E30062650121</t>
    <phoneticPr fontId="2"/>
  </si>
  <si>
    <t xml:space="preserve">TE01649816 </t>
    <phoneticPr fontId="2"/>
  </si>
  <si>
    <t>0086</t>
    <phoneticPr fontId="2"/>
  </si>
  <si>
    <t>6568</t>
    <phoneticPr fontId="2"/>
  </si>
  <si>
    <t>0088</t>
    <phoneticPr fontId="2"/>
  </si>
  <si>
    <t>玉貸しC（36台）へのホールコン対応作業</t>
    <phoneticPr fontId="2"/>
  </si>
  <si>
    <t>6570</t>
    <phoneticPr fontId="2"/>
  </si>
  <si>
    <t>0102</t>
    <phoneticPr fontId="2"/>
  </si>
  <si>
    <t>仙台泉</t>
    <phoneticPr fontId="2"/>
  </si>
  <si>
    <t>6576</t>
    <phoneticPr fontId="2"/>
  </si>
  <si>
    <t>0166</t>
    <phoneticPr fontId="2"/>
  </si>
  <si>
    <t>新発田</t>
    <phoneticPr fontId="2"/>
  </si>
  <si>
    <t>PS増減台（54台）へのホールコン対応作業</t>
    <phoneticPr fontId="2"/>
  </si>
  <si>
    <t>6593</t>
    <phoneticPr fontId="2"/>
  </si>
  <si>
    <t>E30069390100</t>
    <phoneticPr fontId="2"/>
  </si>
  <si>
    <t>0223</t>
    <phoneticPr fontId="2"/>
  </si>
  <si>
    <t>法隆寺インター</t>
    <phoneticPr fontId="2"/>
  </si>
  <si>
    <t>玉貸しC（78台）へのホールコン対応作業</t>
    <phoneticPr fontId="2"/>
  </si>
  <si>
    <t>6609</t>
    <phoneticPr fontId="2"/>
  </si>
  <si>
    <t>E30069270100</t>
    <phoneticPr fontId="2"/>
  </si>
  <si>
    <t>0146</t>
    <phoneticPr fontId="2"/>
  </si>
  <si>
    <t>平沢</t>
    <phoneticPr fontId="2"/>
  </si>
  <si>
    <t>S→P（40台）／玉メダル貸しC（80台）へのホールコン対応作業</t>
    <phoneticPr fontId="2"/>
  </si>
  <si>
    <t>6583</t>
    <phoneticPr fontId="2"/>
  </si>
  <si>
    <t>0107</t>
    <phoneticPr fontId="2"/>
  </si>
  <si>
    <t>川越</t>
    <phoneticPr fontId="2"/>
  </si>
  <si>
    <t>S→P（38台）へのホールコン対応作業</t>
    <phoneticPr fontId="2"/>
  </si>
  <si>
    <t>6577</t>
    <phoneticPr fontId="2"/>
  </si>
  <si>
    <t>0225</t>
    <phoneticPr fontId="2"/>
  </si>
  <si>
    <t>（追加工事）S→P（38台）へのホールコン対応作業</t>
    <phoneticPr fontId="2"/>
  </si>
  <si>
    <t>6577k</t>
    <phoneticPr fontId="2"/>
  </si>
  <si>
    <t>0335</t>
    <phoneticPr fontId="2"/>
  </si>
  <si>
    <t>POS老朽化更新作業／11月度</t>
    <phoneticPr fontId="2"/>
  </si>
  <si>
    <t>E30067450100</t>
    <phoneticPr fontId="2"/>
  </si>
  <si>
    <t>E30069350100</t>
    <phoneticPr fontId="2"/>
  </si>
  <si>
    <t>E30069370100</t>
    <phoneticPr fontId="2"/>
  </si>
  <si>
    <t>E30070480100</t>
    <phoneticPr fontId="2"/>
  </si>
  <si>
    <t>E30070490100</t>
    <phoneticPr fontId="2"/>
  </si>
  <si>
    <t>E30070500100</t>
    <phoneticPr fontId="2"/>
  </si>
  <si>
    <t>E30070030100</t>
    <phoneticPr fontId="2"/>
  </si>
  <si>
    <t>0264</t>
    <phoneticPr fontId="2"/>
  </si>
  <si>
    <t>草津</t>
    <phoneticPr fontId="2"/>
  </si>
  <si>
    <t>TE01648195</t>
    <phoneticPr fontId="2"/>
  </si>
  <si>
    <t xml:space="preserve"> TE01650257 </t>
    <phoneticPr fontId="2"/>
  </si>
  <si>
    <t xml:space="preserve">TE01650259 </t>
    <phoneticPr fontId="2"/>
  </si>
  <si>
    <t>0143</t>
    <phoneticPr fontId="2"/>
  </si>
  <si>
    <t>開発案件テスト作業(セルフPOS機能追加）</t>
    <phoneticPr fontId="2"/>
  </si>
  <si>
    <t>0337</t>
    <phoneticPr fontId="2"/>
  </si>
  <si>
    <t>藤枝駅南パチンコ館</t>
    <phoneticPr fontId="2"/>
  </si>
  <si>
    <t>0336</t>
    <phoneticPr fontId="2"/>
  </si>
  <si>
    <t>開発案件テスト作業(W-Hornet集計期間拡張）</t>
    <phoneticPr fontId="2"/>
  </si>
  <si>
    <t>0339</t>
    <phoneticPr fontId="2"/>
  </si>
  <si>
    <t>0157</t>
    <phoneticPr fontId="2"/>
  </si>
  <si>
    <t>6588</t>
    <phoneticPr fontId="2"/>
  </si>
  <si>
    <t>12/6中止</t>
  </si>
  <si>
    <t>E30050290100</t>
    <phoneticPr fontId="2"/>
  </si>
  <si>
    <t>MDF→MDHNに変更</t>
    <phoneticPr fontId="2"/>
  </si>
  <si>
    <t>0085</t>
    <phoneticPr fontId="2"/>
  </si>
  <si>
    <t>6567</t>
    <phoneticPr fontId="2"/>
  </si>
  <si>
    <t>E30068830100</t>
    <phoneticPr fontId="2"/>
  </si>
  <si>
    <t>0213</t>
    <phoneticPr fontId="2"/>
  </si>
  <si>
    <t>PS増減台（12台）へのホールコン対応作業</t>
    <phoneticPr fontId="2"/>
  </si>
  <si>
    <t>6604</t>
    <phoneticPr fontId="2"/>
  </si>
  <si>
    <t>TE01646677</t>
    <phoneticPr fontId="2"/>
  </si>
  <si>
    <t>0175</t>
    <phoneticPr fontId="2"/>
  </si>
  <si>
    <t>0196</t>
    <phoneticPr fontId="2"/>
  </si>
  <si>
    <t>富山インター</t>
    <phoneticPr fontId="2"/>
  </si>
  <si>
    <t>0197</t>
    <phoneticPr fontId="2"/>
  </si>
  <si>
    <t>韮崎</t>
    <phoneticPr fontId="2"/>
  </si>
  <si>
    <t>ホストコンピュータ型番変更に伴う製造評価作業</t>
    <phoneticPr fontId="2"/>
  </si>
  <si>
    <t>セキュリティコンピュータ型番変更に伴う製造評価作業</t>
    <phoneticPr fontId="2"/>
  </si>
  <si>
    <t>0344</t>
    <phoneticPr fontId="2"/>
  </si>
  <si>
    <t>0345</t>
    <phoneticPr fontId="2"/>
  </si>
  <si>
    <t>E30069330100</t>
    <phoneticPr fontId="2"/>
  </si>
  <si>
    <t>0147</t>
    <phoneticPr fontId="2"/>
  </si>
  <si>
    <t>釧路</t>
    <phoneticPr fontId="2"/>
  </si>
  <si>
    <t>S→P（32台）／玉貸しC（64台）へのホールコン対応作業</t>
    <phoneticPr fontId="2"/>
  </si>
  <si>
    <t>6582</t>
    <phoneticPr fontId="2"/>
  </si>
  <si>
    <t>長岡平島</t>
    <phoneticPr fontId="2"/>
  </si>
  <si>
    <t>0346</t>
    <phoneticPr fontId="2"/>
  </si>
  <si>
    <t>KKS緊急老朽化更新(CL)</t>
    <phoneticPr fontId="2"/>
  </si>
  <si>
    <t>0011</t>
    <phoneticPr fontId="2"/>
  </si>
  <si>
    <t>酒田</t>
    <phoneticPr fontId="2"/>
  </si>
  <si>
    <t>6539</t>
    <phoneticPr fontId="2"/>
  </si>
  <si>
    <t>0030</t>
    <phoneticPr fontId="2"/>
  </si>
  <si>
    <t>カウンタコンピュータ移設作業</t>
    <phoneticPr fontId="2"/>
  </si>
  <si>
    <t>6544</t>
    <phoneticPr fontId="2"/>
  </si>
  <si>
    <t>12/6見積有効期限切れ</t>
  </si>
  <si>
    <t>12/5見積有効期限切れ</t>
  </si>
  <si>
    <t>0350</t>
    <phoneticPr fontId="2"/>
  </si>
  <si>
    <t>POS老朽化更新／11月度</t>
    <phoneticPr fontId="2"/>
  </si>
  <si>
    <t>E30071430100</t>
    <phoneticPr fontId="2"/>
  </si>
  <si>
    <t>E30071870100</t>
    <phoneticPr fontId="2"/>
  </si>
  <si>
    <t>E30071910100</t>
    <phoneticPr fontId="2"/>
  </si>
  <si>
    <t>E30071920100</t>
    <phoneticPr fontId="2"/>
  </si>
  <si>
    <t>E30071370100</t>
    <phoneticPr fontId="2"/>
  </si>
  <si>
    <t>E30071350100</t>
    <phoneticPr fontId="2"/>
  </si>
  <si>
    <t>E30070660100</t>
    <phoneticPr fontId="2"/>
  </si>
  <si>
    <t>E30072000100</t>
    <phoneticPr fontId="2"/>
  </si>
  <si>
    <t>E30072290100</t>
    <phoneticPr fontId="2"/>
  </si>
  <si>
    <t>E30072270100</t>
    <phoneticPr fontId="2"/>
  </si>
  <si>
    <t>E30072410100</t>
    <phoneticPr fontId="2"/>
  </si>
  <si>
    <t>E30072010100</t>
    <phoneticPr fontId="2"/>
  </si>
  <si>
    <t>E30071960100</t>
    <phoneticPr fontId="2"/>
  </si>
  <si>
    <t>E30071440100</t>
    <phoneticPr fontId="2"/>
  </si>
  <si>
    <t>E30071460100</t>
    <phoneticPr fontId="2"/>
  </si>
  <si>
    <t>E30071470100</t>
    <phoneticPr fontId="2"/>
  </si>
  <si>
    <t>E30071950100</t>
    <phoneticPr fontId="2"/>
  </si>
  <si>
    <t>E30068560100</t>
    <phoneticPr fontId="2"/>
  </si>
  <si>
    <t>E30070680100</t>
    <phoneticPr fontId="2"/>
  </si>
  <si>
    <t>E30070640100</t>
    <phoneticPr fontId="2"/>
  </si>
  <si>
    <t>E30070940100</t>
    <phoneticPr fontId="2"/>
  </si>
  <si>
    <t>E30071360100</t>
    <phoneticPr fontId="2"/>
  </si>
  <si>
    <t>E30071480100</t>
    <phoneticPr fontId="2"/>
  </si>
  <si>
    <t>0353</t>
    <phoneticPr fontId="2"/>
  </si>
  <si>
    <t>前橋インター</t>
    <phoneticPr fontId="2"/>
  </si>
  <si>
    <t>個別計数機撤去（40台）へのホールコン対応作業／追加工事</t>
    <phoneticPr fontId="2"/>
  </si>
  <si>
    <t>6616k</t>
    <phoneticPr fontId="2"/>
  </si>
  <si>
    <t>0332</t>
    <phoneticPr fontId="2"/>
  </si>
  <si>
    <t>大野</t>
    <phoneticPr fontId="2"/>
  </si>
  <si>
    <t>P増台（20台）へのホールコン対応作業</t>
    <phoneticPr fontId="2"/>
  </si>
  <si>
    <t>6652ｋ</t>
    <phoneticPr fontId="2"/>
  </si>
  <si>
    <t xml:space="preserve"> TE01653072 </t>
    <phoneticPr fontId="2"/>
  </si>
  <si>
    <t xml:space="preserve"> TE01653142 </t>
    <phoneticPr fontId="2"/>
  </si>
  <si>
    <t>前橋天川大島</t>
    <phoneticPr fontId="2"/>
  </si>
  <si>
    <t>0347</t>
    <phoneticPr fontId="2"/>
  </si>
  <si>
    <t>E30069020100</t>
    <phoneticPr fontId="2"/>
  </si>
  <si>
    <t>E30068820100</t>
    <phoneticPr fontId="2"/>
  </si>
  <si>
    <t>TE01653193</t>
    <phoneticPr fontId="2"/>
  </si>
  <si>
    <t xml:space="preserve"> TE01653313 </t>
    <phoneticPr fontId="2"/>
  </si>
  <si>
    <t xml:space="preserve">TE01653318 </t>
    <phoneticPr fontId="2"/>
  </si>
  <si>
    <t>0360</t>
  </si>
  <si>
    <t>0362</t>
    <phoneticPr fontId="2"/>
  </si>
  <si>
    <t>中標津</t>
    <phoneticPr fontId="2"/>
  </si>
  <si>
    <t>0364</t>
    <phoneticPr fontId="2"/>
  </si>
  <si>
    <t>0343</t>
    <phoneticPr fontId="2"/>
  </si>
  <si>
    <t>根室</t>
    <phoneticPr fontId="2"/>
  </si>
  <si>
    <t>PS増減台（32台）へのホールコン対応作業</t>
    <phoneticPr fontId="2"/>
  </si>
  <si>
    <t>6659</t>
    <phoneticPr fontId="2"/>
  </si>
  <si>
    <t>0348</t>
    <phoneticPr fontId="2"/>
  </si>
  <si>
    <t>東大和</t>
    <phoneticPr fontId="2"/>
  </si>
  <si>
    <t>0216</t>
    <phoneticPr fontId="2"/>
  </si>
  <si>
    <t>島田</t>
    <phoneticPr fontId="2"/>
  </si>
  <si>
    <t>KKS保守作業</t>
    <phoneticPr fontId="2"/>
  </si>
  <si>
    <t>0349</t>
    <phoneticPr fontId="2"/>
  </si>
  <si>
    <t>木場</t>
    <phoneticPr fontId="2"/>
  </si>
  <si>
    <t>E30069800100</t>
    <phoneticPr fontId="2"/>
  </si>
  <si>
    <t xml:space="preserve"> E30051100100</t>
    <phoneticPr fontId="2"/>
  </si>
  <si>
    <t>E30072700100</t>
    <phoneticPr fontId="2"/>
  </si>
  <si>
    <t>E30072690100</t>
    <phoneticPr fontId="2"/>
  </si>
  <si>
    <t>0341</t>
    <phoneticPr fontId="2"/>
  </si>
  <si>
    <t>河渡</t>
    <phoneticPr fontId="2"/>
  </si>
  <si>
    <t>PS増台（40台）へのホールコン対応作業</t>
    <phoneticPr fontId="2"/>
  </si>
  <si>
    <t>6657</t>
    <phoneticPr fontId="2"/>
  </si>
  <si>
    <t>E30072960100</t>
    <phoneticPr fontId="2"/>
  </si>
  <si>
    <t>E30072930100</t>
    <phoneticPr fontId="2"/>
  </si>
  <si>
    <t>0221</t>
    <phoneticPr fontId="2"/>
  </si>
  <si>
    <t>P増台（40台）／玉貸しC（40台）へのホールコン対応作業</t>
    <phoneticPr fontId="2"/>
  </si>
  <si>
    <t>6607</t>
    <phoneticPr fontId="2"/>
  </si>
  <si>
    <t>TE01653900</t>
    <phoneticPr fontId="2"/>
  </si>
  <si>
    <t>LAN敷設作業（事務所モニタラック～GM室）</t>
    <phoneticPr fontId="2"/>
  </si>
  <si>
    <t>0365</t>
    <phoneticPr fontId="2"/>
  </si>
  <si>
    <t>PS増減台（80台）へのホールコン対応作業</t>
    <phoneticPr fontId="2"/>
  </si>
  <si>
    <t>0366</t>
    <phoneticPr fontId="2"/>
  </si>
  <si>
    <t>6672</t>
    <phoneticPr fontId="2"/>
  </si>
  <si>
    <t>なんば本館スロット館</t>
    <phoneticPr fontId="2"/>
  </si>
  <si>
    <t>0351</t>
    <phoneticPr fontId="2"/>
  </si>
  <si>
    <t>北加賀屋</t>
    <phoneticPr fontId="2"/>
  </si>
  <si>
    <t>PS増減台（58台）へのホールコン対応作業</t>
    <phoneticPr fontId="2"/>
  </si>
  <si>
    <t>0367</t>
    <phoneticPr fontId="2"/>
  </si>
  <si>
    <t>0212</t>
    <phoneticPr fontId="2"/>
  </si>
  <si>
    <t>白石</t>
    <phoneticPr fontId="2"/>
  </si>
  <si>
    <t>メダル貸しC（118台）へのホールコン対応作業</t>
    <phoneticPr fontId="2"/>
  </si>
  <si>
    <t>6603</t>
    <phoneticPr fontId="2"/>
  </si>
  <si>
    <t>0232</t>
    <phoneticPr fontId="2"/>
  </si>
  <si>
    <t>PS増減台（46台）へのホールコン対応作業</t>
    <phoneticPr fontId="2"/>
  </si>
  <si>
    <t>6615</t>
    <phoneticPr fontId="2"/>
  </si>
  <si>
    <t>0250</t>
    <phoneticPr fontId="2"/>
  </si>
  <si>
    <t>PS増減台（47台）へのホールコン対応作業</t>
    <phoneticPr fontId="2"/>
  </si>
  <si>
    <t>6626</t>
    <phoneticPr fontId="2"/>
  </si>
  <si>
    <t>0172</t>
    <phoneticPr fontId="2"/>
  </si>
  <si>
    <t>売上機変更（360台）へのホールコン対応作業</t>
    <phoneticPr fontId="2"/>
  </si>
  <si>
    <t>6596</t>
    <phoneticPr fontId="2"/>
  </si>
  <si>
    <t>№0226で見積？</t>
  </si>
  <si>
    <t>0352</t>
    <phoneticPr fontId="2"/>
  </si>
  <si>
    <t>端野</t>
    <phoneticPr fontId="2"/>
  </si>
  <si>
    <t>6660</t>
    <phoneticPr fontId="2"/>
  </si>
  <si>
    <t>0359</t>
    <phoneticPr fontId="2"/>
  </si>
  <si>
    <t>MDN-H評価導入作業</t>
    <phoneticPr fontId="2"/>
  </si>
  <si>
    <t>E30072940100</t>
    <phoneticPr fontId="2"/>
  </si>
  <si>
    <t>0331</t>
    <phoneticPr fontId="2"/>
  </si>
  <si>
    <t>P増台（60台）へのホールコン対応作業</t>
    <phoneticPr fontId="2"/>
  </si>
  <si>
    <t>6651</t>
    <phoneticPr fontId="2"/>
  </si>
  <si>
    <t>12/14:五所川原トラブル対応に伴う減額処理</t>
    <phoneticPr fontId="2"/>
  </si>
  <si>
    <t>0047</t>
    <phoneticPr fontId="2"/>
  </si>
  <si>
    <t>KKS／システム設定変更</t>
    <phoneticPr fontId="2"/>
  </si>
  <si>
    <t>YPORM</t>
    <phoneticPr fontId="2"/>
  </si>
  <si>
    <t>2661</t>
    <phoneticPr fontId="2"/>
  </si>
  <si>
    <t>玉補給機交換（160台）に伴う作業</t>
    <phoneticPr fontId="2"/>
  </si>
  <si>
    <t>0374</t>
    <phoneticPr fontId="2"/>
  </si>
  <si>
    <t>0375</t>
    <phoneticPr fontId="2"/>
  </si>
  <si>
    <t>KKSシステム向け／マイク線加工(2)</t>
    <phoneticPr fontId="2"/>
  </si>
  <si>
    <t>0376</t>
    <phoneticPr fontId="2"/>
  </si>
  <si>
    <t>0377</t>
    <phoneticPr fontId="2"/>
  </si>
  <si>
    <t>E30073290100</t>
    <phoneticPr fontId="2"/>
  </si>
  <si>
    <t>E30073270100</t>
    <phoneticPr fontId="2"/>
  </si>
  <si>
    <t>E00000960101</t>
    <phoneticPr fontId="2"/>
  </si>
  <si>
    <t>E30073390100</t>
    <phoneticPr fontId="2"/>
  </si>
  <si>
    <t>E30073400100</t>
    <phoneticPr fontId="2"/>
  </si>
  <si>
    <t xml:space="preserve"> TE01654661 </t>
    <phoneticPr fontId="2"/>
  </si>
  <si>
    <t xml:space="preserve">TE01654720 </t>
    <phoneticPr fontId="2"/>
  </si>
  <si>
    <t>KKSシステム向け／マイク線加工(1)</t>
    <phoneticPr fontId="2"/>
  </si>
  <si>
    <t xml:space="preserve">TE01654881 </t>
    <phoneticPr fontId="2"/>
  </si>
  <si>
    <t>TE01654884</t>
    <phoneticPr fontId="2"/>
  </si>
  <si>
    <t xml:space="preserve">TE01654885 </t>
    <phoneticPr fontId="2"/>
  </si>
  <si>
    <t>0381</t>
    <phoneticPr fontId="2"/>
  </si>
  <si>
    <t>0363</t>
    <phoneticPr fontId="2"/>
  </si>
  <si>
    <t>加島</t>
    <phoneticPr fontId="2"/>
  </si>
  <si>
    <t>0384</t>
    <phoneticPr fontId="2"/>
  </si>
  <si>
    <t>2727</t>
    <phoneticPr fontId="2"/>
  </si>
  <si>
    <t>0338</t>
    <phoneticPr fontId="2"/>
  </si>
  <si>
    <t>TE01654532</t>
    <phoneticPr fontId="2"/>
  </si>
  <si>
    <t>10/25：日程変更</t>
    <phoneticPr fontId="2"/>
  </si>
  <si>
    <t>0148</t>
    <phoneticPr fontId="2"/>
  </si>
  <si>
    <t>S→P（40台）へのホールコン対応作業</t>
    <phoneticPr fontId="2"/>
  </si>
  <si>
    <t>6581</t>
    <phoneticPr fontId="2"/>
  </si>
  <si>
    <t>0173</t>
    <phoneticPr fontId="2"/>
  </si>
  <si>
    <t>小田原</t>
    <phoneticPr fontId="2"/>
  </si>
  <si>
    <t>個別計数機移設（79台）へのホールコン対応作業</t>
    <phoneticPr fontId="2"/>
  </si>
  <si>
    <t>6598</t>
    <phoneticPr fontId="2"/>
  </si>
  <si>
    <t>E30069400100</t>
    <phoneticPr fontId="2"/>
  </si>
  <si>
    <t>0214</t>
    <phoneticPr fontId="2"/>
  </si>
  <si>
    <t>P増台（8台）へのホールコン対応作業</t>
    <phoneticPr fontId="2"/>
  </si>
  <si>
    <t>6605</t>
    <phoneticPr fontId="2"/>
  </si>
  <si>
    <t>0215</t>
    <phoneticPr fontId="2"/>
  </si>
  <si>
    <t>小山千駄塚</t>
    <phoneticPr fontId="2"/>
  </si>
  <si>
    <t>6606</t>
    <phoneticPr fontId="2"/>
  </si>
  <si>
    <t>0240</t>
    <phoneticPr fontId="2"/>
  </si>
  <si>
    <t>鳥取</t>
    <phoneticPr fontId="2"/>
  </si>
  <si>
    <t>P増台（4台）／玉貸しC（40台）へのホールコン対応作業</t>
    <phoneticPr fontId="2"/>
  </si>
  <si>
    <t>6618</t>
    <phoneticPr fontId="2"/>
  </si>
  <si>
    <t>0242</t>
    <phoneticPr fontId="2"/>
  </si>
  <si>
    <t>P増台（16台）／玉貸しC（80台）へのホールコン対応作業</t>
    <phoneticPr fontId="2"/>
  </si>
  <si>
    <t>6621</t>
    <phoneticPr fontId="2"/>
  </si>
  <si>
    <t>0251</t>
    <phoneticPr fontId="2"/>
  </si>
  <si>
    <t>メダル貸しC（40台）へのホールコン対応作業</t>
    <phoneticPr fontId="2"/>
  </si>
  <si>
    <t>6627</t>
    <phoneticPr fontId="2"/>
  </si>
  <si>
    <t>0270</t>
    <phoneticPr fontId="2"/>
  </si>
  <si>
    <t>S増台（8台）へのホールコン対応作業</t>
    <phoneticPr fontId="2"/>
  </si>
  <si>
    <t>6636</t>
    <phoneticPr fontId="2"/>
  </si>
  <si>
    <t>0271</t>
    <phoneticPr fontId="2"/>
  </si>
  <si>
    <t>新名張</t>
    <phoneticPr fontId="2"/>
  </si>
  <si>
    <t>PS増減台（37台）へのホールコン対応作業</t>
    <phoneticPr fontId="2"/>
  </si>
  <si>
    <t>6637</t>
    <phoneticPr fontId="2"/>
  </si>
  <si>
    <t>0330</t>
    <phoneticPr fontId="2"/>
  </si>
  <si>
    <t>P増台（24台）へのホールコン対応作業</t>
    <phoneticPr fontId="2"/>
  </si>
  <si>
    <t>6650</t>
    <phoneticPr fontId="2"/>
  </si>
  <si>
    <t>0333</t>
    <phoneticPr fontId="2"/>
  </si>
  <si>
    <t>PS増台（20台）へのホールコン対応作業</t>
    <phoneticPr fontId="2"/>
  </si>
  <si>
    <t>6653</t>
    <phoneticPr fontId="2"/>
  </si>
  <si>
    <t>0334</t>
    <phoneticPr fontId="2"/>
  </si>
  <si>
    <t>S増減台（30台）へのホールコン対応作業</t>
    <phoneticPr fontId="2"/>
  </si>
  <si>
    <t>6655</t>
    <phoneticPr fontId="2"/>
  </si>
  <si>
    <t>E30073760100</t>
    <phoneticPr fontId="2"/>
  </si>
  <si>
    <t>E30073810100</t>
    <phoneticPr fontId="2"/>
  </si>
  <si>
    <t>0267</t>
    <phoneticPr fontId="2"/>
  </si>
  <si>
    <t>ＰＨＣ業務補助／11月度</t>
    <phoneticPr fontId="2"/>
  </si>
  <si>
    <t>0057</t>
    <phoneticPr fontId="2"/>
  </si>
  <si>
    <t>E30074070100</t>
    <phoneticPr fontId="2"/>
  </si>
  <si>
    <t>E30074010100</t>
    <phoneticPr fontId="2"/>
  </si>
  <si>
    <t>E30073770100</t>
    <phoneticPr fontId="2"/>
  </si>
  <si>
    <t>E30062280106</t>
    <phoneticPr fontId="2"/>
  </si>
  <si>
    <t xml:space="preserve">TE01655801 </t>
    <phoneticPr fontId="2"/>
  </si>
  <si>
    <t>E30074110100</t>
    <phoneticPr fontId="2"/>
  </si>
  <si>
    <t>TE01656475</t>
    <phoneticPr fontId="2"/>
  </si>
  <si>
    <t>TE01656638</t>
    <phoneticPr fontId="2"/>
  </si>
  <si>
    <t>0233</t>
    <phoneticPr fontId="2"/>
  </si>
  <si>
    <t>6616</t>
    <phoneticPr fontId="2"/>
  </si>
  <si>
    <t>12月</t>
  </si>
  <si>
    <t>0272</t>
    <phoneticPr fontId="2"/>
  </si>
  <si>
    <t>玉貸しC（160台）へのホールコン対応作業</t>
    <phoneticPr fontId="2"/>
  </si>
  <si>
    <t>6639</t>
    <phoneticPr fontId="2"/>
  </si>
  <si>
    <t>E30050280100</t>
    <phoneticPr fontId="2"/>
  </si>
  <si>
    <t>TE01657061</t>
    <phoneticPr fontId="2"/>
  </si>
  <si>
    <t xml:space="preserve">E30074430100 </t>
    <phoneticPr fontId="2"/>
  </si>
  <si>
    <t>E30074490100</t>
    <phoneticPr fontId="2"/>
  </si>
  <si>
    <t>0089</t>
    <phoneticPr fontId="2"/>
  </si>
  <si>
    <t>6571</t>
    <phoneticPr fontId="2"/>
  </si>
  <si>
    <t>0174</t>
    <phoneticPr fontId="2"/>
  </si>
  <si>
    <t>玉貸しC（32台）へのホールコン対応作業</t>
    <phoneticPr fontId="2"/>
  </si>
  <si>
    <t>6597</t>
    <phoneticPr fontId="2"/>
  </si>
  <si>
    <t>1388</t>
    <phoneticPr fontId="2"/>
  </si>
  <si>
    <t>0211</t>
    <phoneticPr fontId="2"/>
  </si>
  <si>
    <t>倉賀野</t>
    <phoneticPr fontId="2"/>
  </si>
  <si>
    <t>6602</t>
    <phoneticPr fontId="2"/>
  </si>
  <si>
    <t>0226</t>
    <phoneticPr fontId="2"/>
  </si>
  <si>
    <t>M'sネット（TMDV撤去（１台）／移設（1台）</t>
    <phoneticPr fontId="2"/>
  </si>
  <si>
    <t>6610</t>
    <phoneticPr fontId="2"/>
  </si>
  <si>
    <t>0245</t>
    <phoneticPr fontId="2"/>
  </si>
  <si>
    <t>古河北</t>
    <phoneticPr fontId="2"/>
  </si>
  <si>
    <t>S→P（40台）／玉メダル貸しC（60台）へのホールコン対応作業</t>
    <phoneticPr fontId="2"/>
  </si>
  <si>
    <t>6620</t>
    <phoneticPr fontId="2"/>
  </si>
  <si>
    <t>0256</t>
    <phoneticPr fontId="2"/>
  </si>
  <si>
    <t>大型計数機撤去（6台）へのホールコン対応作業</t>
    <phoneticPr fontId="2"/>
  </si>
  <si>
    <t>6632</t>
    <phoneticPr fontId="2"/>
  </si>
  <si>
    <t>0361</t>
    <phoneticPr fontId="2"/>
  </si>
  <si>
    <t>精算機移設（１台）へのホールコン対応作業</t>
    <phoneticPr fontId="2"/>
  </si>
  <si>
    <t>6670</t>
    <phoneticPr fontId="2"/>
  </si>
  <si>
    <t>0342</t>
    <phoneticPr fontId="2"/>
  </si>
  <si>
    <t>S→P（28→40台）／玉メダル貸しC（80台）へのホールコン対応作業</t>
    <phoneticPr fontId="2"/>
  </si>
  <si>
    <t>6658k</t>
    <phoneticPr fontId="2"/>
  </si>
  <si>
    <t>0378</t>
    <phoneticPr fontId="2"/>
  </si>
  <si>
    <t>開発案件テスト作業（来店ポイント②）</t>
    <phoneticPr fontId="2"/>
  </si>
  <si>
    <t>0317</t>
    <phoneticPr fontId="2"/>
  </si>
  <si>
    <t>大型計数機撤去（3台）へのホールコン対応作業</t>
    <phoneticPr fontId="2"/>
  </si>
  <si>
    <t>6641</t>
    <phoneticPr fontId="2"/>
  </si>
  <si>
    <t>0318</t>
    <phoneticPr fontId="2"/>
  </si>
  <si>
    <t>伊達</t>
    <phoneticPr fontId="2"/>
  </si>
  <si>
    <t>6642</t>
    <phoneticPr fontId="2"/>
  </si>
  <si>
    <t>6666</t>
    <phoneticPr fontId="2"/>
  </si>
  <si>
    <t>E30074590100</t>
    <phoneticPr fontId="2"/>
  </si>
  <si>
    <t>E00000960100</t>
    <phoneticPr fontId="2"/>
  </si>
  <si>
    <t>E30074470100</t>
    <phoneticPr fontId="2"/>
  </si>
  <si>
    <t>E30074660100</t>
    <phoneticPr fontId="2"/>
  </si>
  <si>
    <t xml:space="preserve"> E30074690100</t>
    <phoneticPr fontId="2"/>
  </si>
  <si>
    <t>0372</t>
    <phoneticPr fontId="2"/>
  </si>
  <si>
    <t>0388</t>
    <phoneticPr fontId="2"/>
  </si>
  <si>
    <t>ホールコンＢＯＸ評価作業（現地作業）</t>
    <phoneticPr fontId="2"/>
  </si>
  <si>
    <t>E30074710100</t>
    <phoneticPr fontId="2"/>
  </si>
  <si>
    <t>TE01657936</t>
    <phoneticPr fontId="2"/>
  </si>
  <si>
    <t>0387</t>
    <phoneticPr fontId="2"/>
  </si>
  <si>
    <t>開発案件テスト作業(W-Hornet）</t>
    <phoneticPr fontId="2"/>
  </si>
  <si>
    <t>TE01651171</t>
    <phoneticPr fontId="2"/>
  </si>
  <si>
    <t>E30025070100</t>
    <phoneticPr fontId="2"/>
  </si>
  <si>
    <t>TE01658295</t>
    <phoneticPr fontId="2"/>
  </si>
  <si>
    <t>TE01658298</t>
    <phoneticPr fontId="2"/>
  </si>
  <si>
    <t>E30074720100</t>
    <phoneticPr fontId="2"/>
  </si>
  <si>
    <t>E30074940100</t>
    <phoneticPr fontId="2"/>
  </si>
  <si>
    <t>E30074930100</t>
    <phoneticPr fontId="2"/>
  </si>
  <si>
    <t>0385</t>
    <phoneticPr fontId="2"/>
  </si>
  <si>
    <t>撮影治具製作</t>
    <phoneticPr fontId="2"/>
  </si>
  <si>
    <t>TE01658691</t>
  </si>
  <si>
    <t>12/21:現場調整管理費減額(釧路店対応分)</t>
    <phoneticPr fontId="2"/>
  </si>
  <si>
    <t>0395</t>
    <phoneticPr fontId="2"/>
  </si>
  <si>
    <t>店舗改装に伴う機器撤去作業</t>
    <phoneticPr fontId="2"/>
  </si>
  <si>
    <t>6685</t>
    <phoneticPr fontId="2"/>
  </si>
  <si>
    <t>八王子四谷</t>
  </si>
  <si>
    <t>E30074950100</t>
    <phoneticPr fontId="2"/>
  </si>
  <si>
    <t>E30074980100</t>
    <phoneticPr fontId="2"/>
  </si>
  <si>
    <t>E30075200100</t>
    <phoneticPr fontId="2"/>
  </si>
  <si>
    <t>E30075210100</t>
    <phoneticPr fontId="2"/>
  </si>
  <si>
    <t>E30075040100</t>
    <phoneticPr fontId="2"/>
  </si>
  <si>
    <t>E30075050100</t>
    <phoneticPr fontId="2"/>
  </si>
  <si>
    <t>E30074680100</t>
    <phoneticPr fontId="2"/>
  </si>
  <si>
    <t>TE01658994</t>
    <phoneticPr fontId="2"/>
  </si>
  <si>
    <t>0400</t>
    <phoneticPr fontId="2"/>
  </si>
  <si>
    <t>6690</t>
    <phoneticPr fontId="2"/>
  </si>
  <si>
    <t>TE01659068</t>
    <phoneticPr fontId="2"/>
  </si>
  <si>
    <t>E30067550100</t>
    <phoneticPr fontId="2"/>
  </si>
  <si>
    <t>E30067540100</t>
    <phoneticPr fontId="2"/>
  </si>
  <si>
    <t>E30067520100</t>
    <phoneticPr fontId="2"/>
  </si>
  <si>
    <t>E30075370100</t>
    <phoneticPr fontId="2"/>
  </si>
  <si>
    <t>E30067510100</t>
    <phoneticPr fontId="2"/>
  </si>
  <si>
    <t>E30067500100</t>
    <phoneticPr fontId="2"/>
  </si>
  <si>
    <t>E30067490100</t>
    <phoneticPr fontId="2"/>
  </si>
  <si>
    <t>E30067480100</t>
    <phoneticPr fontId="2"/>
  </si>
  <si>
    <t>E30075360100</t>
    <phoneticPr fontId="2"/>
  </si>
  <si>
    <t>0402</t>
    <phoneticPr fontId="2"/>
  </si>
  <si>
    <t>0368</t>
    <phoneticPr fontId="2"/>
  </si>
  <si>
    <t>0386</t>
    <phoneticPr fontId="2"/>
  </si>
  <si>
    <t>森友北</t>
    <phoneticPr fontId="2"/>
  </si>
  <si>
    <t>TE01659431</t>
    <phoneticPr fontId="2"/>
  </si>
  <si>
    <t>TE01659428</t>
    <phoneticPr fontId="2"/>
  </si>
  <si>
    <t>0405</t>
    <phoneticPr fontId="2"/>
  </si>
  <si>
    <t>保守受付業務補助／12月度</t>
    <phoneticPr fontId="2"/>
  </si>
  <si>
    <t>テンペストシステムズ</t>
  </si>
  <si>
    <t>0406</t>
  </si>
  <si>
    <t>POS老朽化更新作業／12月度</t>
  </si>
  <si>
    <t>0403</t>
    <phoneticPr fontId="2"/>
  </si>
  <si>
    <t>0410</t>
    <phoneticPr fontId="2"/>
  </si>
  <si>
    <t>呼出信号取得中継ハーネス（B01-0001）</t>
    <phoneticPr fontId="2"/>
  </si>
  <si>
    <t>1月</t>
  </si>
  <si>
    <t>0411</t>
    <phoneticPr fontId="2"/>
  </si>
  <si>
    <t>現地調査／台コン老朽化更新</t>
    <phoneticPr fontId="2"/>
  </si>
  <si>
    <t>0379</t>
    <phoneticPr fontId="2"/>
  </si>
  <si>
    <t>P増台（38台）へのホールコン対応作業</t>
    <phoneticPr fontId="2"/>
  </si>
  <si>
    <t>6679</t>
    <phoneticPr fontId="2"/>
  </si>
  <si>
    <t>0356</t>
    <phoneticPr fontId="2"/>
  </si>
  <si>
    <t>大型計数機撤去（7台）へのホールコン対応作業</t>
    <phoneticPr fontId="2"/>
  </si>
  <si>
    <t>6663</t>
    <phoneticPr fontId="2"/>
  </si>
  <si>
    <t>0357</t>
    <phoneticPr fontId="2"/>
  </si>
  <si>
    <t>大型計数機撤去（2台）へのホールコン対応作業</t>
    <phoneticPr fontId="2"/>
  </si>
  <si>
    <t>6664</t>
    <phoneticPr fontId="2"/>
  </si>
  <si>
    <t>0261</t>
    <phoneticPr fontId="2"/>
  </si>
  <si>
    <t>S→P（36→40台）／玉メダル貸しC（80台）へのホールコン対応作業</t>
    <phoneticPr fontId="2"/>
  </si>
  <si>
    <t>6635</t>
    <phoneticPr fontId="2"/>
  </si>
  <si>
    <t>0383</t>
    <phoneticPr fontId="2"/>
  </si>
  <si>
    <t>恵庭</t>
    <phoneticPr fontId="2"/>
  </si>
  <si>
    <t>事務所内配線整理作業</t>
    <phoneticPr fontId="2"/>
  </si>
  <si>
    <t>6681</t>
    <phoneticPr fontId="2"/>
  </si>
  <si>
    <t>E30075750100</t>
    <phoneticPr fontId="2"/>
  </si>
  <si>
    <t>0319</t>
    <phoneticPr fontId="2"/>
  </si>
  <si>
    <t>6643</t>
    <phoneticPr fontId="2"/>
  </si>
  <si>
    <t>E30075760100</t>
    <phoneticPr fontId="2"/>
  </si>
  <si>
    <t>0320</t>
    <phoneticPr fontId="2"/>
  </si>
  <si>
    <t>会津若松</t>
    <phoneticPr fontId="2"/>
  </si>
  <si>
    <t>6644</t>
    <phoneticPr fontId="2"/>
  </si>
  <si>
    <t>E30075770100</t>
    <phoneticPr fontId="2"/>
  </si>
  <si>
    <t>0260</t>
    <phoneticPr fontId="2"/>
  </si>
  <si>
    <t>水沢</t>
    <phoneticPr fontId="2"/>
  </si>
  <si>
    <t>P増台（40台）へのホールコン対応作業</t>
    <phoneticPr fontId="2"/>
  </si>
  <si>
    <t>6634</t>
    <phoneticPr fontId="2"/>
  </si>
  <si>
    <t>E30075970100</t>
    <phoneticPr fontId="2"/>
  </si>
  <si>
    <t>E30075950100</t>
    <phoneticPr fontId="2"/>
  </si>
  <si>
    <t>E30075960100</t>
    <phoneticPr fontId="2"/>
  </si>
  <si>
    <t>E30075740100</t>
    <phoneticPr fontId="2"/>
  </si>
  <si>
    <t>PS増減台（150台）へのホールコン対応作業</t>
    <phoneticPr fontId="2"/>
  </si>
  <si>
    <t>0412</t>
    <phoneticPr fontId="2"/>
  </si>
  <si>
    <t>6692</t>
    <phoneticPr fontId="2"/>
  </si>
  <si>
    <t>0413</t>
    <phoneticPr fontId="2"/>
  </si>
  <si>
    <t>6693</t>
    <phoneticPr fontId="2"/>
  </si>
  <si>
    <t>0394</t>
    <phoneticPr fontId="2"/>
  </si>
  <si>
    <t>都城南</t>
    <phoneticPr fontId="2"/>
  </si>
  <si>
    <t>0414</t>
    <phoneticPr fontId="2"/>
  </si>
  <si>
    <t>荒田島</t>
    <phoneticPr fontId="2"/>
  </si>
  <si>
    <t>0390</t>
    <phoneticPr fontId="2"/>
  </si>
  <si>
    <t>吉田</t>
    <phoneticPr fontId="2"/>
  </si>
  <si>
    <t>0415</t>
    <phoneticPr fontId="2"/>
  </si>
  <si>
    <t>S増台（18台）へのホールコン対応作業</t>
    <phoneticPr fontId="2"/>
  </si>
  <si>
    <t>6694</t>
    <phoneticPr fontId="2"/>
  </si>
  <si>
    <t xml:space="preserve"> TE01660126 </t>
    <phoneticPr fontId="2"/>
  </si>
  <si>
    <t>内藤</t>
    <phoneticPr fontId="2"/>
  </si>
  <si>
    <t>0389</t>
    <phoneticPr fontId="2"/>
  </si>
  <si>
    <t>01</t>
  </si>
  <si>
    <t>0419</t>
    <phoneticPr fontId="2"/>
  </si>
  <si>
    <t>緊急保守：マルチコントローラ</t>
    <phoneticPr fontId="2"/>
  </si>
  <si>
    <t>店舗ネットワーク改善に伴う工事</t>
    <phoneticPr fontId="2"/>
  </si>
  <si>
    <t>姫路</t>
    <phoneticPr fontId="28"/>
  </si>
  <si>
    <t>静岡</t>
    <phoneticPr fontId="2"/>
  </si>
  <si>
    <t>0425</t>
    <phoneticPr fontId="2"/>
  </si>
  <si>
    <t>0426</t>
    <phoneticPr fontId="2"/>
  </si>
  <si>
    <t>0427</t>
    <phoneticPr fontId="2"/>
  </si>
  <si>
    <t>0428</t>
    <phoneticPr fontId="2"/>
  </si>
  <si>
    <t>0429</t>
    <phoneticPr fontId="2"/>
  </si>
  <si>
    <t>0430</t>
    <phoneticPr fontId="2"/>
  </si>
  <si>
    <t>0431</t>
    <phoneticPr fontId="2"/>
  </si>
  <si>
    <t>0432</t>
    <phoneticPr fontId="2"/>
  </si>
  <si>
    <t>0433</t>
    <phoneticPr fontId="2"/>
  </si>
  <si>
    <t>網走</t>
    <phoneticPr fontId="2"/>
  </si>
  <si>
    <t>0434</t>
    <phoneticPr fontId="2"/>
  </si>
  <si>
    <t>0435</t>
    <phoneticPr fontId="2"/>
  </si>
  <si>
    <t>0436</t>
    <phoneticPr fontId="2"/>
  </si>
  <si>
    <t>0437</t>
    <phoneticPr fontId="2"/>
  </si>
  <si>
    <t>0438</t>
    <phoneticPr fontId="2"/>
  </si>
  <si>
    <t>掛川</t>
    <phoneticPr fontId="2"/>
  </si>
  <si>
    <t>0439</t>
    <phoneticPr fontId="2"/>
  </si>
  <si>
    <t>0440</t>
    <phoneticPr fontId="2"/>
  </si>
  <si>
    <t>神戸</t>
    <phoneticPr fontId="2"/>
  </si>
  <si>
    <t>0441</t>
    <phoneticPr fontId="2"/>
  </si>
  <si>
    <t>0442</t>
    <phoneticPr fontId="2"/>
  </si>
  <si>
    <t>高松</t>
    <phoneticPr fontId="2"/>
  </si>
  <si>
    <t>0443</t>
    <phoneticPr fontId="2"/>
  </si>
  <si>
    <t>0444</t>
    <phoneticPr fontId="2"/>
  </si>
  <si>
    <t>0445</t>
    <phoneticPr fontId="2"/>
  </si>
  <si>
    <t>0446</t>
    <phoneticPr fontId="2"/>
  </si>
  <si>
    <t>0447</t>
    <phoneticPr fontId="2"/>
  </si>
  <si>
    <t>0448</t>
    <phoneticPr fontId="2"/>
  </si>
  <si>
    <t>0449</t>
    <phoneticPr fontId="2"/>
  </si>
  <si>
    <t>0450</t>
    <phoneticPr fontId="2"/>
  </si>
  <si>
    <t>裾野北</t>
    <phoneticPr fontId="2"/>
  </si>
  <si>
    <t>0451</t>
    <phoneticPr fontId="2"/>
  </si>
  <si>
    <t>0452</t>
    <phoneticPr fontId="2"/>
  </si>
  <si>
    <t>0453</t>
    <phoneticPr fontId="2"/>
  </si>
  <si>
    <t>0454</t>
    <phoneticPr fontId="2"/>
  </si>
  <si>
    <t>0455</t>
    <phoneticPr fontId="2"/>
  </si>
  <si>
    <t>0456</t>
    <phoneticPr fontId="2"/>
  </si>
  <si>
    <t>0457</t>
    <phoneticPr fontId="2"/>
  </si>
  <si>
    <t>鹿児島新港</t>
    <phoneticPr fontId="2"/>
  </si>
  <si>
    <t>0458</t>
    <phoneticPr fontId="2"/>
  </si>
  <si>
    <t>0459</t>
    <phoneticPr fontId="2"/>
  </si>
  <si>
    <t>岸和田</t>
    <phoneticPr fontId="2"/>
  </si>
  <si>
    <t>0460</t>
    <phoneticPr fontId="2"/>
  </si>
  <si>
    <t>指宿</t>
    <phoneticPr fontId="2"/>
  </si>
  <si>
    <t>0461</t>
    <phoneticPr fontId="2"/>
  </si>
  <si>
    <t>山鹿</t>
    <phoneticPr fontId="2"/>
  </si>
  <si>
    <t>0462</t>
    <phoneticPr fontId="2"/>
  </si>
  <si>
    <t>貝塚スロット</t>
    <phoneticPr fontId="2"/>
  </si>
  <si>
    <t>0463</t>
    <phoneticPr fontId="2"/>
  </si>
  <si>
    <t>上牧</t>
    <phoneticPr fontId="2"/>
  </si>
  <si>
    <t>0464</t>
    <phoneticPr fontId="2"/>
  </si>
  <si>
    <t>0465</t>
    <phoneticPr fontId="2"/>
  </si>
  <si>
    <t>0466</t>
    <phoneticPr fontId="2"/>
  </si>
  <si>
    <t>0467</t>
    <phoneticPr fontId="2"/>
  </si>
  <si>
    <t>0468</t>
    <phoneticPr fontId="2"/>
  </si>
  <si>
    <t>0469</t>
    <phoneticPr fontId="2"/>
  </si>
  <si>
    <t>0470</t>
    <phoneticPr fontId="2"/>
  </si>
  <si>
    <t>室蘭</t>
    <phoneticPr fontId="2"/>
  </si>
  <si>
    <t>0471</t>
    <phoneticPr fontId="2"/>
  </si>
  <si>
    <t>袖師</t>
    <phoneticPr fontId="2"/>
  </si>
  <si>
    <t>0472</t>
    <phoneticPr fontId="2"/>
  </si>
  <si>
    <t>大間々</t>
    <phoneticPr fontId="2"/>
  </si>
  <si>
    <t>0473</t>
    <phoneticPr fontId="2"/>
  </si>
  <si>
    <t>館林</t>
    <phoneticPr fontId="2"/>
  </si>
  <si>
    <t>0474</t>
    <phoneticPr fontId="2"/>
  </si>
  <si>
    <t>0475</t>
    <phoneticPr fontId="2"/>
  </si>
  <si>
    <t>0476</t>
    <phoneticPr fontId="2"/>
  </si>
  <si>
    <t>0477</t>
    <phoneticPr fontId="2"/>
  </si>
  <si>
    <t>0478</t>
    <phoneticPr fontId="2"/>
  </si>
  <si>
    <t>貝塚パチンコ</t>
    <phoneticPr fontId="2"/>
  </si>
  <si>
    <t>0479</t>
    <phoneticPr fontId="2"/>
  </si>
  <si>
    <t>明石大久保</t>
    <phoneticPr fontId="2"/>
  </si>
  <si>
    <t>0480</t>
    <phoneticPr fontId="2"/>
  </si>
  <si>
    <t>0481</t>
    <phoneticPr fontId="2"/>
  </si>
  <si>
    <t>0482</t>
    <phoneticPr fontId="2"/>
  </si>
  <si>
    <t>0483</t>
    <phoneticPr fontId="2"/>
  </si>
  <si>
    <t>0484</t>
    <phoneticPr fontId="2"/>
  </si>
  <si>
    <t>摂津</t>
    <phoneticPr fontId="2"/>
  </si>
  <si>
    <t>0485</t>
    <phoneticPr fontId="2"/>
  </si>
  <si>
    <t>箱崎</t>
    <phoneticPr fontId="2"/>
  </si>
  <si>
    <t>0486</t>
    <phoneticPr fontId="2"/>
  </si>
  <si>
    <t>宮崎</t>
    <phoneticPr fontId="2"/>
  </si>
  <si>
    <t>0487</t>
    <phoneticPr fontId="2"/>
  </si>
  <si>
    <t>0420</t>
    <phoneticPr fontId="2"/>
  </si>
  <si>
    <t>0421</t>
    <phoneticPr fontId="2"/>
  </si>
  <si>
    <t>臨海</t>
    <phoneticPr fontId="2"/>
  </si>
  <si>
    <t>PyArmorライセンス購入費</t>
    <phoneticPr fontId="2"/>
  </si>
  <si>
    <t>1月</t>
    <phoneticPr fontId="2"/>
  </si>
  <si>
    <t>0489</t>
    <phoneticPr fontId="2"/>
  </si>
  <si>
    <t>ホールコンサポートセンター受付業務(1月分)　北日本カンパニー</t>
    <phoneticPr fontId="2"/>
  </si>
  <si>
    <t>0490</t>
    <phoneticPr fontId="2"/>
  </si>
  <si>
    <t>ホールコンサポートセンター受付業務(1月分)　東日本カンパニー</t>
    <phoneticPr fontId="2"/>
  </si>
  <si>
    <t>0491</t>
    <phoneticPr fontId="2"/>
  </si>
  <si>
    <t>ホールコンサポートセンター受付業務(1月分)　西日本カンパニー</t>
    <phoneticPr fontId="2"/>
  </si>
  <si>
    <t>0492</t>
    <phoneticPr fontId="2"/>
  </si>
  <si>
    <t>携帯システム関連／保守料(1月分)</t>
    <phoneticPr fontId="2"/>
  </si>
  <si>
    <t>0408</t>
    <phoneticPr fontId="2"/>
  </si>
  <si>
    <t>ＰＨＣ業務補助／12月度</t>
    <phoneticPr fontId="2"/>
  </si>
  <si>
    <t>0401</t>
    <phoneticPr fontId="2"/>
  </si>
  <si>
    <t>0418</t>
    <phoneticPr fontId="2"/>
  </si>
  <si>
    <t>6695k</t>
    <phoneticPr fontId="2"/>
  </si>
  <si>
    <t>0373</t>
    <phoneticPr fontId="2"/>
  </si>
  <si>
    <t>0382</t>
    <phoneticPr fontId="2"/>
  </si>
  <si>
    <t>森谷</t>
  </si>
  <si>
    <t>0494</t>
    <phoneticPr fontId="2"/>
  </si>
  <si>
    <t>FFが￥9980で処理されている。</t>
  </si>
  <si>
    <t>E30076190100</t>
    <phoneticPr fontId="2"/>
  </si>
  <si>
    <t>E30076430100</t>
    <phoneticPr fontId="2"/>
  </si>
  <si>
    <t>E30076620100</t>
    <phoneticPr fontId="2"/>
  </si>
  <si>
    <t>E30076380100</t>
    <phoneticPr fontId="2"/>
  </si>
  <si>
    <t>E30076650100</t>
    <phoneticPr fontId="2"/>
  </si>
  <si>
    <t>E30076630100</t>
    <phoneticPr fontId="2"/>
  </si>
  <si>
    <t>E30068390100</t>
    <phoneticPr fontId="2"/>
  </si>
  <si>
    <t>E30068400100</t>
    <phoneticPr fontId="2"/>
  </si>
  <si>
    <t>0279</t>
    <phoneticPr fontId="2"/>
  </si>
  <si>
    <t>0280</t>
    <phoneticPr fontId="2"/>
  </si>
  <si>
    <t>0281</t>
    <phoneticPr fontId="2"/>
  </si>
  <si>
    <t>0282</t>
    <phoneticPr fontId="2"/>
  </si>
  <si>
    <t>TE01660696</t>
    <phoneticPr fontId="2"/>
  </si>
  <si>
    <t>0397</t>
    <phoneticPr fontId="2"/>
  </si>
  <si>
    <t>平塚</t>
    <phoneticPr fontId="2"/>
  </si>
  <si>
    <t>6687</t>
    <phoneticPr fontId="2"/>
  </si>
  <si>
    <t>E30077480100</t>
    <phoneticPr fontId="2"/>
  </si>
  <si>
    <t>0496</t>
    <phoneticPr fontId="2"/>
  </si>
  <si>
    <t>E30076960100</t>
    <phoneticPr fontId="2"/>
  </si>
  <si>
    <t xml:space="preserve">TE01661070 </t>
    <phoneticPr fontId="2"/>
  </si>
  <si>
    <t>老朽化更新：ホストコンピュータ＋カウンタコンピュータ導入工事</t>
    <phoneticPr fontId="2"/>
  </si>
  <si>
    <t>TE01660487</t>
    <phoneticPr fontId="2"/>
  </si>
  <si>
    <t>0273</t>
    <phoneticPr fontId="2"/>
  </si>
  <si>
    <t>青梅</t>
    <phoneticPr fontId="2"/>
  </si>
  <si>
    <t>6640</t>
    <phoneticPr fontId="2"/>
  </si>
  <si>
    <t>0302</t>
    <phoneticPr fontId="2"/>
  </si>
  <si>
    <t>0301</t>
    <phoneticPr fontId="2"/>
  </si>
  <si>
    <t>0300</t>
    <phoneticPr fontId="2"/>
  </si>
  <si>
    <t xml:space="preserve"> E30077480100</t>
    <phoneticPr fontId="2"/>
  </si>
  <si>
    <t>E30077370100</t>
    <phoneticPr fontId="2"/>
  </si>
  <si>
    <t>0497</t>
    <phoneticPr fontId="2"/>
  </si>
  <si>
    <t>和泉</t>
    <phoneticPr fontId="2"/>
  </si>
  <si>
    <t>E30077360100</t>
    <phoneticPr fontId="2"/>
  </si>
  <si>
    <t>0141</t>
    <phoneticPr fontId="2"/>
  </si>
  <si>
    <t>6579</t>
    <phoneticPr fontId="2"/>
  </si>
  <si>
    <t>0142</t>
    <phoneticPr fontId="2"/>
  </si>
  <si>
    <t>台コン交換(Ｄ→E)に伴う工事</t>
    <phoneticPr fontId="2"/>
  </si>
  <si>
    <t>6578</t>
    <phoneticPr fontId="2"/>
  </si>
  <si>
    <t>0</t>
    <phoneticPr fontId="2"/>
  </si>
  <si>
    <t>1/7見積有効期限切れ再発行</t>
    <phoneticPr fontId="2"/>
  </si>
  <si>
    <t>0369</t>
    <phoneticPr fontId="2"/>
  </si>
  <si>
    <t>八斗島①</t>
    <phoneticPr fontId="2"/>
  </si>
  <si>
    <t>玉貸しC（200台）へのホールコン対応作業</t>
    <phoneticPr fontId="2"/>
  </si>
  <si>
    <t>6675</t>
    <phoneticPr fontId="2"/>
  </si>
  <si>
    <t>0253</t>
    <phoneticPr fontId="2"/>
  </si>
  <si>
    <t>6629</t>
    <phoneticPr fontId="2"/>
  </si>
  <si>
    <t>0255</t>
    <phoneticPr fontId="2"/>
  </si>
  <si>
    <t>6631</t>
    <phoneticPr fontId="2"/>
  </si>
  <si>
    <t>0371</t>
    <phoneticPr fontId="2"/>
  </si>
  <si>
    <t>6676</t>
    <phoneticPr fontId="2"/>
  </si>
  <si>
    <t>E30076150100</t>
    <phoneticPr fontId="2"/>
  </si>
  <si>
    <t>TE01661678</t>
    <phoneticPr fontId="2"/>
  </si>
  <si>
    <t>老朽化更新：ホストコンピュータ導入工事</t>
    <phoneticPr fontId="2"/>
  </si>
  <si>
    <t>0504</t>
    <phoneticPr fontId="2"/>
  </si>
  <si>
    <t>液晶ディスプレイ（HSC用）／動作確認作業</t>
    <phoneticPr fontId="2"/>
  </si>
  <si>
    <t>0505</t>
    <phoneticPr fontId="2"/>
  </si>
  <si>
    <t>0508</t>
    <phoneticPr fontId="2"/>
  </si>
  <si>
    <t>0509</t>
    <phoneticPr fontId="2"/>
  </si>
  <si>
    <t>北見</t>
    <phoneticPr fontId="2"/>
  </si>
  <si>
    <t>0510</t>
    <phoneticPr fontId="2"/>
  </si>
  <si>
    <t>0511</t>
    <phoneticPr fontId="2"/>
  </si>
  <si>
    <t>0512</t>
    <phoneticPr fontId="2"/>
  </si>
  <si>
    <t>0513</t>
    <phoneticPr fontId="2"/>
  </si>
  <si>
    <t>0514</t>
    <phoneticPr fontId="2"/>
  </si>
  <si>
    <t>米沢</t>
    <phoneticPr fontId="2"/>
  </si>
  <si>
    <t>0515</t>
    <phoneticPr fontId="2"/>
  </si>
  <si>
    <t>0516</t>
    <phoneticPr fontId="2"/>
  </si>
  <si>
    <t>0517</t>
    <phoneticPr fontId="2"/>
  </si>
  <si>
    <t>0518</t>
    <phoneticPr fontId="2"/>
  </si>
  <si>
    <t>0519</t>
    <phoneticPr fontId="2"/>
  </si>
  <si>
    <t>0520</t>
    <phoneticPr fontId="2"/>
  </si>
  <si>
    <t>0521</t>
    <phoneticPr fontId="2"/>
  </si>
  <si>
    <t>0522</t>
    <phoneticPr fontId="2"/>
  </si>
  <si>
    <t>0523</t>
    <phoneticPr fontId="2"/>
  </si>
  <si>
    <t>0524</t>
    <phoneticPr fontId="2"/>
  </si>
  <si>
    <t>2</t>
    <phoneticPr fontId="2"/>
  </si>
  <si>
    <t xml:space="preserve">TE01661997 </t>
    <phoneticPr fontId="2"/>
  </si>
  <si>
    <t>TE01662000</t>
    <phoneticPr fontId="2"/>
  </si>
  <si>
    <t>E30077950100</t>
    <phoneticPr fontId="2"/>
  </si>
  <si>
    <t>E30077830100</t>
    <phoneticPr fontId="2"/>
  </si>
  <si>
    <t>E30077840100</t>
    <phoneticPr fontId="2"/>
  </si>
  <si>
    <t>E30076030100</t>
    <phoneticPr fontId="2"/>
  </si>
  <si>
    <t>E30076040100</t>
    <phoneticPr fontId="2"/>
  </si>
  <si>
    <t>E30074850100</t>
    <phoneticPr fontId="2"/>
  </si>
  <si>
    <t>0321</t>
    <phoneticPr fontId="2"/>
  </si>
  <si>
    <t>6645</t>
    <phoneticPr fontId="2"/>
  </si>
  <si>
    <t>0290</t>
    <phoneticPr fontId="2"/>
  </si>
  <si>
    <t>0304</t>
    <phoneticPr fontId="2"/>
  </si>
  <si>
    <t>0305</t>
    <phoneticPr fontId="2"/>
  </si>
  <si>
    <t>0306</t>
    <phoneticPr fontId="2"/>
  </si>
  <si>
    <t>0311</t>
    <phoneticPr fontId="2"/>
  </si>
  <si>
    <t>0312</t>
    <phoneticPr fontId="2"/>
  </si>
  <si>
    <t>0322</t>
    <phoneticPr fontId="2"/>
  </si>
  <si>
    <t>6646</t>
    <phoneticPr fontId="2"/>
  </si>
  <si>
    <t>0308</t>
    <phoneticPr fontId="2"/>
  </si>
  <si>
    <t>0303</t>
    <phoneticPr fontId="2"/>
  </si>
  <si>
    <t>E30078620100</t>
    <phoneticPr fontId="2"/>
  </si>
  <si>
    <t>E30078650100</t>
    <phoneticPr fontId="2"/>
  </si>
  <si>
    <t>0526</t>
    <phoneticPr fontId="2"/>
  </si>
  <si>
    <t>中之郷</t>
    <phoneticPr fontId="2"/>
  </si>
  <si>
    <t>0527</t>
    <phoneticPr fontId="2"/>
  </si>
  <si>
    <t>0528</t>
  </si>
  <si>
    <t>彦根</t>
  </si>
  <si>
    <t>TE01662518</t>
    <phoneticPr fontId="2"/>
  </si>
  <si>
    <t>KKS老朽化更新（セルフPOS）</t>
    <phoneticPr fontId="2"/>
  </si>
  <si>
    <t>0531</t>
    <phoneticPr fontId="2"/>
  </si>
  <si>
    <t>0532</t>
    <phoneticPr fontId="2"/>
  </si>
  <si>
    <t>0533</t>
    <phoneticPr fontId="2"/>
  </si>
  <si>
    <t>0534</t>
    <phoneticPr fontId="2"/>
  </si>
  <si>
    <t>E30078670100</t>
    <phoneticPr fontId="2"/>
  </si>
  <si>
    <t>E30078960100</t>
    <phoneticPr fontId="2"/>
  </si>
  <si>
    <t>E30079050100</t>
    <phoneticPr fontId="2"/>
  </si>
  <si>
    <t>E30079080100</t>
    <phoneticPr fontId="2"/>
  </si>
  <si>
    <t>E30079090100</t>
    <phoneticPr fontId="2"/>
  </si>
  <si>
    <t>0530</t>
    <phoneticPr fontId="2"/>
  </si>
  <si>
    <t>0535</t>
    <phoneticPr fontId="2"/>
  </si>
  <si>
    <t>タプレットPCセットアップ作業</t>
    <phoneticPr fontId="2"/>
  </si>
  <si>
    <t>今川様依頼</t>
  </si>
  <si>
    <t>TE01662867</t>
    <phoneticPr fontId="2"/>
  </si>
  <si>
    <t>0323</t>
    <phoneticPr fontId="2"/>
  </si>
  <si>
    <t>追分</t>
    <phoneticPr fontId="2"/>
  </si>
  <si>
    <t>6647</t>
    <phoneticPr fontId="2"/>
  </si>
  <si>
    <t>TE01661176</t>
    <phoneticPr fontId="2"/>
  </si>
  <si>
    <t>0407</t>
    <phoneticPr fontId="2"/>
  </si>
  <si>
    <t>POS老朽化更新／12月度</t>
    <phoneticPr fontId="2"/>
  </si>
  <si>
    <t>TE01663062</t>
    <phoneticPr fontId="2"/>
  </si>
  <si>
    <t>NEOS-SG5 BIZ赤伝票処理改造</t>
    <phoneticPr fontId="2"/>
  </si>
  <si>
    <t>0536</t>
    <phoneticPr fontId="2"/>
  </si>
  <si>
    <t>0537</t>
    <phoneticPr fontId="2"/>
  </si>
  <si>
    <t>2762k</t>
    <phoneticPr fontId="2"/>
  </si>
  <si>
    <t>1/14分割発行</t>
  </si>
  <si>
    <t>DS-6・IPA-D-SG5対応</t>
    <phoneticPr fontId="2"/>
  </si>
  <si>
    <t>0538</t>
    <phoneticPr fontId="2"/>
  </si>
  <si>
    <t>0539</t>
    <phoneticPr fontId="2"/>
  </si>
  <si>
    <t>松本</t>
    <phoneticPr fontId="2"/>
  </si>
  <si>
    <t>YPOPM</t>
    <phoneticPr fontId="2"/>
  </si>
  <si>
    <t>0561</t>
    <phoneticPr fontId="2"/>
  </si>
  <si>
    <t>管理遊技機FT店</t>
    <phoneticPr fontId="2"/>
  </si>
  <si>
    <t>営業画面製作</t>
    <phoneticPr fontId="2"/>
  </si>
  <si>
    <t>0564</t>
    <phoneticPr fontId="2"/>
  </si>
  <si>
    <t>0422</t>
    <phoneticPr fontId="2"/>
  </si>
  <si>
    <t>0495</t>
    <phoneticPr fontId="2"/>
  </si>
  <si>
    <t>0498</t>
    <phoneticPr fontId="2"/>
  </si>
  <si>
    <t>E30075220100</t>
    <phoneticPr fontId="2"/>
  </si>
  <si>
    <t>E30068590100</t>
    <phoneticPr fontId="2"/>
  </si>
  <si>
    <t>E30068070100</t>
    <phoneticPr fontId="2"/>
  </si>
  <si>
    <t>E30066900100</t>
    <phoneticPr fontId="2"/>
  </si>
  <si>
    <t>E30066890100</t>
    <phoneticPr fontId="2"/>
  </si>
  <si>
    <t>E30066880100</t>
    <phoneticPr fontId="2"/>
  </si>
  <si>
    <t>E30069430100</t>
    <phoneticPr fontId="2"/>
  </si>
  <si>
    <t>0500</t>
    <phoneticPr fontId="2"/>
  </si>
  <si>
    <t>0488</t>
    <phoneticPr fontId="2"/>
  </si>
  <si>
    <t>TE01664305</t>
    <phoneticPr fontId="2"/>
  </si>
  <si>
    <t xml:space="preserve">TE01664307 </t>
    <phoneticPr fontId="2"/>
  </si>
  <si>
    <t>TE01664311</t>
    <phoneticPr fontId="2"/>
  </si>
  <si>
    <t>TE01664313</t>
    <phoneticPr fontId="2"/>
  </si>
  <si>
    <t>0108</t>
    <phoneticPr fontId="2"/>
  </si>
  <si>
    <t>NTT印刷 入間工場</t>
    <phoneticPr fontId="2"/>
  </si>
  <si>
    <t>配線作業</t>
    <phoneticPr fontId="2"/>
  </si>
  <si>
    <t>0579</t>
    <phoneticPr fontId="2"/>
  </si>
  <si>
    <t>0423</t>
    <phoneticPr fontId="2"/>
  </si>
  <si>
    <t>0424</t>
    <phoneticPr fontId="2"/>
  </si>
  <si>
    <t>0325</t>
    <phoneticPr fontId="2"/>
  </si>
  <si>
    <t>玉補給機交換（120台）に伴う作業</t>
    <phoneticPr fontId="2"/>
  </si>
  <si>
    <t>6649</t>
    <phoneticPr fontId="2"/>
  </si>
  <si>
    <t>シャープ白山D3：枚葉仕分条件説明書作成</t>
    <phoneticPr fontId="2"/>
  </si>
  <si>
    <t>SQLServer読み取り専用ユーザー設定マニュアル作成</t>
    <phoneticPr fontId="2"/>
  </si>
  <si>
    <t>0578</t>
    <phoneticPr fontId="2"/>
  </si>
  <si>
    <t>E30079220100</t>
    <phoneticPr fontId="2"/>
  </si>
  <si>
    <t>E30079260100</t>
    <phoneticPr fontId="2"/>
  </si>
  <si>
    <t>E30076250100</t>
    <phoneticPr fontId="2"/>
  </si>
  <si>
    <t>E30076790100</t>
    <phoneticPr fontId="2"/>
  </si>
  <si>
    <t>E30078700100</t>
    <phoneticPr fontId="2"/>
  </si>
  <si>
    <t>E30078710100</t>
    <phoneticPr fontId="2"/>
  </si>
  <si>
    <t>E30077310100</t>
    <phoneticPr fontId="2"/>
  </si>
  <si>
    <t>E30073100100</t>
    <phoneticPr fontId="2"/>
  </si>
  <si>
    <t>E30079240100</t>
    <phoneticPr fontId="2"/>
  </si>
  <si>
    <t>E30079660100</t>
    <phoneticPr fontId="2"/>
  </si>
  <si>
    <t>0529</t>
    <phoneticPr fontId="2"/>
  </si>
  <si>
    <t xml:space="preserve"> TE01664935 </t>
    <phoneticPr fontId="2"/>
  </si>
  <si>
    <t xml:space="preserve">TE01664938 </t>
    <phoneticPr fontId="2"/>
  </si>
  <si>
    <t>TE01664932</t>
    <phoneticPr fontId="2"/>
  </si>
  <si>
    <t>№0579で再発行／システム開発部案件名で作成</t>
    <phoneticPr fontId="2"/>
  </si>
  <si>
    <t>№0108NTT印刷 入間工場の再発行／システム開発部案件名で作成</t>
    <phoneticPr fontId="2"/>
  </si>
  <si>
    <t>0565</t>
    <phoneticPr fontId="2"/>
  </si>
  <si>
    <t>0580</t>
    <phoneticPr fontId="2"/>
  </si>
  <si>
    <t>前橋西片貝</t>
    <phoneticPr fontId="2"/>
  </si>
  <si>
    <t>TDS今川様依頼</t>
    <phoneticPr fontId="2"/>
  </si>
  <si>
    <t>E00000970100</t>
  </si>
  <si>
    <t>E30057450100</t>
  </si>
  <si>
    <t>E30076950100</t>
    <phoneticPr fontId="2"/>
  </si>
  <si>
    <t>0370</t>
    <phoneticPr fontId="2"/>
  </si>
  <si>
    <t>八斗島②</t>
    <phoneticPr fontId="2"/>
  </si>
  <si>
    <t>6674</t>
    <phoneticPr fontId="2"/>
  </si>
  <si>
    <t>E30079900100</t>
    <phoneticPr fontId="2"/>
  </si>
  <si>
    <t>0525</t>
    <phoneticPr fontId="2"/>
  </si>
  <si>
    <t>千歳</t>
    <phoneticPr fontId="2"/>
  </si>
  <si>
    <t>E30079580100</t>
    <phoneticPr fontId="2"/>
  </si>
  <si>
    <t>E30079600100</t>
    <phoneticPr fontId="2"/>
  </si>
  <si>
    <t>0392</t>
    <phoneticPr fontId="2"/>
  </si>
  <si>
    <t>個別計数機増設（288台）へのホールコン対応作業</t>
    <phoneticPr fontId="2"/>
  </si>
  <si>
    <t>6682</t>
    <phoneticPr fontId="2"/>
  </si>
  <si>
    <t>0502</t>
    <phoneticPr fontId="2"/>
  </si>
  <si>
    <t xml:space="preserve"> E30069740100</t>
    <phoneticPr fontId="2"/>
  </si>
  <si>
    <t>0585</t>
    <phoneticPr fontId="2"/>
  </si>
  <si>
    <t>KKS計画外老朽化更新（WingPOS）</t>
    <phoneticPr fontId="2"/>
  </si>
  <si>
    <t>0506</t>
    <phoneticPr fontId="2"/>
  </si>
  <si>
    <t>E30077130100</t>
    <phoneticPr fontId="2"/>
  </si>
  <si>
    <t>E30077140100</t>
    <phoneticPr fontId="2"/>
  </si>
  <si>
    <t>E30077150100</t>
    <phoneticPr fontId="2"/>
  </si>
  <si>
    <t xml:space="preserve"> E30077160100</t>
    <phoneticPr fontId="2"/>
  </si>
  <si>
    <t>E30077170100</t>
    <phoneticPr fontId="2"/>
  </si>
  <si>
    <t>E30077210100</t>
    <phoneticPr fontId="2"/>
  </si>
  <si>
    <t>E30077220100</t>
    <phoneticPr fontId="2"/>
  </si>
  <si>
    <t>E30077190100</t>
    <phoneticPr fontId="2"/>
  </si>
  <si>
    <t>E30077230100</t>
    <phoneticPr fontId="2"/>
  </si>
  <si>
    <t>E30077200100</t>
    <phoneticPr fontId="2"/>
  </si>
  <si>
    <t>E30077240100</t>
    <phoneticPr fontId="2"/>
  </si>
  <si>
    <t>E30077250100</t>
    <phoneticPr fontId="2"/>
  </si>
  <si>
    <t>E30077260100</t>
    <phoneticPr fontId="2"/>
  </si>
  <si>
    <t>E30077270100</t>
    <phoneticPr fontId="2"/>
  </si>
  <si>
    <t>E30077280100</t>
    <phoneticPr fontId="2"/>
  </si>
  <si>
    <t>E30077290100</t>
    <phoneticPr fontId="2"/>
  </si>
  <si>
    <t>E30077300100</t>
    <phoneticPr fontId="2"/>
  </si>
  <si>
    <t>E30077120100</t>
    <phoneticPr fontId="2"/>
  </si>
  <si>
    <t>E30077110100</t>
    <phoneticPr fontId="2"/>
  </si>
  <si>
    <t>0298</t>
    <phoneticPr fontId="2"/>
  </si>
  <si>
    <t>由利本荘</t>
    <phoneticPr fontId="2"/>
  </si>
  <si>
    <t>TE01666448</t>
    <phoneticPr fontId="2"/>
  </si>
  <si>
    <t>E30057450100</t>
    <phoneticPr fontId="2"/>
  </si>
  <si>
    <t>TE01666374</t>
    <phoneticPr fontId="2"/>
  </si>
  <si>
    <t>TE01665952</t>
    <phoneticPr fontId="2"/>
  </si>
  <si>
    <t>0586</t>
    <phoneticPr fontId="2"/>
  </si>
  <si>
    <t>開発案件テスト作業（人物認証_着座・入替検証、他）</t>
    <phoneticPr fontId="2"/>
  </si>
  <si>
    <t>TE01666559</t>
    <phoneticPr fontId="2"/>
  </si>
  <si>
    <t>0587</t>
    <phoneticPr fontId="2"/>
  </si>
  <si>
    <t>0588</t>
    <phoneticPr fontId="2"/>
  </si>
  <si>
    <t>0589</t>
    <phoneticPr fontId="2"/>
  </si>
  <si>
    <t>0416</t>
    <phoneticPr fontId="2"/>
  </si>
  <si>
    <t>西脇</t>
    <phoneticPr fontId="2"/>
  </si>
  <si>
    <t>6697</t>
    <phoneticPr fontId="2"/>
  </si>
  <si>
    <t>E30080910100</t>
    <phoneticPr fontId="2"/>
  </si>
  <si>
    <t>E30081240100</t>
    <phoneticPr fontId="2"/>
  </si>
  <si>
    <t>0566</t>
    <phoneticPr fontId="2"/>
  </si>
  <si>
    <t xml:space="preserve"> E30081250100</t>
    <phoneticPr fontId="2"/>
  </si>
  <si>
    <t>1/21納期変更：1/24→2/20</t>
    <phoneticPr fontId="2"/>
  </si>
  <si>
    <t>0591</t>
    <phoneticPr fontId="2"/>
  </si>
  <si>
    <t>三好</t>
    <phoneticPr fontId="2"/>
  </si>
  <si>
    <t>0417</t>
    <phoneticPr fontId="2"/>
  </si>
  <si>
    <t>青梅新町</t>
    <phoneticPr fontId="2"/>
  </si>
  <si>
    <t>メダル貸しC（36台）へのホールコン対応作業</t>
    <phoneticPr fontId="2"/>
  </si>
  <si>
    <t>6696</t>
    <phoneticPr fontId="2"/>
  </si>
  <si>
    <t>E30080880100</t>
    <phoneticPr fontId="2"/>
  </si>
  <si>
    <t>E30081210100</t>
    <phoneticPr fontId="2"/>
  </si>
  <si>
    <t>TE01667117</t>
    <phoneticPr fontId="2"/>
  </si>
  <si>
    <t>0310</t>
    <phoneticPr fontId="2"/>
  </si>
  <si>
    <t>NTT／ギガらく Wi-Fi導入工事</t>
    <phoneticPr fontId="2"/>
  </si>
  <si>
    <t>6654</t>
    <phoneticPr fontId="2"/>
  </si>
  <si>
    <t>0594</t>
    <phoneticPr fontId="2"/>
  </si>
  <si>
    <t>E30069790100</t>
    <phoneticPr fontId="2"/>
  </si>
  <si>
    <t>TE01667281</t>
  </si>
  <si>
    <t>いわき</t>
    <phoneticPr fontId="2"/>
  </si>
  <si>
    <t xml:space="preserve">P(20台)増台／S(20台)減台　追加作業 </t>
    <phoneticPr fontId="2"/>
  </si>
  <si>
    <t>Ｓ→Ｐ(40→36台)／Ｐ島(2島20→18島へ変更)減台(台間拡張)　追加作業</t>
    <phoneticPr fontId="2"/>
  </si>
  <si>
    <t>P島(2島20→16島へ変更)減台(台間拡張)　追加作業</t>
    <phoneticPr fontId="2"/>
  </si>
  <si>
    <t>HCBOX評価作業（現地作業）</t>
    <phoneticPr fontId="2"/>
  </si>
  <si>
    <t>老朽化更新：セキュリティコンピュータ導入工事（５店舗）追加作業</t>
    <phoneticPr fontId="2"/>
  </si>
  <si>
    <t>0600</t>
  </si>
  <si>
    <t>0601</t>
  </si>
  <si>
    <t>0595</t>
    <phoneticPr fontId="2"/>
  </si>
  <si>
    <t>0596</t>
    <phoneticPr fontId="2"/>
  </si>
  <si>
    <t>0597</t>
    <phoneticPr fontId="2"/>
  </si>
  <si>
    <t>0598</t>
    <phoneticPr fontId="2"/>
  </si>
  <si>
    <t>0599</t>
    <phoneticPr fontId="2"/>
  </si>
  <si>
    <t>0605</t>
    <phoneticPr fontId="2"/>
  </si>
  <si>
    <t>0606</t>
    <phoneticPr fontId="2"/>
  </si>
  <si>
    <t>新庄</t>
    <phoneticPr fontId="2"/>
  </si>
  <si>
    <t>東根</t>
    <phoneticPr fontId="2"/>
  </si>
  <si>
    <t>大館</t>
    <phoneticPr fontId="2"/>
  </si>
  <si>
    <t>南アルプス</t>
    <phoneticPr fontId="2"/>
  </si>
  <si>
    <t>氏家</t>
    <phoneticPr fontId="2"/>
  </si>
  <si>
    <t>石岡</t>
    <phoneticPr fontId="2"/>
  </si>
  <si>
    <t>小岩スロット館</t>
    <phoneticPr fontId="2"/>
  </si>
  <si>
    <t>鹿沼</t>
    <phoneticPr fontId="2"/>
  </si>
  <si>
    <t>大東</t>
    <phoneticPr fontId="2"/>
  </si>
  <si>
    <t>姫路野里</t>
    <phoneticPr fontId="2"/>
  </si>
  <si>
    <t>赤穂</t>
    <phoneticPr fontId="2"/>
  </si>
  <si>
    <t>高槻</t>
    <phoneticPr fontId="2"/>
  </si>
  <si>
    <t>光明池</t>
    <phoneticPr fontId="2"/>
  </si>
  <si>
    <t>橿原北</t>
    <phoneticPr fontId="2"/>
  </si>
  <si>
    <t>0044</t>
    <phoneticPr fontId="2"/>
  </si>
  <si>
    <t>0252</t>
    <phoneticPr fontId="2"/>
  </si>
  <si>
    <t>函館港</t>
    <phoneticPr fontId="2"/>
  </si>
  <si>
    <t>6628</t>
    <phoneticPr fontId="2"/>
  </si>
  <si>
    <t>情報システム部様で対応、作業なし</t>
  </si>
  <si>
    <t>0246</t>
    <phoneticPr fontId="2"/>
  </si>
  <si>
    <t>玉補給機交換（480台）に伴う作業</t>
    <phoneticPr fontId="2"/>
  </si>
  <si>
    <t>6623</t>
    <phoneticPr fontId="2"/>
  </si>
  <si>
    <t>1/18：見積有効期限切れ</t>
  </si>
  <si>
    <t>0646</t>
    <phoneticPr fontId="2"/>
  </si>
  <si>
    <t>0493</t>
    <phoneticPr fontId="2"/>
  </si>
  <si>
    <t>S減台（48台）へのホールコン対応作業</t>
    <phoneticPr fontId="2"/>
  </si>
  <si>
    <t>E30081830100</t>
    <phoneticPr fontId="2"/>
  </si>
  <si>
    <t>E30080890100</t>
    <phoneticPr fontId="2"/>
  </si>
  <si>
    <t>0399</t>
    <phoneticPr fontId="2"/>
  </si>
  <si>
    <t>個別計数機増設（108台）へのホールコン対応作業</t>
    <phoneticPr fontId="2"/>
  </si>
  <si>
    <t>6689</t>
    <phoneticPr fontId="2"/>
  </si>
  <si>
    <t>6705</t>
    <phoneticPr fontId="2"/>
  </si>
  <si>
    <t>6717</t>
    <phoneticPr fontId="2"/>
  </si>
  <si>
    <t>E30082050100</t>
    <phoneticPr fontId="2"/>
  </si>
  <si>
    <t>E30074520100</t>
  </si>
  <si>
    <t>費用処理のみ</t>
  </si>
  <si>
    <t>E30067490100</t>
  </si>
  <si>
    <t>E30074430100</t>
    <phoneticPr fontId="2"/>
  </si>
  <si>
    <t>業務用端末機回収作業</t>
    <phoneticPr fontId="2"/>
  </si>
  <si>
    <t>追加工事／個別計数機移設（40台）へのホールコン対応作業</t>
    <phoneticPr fontId="2"/>
  </si>
  <si>
    <t>0647</t>
    <phoneticPr fontId="2"/>
  </si>
  <si>
    <t>0648</t>
    <phoneticPr fontId="2"/>
  </si>
  <si>
    <t>6721</t>
    <phoneticPr fontId="2"/>
  </si>
  <si>
    <t>TE01668290</t>
    <phoneticPr fontId="2"/>
  </si>
  <si>
    <t>KKS老朽化更新（CL）</t>
    <phoneticPr fontId="2"/>
  </si>
  <si>
    <t>0649</t>
    <phoneticPr fontId="2"/>
  </si>
  <si>
    <t>0584</t>
    <phoneticPr fontId="2"/>
  </si>
  <si>
    <t>E30080400100</t>
    <phoneticPr fontId="2"/>
  </si>
  <si>
    <t>1/25工期変更：2/2OP</t>
    <phoneticPr fontId="2"/>
  </si>
  <si>
    <t>0254</t>
    <phoneticPr fontId="2"/>
  </si>
  <si>
    <t>6630</t>
    <phoneticPr fontId="2"/>
  </si>
  <si>
    <t>1/26納期変更：１／３０→2/15</t>
    <phoneticPr fontId="2"/>
  </si>
  <si>
    <t>1･26納期変更：1/21→2/28</t>
    <phoneticPr fontId="2"/>
  </si>
  <si>
    <t>台コン更新(D／E→F)に伴う変更工事</t>
    <phoneticPr fontId="2"/>
  </si>
  <si>
    <t>0650</t>
    <phoneticPr fontId="2"/>
  </si>
  <si>
    <t>12/1見積有効期限切れ→12/16再発行　　1/26納期変更：1/14→3/1</t>
    <phoneticPr fontId="2"/>
  </si>
  <si>
    <t>12/15見積有効期限切れ→対応保留中のため確定時に発行⇒№0654で再発行</t>
    <phoneticPr fontId="2"/>
  </si>
  <si>
    <t>0396</t>
    <phoneticPr fontId="2"/>
  </si>
  <si>
    <t>6686</t>
    <phoneticPr fontId="2"/>
  </si>
  <si>
    <t>0604</t>
    <phoneticPr fontId="2"/>
  </si>
  <si>
    <t>なんば本館パチンコ館</t>
    <phoneticPr fontId="2"/>
  </si>
  <si>
    <t>1/27:アプリ不具合で発注取消</t>
  </si>
  <si>
    <t>6677</t>
    <phoneticPr fontId="2"/>
  </si>
  <si>
    <t>0563</t>
    <phoneticPr fontId="2"/>
  </si>
  <si>
    <t>0573</t>
    <phoneticPr fontId="2"/>
  </si>
  <si>
    <t>E30081290100</t>
    <phoneticPr fontId="2"/>
  </si>
  <si>
    <t>E30081220100</t>
    <phoneticPr fontId="2"/>
  </si>
  <si>
    <t>0574</t>
    <phoneticPr fontId="2"/>
  </si>
  <si>
    <t>玉補給機交換（19台）に伴う作業</t>
    <phoneticPr fontId="2"/>
  </si>
  <si>
    <t>6712</t>
    <phoneticPr fontId="2"/>
  </si>
  <si>
    <t>E30082470100</t>
    <phoneticPr fontId="2"/>
  </si>
  <si>
    <t>0657</t>
    <phoneticPr fontId="2"/>
  </si>
  <si>
    <t>保守受付業務補助／1月度</t>
    <phoneticPr fontId="2"/>
  </si>
  <si>
    <t>TE01669544</t>
    <phoneticPr fontId="2"/>
  </si>
  <si>
    <t>E30081280100</t>
    <phoneticPr fontId="2"/>
  </si>
  <si>
    <t>TE01669541</t>
    <phoneticPr fontId="2"/>
  </si>
  <si>
    <t>E30030700100</t>
    <phoneticPr fontId="2"/>
  </si>
  <si>
    <t>0658</t>
    <phoneticPr fontId="2"/>
  </si>
  <si>
    <t>上野</t>
    <phoneticPr fontId="2"/>
  </si>
  <si>
    <t>四日市</t>
    <phoneticPr fontId="2"/>
  </si>
  <si>
    <t>古河</t>
    <phoneticPr fontId="2"/>
  </si>
  <si>
    <t>長田</t>
    <phoneticPr fontId="2"/>
  </si>
  <si>
    <t>明石</t>
    <phoneticPr fontId="2"/>
  </si>
  <si>
    <t>本城</t>
    <phoneticPr fontId="2"/>
  </si>
  <si>
    <t>きずり</t>
    <phoneticPr fontId="2"/>
  </si>
  <si>
    <t>№0648で追加工事</t>
    <phoneticPr fontId="2"/>
  </si>
  <si>
    <t>№0261の追加工事</t>
    <phoneticPr fontId="2"/>
  </si>
  <si>
    <t>0274</t>
    <phoneticPr fontId="2"/>
  </si>
  <si>
    <t>P台間拡張（2島）へのホールコン対応作業</t>
    <phoneticPr fontId="2"/>
  </si>
  <si>
    <t>6638</t>
    <phoneticPr fontId="2"/>
  </si>
  <si>
    <t>0313</t>
    <phoneticPr fontId="2"/>
  </si>
  <si>
    <t>0315</t>
    <phoneticPr fontId="2"/>
  </si>
  <si>
    <t>0656</t>
    <phoneticPr fontId="2"/>
  </si>
  <si>
    <t>0583</t>
    <phoneticPr fontId="2"/>
  </si>
  <si>
    <t>0627</t>
    <phoneticPr fontId="2"/>
  </si>
  <si>
    <t>YNPUM</t>
    <phoneticPr fontId="2"/>
  </si>
  <si>
    <t>E30081520100</t>
    <phoneticPr fontId="2"/>
  </si>
  <si>
    <t>0576</t>
    <phoneticPr fontId="2"/>
  </si>
  <si>
    <t>大型計数機移設（1台）へのホールコン対応作業</t>
    <phoneticPr fontId="2"/>
  </si>
  <si>
    <t>6713</t>
    <phoneticPr fontId="2"/>
  </si>
  <si>
    <t>E30081510100</t>
    <phoneticPr fontId="2"/>
  </si>
  <si>
    <t>0581</t>
    <phoneticPr fontId="2"/>
  </si>
  <si>
    <t>周南</t>
    <phoneticPr fontId="2"/>
  </si>
  <si>
    <t>E30082940100</t>
    <phoneticPr fontId="2"/>
  </si>
  <si>
    <t>0667</t>
    <phoneticPr fontId="2"/>
  </si>
  <si>
    <t>1/28：蒲田駅東→佐久に変更</t>
    <phoneticPr fontId="2"/>
  </si>
  <si>
    <t>食材工場在庫管理システム在庫系修正</t>
    <phoneticPr fontId="2"/>
  </si>
  <si>
    <t>0673</t>
    <phoneticPr fontId="2"/>
  </si>
  <si>
    <t>0297</t>
    <phoneticPr fontId="2"/>
  </si>
  <si>
    <t>6722</t>
    <phoneticPr fontId="2"/>
  </si>
  <si>
    <t>0393</t>
    <phoneticPr fontId="2"/>
  </si>
  <si>
    <t>S→P（18→20台）／玉メダル貸しC（38台）へのホールコン対応作業</t>
    <phoneticPr fontId="2"/>
  </si>
  <si>
    <t>6684</t>
    <phoneticPr fontId="2"/>
  </si>
  <si>
    <t>0340</t>
    <phoneticPr fontId="2"/>
  </si>
  <si>
    <t>S→P（40→36台）／P台間拡張（2島）へのホールコン対応作業</t>
    <phoneticPr fontId="2"/>
  </si>
  <si>
    <t>6656</t>
    <phoneticPr fontId="2"/>
  </si>
  <si>
    <t>TE01669984</t>
    <phoneticPr fontId="2"/>
  </si>
  <si>
    <t>TE01669992</t>
    <phoneticPr fontId="2"/>
  </si>
  <si>
    <t>TE01669987</t>
    <phoneticPr fontId="2"/>
  </si>
  <si>
    <t>0328</t>
    <phoneticPr fontId="2"/>
  </si>
  <si>
    <t>八千代東</t>
    <phoneticPr fontId="2"/>
  </si>
  <si>
    <t>2/1：見積有効期限切れ</t>
    <phoneticPr fontId="2"/>
  </si>
  <si>
    <t>0706</t>
    <phoneticPr fontId="2"/>
  </si>
  <si>
    <t>KKS緊急老朽化更新（CL）</t>
    <phoneticPr fontId="2"/>
  </si>
  <si>
    <t>KKSシステム向け／マイク線加工(10)</t>
    <phoneticPr fontId="2"/>
  </si>
  <si>
    <t>0707</t>
    <phoneticPr fontId="2"/>
  </si>
  <si>
    <t>E30072680100</t>
    <phoneticPr fontId="2"/>
  </si>
  <si>
    <t>0708</t>
    <phoneticPr fontId="2"/>
  </si>
  <si>
    <t>0685</t>
    <phoneticPr fontId="2"/>
  </si>
  <si>
    <t>POSシステム向け／LANケーブル(2)</t>
    <phoneticPr fontId="2"/>
  </si>
  <si>
    <t>ビジネスＷｉ－Ｆｉ設置ＬＡＮ敷設作業</t>
  </si>
  <si>
    <t>E30083220100</t>
    <phoneticPr fontId="2"/>
  </si>
  <si>
    <t>KKS老朽化更新（SV+CL）</t>
    <phoneticPr fontId="2"/>
  </si>
  <si>
    <t>KKS老朽化更新（WingPOS+CL）</t>
    <phoneticPr fontId="2"/>
  </si>
  <si>
    <t>0680</t>
    <phoneticPr fontId="2"/>
  </si>
  <si>
    <t>2月</t>
    <phoneticPr fontId="2"/>
  </si>
  <si>
    <t>0698</t>
    <phoneticPr fontId="2"/>
  </si>
  <si>
    <t>0693</t>
    <phoneticPr fontId="2"/>
  </si>
  <si>
    <t>0675</t>
    <phoneticPr fontId="2"/>
  </si>
  <si>
    <t>KKS老朽化更新（WingPOS(2)+CL）</t>
    <phoneticPr fontId="2"/>
  </si>
  <si>
    <t>0676</t>
    <phoneticPr fontId="2"/>
  </si>
  <si>
    <t>0694</t>
    <phoneticPr fontId="2"/>
  </si>
  <si>
    <t>0695</t>
    <phoneticPr fontId="2"/>
  </si>
  <si>
    <t>0696</t>
    <phoneticPr fontId="2"/>
  </si>
  <si>
    <t>0699</t>
    <phoneticPr fontId="2"/>
  </si>
  <si>
    <t>0688</t>
    <phoneticPr fontId="2"/>
  </si>
  <si>
    <t>市原</t>
    <phoneticPr fontId="2"/>
  </si>
  <si>
    <t>TE01670493</t>
    <phoneticPr fontId="2"/>
  </si>
  <si>
    <t>02</t>
  </si>
  <si>
    <t>0602</t>
    <phoneticPr fontId="2"/>
  </si>
  <si>
    <t>0653</t>
    <phoneticPr fontId="2"/>
  </si>
  <si>
    <t>0652</t>
    <phoneticPr fontId="2"/>
  </si>
  <si>
    <t>0314</t>
    <phoneticPr fontId="2"/>
  </si>
  <si>
    <t>E30083170100</t>
    <phoneticPr fontId="2"/>
  </si>
  <si>
    <t>E30083430100</t>
    <phoneticPr fontId="2"/>
  </si>
  <si>
    <t>E30083460100</t>
    <phoneticPr fontId="2"/>
  </si>
  <si>
    <t>E30083930100</t>
    <phoneticPr fontId="2"/>
  </si>
  <si>
    <t>E30083940100</t>
    <phoneticPr fontId="2"/>
  </si>
  <si>
    <t>E30083910100</t>
    <phoneticPr fontId="2"/>
  </si>
  <si>
    <t>E30083400100</t>
    <phoneticPr fontId="2"/>
  </si>
  <si>
    <t>0713</t>
    <phoneticPr fontId="2"/>
  </si>
  <si>
    <t>E30077030110</t>
    <phoneticPr fontId="2"/>
  </si>
  <si>
    <t>ホールコンサポートセンター受付業務(2月分)　北日本カンパニー</t>
    <phoneticPr fontId="2"/>
  </si>
  <si>
    <t>ホールコンサポートセンター受付業務(2月分)　東日本カンパニー</t>
    <phoneticPr fontId="2"/>
  </si>
  <si>
    <t>ホールコンサポートセンター受付業務(2月分)　西日本カンパニー</t>
    <phoneticPr fontId="2"/>
  </si>
  <si>
    <t>携帯システム関連／保守料(2月分)</t>
    <phoneticPr fontId="2"/>
  </si>
  <si>
    <t>0715</t>
    <phoneticPr fontId="2"/>
  </si>
  <si>
    <t xml:space="preserve"> TE01670657 </t>
    <phoneticPr fontId="2"/>
  </si>
  <si>
    <t>0651</t>
    <phoneticPr fontId="2"/>
  </si>
  <si>
    <t xml:space="preserve"> TE01670798 </t>
    <phoneticPr fontId="2"/>
  </si>
  <si>
    <t>0380</t>
    <phoneticPr fontId="2"/>
  </si>
  <si>
    <t>玉貸しC（39台）へのホールコン対応作業</t>
    <phoneticPr fontId="2"/>
  </si>
  <si>
    <t>6680</t>
    <phoneticPr fontId="2"/>
  </si>
  <si>
    <t>0391</t>
    <phoneticPr fontId="2"/>
  </si>
  <si>
    <t>6683</t>
    <phoneticPr fontId="2"/>
  </si>
  <si>
    <t>0358</t>
    <phoneticPr fontId="2"/>
  </si>
  <si>
    <t>メダル貸しC（34台）へのホールコン対応作業</t>
    <phoneticPr fontId="2"/>
  </si>
  <si>
    <t>6665</t>
    <phoneticPr fontId="2"/>
  </si>
  <si>
    <t>0404</t>
    <phoneticPr fontId="2"/>
  </si>
  <si>
    <t>PS増減台（26台）へのホールコン対応作業</t>
    <phoneticPr fontId="2"/>
  </si>
  <si>
    <t>6691</t>
    <phoneticPr fontId="2"/>
  </si>
  <si>
    <t>E30082080100</t>
    <phoneticPr fontId="2"/>
  </si>
  <si>
    <t>0165</t>
    <phoneticPr fontId="2"/>
  </si>
  <si>
    <t>PS増減台（40 台）へのホールコン対応作業</t>
    <phoneticPr fontId="2"/>
  </si>
  <si>
    <t>6594</t>
    <phoneticPr fontId="2"/>
  </si>
  <si>
    <t xml:space="preserve">TE01670961 </t>
    <phoneticPr fontId="2"/>
  </si>
  <si>
    <t>0307</t>
    <phoneticPr fontId="2"/>
  </si>
  <si>
    <t>0309</t>
    <phoneticPr fontId="2"/>
  </si>
  <si>
    <t>E30083150100</t>
    <phoneticPr fontId="2"/>
  </si>
  <si>
    <t>E30082190100</t>
    <phoneticPr fontId="2"/>
  </si>
  <si>
    <t>E30083010100</t>
    <phoneticPr fontId="2"/>
  </si>
  <si>
    <t>老朽化更新：カウンタコンピュータ+セキュリティコンピュータ導入工事</t>
    <phoneticPr fontId="2"/>
  </si>
  <si>
    <t>プレンティ</t>
    <phoneticPr fontId="29"/>
  </si>
  <si>
    <t>きずり</t>
    <phoneticPr fontId="29"/>
  </si>
  <si>
    <t>0728</t>
    <phoneticPr fontId="2"/>
  </si>
  <si>
    <t>2月</t>
  </si>
  <si>
    <t>水沢</t>
    <phoneticPr fontId="29"/>
  </si>
  <si>
    <t>老朽化更新：ホストコンピュータ＋カウンタコンピュータ+セキュリティコンピュータ導入工事</t>
    <phoneticPr fontId="2"/>
  </si>
  <si>
    <t>3月</t>
    <phoneticPr fontId="2"/>
  </si>
  <si>
    <t>老朽化更新：マルチコントローラ＋ホストコンピュータ導入工事</t>
    <phoneticPr fontId="2"/>
  </si>
  <si>
    <t>E30083440100</t>
    <phoneticPr fontId="2"/>
  </si>
  <si>
    <t>E30075320100</t>
    <phoneticPr fontId="2"/>
  </si>
  <si>
    <t>E30075310100</t>
    <phoneticPr fontId="2"/>
  </si>
  <si>
    <t>E30084590100</t>
    <phoneticPr fontId="2"/>
  </si>
  <si>
    <t>E30084640100</t>
    <phoneticPr fontId="2"/>
  </si>
  <si>
    <t>E30084020100</t>
    <phoneticPr fontId="2"/>
  </si>
  <si>
    <t>E30084260100</t>
    <phoneticPr fontId="2"/>
  </si>
  <si>
    <t>E30084270100</t>
    <phoneticPr fontId="2"/>
  </si>
  <si>
    <t>0355</t>
    <phoneticPr fontId="2"/>
  </si>
  <si>
    <t>6662</t>
    <phoneticPr fontId="2"/>
  </si>
  <si>
    <t>6671</t>
    <phoneticPr fontId="2"/>
  </si>
  <si>
    <t>TE01667705</t>
    <phoneticPr fontId="2"/>
  </si>
  <si>
    <t>E30082040100</t>
    <phoneticPr fontId="2"/>
  </si>
  <si>
    <t>0607</t>
    <phoneticPr fontId="2"/>
  </si>
  <si>
    <t>0620</t>
    <phoneticPr fontId="2"/>
  </si>
  <si>
    <t>0628</t>
    <phoneticPr fontId="2"/>
  </si>
  <si>
    <t>0562</t>
    <phoneticPr fontId="2"/>
  </si>
  <si>
    <t>メダル貸しC（57台）へのホールコン対応作業</t>
    <phoneticPr fontId="2"/>
  </si>
  <si>
    <t>6704</t>
    <phoneticPr fontId="2"/>
  </si>
  <si>
    <t>0616</t>
    <phoneticPr fontId="2"/>
  </si>
  <si>
    <t>0622</t>
    <phoneticPr fontId="2"/>
  </si>
  <si>
    <t>0623</t>
    <phoneticPr fontId="2"/>
  </si>
  <si>
    <t>0624</t>
    <phoneticPr fontId="2"/>
  </si>
  <si>
    <t>0625</t>
    <phoneticPr fontId="2"/>
  </si>
  <si>
    <t>0626</t>
    <phoneticPr fontId="2"/>
  </si>
  <si>
    <t>0629</t>
    <phoneticPr fontId="2"/>
  </si>
  <si>
    <t>0630</t>
    <phoneticPr fontId="2"/>
  </si>
  <si>
    <t>0631</t>
    <phoneticPr fontId="2"/>
  </si>
  <si>
    <t>0633</t>
    <phoneticPr fontId="2"/>
  </si>
  <si>
    <t>0610</t>
    <phoneticPr fontId="2"/>
  </si>
  <si>
    <t>0611</t>
    <phoneticPr fontId="2"/>
  </si>
  <si>
    <t>0612</t>
    <phoneticPr fontId="2"/>
  </si>
  <si>
    <t>0614</t>
    <phoneticPr fontId="2"/>
  </si>
  <si>
    <t>0619</t>
    <phoneticPr fontId="2"/>
  </si>
  <si>
    <t>0621</t>
    <phoneticPr fontId="2"/>
  </si>
  <si>
    <t>0639</t>
    <phoneticPr fontId="2"/>
  </si>
  <si>
    <t>0640</t>
    <phoneticPr fontId="2"/>
  </si>
  <si>
    <t>0354</t>
    <phoneticPr fontId="2"/>
  </si>
  <si>
    <t>6661</t>
    <phoneticPr fontId="2"/>
  </si>
  <si>
    <t>TE01671441</t>
    <phoneticPr fontId="2"/>
  </si>
  <si>
    <t>TE01671442</t>
    <phoneticPr fontId="2"/>
  </si>
  <si>
    <t>TE01667170</t>
    <phoneticPr fontId="2"/>
  </si>
  <si>
    <t>0749</t>
  </si>
  <si>
    <t>ホールコンBOX評価作業</t>
  </si>
  <si>
    <t>0750</t>
    <phoneticPr fontId="2"/>
  </si>
  <si>
    <t>3月</t>
  </si>
  <si>
    <t>0747</t>
    <phoneticPr fontId="2"/>
  </si>
  <si>
    <t>厚別</t>
    <phoneticPr fontId="29"/>
  </si>
  <si>
    <t>0751</t>
    <phoneticPr fontId="2"/>
  </si>
  <si>
    <t>0752</t>
    <phoneticPr fontId="2"/>
  </si>
  <si>
    <t>0753</t>
    <phoneticPr fontId="2"/>
  </si>
  <si>
    <t>0754</t>
    <phoneticPr fontId="2"/>
  </si>
  <si>
    <t>2/4分割発行</t>
  </si>
  <si>
    <t>0758</t>
    <phoneticPr fontId="2"/>
  </si>
  <si>
    <t>TE01671710</t>
    <phoneticPr fontId="2"/>
  </si>
  <si>
    <t>0645</t>
    <phoneticPr fontId="2"/>
  </si>
  <si>
    <t>0593</t>
    <phoneticPr fontId="2"/>
  </si>
  <si>
    <t>梅田</t>
    <phoneticPr fontId="2"/>
  </si>
  <si>
    <t>0668</t>
    <phoneticPr fontId="2"/>
  </si>
  <si>
    <t>0669</t>
    <phoneticPr fontId="2"/>
  </si>
  <si>
    <t>E30082030100</t>
    <phoneticPr fontId="2"/>
  </si>
  <si>
    <t>E30080600100</t>
    <phoneticPr fontId="2"/>
  </si>
  <si>
    <t>E30079930100</t>
    <phoneticPr fontId="2"/>
  </si>
  <si>
    <t>E30075780100</t>
    <phoneticPr fontId="2"/>
  </si>
  <si>
    <t>0283</t>
    <phoneticPr fontId="2"/>
  </si>
  <si>
    <t>E30082900100</t>
    <phoneticPr fontId="2"/>
  </si>
  <si>
    <t>0291</t>
    <phoneticPr fontId="2"/>
  </si>
  <si>
    <t>0592</t>
    <phoneticPr fontId="2"/>
  </si>
  <si>
    <t>苫小牧駅前</t>
    <phoneticPr fontId="2"/>
  </si>
  <si>
    <t>E00000960105</t>
    <phoneticPr fontId="2"/>
  </si>
  <si>
    <t>E30083160100</t>
    <phoneticPr fontId="2"/>
  </si>
  <si>
    <t>E30083130100</t>
    <phoneticPr fontId="2"/>
  </si>
  <si>
    <t>0299</t>
    <phoneticPr fontId="2"/>
  </si>
  <si>
    <t>0764</t>
    <phoneticPr fontId="2"/>
  </si>
  <si>
    <t>ＰＨＣ業務補助／1月度</t>
    <phoneticPr fontId="2"/>
  </si>
  <si>
    <t>0709</t>
    <phoneticPr fontId="2"/>
  </si>
  <si>
    <t>0766</t>
  </si>
  <si>
    <t>0765</t>
    <phoneticPr fontId="2"/>
  </si>
  <si>
    <t>日産プリンス（水口）</t>
    <phoneticPr fontId="2"/>
  </si>
  <si>
    <t>付帯工事／ネオマルス</t>
    <phoneticPr fontId="2"/>
  </si>
  <si>
    <t>0571</t>
    <phoneticPr fontId="2"/>
  </si>
  <si>
    <t>伊勢崎①</t>
    <phoneticPr fontId="2"/>
  </si>
  <si>
    <t>6710</t>
    <phoneticPr fontId="2"/>
  </si>
  <si>
    <t>2/4中止</t>
    <phoneticPr fontId="2"/>
  </si>
  <si>
    <t>0768</t>
    <phoneticPr fontId="2"/>
  </si>
  <si>
    <t>№769で＋１台分作成</t>
    <phoneticPr fontId="2"/>
  </si>
  <si>
    <t>0769</t>
    <phoneticPr fontId="2"/>
  </si>
  <si>
    <t xml:space="preserve">TE01672891 </t>
    <phoneticPr fontId="2"/>
  </si>
  <si>
    <t>TE01672898</t>
    <phoneticPr fontId="2"/>
  </si>
  <si>
    <t xml:space="preserve"> TE01672899 </t>
    <phoneticPr fontId="2"/>
  </si>
  <si>
    <t>0324</t>
    <phoneticPr fontId="2"/>
  </si>
  <si>
    <t>6648</t>
    <phoneticPr fontId="2"/>
  </si>
  <si>
    <t>2/1：見積有効期限切れ</t>
  </si>
  <si>
    <t>2/7：分割提出№0770,0771</t>
    <phoneticPr fontId="2"/>
  </si>
  <si>
    <t>0727</t>
    <phoneticPr fontId="2"/>
  </si>
  <si>
    <t>個別計数機増設（120台）へのホールコン対応作業</t>
    <phoneticPr fontId="2"/>
  </si>
  <si>
    <t>6729k</t>
    <phoneticPr fontId="2"/>
  </si>
  <si>
    <t xml:space="preserve">TE01673317 </t>
    <phoneticPr fontId="2"/>
  </si>
  <si>
    <t xml:space="preserve">TE01673335 </t>
    <phoneticPr fontId="2"/>
  </si>
  <si>
    <t>№0768で＋1台分作成</t>
    <phoneticPr fontId="2"/>
  </si>
  <si>
    <t>0774</t>
    <phoneticPr fontId="2"/>
  </si>
  <si>
    <t>高知高須</t>
    <phoneticPr fontId="2"/>
  </si>
  <si>
    <t>大型計数機他店移設（１台）へのホールコン対応作業</t>
    <phoneticPr fontId="2"/>
  </si>
  <si>
    <t>0789</t>
    <phoneticPr fontId="2"/>
  </si>
  <si>
    <t>E30030410100</t>
    <phoneticPr fontId="2"/>
  </si>
  <si>
    <t>E30030490100</t>
    <phoneticPr fontId="2"/>
  </si>
  <si>
    <t>E30030500100</t>
    <phoneticPr fontId="2"/>
  </si>
  <si>
    <t>E30030620100</t>
    <phoneticPr fontId="2"/>
  </si>
  <si>
    <t>E30030470100</t>
    <phoneticPr fontId="2"/>
  </si>
  <si>
    <t>E30030590100</t>
    <phoneticPr fontId="2"/>
  </si>
  <si>
    <t>E30030610100</t>
    <phoneticPr fontId="2"/>
  </si>
  <si>
    <t>E30030630100</t>
    <phoneticPr fontId="2"/>
  </si>
  <si>
    <t>E30030550100</t>
    <phoneticPr fontId="2"/>
  </si>
  <si>
    <t>E30030770100</t>
    <phoneticPr fontId="2"/>
  </si>
  <si>
    <t>E30030680100</t>
    <phoneticPr fontId="2"/>
  </si>
  <si>
    <t>E30030810100</t>
    <phoneticPr fontId="2"/>
  </si>
  <si>
    <t>E30030760100</t>
    <phoneticPr fontId="2"/>
  </si>
  <si>
    <t>E30085640100</t>
    <phoneticPr fontId="2"/>
  </si>
  <si>
    <t>E30085650100</t>
    <phoneticPr fontId="2"/>
  </si>
  <si>
    <t>E30076420100</t>
    <phoneticPr fontId="2"/>
  </si>
  <si>
    <t>E30084910100</t>
    <phoneticPr fontId="2"/>
  </si>
  <si>
    <t>E30085540100</t>
    <phoneticPr fontId="2"/>
  </si>
  <si>
    <t>E30030670100</t>
    <phoneticPr fontId="2"/>
  </si>
  <si>
    <t>E30067570100</t>
    <phoneticPr fontId="2"/>
  </si>
  <si>
    <t>E30030780100</t>
    <phoneticPr fontId="2"/>
  </si>
  <si>
    <t>E30067580100</t>
    <phoneticPr fontId="2"/>
  </si>
  <si>
    <t>E30075270100</t>
    <phoneticPr fontId="2"/>
  </si>
  <si>
    <t>E30085430100</t>
    <phoneticPr fontId="2"/>
  </si>
  <si>
    <t>E30085420100</t>
    <phoneticPr fontId="2"/>
  </si>
  <si>
    <t>0557</t>
    <phoneticPr fontId="2"/>
  </si>
  <si>
    <t>大野様ご担当</t>
  </si>
  <si>
    <t>0559</t>
    <phoneticPr fontId="2"/>
  </si>
  <si>
    <t>0674</t>
    <phoneticPr fontId="2"/>
  </si>
  <si>
    <t>0692</t>
    <phoneticPr fontId="2"/>
  </si>
  <si>
    <t>2/11:キャンセル依頼／他社対応</t>
  </si>
  <si>
    <t>0755</t>
    <phoneticPr fontId="2"/>
  </si>
  <si>
    <t>POS老朽化更新／1月度</t>
    <phoneticPr fontId="2"/>
  </si>
  <si>
    <t>POS老朽化更新作業／1月度</t>
    <phoneticPr fontId="2"/>
  </si>
  <si>
    <t>0772</t>
    <phoneticPr fontId="2"/>
  </si>
  <si>
    <t>0729</t>
    <phoneticPr fontId="2"/>
  </si>
  <si>
    <t>廿日市</t>
    <phoneticPr fontId="29"/>
  </si>
  <si>
    <t>0285</t>
    <phoneticPr fontId="2"/>
  </si>
  <si>
    <t>0284</t>
    <phoneticPr fontId="2"/>
  </si>
  <si>
    <t>岩見沢東</t>
    <phoneticPr fontId="2"/>
  </si>
  <si>
    <t>0287</t>
    <phoneticPr fontId="2"/>
  </si>
  <si>
    <t>0288</t>
    <phoneticPr fontId="2"/>
  </si>
  <si>
    <t>帯広</t>
    <phoneticPr fontId="2"/>
  </si>
  <si>
    <t>E30054870100</t>
    <phoneticPr fontId="2"/>
  </si>
  <si>
    <t>E30072860100</t>
    <phoneticPr fontId="2"/>
  </si>
  <si>
    <t>台コン交換(Ｄ→E)に伴う変更工事</t>
    <phoneticPr fontId="2"/>
  </si>
  <si>
    <t>E30072880100</t>
    <phoneticPr fontId="2"/>
  </si>
  <si>
    <t>スロットインターフェイスハーネス（10）</t>
    <phoneticPr fontId="2"/>
  </si>
  <si>
    <t>0792</t>
    <phoneticPr fontId="2"/>
  </si>
  <si>
    <t>E30081020100</t>
    <phoneticPr fontId="2"/>
  </si>
  <si>
    <t>E30086530100</t>
    <phoneticPr fontId="2"/>
  </si>
  <si>
    <t>E30086550100</t>
    <phoneticPr fontId="2"/>
  </si>
  <si>
    <t>E30030790100</t>
    <phoneticPr fontId="2"/>
  </si>
  <si>
    <t>E30086240100</t>
    <phoneticPr fontId="2"/>
  </si>
  <si>
    <t>E30075290100</t>
    <phoneticPr fontId="2"/>
  </si>
  <si>
    <t>0795</t>
    <phoneticPr fontId="2"/>
  </si>
  <si>
    <t>PS増台（38台）へのホールコン対応作業</t>
    <phoneticPr fontId="2"/>
  </si>
  <si>
    <t>6733</t>
    <phoneticPr fontId="2"/>
  </si>
  <si>
    <t>0719</t>
    <phoneticPr fontId="2"/>
  </si>
  <si>
    <t>0793</t>
    <phoneticPr fontId="2"/>
  </si>
  <si>
    <t>0609</t>
    <phoneticPr fontId="2"/>
  </si>
  <si>
    <t>0617</t>
    <phoneticPr fontId="2"/>
  </si>
  <si>
    <t>0642</t>
    <phoneticPr fontId="2"/>
  </si>
  <si>
    <t>0643</t>
    <phoneticPr fontId="2"/>
  </si>
  <si>
    <t>0644</t>
    <phoneticPr fontId="2"/>
  </si>
  <si>
    <t>0659</t>
    <phoneticPr fontId="2"/>
  </si>
  <si>
    <t>0660</t>
    <phoneticPr fontId="2"/>
  </si>
  <si>
    <t>0662</t>
    <phoneticPr fontId="2"/>
  </si>
  <si>
    <t>0295</t>
    <phoneticPr fontId="2"/>
  </si>
  <si>
    <t>0296</t>
    <phoneticPr fontId="2"/>
  </si>
  <si>
    <t>1/24納期変更：1/14→2/28</t>
    <phoneticPr fontId="2"/>
  </si>
  <si>
    <t>0292</t>
    <phoneticPr fontId="2"/>
  </si>
  <si>
    <t>北上</t>
    <phoneticPr fontId="2"/>
  </si>
  <si>
    <t>0294</t>
    <phoneticPr fontId="2"/>
  </si>
  <si>
    <t>0293</t>
    <phoneticPr fontId="2"/>
  </si>
  <si>
    <t>0289</t>
    <phoneticPr fontId="2"/>
  </si>
  <si>
    <t>0286</t>
    <phoneticPr fontId="2"/>
  </si>
  <si>
    <t>稚内</t>
    <phoneticPr fontId="2"/>
  </si>
  <si>
    <t>0618</t>
    <phoneticPr fontId="2"/>
  </si>
  <si>
    <t>0615</t>
    <phoneticPr fontId="2"/>
  </si>
  <si>
    <t>0608</t>
    <phoneticPr fontId="2"/>
  </si>
  <si>
    <t>0207</t>
    <phoneticPr fontId="2"/>
  </si>
  <si>
    <t>旭川西</t>
    <phoneticPr fontId="2"/>
  </si>
  <si>
    <t>0613</t>
    <phoneticPr fontId="2"/>
  </si>
  <si>
    <t>0720</t>
    <phoneticPr fontId="2"/>
  </si>
  <si>
    <t>E30080900100</t>
    <phoneticPr fontId="2"/>
  </si>
  <si>
    <t>0794</t>
    <phoneticPr fontId="2"/>
  </si>
  <si>
    <t>E30086680100</t>
    <phoneticPr fontId="2"/>
  </si>
  <si>
    <t>E30030520100</t>
    <phoneticPr fontId="2"/>
  </si>
  <si>
    <t>E30030430100</t>
    <phoneticPr fontId="2"/>
  </si>
  <si>
    <t>E30067590100</t>
    <phoneticPr fontId="2"/>
  </si>
  <si>
    <t>E30067610100</t>
    <phoneticPr fontId="2"/>
  </si>
  <si>
    <t>E30067600100</t>
    <phoneticPr fontId="2"/>
  </si>
  <si>
    <t>0738</t>
    <phoneticPr fontId="2"/>
  </si>
  <si>
    <t>0736</t>
    <phoneticPr fontId="2"/>
  </si>
  <si>
    <t>長田</t>
    <phoneticPr fontId="29"/>
  </si>
  <si>
    <t>0737</t>
    <phoneticPr fontId="2"/>
  </si>
  <si>
    <t>TE01676042</t>
    <phoneticPr fontId="2"/>
  </si>
  <si>
    <t>TE01676045</t>
    <phoneticPr fontId="2"/>
  </si>
  <si>
    <t>TE01676047</t>
    <phoneticPr fontId="2"/>
  </si>
  <si>
    <t>TE01676049</t>
    <phoneticPr fontId="2"/>
  </si>
  <si>
    <t>TE01676051</t>
    <phoneticPr fontId="2"/>
  </si>
  <si>
    <t>TE01676068</t>
    <phoneticPr fontId="2"/>
  </si>
  <si>
    <t>TE01676069</t>
    <phoneticPr fontId="2"/>
  </si>
  <si>
    <t>TE01676070</t>
    <phoneticPr fontId="2"/>
  </si>
  <si>
    <t>TE01676072</t>
    <phoneticPr fontId="2"/>
  </si>
  <si>
    <t>E30087030100</t>
    <phoneticPr fontId="2"/>
  </si>
  <si>
    <t>E30087010100</t>
    <phoneticPr fontId="2"/>
  </si>
  <si>
    <t>E30087000100</t>
    <phoneticPr fontId="2"/>
  </si>
  <si>
    <t>0801</t>
    <phoneticPr fontId="2"/>
  </si>
  <si>
    <t>保守作業／タッチパネルカウンタセットアップ作業</t>
    <phoneticPr fontId="2"/>
  </si>
  <si>
    <t>0799</t>
    <phoneticPr fontId="2"/>
  </si>
  <si>
    <t>0590</t>
    <phoneticPr fontId="2"/>
  </si>
  <si>
    <t>E30082700100</t>
    <phoneticPr fontId="2"/>
  </si>
  <si>
    <t>0731</t>
    <phoneticPr fontId="2"/>
  </si>
  <si>
    <t>0732</t>
    <phoneticPr fontId="2"/>
  </si>
  <si>
    <t>橋本台</t>
    <phoneticPr fontId="29"/>
  </si>
  <si>
    <t>0733</t>
    <phoneticPr fontId="2"/>
  </si>
  <si>
    <t>松本</t>
    <phoneticPr fontId="29"/>
  </si>
  <si>
    <t>0734</t>
    <phoneticPr fontId="2"/>
  </si>
  <si>
    <t>藤枝駅南</t>
    <phoneticPr fontId="29"/>
  </si>
  <si>
    <t>0632</t>
    <phoneticPr fontId="2"/>
  </si>
  <si>
    <t>0634</t>
    <phoneticPr fontId="2"/>
  </si>
  <si>
    <t>0636</t>
    <phoneticPr fontId="2"/>
  </si>
  <si>
    <t>0637</t>
    <phoneticPr fontId="2"/>
  </si>
  <si>
    <t>0638</t>
    <phoneticPr fontId="2"/>
  </si>
  <si>
    <t>0641</t>
    <phoneticPr fontId="2"/>
  </si>
  <si>
    <t>0722</t>
    <phoneticPr fontId="2"/>
  </si>
  <si>
    <t>S増減台（28台）へのホールコン対応作業</t>
    <phoneticPr fontId="2"/>
  </si>
  <si>
    <t>6724</t>
    <phoneticPr fontId="2"/>
  </si>
  <si>
    <t>横浜町田(八斗島 )</t>
    <phoneticPr fontId="2"/>
  </si>
  <si>
    <t>0803</t>
    <phoneticPr fontId="2"/>
  </si>
  <si>
    <t>FF：№0692で処理</t>
    <phoneticPr fontId="2"/>
  </si>
  <si>
    <t>0723</t>
    <phoneticPr fontId="2"/>
  </si>
  <si>
    <t>マルチデータビジョンコンピューター撤去作業</t>
    <phoneticPr fontId="2"/>
  </si>
  <si>
    <t>6725</t>
    <phoneticPr fontId="2"/>
  </si>
  <si>
    <t>鷹岡→店舗変更</t>
    <phoneticPr fontId="2"/>
  </si>
  <si>
    <t>川越→店舗変更</t>
    <phoneticPr fontId="2"/>
  </si>
  <si>
    <t>E30085270100</t>
    <phoneticPr fontId="2"/>
  </si>
  <si>
    <t>E30086990100</t>
    <phoneticPr fontId="2"/>
  </si>
  <si>
    <t>八斗島→店舗変更／八斗島店分もFF処理／№0803で横浜町田処理</t>
    <phoneticPr fontId="2"/>
  </si>
  <si>
    <t>TE01677289</t>
    <phoneticPr fontId="2"/>
  </si>
  <si>
    <t>0805</t>
    <phoneticPr fontId="2"/>
  </si>
  <si>
    <t>0797</t>
    <phoneticPr fontId="2"/>
  </si>
  <si>
    <t>苅田</t>
    <phoneticPr fontId="2"/>
  </si>
  <si>
    <t>2/17復旧キャンセル</t>
    <phoneticPr fontId="2"/>
  </si>
  <si>
    <t>0714</t>
    <phoneticPr fontId="2"/>
  </si>
  <si>
    <t>PS増減台（14台）へのホールコン対応作業</t>
    <phoneticPr fontId="2"/>
  </si>
  <si>
    <t>6723</t>
    <phoneticPr fontId="2"/>
  </si>
  <si>
    <t>0716</t>
    <phoneticPr fontId="2"/>
  </si>
  <si>
    <t>0717</t>
    <phoneticPr fontId="2"/>
  </si>
  <si>
    <t>0718</t>
    <phoneticPr fontId="2"/>
  </si>
  <si>
    <t>0739</t>
    <phoneticPr fontId="2"/>
  </si>
  <si>
    <t>苅田</t>
    <phoneticPr fontId="29"/>
  </si>
  <si>
    <t>0730</t>
    <phoneticPr fontId="2"/>
  </si>
  <si>
    <t>萩原東</t>
    <phoneticPr fontId="29"/>
  </si>
  <si>
    <t>0735</t>
    <phoneticPr fontId="2"/>
  </si>
  <si>
    <t>若林</t>
    <phoneticPr fontId="29"/>
  </si>
  <si>
    <t>0542</t>
    <phoneticPr fontId="2"/>
  </si>
  <si>
    <t>0543</t>
    <phoneticPr fontId="2"/>
  </si>
  <si>
    <t>0544</t>
    <phoneticPr fontId="2"/>
  </si>
  <si>
    <t>0545</t>
    <phoneticPr fontId="2"/>
  </si>
  <si>
    <t>0546</t>
    <phoneticPr fontId="2"/>
  </si>
  <si>
    <t>鷹岡</t>
    <phoneticPr fontId="2"/>
  </si>
  <si>
    <t>0555</t>
    <phoneticPr fontId="2"/>
  </si>
  <si>
    <t>千葉ニュータウン</t>
    <phoneticPr fontId="2"/>
  </si>
  <si>
    <t>0556</t>
    <phoneticPr fontId="2"/>
  </si>
  <si>
    <t>0558</t>
    <phoneticPr fontId="2"/>
  </si>
  <si>
    <t>0560</t>
    <phoneticPr fontId="2"/>
  </si>
  <si>
    <t>0677</t>
    <phoneticPr fontId="2"/>
  </si>
  <si>
    <t>0678</t>
    <phoneticPr fontId="2"/>
  </si>
  <si>
    <t>0757</t>
    <phoneticPr fontId="2"/>
  </si>
  <si>
    <t>№0698の+１台分</t>
    <phoneticPr fontId="2"/>
  </si>
  <si>
    <t>0770</t>
    <phoneticPr fontId="2"/>
  </si>
  <si>
    <t>0771</t>
    <phoneticPr fontId="2"/>
  </si>
  <si>
    <t>0679</t>
    <phoneticPr fontId="2"/>
  </si>
  <si>
    <t>0681</t>
    <phoneticPr fontId="2"/>
  </si>
  <si>
    <t>0682</t>
    <phoneticPr fontId="2"/>
  </si>
  <si>
    <t>0683</t>
    <phoneticPr fontId="2"/>
  </si>
  <si>
    <t>0684</t>
    <phoneticPr fontId="2"/>
  </si>
  <si>
    <t>1/31緊急老朽化対応</t>
    <phoneticPr fontId="2"/>
  </si>
  <si>
    <t>0686</t>
    <phoneticPr fontId="2"/>
  </si>
  <si>
    <t>0687</t>
    <phoneticPr fontId="2"/>
  </si>
  <si>
    <t>0689</t>
    <phoneticPr fontId="2"/>
  </si>
  <si>
    <t>0690</t>
    <phoneticPr fontId="2"/>
  </si>
  <si>
    <t>0691</t>
    <phoneticPr fontId="2"/>
  </si>
  <si>
    <t>0697</t>
    <phoneticPr fontId="2"/>
  </si>
  <si>
    <t>2/4分割発行</t>
    <phoneticPr fontId="2"/>
  </si>
  <si>
    <t>0700</t>
    <phoneticPr fontId="2"/>
  </si>
  <si>
    <t>0701</t>
    <phoneticPr fontId="2"/>
  </si>
  <si>
    <t>0702</t>
    <phoneticPr fontId="2"/>
  </si>
  <si>
    <t>0703</t>
    <phoneticPr fontId="2"/>
  </si>
  <si>
    <t>0704</t>
    <phoneticPr fontId="2"/>
  </si>
  <si>
    <t>0705</t>
    <phoneticPr fontId="2"/>
  </si>
  <si>
    <t>0759</t>
    <phoneticPr fontId="2"/>
  </si>
  <si>
    <t>0760</t>
    <phoneticPr fontId="2"/>
  </si>
  <si>
    <t>0761</t>
    <phoneticPr fontId="2"/>
  </si>
  <si>
    <t>0762</t>
    <phoneticPr fontId="2"/>
  </si>
  <si>
    <t>0763</t>
    <phoneticPr fontId="2"/>
  </si>
  <si>
    <t>台コン更新／追加作業</t>
    <phoneticPr fontId="2"/>
  </si>
  <si>
    <t>6718</t>
    <phoneticPr fontId="2"/>
  </si>
  <si>
    <t>0572</t>
    <phoneticPr fontId="2"/>
  </si>
  <si>
    <t>伊勢崎②</t>
    <phoneticPr fontId="2"/>
  </si>
  <si>
    <t>メダル貸しC（54台）へのホールコン対応作業</t>
    <phoneticPr fontId="2"/>
  </si>
  <si>
    <t>6711</t>
    <phoneticPr fontId="2"/>
  </si>
  <si>
    <t>E30069630100</t>
    <phoneticPr fontId="2"/>
  </si>
  <si>
    <t>0724</t>
    <phoneticPr fontId="2"/>
  </si>
  <si>
    <t>玉貸しC（80台）へのホールコン対応作業</t>
    <phoneticPr fontId="2"/>
  </si>
  <si>
    <t>0802</t>
    <phoneticPr fontId="2"/>
  </si>
  <si>
    <t>0809</t>
  </si>
  <si>
    <t>堺遠里小野</t>
    <rPh sb="0" eb="5">
      <t>サカイオリオノ</t>
    </rPh>
    <phoneticPr fontId="2"/>
  </si>
  <si>
    <t>堺</t>
    <rPh sb="0" eb="1">
      <t>サカイ</t>
    </rPh>
    <phoneticPr fontId="2"/>
  </si>
  <si>
    <t>0810</t>
  </si>
  <si>
    <t>0811</t>
  </si>
  <si>
    <t>加島</t>
    <rPh sb="0" eb="2">
      <t>カシマ</t>
    </rPh>
    <phoneticPr fontId="2"/>
  </si>
  <si>
    <t>新世界</t>
    <rPh sb="0" eb="3">
      <t>シンセカイ</t>
    </rPh>
    <phoneticPr fontId="2"/>
  </si>
  <si>
    <t>0812</t>
  </si>
  <si>
    <t>0813</t>
  </si>
  <si>
    <t>0814</t>
  </si>
  <si>
    <t>なんば新館</t>
    <rPh sb="3" eb="5">
      <t>シンカン</t>
    </rPh>
    <phoneticPr fontId="2"/>
  </si>
  <si>
    <t>なんば本館スロット</t>
    <phoneticPr fontId="2"/>
  </si>
  <si>
    <t>0815</t>
  </si>
  <si>
    <t>0816</t>
  </si>
  <si>
    <t>0817</t>
  </si>
  <si>
    <t>0818</t>
  </si>
  <si>
    <t>0819</t>
  </si>
  <si>
    <t>岸和田</t>
    <rPh sb="0" eb="3">
      <t>キシワダ</t>
    </rPh>
    <phoneticPr fontId="2"/>
  </si>
  <si>
    <t>鹿児島新港</t>
    <rPh sb="0" eb="5">
      <t>カゴシマシンコウ</t>
    </rPh>
    <phoneticPr fontId="2"/>
  </si>
  <si>
    <t>0820</t>
  </si>
  <si>
    <t>0821</t>
  </si>
  <si>
    <t>E30083410100</t>
    <phoneticPr fontId="2"/>
  </si>
  <si>
    <t>E30077030100</t>
    <phoneticPr fontId="2"/>
  </si>
  <si>
    <t>0635</t>
    <phoneticPr fontId="2"/>
  </si>
  <si>
    <t>0790</t>
    <phoneticPr fontId="2"/>
  </si>
  <si>
    <t>TE01678663</t>
    <phoneticPr fontId="2"/>
  </si>
  <si>
    <t>TE01678691</t>
    <phoneticPr fontId="2"/>
  </si>
  <si>
    <t>2/18先行納品済み</t>
    <phoneticPr fontId="2"/>
  </si>
  <si>
    <t>B6001</t>
    <phoneticPr fontId="2"/>
  </si>
  <si>
    <t xml:space="preserve">E00000960102 </t>
    <phoneticPr fontId="2"/>
  </si>
  <si>
    <t>2/13：見積有効期限切れ</t>
    <phoneticPr fontId="2"/>
  </si>
  <si>
    <t>0569</t>
    <phoneticPr fontId="2"/>
  </si>
  <si>
    <t>橿原北①</t>
    <phoneticPr fontId="2"/>
  </si>
  <si>
    <t>メダル貸しC（20台）へのホールコン対応作業</t>
    <phoneticPr fontId="2"/>
  </si>
  <si>
    <t>6708</t>
    <phoneticPr fontId="2"/>
  </si>
  <si>
    <t>2/22：中止</t>
  </si>
  <si>
    <t>0570</t>
    <phoneticPr fontId="2"/>
  </si>
  <si>
    <t>橿原北②</t>
    <phoneticPr fontId="2"/>
  </si>
  <si>
    <t>メダル貸しC'（20台）へのホールコン対応作業</t>
    <phoneticPr fontId="2"/>
  </si>
  <si>
    <t>6709</t>
    <phoneticPr fontId="2"/>
  </si>
  <si>
    <t>2/22中止</t>
  </si>
  <si>
    <t>0756</t>
    <phoneticPr fontId="2"/>
  </si>
  <si>
    <t>6730</t>
    <phoneticPr fontId="2"/>
  </si>
  <si>
    <t>0843</t>
    <phoneticPr fontId="2"/>
  </si>
  <si>
    <t>KKSシステム向け／マイク線加工(8)</t>
    <phoneticPr fontId="2"/>
  </si>
  <si>
    <t>0844</t>
    <phoneticPr fontId="2"/>
  </si>
  <si>
    <t>E30088130100</t>
    <phoneticPr fontId="2"/>
  </si>
  <si>
    <t>E30087600100</t>
    <phoneticPr fontId="2"/>
  </si>
  <si>
    <t>E30088400100</t>
    <phoneticPr fontId="2"/>
  </si>
  <si>
    <t>E30088340100</t>
    <phoneticPr fontId="2"/>
  </si>
  <si>
    <t>E30088380100</t>
    <phoneticPr fontId="2"/>
  </si>
  <si>
    <t>E30088390100</t>
    <phoneticPr fontId="2"/>
  </si>
  <si>
    <t xml:space="preserve">E30088820100 </t>
    <phoneticPr fontId="2"/>
  </si>
  <si>
    <t>TE01679822</t>
    <phoneticPr fontId="2"/>
  </si>
  <si>
    <t>TE01680084</t>
    <phoneticPr fontId="2"/>
  </si>
  <si>
    <t>0845</t>
    <phoneticPr fontId="2"/>
  </si>
  <si>
    <t>E30089070100</t>
    <phoneticPr fontId="2"/>
  </si>
  <si>
    <t>E30088710100</t>
    <phoneticPr fontId="2"/>
  </si>
  <si>
    <t>TE01679800</t>
    <phoneticPr fontId="2"/>
  </si>
  <si>
    <t>0503</t>
    <phoneticPr fontId="2"/>
  </si>
  <si>
    <t>0850</t>
    <phoneticPr fontId="2"/>
  </si>
  <si>
    <t>保守受付業務補助／2月度</t>
    <phoneticPr fontId="2"/>
  </si>
  <si>
    <t>0829</t>
    <phoneticPr fontId="2"/>
  </si>
  <si>
    <t>福井大和田</t>
    <phoneticPr fontId="2"/>
  </si>
  <si>
    <t>PHC_新店舗工事施工業務</t>
    <phoneticPr fontId="2"/>
  </si>
  <si>
    <t>0834</t>
    <phoneticPr fontId="2"/>
  </si>
  <si>
    <t>0861</t>
    <phoneticPr fontId="2"/>
  </si>
  <si>
    <t>新信号取得工事（新店向け）</t>
    <phoneticPr fontId="2"/>
  </si>
  <si>
    <t>0807</t>
    <phoneticPr fontId="2"/>
  </si>
  <si>
    <t>0806</t>
    <phoneticPr fontId="2"/>
  </si>
  <si>
    <t>摂津ライト館</t>
    <phoneticPr fontId="2"/>
  </si>
  <si>
    <t>0851</t>
    <phoneticPr fontId="2"/>
  </si>
  <si>
    <t>ＰＨＣ業務補助／2月度</t>
    <phoneticPr fontId="2"/>
  </si>
  <si>
    <t>西田</t>
  </si>
  <si>
    <t>0858</t>
    <phoneticPr fontId="2"/>
  </si>
  <si>
    <t>E30088110100</t>
    <phoneticPr fontId="2"/>
  </si>
  <si>
    <t>0869</t>
    <phoneticPr fontId="2"/>
  </si>
  <si>
    <t>E30088090100</t>
    <phoneticPr fontId="2"/>
  </si>
  <si>
    <t>0870</t>
    <phoneticPr fontId="2"/>
  </si>
  <si>
    <t>0868</t>
    <phoneticPr fontId="2"/>
  </si>
  <si>
    <t>0808</t>
    <phoneticPr fontId="2"/>
  </si>
  <si>
    <t xml:space="preserve"> E30088110100</t>
    <phoneticPr fontId="2"/>
  </si>
  <si>
    <t xml:space="preserve"> E30088090100</t>
    <phoneticPr fontId="2"/>
  </si>
  <si>
    <t>2/24藤本様より依頼     FF事後処理、2/25商品先渡し　№0845(2)含む</t>
    <phoneticPr fontId="2"/>
  </si>
  <si>
    <t>2/24藤本様より依頼     FF事後処理、2/28商品先渡し　№0870(10)含む</t>
    <phoneticPr fontId="2"/>
  </si>
  <si>
    <t>2/24藤本様より依頼     FF事後処理、2/28商品先渡し　№0869(10)含む</t>
    <phoneticPr fontId="2"/>
  </si>
  <si>
    <t>2/24藤本様より依頼     FF事後処理、2/25商品先渡し　№0868(2)含む</t>
    <phoneticPr fontId="2"/>
  </si>
  <si>
    <t>0726</t>
    <phoneticPr fontId="2"/>
  </si>
  <si>
    <t>個別計数機増設（160台）へのホールコン対応作業</t>
    <phoneticPr fontId="2"/>
  </si>
  <si>
    <t>6728</t>
    <phoneticPr fontId="2"/>
  </si>
  <si>
    <t>0871</t>
    <phoneticPr fontId="2"/>
  </si>
  <si>
    <t>ホールコンサポートセンター受付業務(3月分)　東日本カンパニー</t>
    <phoneticPr fontId="2"/>
  </si>
  <si>
    <t>ホールコンサポートセンター受付業務(3月分)　西日本カンパニー</t>
    <phoneticPr fontId="2"/>
  </si>
  <si>
    <t>携帯システム関連／保守料(3月分)</t>
    <phoneticPr fontId="2"/>
  </si>
  <si>
    <t>0874</t>
    <phoneticPr fontId="2"/>
  </si>
  <si>
    <t>0875</t>
    <phoneticPr fontId="2"/>
  </si>
  <si>
    <t>0876</t>
    <phoneticPr fontId="2"/>
  </si>
  <si>
    <t>0877</t>
    <phoneticPr fontId="2"/>
  </si>
  <si>
    <t>ホールコンサポートセンター受付業務(3月分)　北日本カンパニー</t>
    <phoneticPr fontId="2"/>
  </si>
  <si>
    <t>0878</t>
    <phoneticPr fontId="2"/>
  </si>
  <si>
    <t>開発関連機器購入費（WEBカメラ、IPカメラ等）</t>
    <phoneticPr fontId="2"/>
  </si>
  <si>
    <t>03</t>
  </si>
  <si>
    <t xml:space="preserve"> E30081280100</t>
    <phoneticPr fontId="2"/>
  </si>
  <si>
    <t>E30089980100</t>
    <phoneticPr fontId="2"/>
  </si>
  <si>
    <t>0725</t>
    <phoneticPr fontId="2"/>
  </si>
  <si>
    <t>6727</t>
    <phoneticPr fontId="2"/>
  </si>
  <si>
    <t>TE01681245</t>
    <phoneticPr fontId="2"/>
  </si>
  <si>
    <t>TE01681246</t>
    <phoneticPr fontId="2"/>
  </si>
  <si>
    <t>TE01681250</t>
    <phoneticPr fontId="2"/>
  </si>
  <si>
    <t>E00000960103</t>
    <phoneticPr fontId="2"/>
  </si>
  <si>
    <t>0841</t>
    <phoneticPr fontId="2"/>
  </si>
  <si>
    <t>0879</t>
    <phoneticPr fontId="2"/>
  </si>
  <si>
    <t>0887</t>
    <phoneticPr fontId="2"/>
  </si>
  <si>
    <t>営業画面再作成／PS増減台（58台）へのホールコン対応作業</t>
    <phoneticPr fontId="2"/>
  </si>
  <si>
    <t>0567</t>
    <phoneticPr fontId="2"/>
  </si>
  <si>
    <t>№0867で再発行</t>
  </si>
  <si>
    <t>E30088100100</t>
    <phoneticPr fontId="2"/>
  </si>
  <si>
    <t>E30088070100</t>
    <phoneticPr fontId="2"/>
  </si>
  <si>
    <t>0854</t>
    <phoneticPr fontId="2"/>
  </si>
  <si>
    <t>E30088120100</t>
    <phoneticPr fontId="2"/>
  </si>
  <si>
    <t>6716</t>
    <phoneticPr fontId="2"/>
  </si>
  <si>
    <t>0773</t>
    <phoneticPr fontId="2"/>
  </si>
  <si>
    <t>0855</t>
    <phoneticPr fontId="2"/>
  </si>
  <si>
    <t>HSC_新店舗工事施工業務</t>
    <phoneticPr fontId="2"/>
  </si>
  <si>
    <t>0856</t>
    <phoneticPr fontId="2"/>
  </si>
  <si>
    <t>金庫監視施工業務</t>
    <phoneticPr fontId="2"/>
  </si>
  <si>
    <t>0842</t>
    <phoneticPr fontId="2"/>
  </si>
  <si>
    <t>E30089620100</t>
    <phoneticPr fontId="2"/>
  </si>
  <si>
    <t>0859</t>
    <phoneticPr fontId="2"/>
  </si>
  <si>
    <t>0862</t>
    <phoneticPr fontId="2"/>
  </si>
  <si>
    <t>店内アナウンス動作確認作業（新店向け）</t>
    <phoneticPr fontId="2"/>
  </si>
  <si>
    <t>0835</t>
    <phoneticPr fontId="2"/>
  </si>
  <si>
    <t>0837</t>
    <phoneticPr fontId="2"/>
  </si>
  <si>
    <t>0838</t>
    <phoneticPr fontId="2"/>
  </si>
  <si>
    <t>0830</t>
    <phoneticPr fontId="2"/>
  </si>
  <si>
    <t>E30072670100</t>
    <phoneticPr fontId="2"/>
  </si>
  <si>
    <t>0832</t>
    <phoneticPr fontId="2"/>
  </si>
  <si>
    <t>0833</t>
    <phoneticPr fontId="2"/>
  </si>
  <si>
    <t>E30090450100</t>
    <phoneticPr fontId="2"/>
  </si>
  <si>
    <t>0823</t>
    <phoneticPr fontId="2"/>
  </si>
  <si>
    <t>メダル貸しC（80台）へのホールコン対応作業</t>
    <phoneticPr fontId="2"/>
  </si>
  <si>
    <t>6737</t>
    <phoneticPr fontId="2"/>
  </si>
  <si>
    <t>0839</t>
    <phoneticPr fontId="2"/>
  </si>
  <si>
    <t>S増台台（48台）へのホールコン対応作業</t>
    <phoneticPr fontId="2"/>
  </si>
  <si>
    <t>6743</t>
    <phoneticPr fontId="2"/>
  </si>
  <si>
    <t>0846</t>
    <phoneticPr fontId="2"/>
  </si>
  <si>
    <t>S増台（26台）へのホールコン対応作業</t>
    <phoneticPr fontId="2"/>
  </si>
  <si>
    <t>6745</t>
    <phoneticPr fontId="2"/>
  </si>
  <si>
    <t>0847</t>
    <phoneticPr fontId="2"/>
  </si>
  <si>
    <t>S増台（20台）へのホールコン対応作業</t>
    <phoneticPr fontId="2"/>
  </si>
  <si>
    <t>6746</t>
    <phoneticPr fontId="2"/>
  </si>
  <si>
    <t xml:space="preserve"> E30089990100</t>
    <phoneticPr fontId="2"/>
  </si>
  <si>
    <t>TE01681990</t>
    <phoneticPr fontId="2"/>
  </si>
  <si>
    <t>0891</t>
    <phoneticPr fontId="2"/>
  </si>
  <si>
    <t>フィールドテスト（G社計数機・発行機）フォロー</t>
    <phoneticPr fontId="2"/>
  </si>
  <si>
    <t>№0367工事</t>
    <phoneticPr fontId="2"/>
  </si>
  <si>
    <t>0892</t>
    <phoneticPr fontId="2"/>
  </si>
  <si>
    <t>FF:でんさい</t>
  </si>
  <si>
    <t>0740</t>
    <phoneticPr fontId="2"/>
  </si>
  <si>
    <t>高浜</t>
    <phoneticPr fontId="29"/>
  </si>
  <si>
    <t xml:space="preserve"> E30076170100</t>
    <phoneticPr fontId="2"/>
  </si>
  <si>
    <t>0661</t>
    <phoneticPr fontId="2"/>
  </si>
  <si>
    <t>0036</t>
    <phoneticPr fontId="2"/>
  </si>
  <si>
    <t>6547</t>
    <phoneticPr fontId="2"/>
  </si>
  <si>
    <t>0575</t>
    <phoneticPr fontId="2"/>
  </si>
  <si>
    <t>6714</t>
    <phoneticPr fontId="2"/>
  </si>
  <si>
    <t>0741</t>
    <phoneticPr fontId="2"/>
  </si>
  <si>
    <t>八戸</t>
    <phoneticPr fontId="29"/>
  </si>
  <si>
    <t>0848</t>
    <phoneticPr fontId="2"/>
  </si>
  <si>
    <t>S増台（12台）へのホールコン対応作業</t>
    <phoneticPr fontId="2"/>
  </si>
  <si>
    <t>6747</t>
    <phoneticPr fontId="2"/>
  </si>
  <si>
    <t>TE01682474</t>
    <phoneticPr fontId="2"/>
  </si>
  <si>
    <t>TE01682475</t>
    <phoneticPr fontId="2"/>
  </si>
  <si>
    <t>TE01682476</t>
    <phoneticPr fontId="2"/>
  </si>
  <si>
    <t>TE01682486</t>
    <phoneticPr fontId="2"/>
  </si>
  <si>
    <t>TE01682487</t>
    <phoneticPr fontId="2"/>
  </si>
  <si>
    <t>TE01682490</t>
    <phoneticPr fontId="2"/>
  </si>
  <si>
    <t>TE01682492</t>
    <phoneticPr fontId="2"/>
  </si>
  <si>
    <t>3/5見積有効期限切れ</t>
  </si>
  <si>
    <t>E30089340100</t>
    <phoneticPr fontId="2"/>
  </si>
  <si>
    <t>E30090150100</t>
    <phoneticPr fontId="2"/>
  </si>
  <si>
    <t>E30091290100</t>
    <phoneticPr fontId="2"/>
  </si>
  <si>
    <t>E30091280100</t>
    <phoneticPr fontId="2"/>
  </si>
  <si>
    <t>0908</t>
    <phoneticPr fontId="2"/>
  </si>
  <si>
    <t>0791</t>
    <phoneticPr fontId="2"/>
  </si>
  <si>
    <t>ウェアラブル端末VerUp（1.2.6）不具合　現地調査</t>
    <phoneticPr fontId="2"/>
  </si>
  <si>
    <t>0666</t>
    <phoneticPr fontId="2"/>
  </si>
  <si>
    <t>E30090490100</t>
    <phoneticPr fontId="2"/>
  </si>
  <si>
    <t>0911</t>
  </si>
  <si>
    <t>0852</t>
    <phoneticPr fontId="2"/>
  </si>
  <si>
    <t>POS老朽化更新作業／2月度</t>
    <phoneticPr fontId="2"/>
  </si>
  <si>
    <t>TE01669793</t>
    <phoneticPr fontId="2"/>
  </si>
  <si>
    <t>TE01683010</t>
    <phoneticPr fontId="2"/>
  </si>
  <si>
    <t>3/8:キャンセル依頼／他社対応</t>
    <phoneticPr fontId="2"/>
  </si>
  <si>
    <t>0919</t>
    <phoneticPr fontId="2"/>
  </si>
  <si>
    <t>S→P（40台）／玉貸しC（40台）へのホールコン対応作業</t>
    <phoneticPr fontId="2"/>
  </si>
  <si>
    <t>6768</t>
    <phoneticPr fontId="2"/>
  </si>
  <si>
    <t>会員電子化（タブレット端末）設置作業（新店向け）</t>
    <phoneticPr fontId="2"/>
  </si>
  <si>
    <t>0923</t>
    <phoneticPr fontId="2"/>
  </si>
  <si>
    <t>0553</t>
    <phoneticPr fontId="2"/>
  </si>
  <si>
    <t>0552</t>
    <phoneticPr fontId="2"/>
  </si>
  <si>
    <t>0551</t>
    <phoneticPr fontId="2"/>
  </si>
  <si>
    <t>0550</t>
    <phoneticPr fontId="2"/>
  </si>
  <si>
    <t>0549</t>
    <phoneticPr fontId="2"/>
  </si>
  <si>
    <t>0548</t>
    <phoneticPr fontId="2"/>
  </si>
  <si>
    <t>0547</t>
    <phoneticPr fontId="2"/>
  </si>
  <si>
    <t>0541</t>
    <phoneticPr fontId="2"/>
  </si>
  <si>
    <t>黒磯</t>
    <phoneticPr fontId="2"/>
  </si>
  <si>
    <t>0540</t>
    <phoneticPr fontId="2"/>
  </si>
  <si>
    <t>0554</t>
    <phoneticPr fontId="2"/>
  </si>
  <si>
    <t>0787</t>
    <phoneticPr fontId="2"/>
  </si>
  <si>
    <t>0786</t>
    <phoneticPr fontId="2"/>
  </si>
  <si>
    <t>0788</t>
    <phoneticPr fontId="2"/>
  </si>
  <si>
    <t>0670</t>
    <phoneticPr fontId="2"/>
  </si>
  <si>
    <t>0672</t>
    <phoneticPr fontId="2"/>
  </si>
  <si>
    <t>0742</t>
    <phoneticPr fontId="2"/>
  </si>
  <si>
    <t>0744</t>
    <phoneticPr fontId="2"/>
  </si>
  <si>
    <t>0924</t>
    <phoneticPr fontId="2"/>
  </si>
  <si>
    <t>スロットインターフェイスハーネス（30）</t>
    <phoneticPr fontId="2"/>
  </si>
  <si>
    <t>保守作業／調査</t>
    <phoneticPr fontId="2"/>
  </si>
  <si>
    <t>E30091900100</t>
    <phoneticPr fontId="2"/>
  </si>
  <si>
    <t>E30088580100</t>
    <phoneticPr fontId="2"/>
  </si>
  <si>
    <t>E30091920100</t>
    <phoneticPr fontId="2"/>
  </si>
  <si>
    <t>E30092230100</t>
    <phoneticPr fontId="2"/>
  </si>
  <si>
    <t>E30092240100</t>
    <phoneticPr fontId="2"/>
  </si>
  <si>
    <t>E30092170100</t>
    <phoneticPr fontId="2"/>
  </si>
  <si>
    <t>E30088590100</t>
    <phoneticPr fontId="2"/>
  </si>
  <si>
    <t>E30067260100</t>
    <phoneticPr fontId="2"/>
  </si>
  <si>
    <t>E30091970100</t>
    <phoneticPr fontId="2"/>
  </si>
  <si>
    <t>島HUB交換作業</t>
    <phoneticPr fontId="2"/>
  </si>
  <si>
    <t>0928</t>
    <phoneticPr fontId="2"/>
  </si>
  <si>
    <t>0929</t>
    <phoneticPr fontId="2"/>
  </si>
  <si>
    <t>0930</t>
    <phoneticPr fontId="2"/>
  </si>
  <si>
    <t>HUB交換なし</t>
  </si>
  <si>
    <t>追加作業</t>
    <phoneticPr fontId="2"/>
  </si>
  <si>
    <t>0931</t>
    <phoneticPr fontId="2"/>
  </si>
  <si>
    <t>0568</t>
    <phoneticPr fontId="2"/>
  </si>
  <si>
    <t>堺</t>
    <phoneticPr fontId="2"/>
  </si>
  <si>
    <t>見積有効期限切れ</t>
  </si>
  <si>
    <t>見積有効期限切れ</t>
    <phoneticPr fontId="2"/>
  </si>
  <si>
    <t>0499</t>
    <phoneticPr fontId="2"/>
  </si>
  <si>
    <t>0582</t>
    <phoneticPr fontId="2"/>
  </si>
  <si>
    <t>0603</t>
    <phoneticPr fontId="2"/>
  </si>
  <si>
    <t>琴似</t>
    <phoneticPr fontId="2"/>
  </si>
  <si>
    <t>0655</t>
    <phoneticPr fontId="2"/>
  </si>
  <si>
    <t>4月に再発行予定(3/10)</t>
    <phoneticPr fontId="2"/>
  </si>
  <si>
    <t>0721</t>
    <phoneticPr fontId="2"/>
  </si>
  <si>
    <t>老朽化更新：マルチデータビジョンコンピュータ導入工事</t>
    <phoneticPr fontId="2"/>
  </si>
  <si>
    <t>0932</t>
    <phoneticPr fontId="2"/>
  </si>
  <si>
    <t>0934</t>
    <phoneticPr fontId="2"/>
  </si>
  <si>
    <t>0935</t>
    <phoneticPr fontId="2"/>
  </si>
  <si>
    <t>0936</t>
    <phoneticPr fontId="2"/>
  </si>
  <si>
    <t>個別計数機移設（30台）へのホールコン対応作業</t>
    <phoneticPr fontId="2"/>
  </si>
  <si>
    <t>0937</t>
    <phoneticPr fontId="2"/>
  </si>
  <si>
    <t>6774</t>
    <phoneticPr fontId="2"/>
  </si>
  <si>
    <t>0938</t>
    <phoneticPr fontId="2"/>
  </si>
  <si>
    <t>0941</t>
    <phoneticPr fontId="2"/>
  </si>
  <si>
    <t>0942</t>
    <phoneticPr fontId="2"/>
  </si>
  <si>
    <t>E30091540100</t>
    <phoneticPr fontId="2"/>
  </si>
  <si>
    <t>0884</t>
    <phoneticPr fontId="2"/>
  </si>
  <si>
    <t>掛川②</t>
    <phoneticPr fontId="2"/>
  </si>
  <si>
    <t>退店に伴う機器撤去作業</t>
    <phoneticPr fontId="2"/>
  </si>
  <si>
    <t>6752</t>
    <phoneticPr fontId="2"/>
  </si>
  <si>
    <t>E30092890100</t>
    <phoneticPr fontId="2"/>
  </si>
  <si>
    <t>0883</t>
    <phoneticPr fontId="2"/>
  </si>
  <si>
    <t>掛川①</t>
    <phoneticPr fontId="2"/>
  </si>
  <si>
    <t>6751</t>
    <phoneticPr fontId="2"/>
  </si>
  <si>
    <t>№0884：掛川②で実施</t>
    <phoneticPr fontId="2"/>
  </si>
  <si>
    <t>0849</t>
    <phoneticPr fontId="2"/>
  </si>
  <si>
    <t>6748</t>
    <phoneticPr fontId="2"/>
  </si>
  <si>
    <t>E30092160100</t>
    <phoneticPr fontId="2"/>
  </si>
  <si>
    <t>0767</t>
    <phoneticPr fontId="2"/>
  </si>
  <si>
    <t>6731</t>
    <phoneticPr fontId="2"/>
  </si>
  <si>
    <t>E30088360100</t>
    <phoneticPr fontId="2"/>
  </si>
  <si>
    <t>0840</t>
    <phoneticPr fontId="2"/>
  </si>
  <si>
    <t>P増台（40台）／個別計数機増設（40台）へのホールコン対応作業</t>
    <phoneticPr fontId="2"/>
  </si>
  <si>
    <t>6744</t>
    <phoneticPr fontId="2"/>
  </si>
  <si>
    <t>E30092870100</t>
    <phoneticPr fontId="2"/>
  </si>
  <si>
    <t>0894</t>
    <phoneticPr fontId="2"/>
  </si>
  <si>
    <t>6755</t>
    <phoneticPr fontId="2"/>
  </si>
  <si>
    <t>0900</t>
    <phoneticPr fontId="2"/>
  </si>
  <si>
    <t>0899</t>
    <phoneticPr fontId="2"/>
  </si>
  <si>
    <t>0888</t>
    <phoneticPr fontId="2"/>
  </si>
  <si>
    <t>0827</t>
    <phoneticPr fontId="2"/>
  </si>
  <si>
    <t>E30091990100</t>
    <phoneticPr fontId="2"/>
  </si>
  <si>
    <t>TE01684978</t>
    <phoneticPr fontId="2"/>
  </si>
  <si>
    <t>0798</t>
    <phoneticPr fontId="2"/>
  </si>
  <si>
    <t>店舗様無償対応にため№0916で再発行</t>
  </si>
  <si>
    <t>TE01685080</t>
    <phoneticPr fontId="2"/>
  </si>
  <si>
    <t>TE01685103</t>
    <phoneticPr fontId="2"/>
  </si>
  <si>
    <t>TE01685104</t>
    <phoneticPr fontId="2"/>
  </si>
  <si>
    <t>0947</t>
    <phoneticPr fontId="2"/>
  </si>
  <si>
    <t>台情報ユニット組立作業②</t>
    <phoneticPr fontId="2"/>
  </si>
  <si>
    <t>0671</t>
    <phoneticPr fontId="2"/>
  </si>
  <si>
    <t>0745</t>
    <phoneticPr fontId="2"/>
  </si>
  <si>
    <t>仙台駅東</t>
    <phoneticPr fontId="29"/>
  </si>
  <si>
    <t>0746</t>
    <phoneticPr fontId="2"/>
  </si>
  <si>
    <t>伊達</t>
    <phoneticPr fontId="29"/>
  </si>
  <si>
    <t>0748</t>
    <phoneticPr fontId="2"/>
  </si>
  <si>
    <t>鶴岡</t>
    <phoneticPr fontId="29"/>
  </si>
  <si>
    <t>0804</t>
    <phoneticPr fontId="2"/>
  </si>
  <si>
    <t>開発案件テスト作業(セルフPOSボリュームテスト）</t>
    <phoneticPr fontId="2"/>
  </si>
  <si>
    <t>0664</t>
    <phoneticPr fontId="2"/>
  </si>
  <si>
    <t>0665</t>
    <phoneticPr fontId="2"/>
  </si>
  <si>
    <t>0886</t>
    <phoneticPr fontId="2"/>
  </si>
  <si>
    <t>0867</t>
    <phoneticPr fontId="2"/>
  </si>
  <si>
    <t>0890</t>
    <phoneticPr fontId="2"/>
  </si>
  <si>
    <t>宇部</t>
    <phoneticPr fontId="2"/>
  </si>
  <si>
    <t>0398</t>
    <phoneticPr fontId="2"/>
  </si>
  <si>
    <t>個別計数機撤去（80台）へのホールコン対応作業</t>
    <phoneticPr fontId="2"/>
  </si>
  <si>
    <t>6688</t>
    <phoneticPr fontId="2"/>
  </si>
  <si>
    <t>0796</t>
    <phoneticPr fontId="2"/>
  </si>
  <si>
    <t>砂川</t>
    <phoneticPr fontId="2"/>
  </si>
  <si>
    <t>6734</t>
    <phoneticPr fontId="2"/>
  </si>
  <si>
    <t>0822</t>
    <phoneticPr fontId="2"/>
  </si>
  <si>
    <t>メダル貸しC（29台）へのホールコン対応作業</t>
    <phoneticPr fontId="2"/>
  </si>
  <si>
    <t>6736</t>
    <phoneticPr fontId="2"/>
  </si>
  <si>
    <t>0501</t>
    <phoneticPr fontId="2"/>
  </si>
  <si>
    <t>E30091480100</t>
    <phoneticPr fontId="2"/>
  </si>
  <si>
    <t>E30092930100</t>
    <phoneticPr fontId="2"/>
  </si>
  <si>
    <t>0898</t>
    <phoneticPr fontId="2"/>
  </si>
  <si>
    <t>0926</t>
    <phoneticPr fontId="2"/>
  </si>
  <si>
    <t>新世界</t>
    <phoneticPr fontId="2"/>
  </si>
  <si>
    <t>0915</t>
    <phoneticPr fontId="2"/>
  </si>
  <si>
    <t>0950</t>
    <phoneticPr fontId="2"/>
  </si>
  <si>
    <t>6762</t>
    <phoneticPr fontId="2"/>
  </si>
  <si>
    <t>0885</t>
    <phoneticPr fontId="2"/>
  </si>
  <si>
    <t>№0899で再発行</t>
  </si>
  <si>
    <t>0853</t>
    <phoneticPr fontId="2"/>
  </si>
  <si>
    <t>POS老朽化更新／2月度</t>
    <phoneticPr fontId="2"/>
  </si>
  <si>
    <t>0909</t>
    <phoneticPr fontId="2"/>
  </si>
  <si>
    <t>ビジネスＷｉ－Ｆｉ設置ＬＡＮ敷設作業</t>
    <phoneticPr fontId="2"/>
  </si>
  <si>
    <t>0895</t>
    <phoneticPr fontId="2"/>
  </si>
  <si>
    <t>いわき①</t>
    <phoneticPr fontId="2"/>
  </si>
  <si>
    <t>6753</t>
    <phoneticPr fontId="2"/>
  </si>
  <si>
    <t>E30093200100</t>
    <phoneticPr fontId="2"/>
  </si>
  <si>
    <t>0893</t>
    <phoneticPr fontId="2"/>
  </si>
  <si>
    <t>PS増減台（17台）／メダル貸しC（32台）へのホールコン対応作業</t>
    <phoneticPr fontId="2"/>
  </si>
  <si>
    <t>6756</t>
    <phoneticPr fontId="2"/>
  </si>
  <si>
    <t>0881</t>
    <phoneticPr fontId="2"/>
  </si>
  <si>
    <t>S→P（40台）／P台間拡張（4島）へのホールコン対応作業</t>
    <phoneticPr fontId="2"/>
  </si>
  <si>
    <t>6750</t>
    <phoneticPr fontId="2"/>
  </si>
  <si>
    <t>0927</t>
    <phoneticPr fontId="2"/>
  </si>
  <si>
    <t>会員電子化（タブレット端末）設置作業（既存店向け）</t>
    <phoneticPr fontId="2"/>
  </si>
  <si>
    <t>0922</t>
    <phoneticPr fontId="2"/>
  </si>
  <si>
    <t>0920</t>
    <phoneticPr fontId="2"/>
  </si>
  <si>
    <t>0921</t>
    <phoneticPr fontId="2"/>
  </si>
  <si>
    <t>1/24：見積有効期限切れ再発行</t>
    <phoneticPr fontId="2"/>
  </si>
  <si>
    <t>0910</t>
    <phoneticPr fontId="2"/>
  </si>
  <si>
    <t>0956</t>
    <phoneticPr fontId="2"/>
  </si>
  <si>
    <t>0957</t>
    <phoneticPr fontId="2"/>
  </si>
  <si>
    <t>KKS計画外老朽化更新（POS）</t>
    <phoneticPr fontId="2"/>
  </si>
  <si>
    <t>0958</t>
    <phoneticPr fontId="2"/>
  </si>
  <si>
    <t>3/15一旦返却／島工事後再発行予定</t>
    <phoneticPr fontId="2"/>
  </si>
  <si>
    <t>E30076170100</t>
    <phoneticPr fontId="2"/>
  </si>
  <si>
    <t>E30093540100</t>
    <phoneticPr fontId="2"/>
  </si>
  <si>
    <t>TE01686727</t>
    <phoneticPr fontId="2"/>
  </si>
  <si>
    <t>宮町</t>
    <phoneticPr fontId="2"/>
  </si>
  <si>
    <t>0963</t>
    <phoneticPr fontId="2"/>
  </si>
  <si>
    <t>0914</t>
    <phoneticPr fontId="2"/>
  </si>
  <si>
    <t>0917</t>
    <phoneticPr fontId="2"/>
  </si>
  <si>
    <t>0901</t>
    <phoneticPr fontId="2"/>
  </si>
  <si>
    <t>0940</t>
    <phoneticPr fontId="2"/>
  </si>
  <si>
    <t>保守作業／再々発対応</t>
    <phoneticPr fontId="2"/>
  </si>
  <si>
    <t xml:space="preserve">E30047990100 </t>
    <phoneticPr fontId="2"/>
  </si>
  <si>
    <t>E30047990100</t>
    <phoneticPr fontId="2"/>
  </si>
  <si>
    <t>E30093680100</t>
    <phoneticPr fontId="2"/>
  </si>
  <si>
    <t>E30093560100</t>
    <phoneticPr fontId="2"/>
  </si>
  <si>
    <t>E30093960100</t>
    <phoneticPr fontId="2"/>
  </si>
  <si>
    <t>E30092910100</t>
    <phoneticPr fontId="2"/>
  </si>
  <si>
    <t>E30093740100</t>
    <phoneticPr fontId="2"/>
  </si>
  <si>
    <t>E30094160100</t>
    <phoneticPr fontId="2"/>
  </si>
  <si>
    <t>E30094010100</t>
    <phoneticPr fontId="2"/>
  </si>
  <si>
    <t>E30094440100</t>
    <phoneticPr fontId="2"/>
  </si>
  <si>
    <t>E30094450100</t>
    <phoneticPr fontId="2"/>
  </si>
  <si>
    <t>0967</t>
    <phoneticPr fontId="2"/>
  </si>
  <si>
    <t>玉貸しC（96台）へのホールコン対応作業</t>
    <phoneticPr fontId="2"/>
  </si>
  <si>
    <t>6785</t>
    <phoneticPr fontId="2"/>
  </si>
  <si>
    <t>0969</t>
    <phoneticPr fontId="2"/>
  </si>
  <si>
    <t>玉補給機交換（40台）に伴う作業</t>
    <phoneticPr fontId="2"/>
  </si>
  <si>
    <t>6787</t>
    <phoneticPr fontId="2"/>
  </si>
  <si>
    <t>0939</t>
    <phoneticPr fontId="2"/>
  </si>
  <si>
    <t>0409</t>
    <phoneticPr fontId="2"/>
  </si>
  <si>
    <t>0872</t>
    <phoneticPr fontId="2"/>
  </si>
  <si>
    <t>0873</t>
    <phoneticPr fontId="2"/>
  </si>
  <si>
    <t>E30081570100</t>
    <phoneticPr fontId="2"/>
  </si>
  <si>
    <t>0743</t>
    <phoneticPr fontId="2"/>
  </si>
  <si>
    <t>松原</t>
    <phoneticPr fontId="29"/>
  </si>
  <si>
    <t>2/25納期変更：2/18→3/31</t>
    <phoneticPr fontId="2"/>
  </si>
  <si>
    <t>0507</t>
    <phoneticPr fontId="2"/>
  </si>
  <si>
    <t>E30090160100</t>
    <phoneticPr fontId="2"/>
  </si>
  <si>
    <t>0866</t>
    <phoneticPr fontId="2"/>
  </si>
  <si>
    <t>個別計数機移設（286台）へのホールコン対応作業</t>
    <phoneticPr fontId="2"/>
  </si>
  <si>
    <t>6749</t>
    <phoneticPr fontId="2"/>
  </si>
  <si>
    <t>E30090610100</t>
    <phoneticPr fontId="2"/>
  </si>
  <si>
    <t>E30089670100</t>
    <phoneticPr fontId="2"/>
  </si>
  <si>
    <t>0663</t>
    <phoneticPr fontId="2"/>
  </si>
  <si>
    <t>E30093220100</t>
    <phoneticPr fontId="2"/>
  </si>
  <si>
    <t>0897</t>
    <phoneticPr fontId="2"/>
  </si>
  <si>
    <t>E30086910100</t>
    <phoneticPr fontId="2"/>
  </si>
  <si>
    <t>E30086900100</t>
    <phoneticPr fontId="2"/>
  </si>
  <si>
    <t>0710</t>
    <phoneticPr fontId="2"/>
  </si>
  <si>
    <t>0711</t>
    <phoneticPr fontId="2"/>
  </si>
  <si>
    <t>顧客サービス支援システム</t>
    <phoneticPr fontId="2"/>
  </si>
  <si>
    <t>E30086890100</t>
    <phoneticPr fontId="2"/>
  </si>
  <si>
    <t>E30091470100</t>
    <phoneticPr fontId="2"/>
  </si>
  <si>
    <t>E30093510100</t>
    <phoneticPr fontId="2"/>
  </si>
  <si>
    <t>E30088170100</t>
    <phoneticPr fontId="2"/>
  </si>
  <si>
    <t>E30090640100</t>
    <phoneticPr fontId="2"/>
  </si>
  <si>
    <t>E30090730100</t>
    <phoneticPr fontId="2"/>
  </si>
  <si>
    <t>0918</t>
    <phoneticPr fontId="2"/>
  </si>
  <si>
    <t>PS増台（64台）へのホールコン対応作業</t>
    <phoneticPr fontId="2"/>
  </si>
  <si>
    <t>6767</t>
    <phoneticPr fontId="2"/>
  </si>
  <si>
    <t>E30090750100</t>
    <phoneticPr fontId="2"/>
  </si>
  <si>
    <t>TE01687692</t>
    <phoneticPr fontId="2"/>
  </si>
  <si>
    <t>0912</t>
    <phoneticPr fontId="2"/>
  </si>
  <si>
    <t>6765</t>
    <phoneticPr fontId="2"/>
  </si>
  <si>
    <t>TE01687690</t>
    <phoneticPr fontId="2"/>
  </si>
  <si>
    <t>TE01687574</t>
    <phoneticPr fontId="2"/>
  </si>
  <si>
    <t>三好さん依頼</t>
    <phoneticPr fontId="2"/>
  </si>
  <si>
    <t>TE01687569</t>
    <phoneticPr fontId="2"/>
  </si>
  <si>
    <t>TE01687564</t>
    <phoneticPr fontId="2"/>
  </si>
  <si>
    <t>0952</t>
    <phoneticPr fontId="2"/>
  </si>
  <si>
    <t>0975</t>
    <phoneticPr fontId="2"/>
  </si>
  <si>
    <t>開発案件テスト作業(顔認証精度評価）</t>
    <phoneticPr fontId="2"/>
  </si>
  <si>
    <t>TE01688224</t>
    <phoneticPr fontId="2"/>
  </si>
  <si>
    <t>3/20：TDS見積有効期限切れ</t>
    <phoneticPr fontId="2"/>
  </si>
  <si>
    <t>0979</t>
    <phoneticPr fontId="2"/>
  </si>
  <si>
    <t>玉貸しC（106台）へのホールコン対応作業</t>
    <phoneticPr fontId="2"/>
  </si>
  <si>
    <t>6792</t>
    <phoneticPr fontId="2"/>
  </si>
  <si>
    <t>0986</t>
  </si>
  <si>
    <t>3/23納期変更依頼：3/31→4/15</t>
    <phoneticPr fontId="2"/>
  </si>
  <si>
    <t>E30095070100</t>
    <phoneticPr fontId="2"/>
  </si>
  <si>
    <t>E30095670100</t>
    <phoneticPr fontId="2"/>
  </si>
  <si>
    <t>E30095680100</t>
    <phoneticPr fontId="2"/>
  </si>
  <si>
    <t>E30095310100</t>
    <phoneticPr fontId="2"/>
  </si>
  <si>
    <t>E30095290100</t>
    <phoneticPr fontId="2"/>
  </si>
  <si>
    <t>E30095040100</t>
    <phoneticPr fontId="2"/>
  </si>
  <si>
    <t>E30095050100</t>
    <phoneticPr fontId="2"/>
  </si>
  <si>
    <t xml:space="preserve">E30095080100 </t>
    <phoneticPr fontId="2"/>
  </si>
  <si>
    <t>E30096030100</t>
    <phoneticPr fontId="2"/>
  </si>
  <si>
    <t>E30094710100</t>
    <phoneticPr fontId="2"/>
  </si>
  <si>
    <t>E30094890100</t>
    <phoneticPr fontId="2"/>
  </si>
  <si>
    <t>E30095410100</t>
    <phoneticPr fontId="2"/>
  </si>
  <si>
    <t>E30095450100</t>
    <phoneticPr fontId="2"/>
  </si>
  <si>
    <t>E30096060100</t>
    <phoneticPr fontId="2"/>
  </si>
  <si>
    <t>E30096120100</t>
    <phoneticPr fontId="2"/>
  </si>
  <si>
    <t>0993</t>
    <phoneticPr fontId="2"/>
  </si>
  <si>
    <t>E30087620107</t>
    <phoneticPr fontId="2"/>
  </si>
  <si>
    <t>KSP-700リストア品</t>
    <phoneticPr fontId="2"/>
  </si>
  <si>
    <t>0946</t>
    <phoneticPr fontId="2"/>
  </si>
  <si>
    <t>台情報ユニット組立作業①</t>
    <phoneticPr fontId="2"/>
  </si>
  <si>
    <t>0948</t>
    <phoneticPr fontId="2"/>
  </si>
  <si>
    <t>台情報ユニットハーネス取付作業①</t>
    <phoneticPr fontId="2"/>
  </si>
  <si>
    <t>0949</t>
    <phoneticPr fontId="2"/>
  </si>
  <si>
    <t>台情報ユニットハーネス取付作業②</t>
    <phoneticPr fontId="2"/>
  </si>
  <si>
    <t>マルチコントローラ（HMC）型名変更機種に伴う製造評価作業</t>
    <phoneticPr fontId="2"/>
  </si>
  <si>
    <t>0954</t>
    <phoneticPr fontId="2"/>
  </si>
  <si>
    <t>ウェアラブル端末VerUp（1.2.7）不具合　現地調査②</t>
    <phoneticPr fontId="2"/>
  </si>
  <si>
    <t>TE01677285</t>
    <phoneticPr fontId="2"/>
  </si>
  <si>
    <t>0916</t>
    <phoneticPr fontId="2"/>
  </si>
  <si>
    <t>0824</t>
    <phoneticPr fontId="2"/>
  </si>
  <si>
    <t>6738</t>
    <phoneticPr fontId="2"/>
  </si>
  <si>
    <t>E30090760100</t>
    <phoneticPr fontId="2"/>
  </si>
  <si>
    <t>E30092880100</t>
    <phoneticPr fontId="2"/>
  </si>
  <si>
    <t>TE01689400</t>
    <phoneticPr fontId="2"/>
  </si>
  <si>
    <t>TE01689402</t>
    <phoneticPr fontId="2"/>
  </si>
  <si>
    <t>袋井東</t>
    <phoneticPr fontId="2"/>
  </si>
  <si>
    <t>６７７０</t>
    <phoneticPr fontId="2"/>
  </si>
  <si>
    <t>6769</t>
    <phoneticPr fontId="2"/>
  </si>
  <si>
    <t>0943</t>
    <phoneticPr fontId="2"/>
  </si>
  <si>
    <t>0965</t>
    <phoneticPr fontId="2"/>
  </si>
  <si>
    <t>0951</t>
    <phoneticPr fontId="2"/>
  </si>
  <si>
    <t>個別計数機移設（80台）へのホールコン対応作業</t>
    <phoneticPr fontId="2"/>
  </si>
  <si>
    <t>6777</t>
    <phoneticPr fontId="2"/>
  </si>
  <si>
    <t>0962</t>
    <phoneticPr fontId="2"/>
  </si>
  <si>
    <t>業務用端末機設置作業</t>
    <phoneticPr fontId="2"/>
  </si>
  <si>
    <t>6784</t>
    <phoneticPr fontId="2"/>
  </si>
  <si>
    <t>E30096280100</t>
    <phoneticPr fontId="2"/>
  </si>
  <si>
    <t>E30096190100</t>
    <phoneticPr fontId="2"/>
  </si>
  <si>
    <t>運転管理プログラム改修（リモート、二重化）</t>
    <phoneticPr fontId="2"/>
  </si>
  <si>
    <t>データベース二重化設定対応</t>
    <phoneticPr fontId="2"/>
  </si>
  <si>
    <t>0996</t>
    <phoneticPr fontId="2"/>
  </si>
  <si>
    <t>0997</t>
    <phoneticPr fontId="2"/>
  </si>
  <si>
    <t>3/25:№0997で60,000円処理、残60,000円保留</t>
  </si>
  <si>
    <t>0955</t>
    <phoneticPr fontId="2"/>
  </si>
  <si>
    <t>P台間拡張（24島）／売上機変更（432台）へのホールコン対応作業</t>
    <phoneticPr fontId="2"/>
  </si>
  <si>
    <t>6778</t>
    <phoneticPr fontId="2"/>
  </si>
  <si>
    <t>TE01690074</t>
    <phoneticPr fontId="2"/>
  </si>
  <si>
    <t>0976</t>
    <phoneticPr fontId="2"/>
  </si>
  <si>
    <t>S増台（24台）へのホールコン対応作業</t>
    <phoneticPr fontId="2"/>
  </si>
  <si>
    <t>6797</t>
    <phoneticPr fontId="2"/>
  </si>
  <si>
    <t>0831</t>
    <phoneticPr fontId="2"/>
  </si>
  <si>
    <t>PHC_新店舗オープン対応業務</t>
    <phoneticPr fontId="2"/>
  </si>
  <si>
    <t>4月</t>
  </si>
  <si>
    <t>0998</t>
    <phoneticPr fontId="2"/>
  </si>
  <si>
    <t>（追加作業）個別計数機撤去（40台）へのホールコン対応作業</t>
    <phoneticPr fontId="2"/>
  </si>
  <si>
    <t>6753k</t>
    <phoneticPr fontId="2"/>
  </si>
  <si>
    <t>№0998で追加見積</t>
    <phoneticPr fontId="2"/>
  </si>
  <si>
    <t>№0895の追加</t>
    <phoneticPr fontId="2"/>
  </si>
  <si>
    <t>0977</t>
    <phoneticPr fontId="2"/>
  </si>
  <si>
    <t>0974</t>
    <phoneticPr fontId="2"/>
  </si>
  <si>
    <t>TE01690071</t>
    <phoneticPr fontId="2"/>
  </si>
  <si>
    <t>E30096520100</t>
    <phoneticPr fontId="2"/>
  </si>
  <si>
    <t>E30096690100</t>
    <phoneticPr fontId="2"/>
  </si>
  <si>
    <t>E30096690200</t>
    <phoneticPr fontId="2"/>
  </si>
  <si>
    <t>TE01690889</t>
    <phoneticPr fontId="2"/>
  </si>
  <si>
    <t>TE01690890</t>
    <phoneticPr fontId="2"/>
  </si>
  <si>
    <t>0654</t>
    <phoneticPr fontId="2"/>
  </si>
  <si>
    <t>0800</t>
    <phoneticPr fontId="2"/>
  </si>
  <si>
    <t>№0591で処理済み</t>
  </si>
  <si>
    <t>1003</t>
    <phoneticPr fontId="2"/>
  </si>
  <si>
    <t>大型計数機撤去（１台）へのホールコン対応作業</t>
    <phoneticPr fontId="2"/>
  </si>
  <si>
    <t>6807</t>
    <phoneticPr fontId="2"/>
  </si>
  <si>
    <t xml:space="preserve">E30096830100 </t>
    <phoneticPr fontId="2"/>
  </si>
  <si>
    <t>E30097150100</t>
    <phoneticPr fontId="2"/>
  </si>
  <si>
    <t>E30097160100</t>
    <phoneticPr fontId="2"/>
  </si>
  <si>
    <t>1007</t>
    <phoneticPr fontId="2"/>
  </si>
  <si>
    <t>KKS計画外老朽化更新（MDNH）</t>
    <phoneticPr fontId="2"/>
  </si>
  <si>
    <t>KKS計画外老朽化更新（ＷｉｎｇPOS）</t>
    <phoneticPr fontId="2"/>
  </si>
  <si>
    <t>1008</t>
    <phoneticPr fontId="2"/>
  </si>
  <si>
    <t>鹿浜</t>
    <phoneticPr fontId="2"/>
  </si>
  <si>
    <t>1009</t>
    <phoneticPr fontId="2"/>
  </si>
  <si>
    <t>0995</t>
    <phoneticPr fontId="2"/>
  </si>
  <si>
    <t>TE01691309</t>
    <phoneticPr fontId="2"/>
  </si>
  <si>
    <t>0999</t>
    <phoneticPr fontId="2"/>
  </si>
  <si>
    <t>E30096820100</t>
    <phoneticPr fontId="2"/>
  </si>
  <si>
    <t>E30096610100</t>
    <phoneticPr fontId="2"/>
  </si>
  <si>
    <t>E30096630100</t>
    <phoneticPr fontId="2"/>
  </si>
  <si>
    <t>E30096640100</t>
    <phoneticPr fontId="2"/>
  </si>
  <si>
    <t>E30096870100</t>
    <phoneticPr fontId="2"/>
  </si>
  <si>
    <t>E30096880100</t>
    <phoneticPr fontId="2"/>
  </si>
  <si>
    <t>E30097110100</t>
    <phoneticPr fontId="2"/>
  </si>
  <si>
    <t>E30097170100</t>
    <phoneticPr fontId="2"/>
  </si>
  <si>
    <t>1013</t>
    <phoneticPr fontId="2"/>
  </si>
  <si>
    <t>E30094480112</t>
    <phoneticPr fontId="2"/>
  </si>
  <si>
    <t>1016</t>
    <phoneticPr fontId="2"/>
  </si>
  <si>
    <t>S増台（33）へのホールコン対応作業</t>
    <phoneticPr fontId="2"/>
  </si>
  <si>
    <t>6813</t>
    <phoneticPr fontId="2"/>
  </si>
  <si>
    <t>E30097320100</t>
    <phoneticPr fontId="2"/>
  </si>
  <si>
    <t>ホールコンサポートセンター受付業務(4月分)　北日本カンパニー</t>
    <phoneticPr fontId="2"/>
  </si>
  <si>
    <t>ホールコンサポートセンター受付業務(4月分)　東日本カンパニー</t>
    <phoneticPr fontId="2"/>
  </si>
  <si>
    <t>ホールコンサポートセンター受付業務(4月分)　西日本カンパニー</t>
    <phoneticPr fontId="2"/>
  </si>
  <si>
    <t>携帯システム関連／保守料(4月分)</t>
    <phoneticPr fontId="2"/>
  </si>
  <si>
    <t>TE01691961</t>
    <phoneticPr fontId="2"/>
  </si>
  <si>
    <t>TE01691969</t>
    <phoneticPr fontId="2"/>
  </si>
  <si>
    <t>TE01691972</t>
    <phoneticPr fontId="2"/>
  </si>
  <si>
    <t>TDSへの請求\70,000は別処理</t>
    <phoneticPr fontId="2"/>
  </si>
  <si>
    <t>HST、HSCセットアップ</t>
    <phoneticPr fontId="2"/>
  </si>
  <si>
    <t>1021</t>
    <phoneticPr fontId="2"/>
  </si>
  <si>
    <t>GN1-04-Etypeﾊﾟｯｸ作成</t>
    <phoneticPr fontId="2"/>
  </si>
  <si>
    <t>1022</t>
    <phoneticPr fontId="2"/>
  </si>
  <si>
    <t>1023</t>
    <phoneticPr fontId="2"/>
  </si>
  <si>
    <t>再利用調整他</t>
    <phoneticPr fontId="2"/>
  </si>
  <si>
    <t>1025</t>
    <phoneticPr fontId="2"/>
  </si>
  <si>
    <t>1024</t>
    <phoneticPr fontId="2"/>
  </si>
  <si>
    <t>1026</t>
    <phoneticPr fontId="2"/>
  </si>
  <si>
    <t>新計数器テスト用改造割付作業</t>
    <phoneticPr fontId="2"/>
  </si>
  <si>
    <t>TDS様へ追加作業費\35,000は別処理</t>
    <phoneticPr fontId="2"/>
  </si>
  <si>
    <t>TDS様へ追加作業費\30,000は別処理</t>
    <phoneticPr fontId="2"/>
  </si>
  <si>
    <t>TDS様へ追加作業費\69,000(86,000-17,000)は別処理</t>
    <phoneticPr fontId="2"/>
  </si>
  <si>
    <t>№0539の60,000円含む</t>
    <phoneticPr fontId="2"/>
  </si>
  <si>
    <t>E30097670100</t>
    <phoneticPr fontId="2"/>
  </si>
  <si>
    <t>E30097600100</t>
    <phoneticPr fontId="2"/>
  </si>
  <si>
    <t>E30095650100</t>
    <phoneticPr fontId="2"/>
  </si>
  <si>
    <t>E30096150100</t>
    <phoneticPr fontId="2"/>
  </si>
  <si>
    <t>0953</t>
    <phoneticPr fontId="2"/>
  </si>
  <si>
    <t>04</t>
  </si>
  <si>
    <t>TE01692226</t>
    <phoneticPr fontId="2"/>
  </si>
  <si>
    <t>1030</t>
    <phoneticPr fontId="2"/>
  </si>
  <si>
    <t>1028</t>
    <phoneticPr fontId="2"/>
  </si>
  <si>
    <t>1029</t>
    <phoneticPr fontId="2"/>
  </si>
  <si>
    <t>エース電研様要因で店舗様無償、B&amp;M負担で対応</t>
    <phoneticPr fontId="2"/>
  </si>
  <si>
    <t>1032</t>
    <phoneticPr fontId="2"/>
  </si>
  <si>
    <t>0913</t>
    <phoneticPr fontId="2"/>
  </si>
  <si>
    <t>6766</t>
    <phoneticPr fontId="2"/>
  </si>
  <si>
    <t>0981</t>
    <phoneticPr fontId="2"/>
  </si>
  <si>
    <t>PS増台（54台）へのホールコン対応作業</t>
    <phoneticPr fontId="2"/>
  </si>
  <si>
    <t>6794</t>
    <phoneticPr fontId="2"/>
  </si>
  <si>
    <t>0961</t>
    <phoneticPr fontId="2"/>
  </si>
  <si>
    <t>6781</t>
    <phoneticPr fontId="2"/>
  </si>
  <si>
    <t>E30092940100</t>
    <phoneticPr fontId="2"/>
  </si>
  <si>
    <t>0906</t>
    <phoneticPr fontId="2"/>
  </si>
  <si>
    <t>個別計数機移設（40台）へのホールコン対応作業</t>
    <phoneticPr fontId="2"/>
  </si>
  <si>
    <t>6761</t>
    <phoneticPr fontId="2"/>
  </si>
  <si>
    <t>0987</t>
    <phoneticPr fontId="2"/>
  </si>
  <si>
    <t>玉貸しC（128台）へのホールコン対応作業</t>
    <phoneticPr fontId="2"/>
  </si>
  <si>
    <t>6798</t>
    <phoneticPr fontId="2"/>
  </si>
  <si>
    <t>0971</t>
    <phoneticPr fontId="2"/>
  </si>
  <si>
    <t>1033</t>
    <phoneticPr fontId="2"/>
  </si>
  <si>
    <t>ＰＨＣ業務補助／3月度</t>
    <phoneticPr fontId="2"/>
  </si>
  <si>
    <t>1034</t>
    <phoneticPr fontId="2"/>
  </si>
  <si>
    <t>POS老朽化更新作業／3月度</t>
    <phoneticPr fontId="2"/>
  </si>
  <si>
    <t>1035</t>
    <phoneticPr fontId="2"/>
  </si>
  <si>
    <t>POS老朽化更新／3月度</t>
    <phoneticPr fontId="2"/>
  </si>
  <si>
    <t>1001</t>
    <phoneticPr fontId="2"/>
  </si>
  <si>
    <t>1036</t>
    <phoneticPr fontId="2"/>
  </si>
  <si>
    <t>西条</t>
    <phoneticPr fontId="2"/>
  </si>
  <si>
    <t>0712</t>
    <phoneticPr fontId="2"/>
  </si>
  <si>
    <t>1037</t>
    <phoneticPr fontId="2"/>
  </si>
  <si>
    <t>1038</t>
    <phoneticPr fontId="2"/>
  </si>
  <si>
    <t>E30094460100</t>
    <phoneticPr fontId="2"/>
  </si>
  <si>
    <t>E30098070100</t>
    <phoneticPr fontId="2"/>
  </si>
  <si>
    <t>E30098080100</t>
    <phoneticPr fontId="2"/>
  </si>
  <si>
    <t>E30098110100</t>
    <phoneticPr fontId="2"/>
  </si>
  <si>
    <t>E30098130100</t>
    <phoneticPr fontId="2"/>
  </si>
  <si>
    <t>E30098200100</t>
    <phoneticPr fontId="2"/>
  </si>
  <si>
    <t>E30098090100</t>
    <phoneticPr fontId="2"/>
  </si>
  <si>
    <t>E30098120100</t>
    <phoneticPr fontId="2"/>
  </si>
  <si>
    <t>E30098140100</t>
    <phoneticPr fontId="2"/>
  </si>
  <si>
    <t>E30098150100</t>
    <phoneticPr fontId="2"/>
  </si>
  <si>
    <t>E30098180100</t>
    <phoneticPr fontId="2"/>
  </si>
  <si>
    <t>E30098260100</t>
    <phoneticPr fontId="2"/>
  </si>
  <si>
    <t>E30091540110</t>
    <phoneticPr fontId="2"/>
  </si>
  <si>
    <t>1039</t>
    <phoneticPr fontId="2"/>
  </si>
  <si>
    <t>TE01692885</t>
    <phoneticPr fontId="2"/>
  </si>
  <si>
    <t>E30098210100</t>
    <phoneticPr fontId="2"/>
  </si>
  <si>
    <t>E30098320100</t>
    <phoneticPr fontId="2"/>
  </si>
  <si>
    <t>E30098770100</t>
    <phoneticPr fontId="2"/>
  </si>
  <si>
    <t>E30098750100</t>
    <phoneticPr fontId="2"/>
  </si>
  <si>
    <t>E30091270100</t>
    <phoneticPr fontId="2"/>
  </si>
  <si>
    <t>E30098310100</t>
    <phoneticPr fontId="2"/>
  </si>
  <si>
    <t>E30098530100</t>
    <phoneticPr fontId="2"/>
  </si>
  <si>
    <t>E30098570100</t>
    <phoneticPr fontId="2"/>
  </si>
  <si>
    <t>KKS老朽化更新（ＷｉｎｇPOS）</t>
    <phoneticPr fontId="2"/>
  </si>
  <si>
    <t>1041</t>
    <phoneticPr fontId="2"/>
  </si>
  <si>
    <t>6月</t>
  </si>
  <si>
    <t>1042</t>
    <phoneticPr fontId="2"/>
  </si>
  <si>
    <t>TDS様へ№1002の追加作業費\12,000は別処理</t>
    <rPh sb="24" eb="27">
      <t>ベツショリ</t>
    </rPh>
    <phoneticPr fontId="2"/>
  </si>
  <si>
    <t>0970</t>
    <phoneticPr fontId="2"/>
  </si>
  <si>
    <t>S増台（15台）へのホールコン対応作業</t>
    <phoneticPr fontId="2"/>
  </si>
  <si>
    <t>6788</t>
    <phoneticPr fontId="2"/>
  </si>
  <si>
    <t>E30099120100</t>
    <phoneticPr fontId="2"/>
  </si>
  <si>
    <t>1012</t>
    <phoneticPr fontId="2"/>
  </si>
  <si>
    <t>6810</t>
    <phoneticPr fontId="2"/>
  </si>
  <si>
    <t>E30099130100</t>
    <phoneticPr fontId="2"/>
  </si>
  <si>
    <t>TE01693618</t>
    <phoneticPr fontId="2"/>
  </si>
  <si>
    <t>TE01693579</t>
    <phoneticPr fontId="2"/>
  </si>
  <si>
    <t>TE01693581</t>
    <phoneticPr fontId="2"/>
  </si>
  <si>
    <t>1027</t>
    <phoneticPr fontId="2"/>
  </si>
  <si>
    <t>1000</t>
    <phoneticPr fontId="2"/>
  </si>
  <si>
    <t>E30089130100</t>
    <phoneticPr fontId="2"/>
  </si>
  <si>
    <t>1047</t>
    <phoneticPr fontId="2"/>
  </si>
  <si>
    <t>Pハーネス製作</t>
    <phoneticPr fontId="2"/>
  </si>
  <si>
    <t>中止／老朽化更新に変更</t>
    <phoneticPr fontId="2"/>
  </si>
  <si>
    <t>6732</t>
    <phoneticPr fontId="2"/>
  </si>
  <si>
    <t>4/9：見積有効期限切れ</t>
  </si>
  <si>
    <t>1049</t>
    <phoneticPr fontId="2"/>
  </si>
  <si>
    <t>島コンEMC測定向けPCセットアップ作業</t>
    <phoneticPr fontId="2"/>
  </si>
  <si>
    <t>0863</t>
    <phoneticPr fontId="2"/>
  </si>
  <si>
    <t>E30098950100</t>
    <phoneticPr fontId="2"/>
  </si>
  <si>
    <t>E30099690100</t>
    <phoneticPr fontId="2"/>
  </si>
  <si>
    <t>E30099430100</t>
    <phoneticPr fontId="2"/>
  </si>
  <si>
    <t>E30099440100</t>
    <phoneticPr fontId="2"/>
  </si>
  <si>
    <t>1006</t>
    <phoneticPr fontId="2"/>
  </si>
  <si>
    <t>新文芸坐</t>
    <phoneticPr fontId="2"/>
  </si>
  <si>
    <t>LAN敷設作業（ホール事務所～新文芸坐事務所）</t>
    <phoneticPr fontId="2"/>
  </si>
  <si>
    <t>6808</t>
    <phoneticPr fontId="2"/>
  </si>
  <si>
    <t>0966</t>
    <phoneticPr fontId="2"/>
  </si>
  <si>
    <t>3/18自然復旧によりキャンセル</t>
    <phoneticPr fontId="2"/>
  </si>
  <si>
    <t>TE01694609</t>
    <phoneticPr fontId="2"/>
  </si>
  <si>
    <t>1053</t>
    <phoneticPr fontId="2"/>
  </si>
  <si>
    <t>E30099420100</t>
    <phoneticPr fontId="2"/>
  </si>
  <si>
    <t>E30100020100</t>
    <phoneticPr fontId="2"/>
  </si>
  <si>
    <t>E30100010100</t>
    <phoneticPr fontId="2"/>
  </si>
  <si>
    <t>E30100480100</t>
    <phoneticPr fontId="2"/>
  </si>
  <si>
    <t>E30100680100</t>
    <phoneticPr fontId="2"/>
  </si>
  <si>
    <t>E30099860100</t>
    <phoneticPr fontId="2"/>
  </si>
  <si>
    <t>E30095860100</t>
    <phoneticPr fontId="2"/>
  </si>
  <si>
    <t>0577</t>
    <phoneticPr fontId="2"/>
  </si>
  <si>
    <t>6715</t>
    <phoneticPr fontId="2"/>
  </si>
  <si>
    <t>1040</t>
    <phoneticPr fontId="2"/>
  </si>
  <si>
    <t>S増台（34台）へのホールコン対応作業</t>
    <phoneticPr fontId="2"/>
  </si>
  <si>
    <t>6750k</t>
    <phoneticPr fontId="2"/>
  </si>
  <si>
    <t>1051</t>
    <phoneticPr fontId="2"/>
  </si>
  <si>
    <t>TE01695153</t>
    <phoneticPr fontId="2"/>
  </si>
  <si>
    <t>0857</t>
    <phoneticPr fontId="2"/>
  </si>
  <si>
    <t>E30100990100</t>
    <phoneticPr fontId="2"/>
  </si>
  <si>
    <t>1020</t>
    <phoneticPr fontId="2"/>
  </si>
  <si>
    <t>0860</t>
    <phoneticPr fontId="2"/>
  </si>
  <si>
    <t>E30100670100</t>
    <phoneticPr fontId="2"/>
  </si>
  <si>
    <t>1048</t>
    <phoneticPr fontId="2"/>
  </si>
  <si>
    <t>計数機／発行機フィールドテスト</t>
    <phoneticPr fontId="2"/>
  </si>
  <si>
    <t>0836</t>
    <phoneticPr fontId="2"/>
  </si>
  <si>
    <t>1059</t>
    <phoneticPr fontId="2"/>
  </si>
  <si>
    <t>1002</t>
    <phoneticPr fontId="2"/>
  </si>
  <si>
    <t>№1048で処理</t>
  </si>
  <si>
    <t>0945</t>
    <phoneticPr fontId="2"/>
  </si>
  <si>
    <t>玉補給機交換（148台）に伴う作業</t>
    <phoneticPr fontId="2"/>
  </si>
  <si>
    <t>6776</t>
    <phoneticPr fontId="2"/>
  </si>
  <si>
    <t>0983</t>
    <phoneticPr fontId="2"/>
  </si>
  <si>
    <t>S増台（31台）へのホールコン対応作業</t>
    <phoneticPr fontId="2"/>
  </si>
  <si>
    <t>6796</t>
    <phoneticPr fontId="2"/>
  </si>
  <si>
    <t>0959</t>
    <phoneticPr fontId="2"/>
  </si>
  <si>
    <t>玉貸しC（112台）へのホールコン対応作業</t>
    <phoneticPr fontId="2"/>
  </si>
  <si>
    <t>6779</t>
    <phoneticPr fontId="2"/>
  </si>
  <si>
    <t>0989</t>
    <phoneticPr fontId="2"/>
  </si>
  <si>
    <t>佐久</t>
    <phoneticPr fontId="2"/>
  </si>
  <si>
    <t>6800</t>
    <phoneticPr fontId="2"/>
  </si>
  <si>
    <t>1052</t>
    <phoneticPr fontId="2"/>
  </si>
  <si>
    <t>1017</t>
    <phoneticPr fontId="2"/>
  </si>
  <si>
    <t>1018</t>
    <phoneticPr fontId="2"/>
  </si>
  <si>
    <t>1019</t>
    <phoneticPr fontId="2"/>
  </si>
  <si>
    <t>E30080620100</t>
    <phoneticPr fontId="2"/>
  </si>
  <si>
    <t>0775</t>
    <phoneticPr fontId="2"/>
  </si>
  <si>
    <t>0776</t>
    <phoneticPr fontId="2"/>
  </si>
  <si>
    <t>0777</t>
    <phoneticPr fontId="2"/>
  </si>
  <si>
    <t>0778</t>
    <phoneticPr fontId="2"/>
  </si>
  <si>
    <t>0779</t>
    <phoneticPr fontId="2"/>
  </si>
  <si>
    <t>0780</t>
    <phoneticPr fontId="2"/>
  </si>
  <si>
    <t>0781</t>
    <phoneticPr fontId="2"/>
  </si>
  <si>
    <t>0782</t>
    <phoneticPr fontId="2"/>
  </si>
  <si>
    <t>0783</t>
    <phoneticPr fontId="2"/>
  </si>
  <si>
    <t>0784</t>
    <phoneticPr fontId="2"/>
  </si>
  <si>
    <t>0785</t>
    <phoneticPr fontId="2"/>
  </si>
  <si>
    <t>4/14：中止→FF注文キャンセル</t>
    <phoneticPr fontId="2"/>
  </si>
  <si>
    <t>NTT／ギガらく Wi-Fi、AP増設に伴うLAN敷設工事</t>
    <phoneticPr fontId="2"/>
  </si>
  <si>
    <t>1062</t>
    <phoneticPr fontId="2"/>
  </si>
  <si>
    <t>TE01696237</t>
    <phoneticPr fontId="2"/>
  </si>
  <si>
    <t>TE01696239</t>
    <phoneticPr fontId="2"/>
  </si>
  <si>
    <t>E30099850100</t>
    <phoneticPr fontId="2"/>
  </si>
  <si>
    <t>1004</t>
    <phoneticPr fontId="2"/>
  </si>
  <si>
    <t>6806</t>
    <phoneticPr fontId="2"/>
  </si>
  <si>
    <t>0896</t>
    <phoneticPr fontId="2"/>
  </si>
  <si>
    <t>いわき②</t>
    <phoneticPr fontId="2"/>
  </si>
  <si>
    <t>6754</t>
    <phoneticPr fontId="2"/>
  </si>
  <si>
    <t>0973</t>
    <phoneticPr fontId="2"/>
  </si>
  <si>
    <t>S→P（40→36台）へのホールコン対応作業</t>
    <phoneticPr fontId="2"/>
  </si>
  <si>
    <t>6790</t>
    <phoneticPr fontId="2"/>
  </si>
  <si>
    <t>E30101240100</t>
    <phoneticPr fontId="2"/>
  </si>
  <si>
    <t>E30101300100</t>
    <phoneticPr fontId="2"/>
  </si>
  <si>
    <t>E30101310100</t>
    <phoneticPr fontId="2"/>
  </si>
  <si>
    <t>E30101540100</t>
    <phoneticPr fontId="2"/>
  </si>
  <si>
    <t>E30101550100</t>
    <phoneticPr fontId="2"/>
  </si>
  <si>
    <t>E30101560100</t>
    <phoneticPr fontId="2"/>
  </si>
  <si>
    <t>E30101570100</t>
    <phoneticPr fontId="2"/>
  </si>
  <si>
    <t>E30101580100</t>
    <phoneticPr fontId="2"/>
  </si>
  <si>
    <t>0889</t>
    <phoneticPr fontId="2"/>
  </si>
  <si>
    <t>4/12：ご発注なし、クローズ</t>
  </si>
  <si>
    <t>0865</t>
    <phoneticPr fontId="2"/>
  </si>
  <si>
    <t>4/1TDS見積書有効期限切れ</t>
    <phoneticPr fontId="2"/>
  </si>
  <si>
    <t>0828</t>
    <phoneticPr fontId="2"/>
  </si>
  <si>
    <t>3/17キャンセル</t>
  </si>
  <si>
    <t>1065</t>
    <phoneticPr fontId="2"/>
  </si>
  <si>
    <t>きずり</t>
  </si>
  <si>
    <t>1031</t>
    <phoneticPr fontId="2"/>
  </si>
  <si>
    <t>1054</t>
    <phoneticPr fontId="2"/>
  </si>
  <si>
    <t>1066</t>
    <phoneticPr fontId="2"/>
  </si>
  <si>
    <t>1055</t>
    <phoneticPr fontId="2"/>
  </si>
  <si>
    <t>大型計数機撤去（1台）へのホールコン対応作業</t>
    <phoneticPr fontId="2"/>
  </si>
  <si>
    <t>6815</t>
    <phoneticPr fontId="2"/>
  </si>
  <si>
    <t>0907</t>
    <phoneticPr fontId="2"/>
  </si>
  <si>
    <t>6763</t>
    <phoneticPr fontId="2"/>
  </si>
  <si>
    <t>0982</t>
    <phoneticPr fontId="2"/>
  </si>
  <si>
    <t>6795</t>
    <phoneticPr fontId="2"/>
  </si>
  <si>
    <t>厚別（会津若松一箕）</t>
    <phoneticPr fontId="29"/>
  </si>
  <si>
    <t>№0774で処理</t>
    <phoneticPr fontId="2"/>
  </si>
  <si>
    <t>TE01697616</t>
    <phoneticPr fontId="2"/>
  </si>
  <si>
    <t>1045</t>
    <phoneticPr fontId="2"/>
  </si>
  <si>
    <t>1070</t>
  </si>
  <si>
    <t>保守作業／調査</t>
    <rPh sb="5" eb="7">
      <t>チョウサ</t>
    </rPh>
    <phoneticPr fontId="2"/>
  </si>
  <si>
    <t>1071</t>
    <phoneticPr fontId="2"/>
  </si>
  <si>
    <t>1072</t>
    <phoneticPr fontId="2"/>
  </si>
  <si>
    <t>1075</t>
    <phoneticPr fontId="2"/>
  </si>
  <si>
    <t>食材工場在庫管理システム追加作業</t>
    <phoneticPr fontId="2"/>
  </si>
  <si>
    <t>1076</t>
  </si>
  <si>
    <t>川口</t>
  </si>
  <si>
    <t>0972</t>
    <phoneticPr fontId="2"/>
  </si>
  <si>
    <t>P増台（12台）へのホールコン対応作業</t>
    <phoneticPr fontId="2"/>
  </si>
  <si>
    <t>6789</t>
    <phoneticPr fontId="2"/>
  </si>
  <si>
    <t>E30102920100</t>
    <phoneticPr fontId="2"/>
  </si>
  <si>
    <t>1077</t>
    <phoneticPr fontId="2"/>
  </si>
  <si>
    <t>1078</t>
    <phoneticPr fontId="2"/>
  </si>
  <si>
    <t>セットアップ作業機器購入①／外付けHDD</t>
    <phoneticPr fontId="2"/>
  </si>
  <si>
    <t>\290,000は別処理</t>
    <phoneticPr fontId="2"/>
  </si>
  <si>
    <t>\21,141は別処理</t>
    <phoneticPr fontId="2"/>
  </si>
  <si>
    <t>セットアップ作業機器購入②／プリンター</t>
    <phoneticPr fontId="2"/>
  </si>
  <si>
    <t>E30103310100</t>
    <phoneticPr fontId="2"/>
  </si>
  <si>
    <t>E30102960100</t>
    <phoneticPr fontId="2"/>
  </si>
  <si>
    <t>E30103490100</t>
    <phoneticPr fontId="2"/>
  </si>
  <si>
    <t>E30095400100</t>
    <phoneticPr fontId="2"/>
  </si>
  <si>
    <t>TE01699230</t>
    <phoneticPr fontId="2"/>
  </si>
  <si>
    <t>TE01699223</t>
    <phoneticPr fontId="2"/>
  </si>
  <si>
    <t>1056</t>
    <phoneticPr fontId="2"/>
  </si>
  <si>
    <t>P台間拡張（6島）へのホールコン対応作業</t>
    <phoneticPr fontId="2"/>
  </si>
  <si>
    <t>6814</t>
    <phoneticPr fontId="2"/>
  </si>
  <si>
    <t>TE01699206</t>
    <phoneticPr fontId="2"/>
  </si>
  <si>
    <t>保守作業／カウンタタブレット　動作確認作業</t>
    <phoneticPr fontId="2"/>
  </si>
  <si>
    <t>S増台（10台）へのホールコン対応作業</t>
    <phoneticPr fontId="2"/>
  </si>
  <si>
    <t>1081</t>
    <phoneticPr fontId="2"/>
  </si>
  <si>
    <t>1082</t>
    <phoneticPr fontId="2"/>
  </si>
  <si>
    <t>1083</t>
  </si>
  <si>
    <t>1084</t>
  </si>
  <si>
    <t>1085</t>
  </si>
  <si>
    <t>中川</t>
    <rPh sb="0" eb="2">
      <t>ナカガワ</t>
    </rPh>
    <phoneticPr fontId="2"/>
  </si>
  <si>
    <t>1086</t>
    <phoneticPr fontId="2"/>
  </si>
  <si>
    <t>6830</t>
  </si>
  <si>
    <t>1087</t>
    <phoneticPr fontId="2"/>
  </si>
  <si>
    <t>6831</t>
  </si>
  <si>
    <t>1064</t>
    <phoneticPr fontId="2"/>
  </si>
  <si>
    <t>会員電子化（タブレット端末）レンタル機（２台）導入作業（新店向け）</t>
    <phoneticPr fontId="2"/>
  </si>
  <si>
    <t>1092</t>
    <phoneticPr fontId="2"/>
  </si>
  <si>
    <t>1074</t>
    <phoneticPr fontId="2"/>
  </si>
  <si>
    <t>E30104230100</t>
    <phoneticPr fontId="2"/>
  </si>
  <si>
    <t>E30104150100</t>
    <phoneticPr fontId="2"/>
  </si>
  <si>
    <t>E30104440100</t>
    <phoneticPr fontId="2"/>
  </si>
  <si>
    <t>E30103700100</t>
    <phoneticPr fontId="2"/>
  </si>
  <si>
    <t>E30104460100</t>
    <phoneticPr fontId="2"/>
  </si>
  <si>
    <t>E30104620100</t>
    <phoneticPr fontId="2"/>
  </si>
  <si>
    <t>TE01700290</t>
    <phoneticPr fontId="2"/>
  </si>
  <si>
    <t>TE01700297</t>
    <phoneticPr fontId="2"/>
  </si>
  <si>
    <t>0825</t>
    <phoneticPr fontId="2"/>
  </si>
  <si>
    <t>6739</t>
    <phoneticPr fontId="2"/>
  </si>
  <si>
    <t>６７７３</t>
    <phoneticPr fontId="2"/>
  </si>
  <si>
    <t>0903</t>
    <phoneticPr fontId="2"/>
  </si>
  <si>
    <t>萩原</t>
    <phoneticPr fontId="2"/>
  </si>
  <si>
    <t>6758</t>
    <phoneticPr fontId="2"/>
  </si>
  <si>
    <t>0904</t>
    <phoneticPr fontId="2"/>
  </si>
  <si>
    <t>6759</t>
    <phoneticPr fontId="2"/>
  </si>
  <si>
    <t>0905</t>
    <phoneticPr fontId="2"/>
  </si>
  <si>
    <t>メダル貸しC（38台）へのホールコン対応作業</t>
    <phoneticPr fontId="2"/>
  </si>
  <si>
    <t>6760</t>
    <phoneticPr fontId="2"/>
  </si>
  <si>
    <t>0933</t>
    <phoneticPr fontId="2"/>
  </si>
  <si>
    <t>0978</t>
    <phoneticPr fontId="2"/>
  </si>
  <si>
    <t>寒河江</t>
    <phoneticPr fontId="2"/>
  </si>
  <si>
    <t>6791</t>
    <phoneticPr fontId="2"/>
  </si>
  <si>
    <t>0980</t>
    <phoneticPr fontId="2"/>
  </si>
  <si>
    <t>6793</t>
    <phoneticPr fontId="2"/>
  </si>
  <si>
    <t>0988</t>
    <phoneticPr fontId="2"/>
  </si>
  <si>
    <t>6799</t>
    <phoneticPr fontId="2"/>
  </si>
  <si>
    <t>0990</t>
    <phoneticPr fontId="2"/>
  </si>
  <si>
    <t>6801</t>
    <phoneticPr fontId="2"/>
  </si>
  <si>
    <t>0991</t>
    <phoneticPr fontId="2"/>
  </si>
  <si>
    <t>6802</t>
    <phoneticPr fontId="2"/>
  </si>
  <si>
    <t>0992</t>
    <phoneticPr fontId="2"/>
  </si>
  <si>
    <t>S増減台（59台）へのホールコン対応作業</t>
    <phoneticPr fontId="2"/>
  </si>
  <si>
    <t>6803</t>
    <phoneticPr fontId="2"/>
  </si>
  <si>
    <t>0994</t>
    <phoneticPr fontId="2"/>
  </si>
  <si>
    <t>S増減台（65台）／メダル貸しC（102台）へのホールコン対応作業</t>
    <phoneticPr fontId="2"/>
  </si>
  <si>
    <t>6804</t>
    <phoneticPr fontId="2"/>
  </si>
  <si>
    <t>1014</t>
    <phoneticPr fontId="2"/>
  </si>
  <si>
    <t>P増台（3台）へのホールコン対応作業</t>
    <phoneticPr fontId="2"/>
  </si>
  <si>
    <t>6811</t>
    <phoneticPr fontId="2"/>
  </si>
  <si>
    <t>1046</t>
    <phoneticPr fontId="2"/>
  </si>
  <si>
    <t>0864</t>
    <phoneticPr fontId="2"/>
  </si>
  <si>
    <t>1061</t>
    <phoneticPr fontId="2"/>
  </si>
  <si>
    <t>郡山インター</t>
    <phoneticPr fontId="2"/>
  </si>
  <si>
    <t>玉貸しC（20台）へのホールコン対応作業</t>
    <phoneticPr fontId="2"/>
  </si>
  <si>
    <t>6818</t>
    <phoneticPr fontId="2"/>
  </si>
  <si>
    <t>1069</t>
    <phoneticPr fontId="2"/>
  </si>
  <si>
    <t>評価作業（拡張基板　改版）</t>
    <phoneticPr fontId="2"/>
  </si>
  <si>
    <t>1098</t>
    <phoneticPr fontId="2"/>
  </si>
  <si>
    <t>1088</t>
    <phoneticPr fontId="2"/>
  </si>
  <si>
    <t>TE01700587</t>
    <phoneticPr fontId="2"/>
  </si>
  <si>
    <t>E30104610100</t>
    <phoneticPr fontId="2"/>
  </si>
  <si>
    <t>E30104700100</t>
    <phoneticPr fontId="2"/>
  </si>
  <si>
    <t>TE01700734</t>
    <phoneticPr fontId="2"/>
  </si>
  <si>
    <t>TE01700740</t>
    <phoneticPr fontId="2"/>
  </si>
  <si>
    <t>0902</t>
    <phoneticPr fontId="2"/>
  </si>
  <si>
    <t>6757</t>
    <phoneticPr fontId="2"/>
  </si>
  <si>
    <t>1015</t>
    <phoneticPr fontId="2"/>
  </si>
  <si>
    <t>6812</t>
    <phoneticPr fontId="2"/>
  </si>
  <si>
    <t>E30101950100</t>
    <phoneticPr fontId="2"/>
  </si>
  <si>
    <t>E30101970100</t>
    <phoneticPr fontId="2"/>
  </si>
  <si>
    <t>E30101940100</t>
    <phoneticPr fontId="2"/>
  </si>
  <si>
    <t>E30102850100</t>
    <phoneticPr fontId="2"/>
  </si>
  <si>
    <t>1102</t>
    <phoneticPr fontId="2"/>
  </si>
  <si>
    <t>TE01701416</t>
    <phoneticPr fontId="2"/>
  </si>
  <si>
    <t>E30105130100</t>
    <phoneticPr fontId="2"/>
  </si>
  <si>
    <t>E30105240100</t>
    <phoneticPr fontId="2"/>
  </si>
  <si>
    <t>E30104930100</t>
    <phoneticPr fontId="2"/>
  </si>
  <si>
    <t>TE01701648</t>
    <phoneticPr fontId="2"/>
  </si>
  <si>
    <t>ARCNT通信ケーブル（長）（L＝1.0ｍ）／300本</t>
    <phoneticPr fontId="2"/>
  </si>
  <si>
    <t>ARCNT通信ケーブル（長）（L＝1.0ｍ）／300本</t>
  </si>
  <si>
    <t>1106</t>
  </si>
  <si>
    <t>保守受付業務補助／3月度</t>
    <phoneticPr fontId="2"/>
  </si>
  <si>
    <t>1107</t>
    <phoneticPr fontId="2"/>
  </si>
  <si>
    <t>保守受付業務補助／4月度</t>
    <phoneticPr fontId="2"/>
  </si>
  <si>
    <t>1093</t>
    <phoneticPr fontId="2"/>
  </si>
  <si>
    <t>会員電子化（タブレット端末）レンタル機（１台）導入作業（新店向け）</t>
    <phoneticPr fontId="2"/>
  </si>
  <si>
    <t>6820</t>
    <phoneticPr fontId="2"/>
  </si>
  <si>
    <t>1108</t>
    <phoneticPr fontId="2"/>
  </si>
  <si>
    <t>追加作業／台コン更新</t>
    <phoneticPr fontId="2"/>
  </si>
  <si>
    <t>ホールコンサポートセンター受付業務(5月分)　北日本カンパニー</t>
    <phoneticPr fontId="2"/>
  </si>
  <si>
    <t>ホールコンサポートセンター受付業務(5月分)　東日本カンパニー</t>
    <phoneticPr fontId="2"/>
  </si>
  <si>
    <t>ホールコンサポートセンター受付業務(5月分)　西日本カンパニー</t>
    <phoneticPr fontId="2"/>
  </si>
  <si>
    <t>携帯システム関連／保守料(5月分)</t>
    <phoneticPr fontId="2"/>
  </si>
  <si>
    <t>1109</t>
    <phoneticPr fontId="2"/>
  </si>
  <si>
    <t>個別計数機増設（1台）へのホールコン対応作業</t>
    <phoneticPr fontId="2"/>
  </si>
  <si>
    <t>1113</t>
    <phoneticPr fontId="2"/>
  </si>
  <si>
    <t>6842</t>
    <phoneticPr fontId="2"/>
  </si>
  <si>
    <t>05</t>
  </si>
  <si>
    <t>HST,HSCセットアップ</t>
    <phoneticPr fontId="2"/>
  </si>
  <si>
    <t>1117</t>
    <phoneticPr fontId="2"/>
  </si>
  <si>
    <t>1118</t>
    <phoneticPr fontId="2"/>
  </si>
  <si>
    <t>1058</t>
    <phoneticPr fontId="2"/>
  </si>
  <si>
    <t>1119</t>
    <phoneticPr fontId="2"/>
  </si>
  <si>
    <t>会員タブレット貸出機設置作業</t>
    <phoneticPr fontId="2"/>
  </si>
  <si>
    <t>1120</t>
    <phoneticPr fontId="2"/>
  </si>
  <si>
    <t>1114</t>
    <phoneticPr fontId="2"/>
  </si>
  <si>
    <t>POS老朽化更新作業／4月度</t>
    <phoneticPr fontId="2"/>
  </si>
  <si>
    <t>RCRWユニット発送</t>
    <phoneticPr fontId="2"/>
  </si>
  <si>
    <t>網走(仙台新港)</t>
    <phoneticPr fontId="2"/>
  </si>
  <si>
    <t>4/21：網走店→仙台新港店に店舗振替</t>
    <phoneticPr fontId="2"/>
  </si>
  <si>
    <t>4/18：厚別店→会津若松一箕店に店舗振替</t>
    <phoneticPr fontId="2"/>
  </si>
  <si>
    <t>E30105700100</t>
    <phoneticPr fontId="2"/>
  </si>
  <si>
    <t>E30105010100</t>
    <phoneticPr fontId="2"/>
  </si>
  <si>
    <t>E30106040100</t>
    <phoneticPr fontId="2"/>
  </si>
  <si>
    <t>E30106050100</t>
    <phoneticPr fontId="2"/>
  </si>
  <si>
    <t>E30105710100</t>
    <phoneticPr fontId="2"/>
  </si>
  <si>
    <t>E30104950100</t>
    <phoneticPr fontId="2"/>
  </si>
  <si>
    <t>1044</t>
    <phoneticPr fontId="2"/>
  </si>
  <si>
    <t>マルチデータビジョンコンピュータ型番変更に伴う製造評価作業</t>
    <phoneticPr fontId="2"/>
  </si>
  <si>
    <t>\70,000は別処理</t>
    <phoneticPr fontId="2"/>
  </si>
  <si>
    <t>1121</t>
    <phoneticPr fontId="2"/>
  </si>
  <si>
    <t>0880</t>
    <phoneticPr fontId="2"/>
  </si>
  <si>
    <t>赤松台</t>
    <phoneticPr fontId="2"/>
  </si>
  <si>
    <t>5/1:見積有効期限切れ</t>
  </si>
  <si>
    <t>0882</t>
    <phoneticPr fontId="2"/>
  </si>
  <si>
    <t>静内</t>
    <phoneticPr fontId="2"/>
  </si>
  <si>
    <t>0925</t>
    <phoneticPr fontId="2"/>
  </si>
  <si>
    <t>1079</t>
    <phoneticPr fontId="2"/>
  </si>
  <si>
    <t>1097</t>
    <phoneticPr fontId="2"/>
  </si>
  <si>
    <t>マルチコントローラ交換作業（代替品→正規品）</t>
    <phoneticPr fontId="2"/>
  </si>
  <si>
    <t>1060</t>
    <phoneticPr fontId="2"/>
  </si>
  <si>
    <t>6819</t>
    <phoneticPr fontId="2"/>
  </si>
  <si>
    <t>1090</t>
    <phoneticPr fontId="2"/>
  </si>
  <si>
    <t>1091</t>
    <phoneticPr fontId="2"/>
  </si>
  <si>
    <t>1010</t>
    <phoneticPr fontId="2"/>
  </si>
  <si>
    <t>0944</t>
    <phoneticPr fontId="2"/>
  </si>
  <si>
    <t>1123</t>
    <phoneticPr fontId="2"/>
  </si>
  <si>
    <t>E30106790100</t>
    <phoneticPr fontId="2"/>
  </si>
  <si>
    <t>E30106810100</t>
    <phoneticPr fontId="2"/>
  </si>
  <si>
    <t>TE01702719</t>
    <phoneticPr fontId="2"/>
  </si>
  <si>
    <t>1128</t>
    <phoneticPr fontId="2"/>
  </si>
  <si>
    <t>セットアップ作業機器購入③／PC、ケーブル</t>
    <phoneticPr fontId="2"/>
  </si>
  <si>
    <t>\545,132は別処理</t>
  </si>
  <si>
    <t>TE01702727</t>
    <phoneticPr fontId="2"/>
  </si>
  <si>
    <t>5月</t>
    <phoneticPr fontId="2"/>
  </si>
  <si>
    <t>1115</t>
    <phoneticPr fontId="2"/>
  </si>
  <si>
    <t>POS老朽化更新／4月度</t>
    <phoneticPr fontId="2"/>
  </si>
  <si>
    <t>1073</t>
    <phoneticPr fontId="2"/>
  </si>
  <si>
    <t>1043</t>
    <phoneticPr fontId="2"/>
  </si>
  <si>
    <t>1099</t>
    <phoneticPr fontId="2"/>
  </si>
  <si>
    <t>（追加工事）　玉貸しC（40台）へのホールコン対応作業</t>
    <phoneticPr fontId="2"/>
  </si>
  <si>
    <t>6837</t>
    <phoneticPr fontId="2"/>
  </si>
  <si>
    <t>E30107270100</t>
    <phoneticPr fontId="2"/>
  </si>
  <si>
    <t>1112</t>
    <phoneticPr fontId="2"/>
  </si>
  <si>
    <t>E30107340100</t>
    <phoneticPr fontId="2"/>
  </si>
  <si>
    <t>E30107350100</t>
    <phoneticPr fontId="2"/>
  </si>
  <si>
    <t>1110</t>
    <phoneticPr fontId="2"/>
  </si>
  <si>
    <t>1111</t>
    <phoneticPr fontId="2"/>
  </si>
  <si>
    <t>1132</t>
    <phoneticPr fontId="2"/>
  </si>
  <si>
    <t>個別計数機増設（26台）へのホールコン対応作業</t>
    <phoneticPr fontId="2"/>
  </si>
  <si>
    <t>1133</t>
    <phoneticPr fontId="2"/>
  </si>
  <si>
    <t>1116</t>
    <phoneticPr fontId="2"/>
  </si>
  <si>
    <t>ＰＨＣ業務補助／4月度</t>
    <phoneticPr fontId="2"/>
  </si>
  <si>
    <t>1094</t>
    <phoneticPr fontId="2"/>
  </si>
  <si>
    <t>1068</t>
    <phoneticPr fontId="2"/>
  </si>
  <si>
    <t>TE01696222</t>
    <phoneticPr fontId="2"/>
  </si>
  <si>
    <t>1080</t>
    <phoneticPr fontId="2"/>
  </si>
  <si>
    <t>郡山インター</t>
    <phoneticPr fontId="29"/>
  </si>
  <si>
    <t>和歌山インター</t>
    <phoneticPr fontId="29"/>
  </si>
  <si>
    <t>1122</t>
    <phoneticPr fontId="2"/>
  </si>
  <si>
    <t>E30106990100</t>
    <phoneticPr fontId="2"/>
  </si>
  <si>
    <t>E30107750100</t>
    <phoneticPr fontId="2"/>
  </si>
  <si>
    <t>1131</t>
    <phoneticPr fontId="2"/>
  </si>
  <si>
    <t>TE01704211</t>
    <phoneticPr fontId="2"/>
  </si>
  <si>
    <t>6821</t>
    <phoneticPr fontId="2"/>
  </si>
  <si>
    <t>1096</t>
    <phoneticPr fontId="2"/>
  </si>
  <si>
    <t xml:space="preserve"> E30107350100</t>
    <phoneticPr fontId="2"/>
  </si>
  <si>
    <t>5月</t>
  </si>
  <si>
    <t>6835</t>
    <phoneticPr fontId="2"/>
  </si>
  <si>
    <t>1139</t>
    <phoneticPr fontId="2"/>
  </si>
  <si>
    <t>1140</t>
    <phoneticPr fontId="2"/>
  </si>
  <si>
    <t>6855</t>
    <phoneticPr fontId="2"/>
  </si>
  <si>
    <t>E30108500100</t>
    <phoneticPr fontId="2"/>
  </si>
  <si>
    <t>E30108510100</t>
    <phoneticPr fontId="2"/>
  </si>
  <si>
    <t>E30108700100</t>
    <phoneticPr fontId="2"/>
  </si>
  <si>
    <t>E30085340100</t>
    <phoneticPr fontId="2"/>
  </si>
  <si>
    <t>TE01705811</t>
    <phoneticPr fontId="2"/>
  </si>
  <si>
    <t>TE01705827</t>
    <phoneticPr fontId="2"/>
  </si>
  <si>
    <t>E30109460100</t>
    <phoneticPr fontId="2"/>
  </si>
  <si>
    <t>1134</t>
    <phoneticPr fontId="2"/>
  </si>
  <si>
    <t>E30109010100</t>
    <phoneticPr fontId="2"/>
  </si>
  <si>
    <t>1125</t>
    <phoneticPr fontId="2"/>
  </si>
  <si>
    <t>6843</t>
    <phoneticPr fontId="2"/>
  </si>
  <si>
    <t>E30109120100</t>
    <phoneticPr fontId="2"/>
  </si>
  <si>
    <t>1146</t>
    <phoneticPr fontId="2"/>
  </si>
  <si>
    <t>1144</t>
    <phoneticPr fontId="2"/>
  </si>
  <si>
    <t>店舗様無償／茂原店で費用処理</t>
    <phoneticPr fontId="2"/>
  </si>
  <si>
    <t>5/18：見積有効期限切れ</t>
  </si>
  <si>
    <t>0968</t>
    <phoneticPr fontId="2"/>
  </si>
  <si>
    <t>6786</t>
    <phoneticPr fontId="2"/>
  </si>
  <si>
    <t>5/18:見積有効期限切れ</t>
    <phoneticPr fontId="2"/>
  </si>
  <si>
    <t>0960</t>
    <phoneticPr fontId="2"/>
  </si>
  <si>
    <t>券売機撤去（１台）へのホールコン対応作業</t>
    <phoneticPr fontId="2"/>
  </si>
  <si>
    <t>6780</t>
    <phoneticPr fontId="2"/>
  </si>
  <si>
    <t>5/17：見積有効期限切れ</t>
  </si>
  <si>
    <t>5/17：見積有効期限切れ</t>
    <phoneticPr fontId="2"/>
  </si>
  <si>
    <t>0964</t>
    <phoneticPr fontId="2"/>
  </si>
  <si>
    <t>E30091460100</t>
    <phoneticPr fontId="2"/>
  </si>
  <si>
    <t>1057</t>
    <phoneticPr fontId="2"/>
  </si>
  <si>
    <t>島内機器撤去再設置作業</t>
    <phoneticPr fontId="2"/>
  </si>
  <si>
    <t>6816</t>
    <phoneticPr fontId="2"/>
  </si>
  <si>
    <t>1138</t>
    <phoneticPr fontId="2"/>
  </si>
  <si>
    <t>1147</t>
    <phoneticPr fontId="2"/>
  </si>
  <si>
    <t>WingPOS ｾﾙﾌ全顧客対応 ﾊﾞｰｼﾞｮﾝｱｯﾌﾟ(1台)</t>
    <phoneticPr fontId="2"/>
  </si>
  <si>
    <t>1148</t>
    <phoneticPr fontId="2"/>
  </si>
  <si>
    <t>保守作業／カウンタ動作確認作業</t>
    <phoneticPr fontId="2"/>
  </si>
  <si>
    <t>E30110180100</t>
    <phoneticPr fontId="2"/>
  </si>
  <si>
    <t>E30110060100</t>
    <phoneticPr fontId="2"/>
  </si>
  <si>
    <t>6849</t>
    <phoneticPr fontId="2"/>
  </si>
  <si>
    <t>1127</t>
    <phoneticPr fontId="2"/>
  </si>
  <si>
    <t>6845k</t>
    <phoneticPr fontId="2"/>
  </si>
  <si>
    <t>TE01707989</t>
    <phoneticPr fontId="2"/>
  </si>
  <si>
    <t>TE01707991</t>
    <phoneticPr fontId="2"/>
  </si>
  <si>
    <t>TE01707994</t>
    <phoneticPr fontId="2"/>
  </si>
  <si>
    <t>1130</t>
    <phoneticPr fontId="2"/>
  </si>
  <si>
    <t>配線繋ぎ直し作業</t>
    <phoneticPr fontId="2"/>
  </si>
  <si>
    <t>6848</t>
    <phoneticPr fontId="2"/>
  </si>
  <si>
    <t>E30110880100</t>
    <phoneticPr fontId="2"/>
  </si>
  <si>
    <t>E30108680100</t>
    <phoneticPr fontId="2"/>
  </si>
  <si>
    <t>5/19:店舗様無償→FFキャンセル5/23→№1146で再発行</t>
    <phoneticPr fontId="2"/>
  </si>
  <si>
    <t>TE01708515</t>
    <phoneticPr fontId="2"/>
  </si>
  <si>
    <t>№1123の再発行</t>
    <phoneticPr fontId="2"/>
  </si>
  <si>
    <t>1156</t>
  </si>
  <si>
    <t>茨木</t>
  </si>
  <si>
    <t>E00001130105</t>
    <phoneticPr fontId="2"/>
  </si>
  <si>
    <t>0985</t>
    <phoneticPr fontId="2"/>
  </si>
  <si>
    <t>5/23：見積有効期限切れ</t>
  </si>
  <si>
    <t>1103</t>
    <phoneticPr fontId="2"/>
  </si>
  <si>
    <t>6839</t>
    <phoneticPr fontId="2"/>
  </si>
  <si>
    <t>1135</t>
    <phoneticPr fontId="2"/>
  </si>
  <si>
    <t>ウェアラブル端末 購入</t>
    <phoneticPr fontId="2"/>
  </si>
  <si>
    <t>18K120387で処理</t>
  </si>
  <si>
    <t>0984</t>
    <phoneticPr fontId="2"/>
  </si>
  <si>
    <t>E30112110100</t>
    <phoneticPr fontId="2"/>
  </si>
  <si>
    <t>E30112230100</t>
    <phoneticPr fontId="2"/>
  </si>
  <si>
    <t>E30111770100</t>
    <phoneticPr fontId="2"/>
  </si>
  <si>
    <t>E30111800100</t>
    <phoneticPr fontId="2"/>
  </si>
  <si>
    <t>E30111780100</t>
    <phoneticPr fontId="2"/>
  </si>
  <si>
    <t>1063</t>
    <phoneticPr fontId="2"/>
  </si>
  <si>
    <t>ウェアラブル端末VerUp（1.2.7）　現地フォロー</t>
    <phoneticPr fontId="2"/>
  </si>
  <si>
    <t>1164</t>
    <phoneticPr fontId="2"/>
  </si>
  <si>
    <t>1157</t>
    <phoneticPr fontId="2"/>
  </si>
  <si>
    <t>保守用試験機購入（PHC-CNT-MO用ディスプレイ）</t>
    <phoneticPr fontId="2"/>
  </si>
  <si>
    <t>保守用試験機購入（PHC-CNT-MO用ディスプレイ）①</t>
    <phoneticPr fontId="2"/>
  </si>
  <si>
    <t>保守用試験機購入（PHC-CNT-MO用ディスプレイ）②</t>
    <phoneticPr fontId="2"/>
  </si>
  <si>
    <t>1165</t>
    <phoneticPr fontId="2"/>
  </si>
  <si>
    <t>1166</t>
    <phoneticPr fontId="2"/>
  </si>
  <si>
    <t>№1157の分割発行2･2</t>
    <phoneticPr fontId="2"/>
  </si>
  <si>
    <t>№1165,1166で分割発行</t>
    <phoneticPr fontId="2"/>
  </si>
  <si>
    <t>TE01709944</t>
    <phoneticPr fontId="2"/>
  </si>
  <si>
    <t>TE01709620</t>
    <phoneticPr fontId="2"/>
  </si>
  <si>
    <t>1172</t>
    <phoneticPr fontId="2"/>
  </si>
  <si>
    <t>1173</t>
    <phoneticPr fontId="2"/>
  </si>
  <si>
    <t>保守受付業務補助／5月度</t>
    <phoneticPr fontId="2"/>
  </si>
  <si>
    <t>1177</t>
    <phoneticPr fontId="2"/>
  </si>
  <si>
    <t>1158</t>
    <phoneticPr fontId="2"/>
  </si>
  <si>
    <t>TE01711046</t>
    <phoneticPr fontId="2"/>
  </si>
  <si>
    <t>E00001130102</t>
    <phoneticPr fontId="2"/>
  </si>
  <si>
    <t>E30113720100</t>
    <phoneticPr fontId="2"/>
  </si>
  <si>
    <t>E30113730100</t>
    <phoneticPr fontId="2"/>
  </si>
  <si>
    <t>E30113920100</t>
    <phoneticPr fontId="2"/>
  </si>
  <si>
    <t>E30114000100</t>
    <phoneticPr fontId="2"/>
  </si>
  <si>
    <t>E30113960100</t>
    <phoneticPr fontId="2"/>
  </si>
  <si>
    <t>E30113900100</t>
    <phoneticPr fontId="2"/>
  </si>
  <si>
    <t>1179</t>
    <phoneticPr fontId="2"/>
  </si>
  <si>
    <t>E30111830103</t>
    <phoneticPr fontId="2"/>
  </si>
  <si>
    <t>TE01711573</t>
    <phoneticPr fontId="2"/>
  </si>
  <si>
    <t>TE01711574</t>
    <phoneticPr fontId="2"/>
  </si>
  <si>
    <t>E30114340100</t>
    <phoneticPr fontId="2"/>
  </si>
  <si>
    <t>E30114360100</t>
    <phoneticPr fontId="2"/>
  </si>
  <si>
    <t>TE01711920</t>
    <phoneticPr fontId="2"/>
  </si>
  <si>
    <t>1168</t>
    <phoneticPr fontId="2"/>
  </si>
  <si>
    <t>1178</t>
    <phoneticPr fontId="2"/>
  </si>
  <si>
    <t>E30115070100</t>
    <phoneticPr fontId="2"/>
  </si>
  <si>
    <t>E30114500100</t>
    <phoneticPr fontId="2"/>
  </si>
  <si>
    <t>E30115030100</t>
    <phoneticPr fontId="2"/>
  </si>
  <si>
    <t>E30115020100</t>
    <phoneticPr fontId="2"/>
  </si>
  <si>
    <t>1183</t>
    <phoneticPr fontId="2"/>
  </si>
  <si>
    <t>ホールコンサポートセンター受付業務(6月分)　北日本カンパニー</t>
    <phoneticPr fontId="2"/>
  </si>
  <si>
    <t>1184</t>
    <phoneticPr fontId="2"/>
  </si>
  <si>
    <t>ホールコンサポートセンター受付業務(6月分)　東日本カンパニー</t>
    <phoneticPr fontId="2"/>
  </si>
  <si>
    <t>1185</t>
    <phoneticPr fontId="2"/>
  </si>
  <si>
    <t>ホールコンサポートセンター受付業務(6月分)　西日本カンパニー</t>
    <phoneticPr fontId="2"/>
  </si>
  <si>
    <t>1186</t>
    <phoneticPr fontId="2"/>
  </si>
  <si>
    <t>携帯システム関連／保守料(6月分)</t>
    <phoneticPr fontId="2"/>
  </si>
  <si>
    <t>0826</t>
    <phoneticPr fontId="2"/>
  </si>
  <si>
    <t>4/22見積有効期限切れ</t>
  </si>
  <si>
    <t>1011</t>
    <phoneticPr fontId="2"/>
  </si>
  <si>
    <t>6809</t>
    <phoneticPr fontId="2"/>
  </si>
  <si>
    <t>5/30見積有効期限切れ</t>
  </si>
  <si>
    <t>1174</t>
    <phoneticPr fontId="2"/>
  </si>
  <si>
    <t>POS老朽化更新作業／5月度</t>
    <phoneticPr fontId="2"/>
  </si>
  <si>
    <t>E30115340100</t>
    <phoneticPr fontId="2"/>
  </si>
  <si>
    <t>1005</t>
    <phoneticPr fontId="2"/>
  </si>
  <si>
    <t>1126</t>
    <phoneticPr fontId="2"/>
  </si>
  <si>
    <t>6844</t>
    <phoneticPr fontId="2"/>
  </si>
  <si>
    <t>1141</t>
    <phoneticPr fontId="2"/>
  </si>
  <si>
    <t>6854</t>
    <phoneticPr fontId="2"/>
  </si>
  <si>
    <t>1169</t>
    <phoneticPr fontId="2"/>
  </si>
  <si>
    <t>会員管理Step2　試験導入</t>
    <phoneticPr fontId="2"/>
  </si>
  <si>
    <t>№1157の分割発行1/2</t>
    <phoneticPr fontId="2"/>
  </si>
  <si>
    <t>1143</t>
    <phoneticPr fontId="2"/>
  </si>
  <si>
    <t>6852</t>
    <phoneticPr fontId="2"/>
  </si>
  <si>
    <t>6850</t>
    <phoneticPr fontId="2"/>
  </si>
  <si>
    <t>6月</t>
    <phoneticPr fontId="2"/>
  </si>
  <si>
    <t>1193</t>
    <phoneticPr fontId="2"/>
  </si>
  <si>
    <t>保守作業／再発</t>
    <phoneticPr fontId="2"/>
  </si>
  <si>
    <t>5/9:見積有効期限切れ→6/3再発行</t>
    <phoneticPr fontId="2"/>
  </si>
  <si>
    <t>№1071で実施</t>
    <phoneticPr fontId="2"/>
  </si>
  <si>
    <t>1136</t>
    <phoneticPr fontId="2"/>
  </si>
  <si>
    <t>盛岡みたけ</t>
    <phoneticPr fontId="2"/>
  </si>
  <si>
    <t>YPHCM</t>
    <phoneticPr fontId="2"/>
  </si>
  <si>
    <t>ホールコンピュータ新規導入工事（データコンバート対応）</t>
    <phoneticPr fontId="2"/>
  </si>
  <si>
    <t>385k</t>
    <phoneticPr fontId="2"/>
  </si>
  <si>
    <t>1200</t>
    <phoneticPr fontId="2"/>
  </si>
  <si>
    <t>追加作業／S増減台（65台）／メダル貸しC（102台）へのホールコン対応作業</t>
    <phoneticPr fontId="2"/>
  </si>
  <si>
    <t>№0994の追加作業／TDS請求無し</t>
    <phoneticPr fontId="2"/>
  </si>
  <si>
    <t>LAN敷設作業（事務所モニタラック～応接室）</t>
    <phoneticPr fontId="2"/>
  </si>
  <si>
    <t>1202</t>
    <phoneticPr fontId="2"/>
  </si>
  <si>
    <t>1176</t>
    <phoneticPr fontId="2"/>
  </si>
  <si>
    <t>ＰＨＣ業務補助／5月度</t>
    <phoneticPr fontId="2"/>
  </si>
  <si>
    <t>TEB0000422</t>
    <phoneticPr fontId="2"/>
  </si>
  <si>
    <t>TEB0000417</t>
    <phoneticPr fontId="2"/>
  </si>
  <si>
    <t>1203</t>
    <phoneticPr fontId="2"/>
  </si>
  <si>
    <t>1204</t>
    <phoneticPr fontId="2"/>
  </si>
  <si>
    <t>5/25:中止</t>
    <phoneticPr fontId="2"/>
  </si>
  <si>
    <t>1205</t>
    <phoneticPr fontId="2"/>
  </si>
  <si>
    <t>輸送費</t>
    <phoneticPr fontId="2"/>
  </si>
  <si>
    <t>1175</t>
    <phoneticPr fontId="2"/>
  </si>
  <si>
    <t>POS老朽化更新／5月度</t>
    <phoneticPr fontId="2"/>
  </si>
  <si>
    <t>1197</t>
    <phoneticPr fontId="2"/>
  </si>
  <si>
    <t>6/5：見積有効期限切れ</t>
  </si>
  <si>
    <t>5/10キャンセル</t>
  </si>
  <si>
    <t>E30106250100</t>
    <phoneticPr fontId="2"/>
  </si>
  <si>
    <t>E30115310100</t>
    <phoneticPr fontId="2"/>
  </si>
  <si>
    <t>E30113930100</t>
    <phoneticPr fontId="2"/>
  </si>
  <si>
    <t>E30104420100</t>
    <phoneticPr fontId="2"/>
  </si>
  <si>
    <t>E30116240100</t>
    <phoneticPr fontId="2"/>
  </si>
  <si>
    <t>E30115960100</t>
    <phoneticPr fontId="2"/>
  </si>
  <si>
    <t>E30116700100</t>
    <phoneticPr fontId="2"/>
  </si>
  <si>
    <t>E30116460100</t>
    <phoneticPr fontId="2"/>
  </si>
  <si>
    <t>E30116790100</t>
    <phoneticPr fontId="2"/>
  </si>
  <si>
    <t>E30116210100</t>
    <phoneticPr fontId="2"/>
  </si>
  <si>
    <t>1210</t>
    <phoneticPr fontId="2"/>
  </si>
  <si>
    <t>1214</t>
    <phoneticPr fontId="2"/>
  </si>
  <si>
    <t>Wifi電波測定　現地フォロー</t>
    <phoneticPr fontId="2"/>
  </si>
  <si>
    <t>1217</t>
    <phoneticPr fontId="2"/>
  </si>
  <si>
    <t>1152</t>
    <phoneticPr fontId="2"/>
  </si>
  <si>
    <t>福井②</t>
    <phoneticPr fontId="2"/>
  </si>
  <si>
    <t>6859</t>
    <phoneticPr fontId="2"/>
  </si>
  <si>
    <t>1160</t>
    <phoneticPr fontId="2"/>
  </si>
  <si>
    <t>メダル貸しC（60台）へのホールコン対応作業</t>
    <phoneticPr fontId="2"/>
  </si>
  <si>
    <t>6863</t>
    <phoneticPr fontId="2"/>
  </si>
  <si>
    <t>E30116840100</t>
    <phoneticPr fontId="2"/>
  </si>
  <si>
    <t>1067</t>
    <phoneticPr fontId="2"/>
  </si>
  <si>
    <t>1215</t>
    <phoneticPr fontId="2"/>
  </si>
  <si>
    <t>1220</t>
    <phoneticPr fontId="2"/>
  </si>
  <si>
    <t>岩内</t>
    <phoneticPr fontId="2"/>
  </si>
  <si>
    <t>6891</t>
    <phoneticPr fontId="2"/>
  </si>
  <si>
    <t>1216</t>
    <phoneticPr fontId="2"/>
  </si>
  <si>
    <t>S→P（28→32台）／玉メダル貸しC（349台）へのホールコン対応作業</t>
    <phoneticPr fontId="2"/>
  </si>
  <si>
    <t>1223</t>
    <phoneticPr fontId="2"/>
  </si>
  <si>
    <t>TEB0001575</t>
    <phoneticPr fontId="2"/>
  </si>
  <si>
    <t>1095</t>
    <phoneticPr fontId="2"/>
  </si>
  <si>
    <t>1089</t>
    <phoneticPr fontId="2"/>
  </si>
  <si>
    <t>1124</t>
    <phoneticPr fontId="2"/>
  </si>
  <si>
    <t>S増台（7台）へのホールコン対応作業</t>
    <phoneticPr fontId="2"/>
  </si>
  <si>
    <t>6846</t>
    <phoneticPr fontId="2"/>
  </si>
  <si>
    <t>1190</t>
    <phoneticPr fontId="2"/>
  </si>
  <si>
    <t>売上機変更（11台）へのホールコン対応作業</t>
    <phoneticPr fontId="2"/>
  </si>
  <si>
    <t>リストア品対応：ホストコンピュータ交換作業</t>
    <phoneticPr fontId="2"/>
  </si>
  <si>
    <t>1227</t>
    <phoneticPr fontId="2"/>
  </si>
  <si>
    <t>1209</t>
    <phoneticPr fontId="2"/>
  </si>
  <si>
    <t>6885</t>
    <phoneticPr fontId="2"/>
  </si>
  <si>
    <t>1194</t>
    <phoneticPr fontId="2"/>
  </si>
  <si>
    <t>6877</t>
    <phoneticPr fontId="2"/>
  </si>
  <si>
    <t>E30118630100</t>
    <phoneticPr fontId="2"/>
  </si>
  <si>
    <t>1153</t>
    <phoneticPr fontId="2"/>
  </si>
  <si>
    <t>6860</t>
    <phoneticPr fontId="2"/>
  </si>
  <si>
    <t>1181</t>
    <phoneticPr fontId="2"/>
  </si>
  <si>
    <t>玉メダル貸しC（116台）へのホールコン対応作業</t>
    <phoneticPr fontId="2"/>
  </si>
  <si>
    <t>6873</t>
    <phoneticPr fontId="2"/>
  </si>
  <si>
    <t>1170</t>
    <phoneticPr fontId="2"/>
  </si>
  <si>
    <t>玉貸しC（240台）へのホールコン対応作業</t>
    <phoneticPr fontId="2"/>
  </si>
  <si>
    <t>6867</t>
    <phoneticPr fontId="2"/>
  </si>
  <si>
    <t>E30118530100</t>
    <phoneticPr fontId="2"/>
  </si>
  <si>
    <t>1163</t>
    <phoneticPr fontId="2"/>
  </si>
  <si>
    <t>橋本台</t>
    <phoneticPr fontId="2"/>
  </si>
  <si>
    <t>6866</t>
    <phoneticPr fontId="2"/>
  </si>
  <si>
    <t>TEB0002646</t>
    <phoneticPr fontId="2"/>
  </si>
  <si>
    <t>TEB0002638</t>
    <phoneticPr fontId="2"/>
  </si>
  <si>
    <t>S増減台（64台）へのホールコン対応作業</t>
    <phoneticPr fontId="2"/>
  </si>
  <si>
    <t>1229</t>
    <phoneticPr fontId="2"/>
  </si>
  <si>
    <t>1230</t>
    <phoneticPr fontId="2"/>
  </si>
  <si>
    <t>6894</t>
    <phoneticPr fontId="2"/>
  </si>
  <si>
    <t>P増減台（52台）／玉貸しC（280台）へのホールコン対応作業</t>
    <phoneticPr fontId="2"/>
  </si>
  <si>
    <t>1231</t>
    <phoneticPr fontId="2"/>
  </si>
  <si>
    <t>6897</t>
    <phoneticPr fontId="2"/>
  </si>
  <si>
    <t>精算機移設（3台）他へのホールコン対応作業</t>
    <phoneticPr fontId="2"/>
  </si>
  <si>
    <t>1232</t>
    <phoneticPr fontId="2"/>
  </si>
  <si>
    <t>6895</t>
    <phoneticPr fontId="2"/>
  </si>
  <si>
    <t>E30116970100</t>
    <phoneticPr fontId="2"/>
  </si>
  <si>
    <t>E30117160100</t>
    <phoneticPr fontId="2"/>
  </si>
  <si>
    <t>E30118080100</t>
    <phoneticPr fontId="2"/>
  </si>
  <si>
    <t>1224</t>
    <phoneticPr fontId="2"/>
  </si>
  <si>
    <t>1233</t>
    <phoneticPr fontId="2"/>
  </si>
  <si>
    <t>来店ポイントサービス/会員電子化登録システム_新規導入(1台)</t>
    <phoneticPr fontId="2"/>
  </si>
  <si>
    <t>1050</t>
    <phoneticPr fontId="2"/>
  </si>
  <si>
    <t>6/11:見積有効期限切れ</t>
    <phoneticPr fontId="2"/>
  </si>
  <si>
    <t>1257</t>
    <phoneticPr fontId="2"/>
  </si>
  <si>
    <t>1258</t>
    <phoneticPr fontId="2"/>
  </si>
  <si>
    <t>E30118510100</t>
    <phoneticPr fontId="2"/>
  </si>
  <si>
    <t>E30119100100</t>
    <phoneticPr fontId="2"/>
  </si>
  <si>
    <t>E30119300100</t>
    <phoneticPr fontId="2"/>
  </si>
  <si>
    <t>TEB0004314</t>
    <phoneticPr fontId="2"/>
  </si>
  <si>
    <t>E30116830100</t>
    <phoneticPr fontId="2"/>
  </si>
  <si>
    <t>1142</t>
    <phoneticPr fontId="2"/>
  </si>
  <si>
    <t>6853</t>
    <phoneticPr fontId="2"/>
  </si>
  <si>
    <t>1191</t>
    <phoneticPr fontId="2"/>
  </si>
  <si>
    <t>6875</t>
    <phoneticPr fontId="2"/>
  </si>
  <si>
    <t>6/16:8月から日程変更</t>
    <phoneticPr fontId="2"/>
  </si>
  <si>
    <t>1213</t>
    <phoneticPr fontId="2"/>
  </si>
  <si>
    <t>八戸②</t>
    <phoneticPr fontId="2"/>
  </si>
  <si>
    <t>6888</t>
    <phoneticPr fontId="2"/>
  </si>
  <si>
    <t>№1180で実施</t>
    <phoneticPr fontId="2"/>
  </si>
  <si>
    <t>E30119200100</t>
    <phoneticPr fontId="2"/>
  </si>
  <si>
    <t>E30118240100</t>
    <phoneticPr fontId="2"/>
  </si>
  <si>
    <t>日清紡ブレーキ様向け文書管理システム</t>
    <phoneticPr fontId="2"/>
  </si>
  <si>
    <t>1262</t>
    <phoneticPr fontId="2"/>
  </si>
  <si>
    <t>TEB0005310</t>
    <phoneticPr fontId="2"/>
  </si>
  <si>
    <t>TEB0005309</t>
    <phoneticPr fontId="2"/>
  </si>
  <si>
    <t>S増台（2台）へのホールコン対応作業</t>
    <phoneticPr fontId="2"/>
  </si>
  <si>
    <t>1263</t>
    <phoneticPr fontId="2"/>
  </si>
  <si>
    <t>1264</t>
    <phoneticPr fontId="2"/>
  </si>
  <si>
    <t>日野</t>
    <phoneticPr fontId="2"/>
  </si>
  <si>
    <t>メダル貸しC'（60台）へのホールコン対応作業</t>
    <phoneticPr fontId="2"/>
  </si>
  <si>
    <t>1265</t>
    <phoneticPr fontId="2"/>
  </si>
  <si>
    <t>1259</t>
    <phoneticPr fontId="2"/>
  </si>
  <si>
    <t>1222</t>
    <phoneticPr fontId="2"/>
  </si>
  <si>
    <t xml:space="preserve"> E30116910100</t>
    <phoneticPr fontId="2"/>
  </si>
  <si>
    <t>E30119880100</t>
    <phoneticPr fontId="2"/>
  </si>
  <si>
    <t>E30120380100</t>
    <phoneticPr fontId="2"/>
  </si>
  <si>
    <t>E30115240100</t>
    <phoneticPr fontId="2"/>
  </si>
  <si>
    <t>E30115250100</t>
    <phoneticPr fontId="2"/>
  </si>
  <si>
    <t>E30119490100</t>
    <phoneticPr fontId="2"/>
  </si>
  <si>
    <t>E30120040100</t>
    <phoneticPr fontId="2"/>
  </si>
  <si>
    <t>E30119890100</t>
    <phoneticPr fontId="2"/>
  </si>
  <si>
    <t>E30119900100</t>
    <phoneticPr fontId="2"/>
  </si>
  <si>
    <t>E30119960100</t>
    <phoneticPr fontId="2"/>
  </si>
  <si>
    <t xml:space="preserve">E30119970100 </t>
    <phoneticPr fontId="2"/>
  </si>
  <si>
    <t>E30120310100</t>
    <phoneticPr fontId="2"/>
  </si>
  <si>
    <t>E30120780100</t>
    <phoneticPr fontId="2"/>
  </si>
  <si>
    <t>E30120720100</t>
    <phoneticPr fontId="2"/>
  </si>
  <si>
    <t>E30119610100</t>
    <phoneticPr fontId="2"/>
  </si>
  <si>
    <t>1182</t>
    <phoneticPr fontId="2"/>
  </si>
  <si>
    <t>開発案件テスト作業（人物認証_検証パターン ピックアップ）</t>
    <phoneticPr fontId="2"/>
  </si>
  <si>
    <t>6/21:次回作業に上乗せ</t>
  </si>
  <si>
    <t>1149</t>
    <phoneticPr fontId="2"/>
  </si>
  <si>
    <t>P増台（28台）／玉貸しC（40台）へのホールコン対応作業</t>
    <phoneticPr fontId="2"/>
  </si>
  <si>
    <t>6856</t>
    <phoneticPr fontId="2"/>
  </si>
  <si>
    <t>1151</t>
    <phoneticPr fontId="2"/>
  </si>
  <si>
    <t>6858</t>
    <phoneticPr fontId="2"/>
  </si>
  <si>
    <t>1150</t>
    <phoneticPr fontId="2"/>
  </si>
  <si>
    <t>S増台（14台）へのホールコン対応作業</t>
    <phoneticPr fontId="2"/>
  </si>
  <si>
    <t>6857</t>
    <phoneticPr fontId="2"/>
  </si>
  <si>
    <t>1251</t>
    <phoneticPr fontId="2"/>
  </si>
  <si>
    <t>1250</t>
    <phoneticPr fontId="2"/>
  </si>
  <si>
    <t>1249</t>
    <phoneticPr fontId="2"/>
  </si>
  <si>
    <t>1246</t>
    <phoneticPr fontId="2"/>
  </si>
  <si>
    <t>1243</t>
    <phoneticPr fontId="2"/>
  </si>
  <si>
    <t>1242</t>
    <phoneticPr fontId="2"/>
  </si>
  <si>
    <t>1241</t>
    <phoneticPr fontId="2"/>
  </si>
  <si>
    <t>1240</t>
    <phoneticPr fontId="2"/>
  </si>
  <si>
    <t>6826</t>
    <phoneticPr fontId="2"/>
  </si>
  <si>
    <t>6/22:見積有効期限切れ</t>
  </si>
  <si>
    <t>1248</t>
    <phoneticPr fontId="2"/>
  </si>
  <si>
    <t>1247</t>
    <phoneticPr fontId="2"/>
  </si>
  <si>
    <t>1245</t>
    <phoneticPr fontId="2"/>
  </si>
  <si>
    <t>1244</t>
    <phoneticPr fontId="2"/>
  </si>
  <si>
    <t>TEB0006481</t>
    <phoneticPr fontId="2"/>
  </si>
  <si>
    <t>1310</t>
    <phoneticPr fontId="2"/>
  </si>
  <si>
    <t>セットアップ作業品購入④／Microsoft Excel 2021</t>
    <phoneticPr fontId="2"/>
  </si>
  <si>
    <t>\32,554は別処理</t>
    <phoneticPr fontId="2"/>
  </si>
  <si>
    <t>1255</t>
    <phoneticPr fontId="2"/>
  </si>
  <si>
    <t>1239</t>
    <phoneticPr fontId="2"/>
  </si>
  <si>
    <t>1237</t>
    <phoneticPr fontId="2"/>
  </si>
  <si>
    <t>1238</t>
    <phoneticPr fontId="2"/>
  </si>
  <si>
    <t>1252</t>
    <phoneticPr fontId="2"/>
  </si>
  <si>
    <t>1253</t>
    <phoneticPr fontId="2"/>
  </si>
  <si>
    <t>1254</t>
    <phoneticPr fontId="2"/>
  </si>
  <si>
    <t>1256</t>
    <phoneticPr fontId="2"/>
  </si>
  <si>
    <t>E30120320100</t>
    <phoneticPr fontId="2"/>
  </si>
  <si>
    <t>E30118590100</t>
    <phoneticPr fontId="2"/>
  </si>
  <si>
    <t>E30120900100</t>
    <phoneticPr fontId="2"/>
  </si>
  <si>
    <t>E30120980100</t>
    <phoneticPr fontId="2"/>
  </si>
  <si>
    <t>E30121140100</t>
    <phoneticPr fontId="2"/>
  </si>
  <si>
    <t xml:space="preserve">E30121180100 </t>
    <phoneticPr fontId="2"/>
  </si>
  <si>
    <t>E30121190100</t>
    <phoneticPr fontId="2"/>
  </si>
  <si>
    <t>E30121210100</t>
    <phoneticPr fontId="2"/>
  </si>
  <si>
    <t>来店ポイントサービス導入作業</t>
    <phoneticPr fontId="2"/>
  </si>
  <si>
    <t>1320</t>
    <phoneticPr fontId="2"/>
  </si>
  <si>
    <t>E30117550100</t>
    <phoneticPr fontId="2"/>
  </si>
  <si>
    <t>1266</t>
    <phoneticPr fontId="2"/>
  </si>
  <si>
    <t>1162</t>
    <phoneticPr fontId="2"/>
  </si>
  <si>
    <t>1161</t>
    <phoneticPr fontId="2"/>
  </si>
  <si>
    <t>6864</t>
    <phoneticPr fontId="2"/>
  </si>
  <si>
    <t>E30118520100</t>
    <phoneticPr fontId="2"/>
  </si>
  <si>
    <t>1236</t>
    <phoneticPr fontId="2"/>
  </si>
  <si>
    <t>ビジネスWi-Fi／AP取付作業</t>
    <phoneticPr fontId="2"/>
  </si>
  <si>
    <t>TEB0007556</t>
    <phoneticPr fontId="2"/>
  </si>
  <si>
    <t>1324</t>
    <phoneticPr fontId="2"/>
  </si>
  <si>
    <t>E30116520103</t>
    <phoneticPr fontId="2"/>
  </si>
  <si>
    <t>1323</t>
    <phoneticPr fontId="2"/>
  </si>
  <si>
    <t>\350,209は別処理</t>
  </si>
  <si>
    <t>セットアップ作業機器購入⑤／外付けHDD他</t>
    <phoneticPr fontId="2"/>
  </si>
  <si>
    <t>1325</t>
    <phoneticPr fontId="2"/>
  </si>
  <si>
    <t>メダル貸しC（13台）へのホールコン対応作業</t>
    <phoneticPr fontId="2"/>
  </si>
  <si>
    <t>1326</t>
    <phoneticPr fontId="2"/>
  </si>
  <si>
    <t>1327</t>
    <phoneticPr fontId="2"/>
  </si>
  <si>
    <t>1328</t>
    <phoneticPr fontId="2"/>
  </si>
  <si>
    <t>1329</t>
    <phoneticPr fontId="2"/>
  </si>
  <si>
    <t>POS老朽化更新作業／6月度</t>
    <phoneticPr fontId="2"/>
  </si>
  <si>
    <t>1331</t>
    <phoneticPr fontId="2"/>
  </si>
  <si>
    <t>保守受付業務補助／6月度</t>
    <phoneticPr fontId="2"/>
  </si>
  <si>
    <t>ＰＨＣ業務補助／6月度</t>
    <phoneticPr fontId="2"/>
  </si>
  <si>
    <t>1104</t>
    <phoneticPr fontId="2"/>
  </si>
  <si>
    <t>E30121440100</t>
    <phoneticPr fontId="2"/>
  </si>
  <si>
    <t>E30121520100</t>
    <phoneticPr fontId="2"/>
  </si>
  <si>
    <t xml:space="preserve">E30121680100 </t>
    <phoneticPr fontId="2"/>
  </si>
  <si>
    <t>E30121780100</t>
    <phoneticPr fontId="2"/>
  </si>
  <si>
    <t>E30121580100</t>
    <phoneticPr fontId="2"/>
  </si>
  <si>
    <t>E30121790100</t>
    <phoneticPr fontId="2"/>
  </si>
  <si>
    <t>E30119210100</t>
    <phoneticPr fontId="2"/>
  </si>
  <si>
    <t>1105</t>
    <phoneticPr fontId="2"/>
  </si>
  <si>
    <t>プラザアピア静岡</t>
    <phoneticPr fontId="2"/>
  </si>
  <si>
    <t>6/28:見積有効期限切れ</t>
    <phoneticPr fontId="2"/>
  </si>
  <si>
    <t>1335</t>
    <phoneticPr fontId="2"/>
  </si>
  <si>
    <t>カウンタPC移設作業</t>
    <phoneticPr fontId="2"/>
  </si>
  <si>
    <t>6919</t>
    <phoneticPr fontId="2"/>
  </si>
  <si>
    <t>TEB0008932</t>
    <phoneticPr fontId="2"/>
  </si>
  <si>
    <t>TEB0008937</t>
    <phoneticPr fontId="2"/>
  </si>
  <si>
    <t>TEB0008928</t>
    <phoneticPr fontId="2"/>
  </si>
  <si>
    <t>TEB0008926</t>
    <phoneticPr fontId="2"/>
  </si>
  <si>
    <t>1339</t>
    <phoneticPr fontId="2"/>
  </si>
  <si>
    <t>1333</t>
    <phoneticPr fontId="2"/>
  </si>
  <si>
    <t>東与賀</t>
    <phoneticPr fontId="2"/>
  </si>
  <si>
    <t>1101</t>
    <phoneticPr fontId="2"/>
  </si>
  <si>
    <t>6/27:見積有効期限切れ</t>
  </si>
  <si>
    <t>E30122370100</t>
    <phoneticPr fontId="2"/>
  </si>
  <si>
    <t>E30122500100</t>
    <phoneticPr fontId="2"/>
  </si>
  <si>
    <t>個別計数機移設（20台）へのホールコン対応作業</t>
    <phoneticPr fontId="2"/>
  </si>
  <si>
    <t>1342</t>
    <phoneticPr fontId="2"/>
  </si>
  <si>
    <t>個別計数機増設（96台）へのホールコン対応作業</t>
    <phoneticPr fontId="2"/>
  </si>
  <si>
    <t>1343</t>
    <phoneticPr fontId="2"/>
  </si>
  <si>
    <t>TEB0009448</t>
    <phoneticPr fontId="2"/>
  </si>
  <si>
    <t>1345</t>
  </si>
  <si>
    <t>伊勢崎</t>
    <rPh sb="0" eb="3">
      <t>イセザキ</t>
    </rPh>
    <phoneticPr fontId="2"/>
  </si>
  <si>
    <t>塩尻</t>
    <phoneticPr fontId="2"/>
  </si>
  <si>
    <t>E30122910100</t>
    <phoneticPr fontId="2"/>
  </si>
  <si>
    <t>E30122750100</t>
    <phoneticPr fontId="2"/>
  </si>
  <si>
    <t>E30123080100</t>
    <phoneticPr fontId="2"/>
  </si>
  <si>
    <t>E30122740100</t>
    <phoneticPr fontId="2"/>
  </si>
  <si>
    <t>E30122950100</t>
    <phoneticPr fontId="2"/>
  </si>
  <si>
    <t>E30122960100</t>
    <phoneticPr fontId="2"/>
  </si>
  <si>
    <t>E30122770100</t>
    <phoneticPr fontId="2"/>
  </si>
  <si>
    <t>E30123000100</t>
    <phoneticPr fontId="2"/>
  </si>
  <si>
    <t>E30122980100</t>
    <phoneticPr fontId="2"/>
  </si>
  <si>
    <t>6918</t>
    <phoneticPr fontId="2"/>
  </si>
  <si>
    <t>07</t>
  </si>
  <si>
    <t>ホールコンサポートセンター受付業務(7月分)　北日本カンパニー</t>
    <phoneticPr fontId="2"/>
  </si>
  <si>
    <t>ホールコンサポートセンター受付業務(7月分)　東日本カンパニー</t>
    <phoneticPr fontId="2"/>
  </si>
  <si>
    <t>ホールコンサポートセンター受付業務(7月分)　西日本カンパニー</t>
    <phoneticPr fontId="2"/>
  </si>
  <si>
    <t>携帯システム関連／保守料(7月分)</t>
    <phoneticPr fontId="2"/>
  </si>
  <si>
    <t>1360</t>
    <phoneticPr fontId="2"/>
  </si>
  <si>
    <t>7月</t>
    <phoneticPr fontId="2"/>
  </si>
  <si>
    <t>1211</t>
    <phoneticPr fontId="2"/>
  </si>
  <si>
    <t>既存ランプ交換（240台：既存ランプ→ビグモプレミアムⅡ）へのホールコン対応作業</t>
    <phoneticPr fontId="2"/>
  </si>
  <si>
    <t>6886</t>
    <phoneticPr fontId="2"/>
  </si>
  <si>
    <t>1364</t>
  </si>
  <si>
    <t>盛岡みたけ</t>
  </si>
  <si>
    <t>現場調査（ギガらくWi-Fi）</t>
  </si>
  <si>
    <t>インフォックス</t>
  </si>
  <si>
    <t>1365</t>
    <phoneticPr fontId="2"/>
  </si>
  <si>
    <t xml:space="preserve">E30115620108 </t>
    <phoneticPr fontId="2"/>
  </si>
  <si>
    <t>1212</t>
    <phoneticPr fontId="2"/>
  </si>
  <si>
    <t>PS増台（19台）へのホールコン対応作業</t>
    <phoneticPr fontId="2"/>
  </si>
  <si>
    <t>6887</t>
    <phoneticPr fontId="2"/>
  </si>
  <si>
    <t>1199</t>
    <phoneticPr fontId="2"/>
  </si>
  <si>
    <t>6880</t>
    <phoneticPr fontId="2"/>
  </si>
  <si>
    <t>6/27納期変更依頼：6/30→7/6</t>
    <phoneticPr fontId="2"/>
  </si>
  <si>
    <t>1367</t>
    <phoneticPr fontId="2"/>
  </si>
  <si>
    <t>S増台（21台）へのホールコン対応作業</t>
    <phoneticPr fontId="2"/>
  </si>
  <si>
    <t>6932</t>
    <phoneticPr fontId="2"/>
  </si>
  <si>
    <t>営業画面製作(ワイド版)</t>
    <phoneticPr fontId="2"/>
  </si>
  <si>
    <t>1368</t>
    <phoneticPr fontId="2"/>
  </si>
  <si>
    <t>E30118560100</t>
    <phoneticPr fontId="2"/>
  </si>
  <si>
    <t>1100</t>
    <phoneticPr fontId="2"/>
  </si>
  <si>
    <t>メダル貸しC（18台）へのホールコン対応作業</t>
    <phoneticPr fontId="2"/>
  </si>
  <si>
    <t>6838</t>
    <phoneticPr fontId="2"/>
  </si>
  <si>
    <t>E30116930100</t>
    <phoneticPr fontId="2"/>
  </si>
  <si>
    <t>1206</t>
    <phoneticPr fontId="2"/>
  </si>
  <si>
    <t>函南</t>
    <phoneticPr fontId="2"/>
  </si>
  <si>
    <t>S→P（35→34台）／玉メダル貸しC（170台）へのホールコン対応作業</t>
    <phoneticPr fontId="2"/>
  </si>
  <si>
    <t>6883</t>
    <phoneticPr fontId="2"/>
  </si>
  <si>
    <t>1268</t>
    <phoneticPr fontId="2"/>
  </si>
  <si>
    <t>1269</t>
    <phoneticPr fontId="2"/>
  </si>
  <si>
    <t>1270</t>
    <phoneticPr fontId="2"/>
  </si>
  <si>
    <t>1271</t>
    <phoneticPr fontId="2"/>
  </si>
  <si>
    <t>1272</t>
    <phoneticPr fontId="2"/>
  </si>
  <si>
    <t>1273</t>
    <phoneticPr fontId="2"/>
  </si>
  <si>
    <t>1274</t>
    <phoneticPr fontId="2"/>
  </si>
  <si>
    <t>1275</t>
    <phoneticPr fontId="2"/>
  </si>
  <si>
    <t>1276</t>
    <phoneticPr fontId="2"/>
  </si>
  <si>
    <t>1277</t>
    <phoneticPr fontId="2"/>
  </si>
  <si>
    <t>1278</t>
    <phoneticPr fontId="2"/>
  </si>
  <si>
    <t>1279</t>
    <phoneticPr fontId="2"/>
  </si>
  <si>
    <t>1280</t>
    <phoneticPr fontId="2"/>
  </si>
  <si>
    <t>1281</t>
    <phoneticPr fontId="2"/>
  </si>
  <si>
    <t>1282</t>
    <phoneticPr fontId="2"/>
  </si>
  <si>
    <t>1283</t>
    <phoneticPr fontId="2"/>
  </si>
  <si>
    <t>1284</t>
    <phoneticPr fontId="2"/>
  </si>
  <si>
    <t>1285</t>
    <phoneticPr fontId="2"/>
  </si>
  <si>
    <t>1286</t>
    <phoneticPr fontId="2"/>
  </si>
  <si>
    <t>1287</t>
    <phoneticPr fontId="2"/>
  </si>
  <si>
    <t>1288</t>
    <phoneticPr fontId="2"/>
  </si>
  <si>
    <t>1289</t>
    <phoneticPr fontId="2"/>
  </si>
  <si>
    <t>浜田</t>
    <phoneticPr fontId="2"/>
  </si>
  <si>
    <t>1290</t>
    <phoneticPr fontId="2"/>
  </si>
  <si>
    <t>1291</t>
    <phoneticPr fontId="2"/>
  </si>
  <si>
    <t>1292</t>
    <phoneticPr fontId="2"/>
  </si>
  <si>
    <t>1293</t>
    <phoneticPr fontId="2"/>
  </si>
  <si>
    <t>1294</t>
    <phoneticPr fontId="2"/>
  </si>
  <si>
    <t>1295</t>
    <phoneticPr fontId="2"/>
  </si>
  <si>
    <t>1296</t>
    <phoneticPr fontId="2"/>
  </si>
  <si>
    <t>1297</t>
    <phoneticPr fontId="2"/>
  </si>
  <si>
    <t>1298</t>
    <phoneticPr fontId="2"/>
  </si>
  <si>
    <t>1299</t>
    <phoneticPr fontId="2"/>
  </si>
  <si>
    <t>1300</t>
    <phoneticPr fontId="2"/>
  </si>
  <si>
    <t>1301</t>
    <phoneticPr fontId="2"/>
  </si>
  <si>
    <t>1302</t>
    <phoneticPr fontId="2"/>
  </si>
  <si>
    <t>1303</t>
    <phoneticPr fontId="2"/>
  </si>
  <si>
    <t>1304</t>
    <phoneticPr fontId="2"/>
  </si>
  <si>
    <t>1305</t>
    <phoneticPr fontId="2"/>
  </si>
  <si>
    <t>1306</t>
    <phoneticPr fontId="2"/>
  </si>
  <si>
    <t>みやき</t>
    <phoneticPr fontId="2"/>
  </si>
  <si>
    <t>1307</t>
    <phoneticPr fontId="2"/>
  </si>
  <si>
    <t>1308</t>
    <phoneticPr fontId="2"/>
  </si>
  <si>
    <t>和歌山インター</t>
    <phoneticPr fontId="2"/>
  </si>
  <si>
    <t>1309</t>
    <phoneticPr fontId="2"/>
  </si>
  <si>
    <t>1311</t>
    <phoneticPr fontId="2"/>
  </si>
  <si>
    <t>P減台（36台）へのホールコン対応作業</t>
    <phoneticPr fontId="2"/>
  </si>
  <si>
    <t>6907</t>
    <phoneticPr fontId="2"/>
  </si>
  <si>
    <t>E30123410100</t>
    <phoneticPr fontId="2"/>
  </si>
  <si>
    <t>E30123510100</t>
    <phoneticPr fontId="2"/>
  </si>
  <si>
    <t>E30123240100</t>
    <phoneticPr fontId="2"/>
  </si>
  <si>
    <t>E30102200100</t>
    <phoneticPr fontId="2"/>
  </si>
  <si>
    <t>E30102190100</t>
    <phoneticPr fontId="2"/>
  </si>
  <si>
    <t>E30123800100</t>
    <phoneticPr fontId="2"/>
  </si>
  <si>
    <t>E30123840100</t>
    <phoneticPr fontId="2"/>
  </si>
  <si>
    <t>7月</t>
  </si>
  <si>
    <t>1196</t>
    <phoneticPr fontId="2"/>
  </si>
  <si>
    <t>PS増台（20 台）へのホールコン対応作業</t>
    <phoneticPr fontId="2"/>
  </si>
  <si>
    <t>6879</t>
    <phoneticPr fontId="2"/>
  </si>
  <si>
    <t>TEB0010595</t>
    <phoneticPr fontId="2"/>
  </si>
  <si>
    <t>TEB0010591</t>
    <phoneticPr fontId="2"/>
  </si>
  <si>
    <t>E30124300100</t>
    <phoneticPr fontId="2"/>
  </si>
  <si>
    <t>E30124310100</t>
    <phoneticPr fontId="2"/>
  </si>
  <si>
    <t>E30124260100</t>
    <phoneticPr fontId="2"/>
  </si>
  <si>
    <t>E30124320100</t>
    <phoneticPr fontId="2"/>
  </si>
  <si>
    <t>E30124150100</t>
    <phoneticPr fontId="2"/>
  </si>
  <si>
    <t>E30118610100</t>
    <phoneticPr fontId="2"/>
  </si>
  <si>
    <t>1346</t>
    <phoneticPr fontId="2"/>
  </si>
  <si>
    <t>1347</t>
    <phoneticPr fontId="2"/>
  </si>
  <si>
    <t>1348</t>
    <phoneticPr fontId="2"/>
  </si>
  <si>
    <t>1349</t>
    <phoneticPr fontId="2"/>
  </si>
  <si>
    <t>1350</t>
    <phoneticPr fontId="2"/>
  </si>
  <si>
    <t>1351</t>
    <phoneticPr fontId="2"/>
  </si>
  <si>
    <t>1352</t>
    <phoneticPr fontId="2"/>
  </si>
  <si>
    <t>1353</t>
    <phoneticPr fontId="2"/>
  </si>
  <si>
    <t>1354</t>
    <phoneticPr fontId="2"/>
  </si>
  <si>
    <t>1344</t>
    <phoneticPr fontId="2"/>
  </si>
  <si>
    <t>1355</t>
    <phoneticPr fontId="2"/>
  </si>
  <si>
    <t>1189</t>
    <phoneticPr fontId="2"/>
  </si>
  <si>
    <t>TEB0010772</t>
    <phoneticPr fontId="2"/>
  </si>
  <si>
    <t>1334</t>
    <phoneticPr fontId="2"/>
  </si>
  <si>
    <t>1195</t>
    <phoneticPr fontId="2"/>
  </si>
  <si>
    <t>1188</t>
    <phoneticPr fontId="2"/>
  </si>
  <si>
    <t>1234</t>
    <phoneticPr fontId="2"/>
  </si>
  <si>
    <t>来店ポイントサービス/会員電子化登録システム_新規導入(2台)</t>
    <phoneticPr fontId="2"/>
  </si>
  <si>
    <t>1372</t>
  </si>
  <si>
    <t>岩見沢</t>
  </si>
  <si>
    <t>TEB0011497</t>
    <phoneticPr fontId="2"/>
  </si>
  <si>
    <t>E30120030100</t>
    <phoneticPr fontId="2"/>
  </si>
  <si>
    <t>E30124870100</t>
    <phoneticPr fontId="2"/>
  </si>
  <si>
    <t>E30125380100</t>
    <phoneticPr fontId="2"/>
  </si>
  <si>
    <t>E30125010100</t>
    <phoneticPr fontId="2"/>
  </si>
  <si>
    <t>E30124950100</t>
    <phoneticPr fontId="2"/>
  </si>
  <si>
    <t>E30124960100</t>
    <phoneticPr fontId="2"/>
  </si>
  <si>
    <t>E30125000100</t>
    <phoneticPr fontId="2"/>
  </si>
  <si>
    <t>E30125030100</t>
    <phoneticPr fontId="2"/>
  </si>
  <si>
    <t>E30125390100</t>
    <phoneticPr fontId="2"/>
  </si>
  <si>
    <t>1382</t>
    <phoneticPr fontId="2"/>
  </si>
  <si>
    <t>E30125720100</t>
    <phoneticPr fontId="2"/>
  </si>
  <si>
    <t>E30124710100</t>
    <phoneticPr fontId="2"/>
  </si>
  <si>
    <t>E30124700100</t>
    <phoneticPr fontId="2"/>
  </si>
  <si>
    <t>1383</t>
    <phoneticPr fontId="2"/>
  </si>
  <si>
    <t>紋別</t>
    <phoneticPr fontId="2"/>
  </si>
  <si>
    <t>相模原</t>
    <phoneticPr fontId="2"/>
  </si>
  <si>
    <t>都城</t>
    <phoneticPr fontId="2"/>
  </si>
  <si>
    <t>薩摩川内</t>
    <phoneticPr fontId="2"/>
  </si>
  <si>
    <t>大川</t>
    <phoneticPr fontId="2"/>
  </si>
  <si>
    <t>堺遠里小野</t>
    <phoneticPr fontId="2"/>
  </si>
  <si>
    <t>松原</t>
    <phoneticPr fontId="2"/>
  </si>
  <si>
    <t>児島</t>
    <phoneticPr fontId="2"/>
  </si>
  <si>
    <t>8月</t>
    <phoneticPr fontId="2"/>
  </si>
  <si>
    <t>セットアップ作業機器購入⑥／交換用HDD（OP-HD6.0QH）</t>
    <phoneticPr fontId="2"/>
  </si>
  <si>
    <t>\67,091は別処理</t>
    <phoneticPr fontId="2"/>
  </si>
  <si>
    <t>1428</t>
    <phoneticPr fontId="2"/>
  </si>
  <si>
    <t>TEB0012622</t>
    <phoneticPr fontId="2"/>
  </si>
  <si>
    <t>TEB0012625</t>
    <phoneticPr fontId="2"/>
  </si>
  <si>
    <t>TEB0012630</t>
    <phoneticPr fontId="2"/>
  </si>
  <si>
    <t>1433</t>
    <phoneticPr fontId="2"/>
  </si>
  <si>
    <t>PS増台（16台）へのホールコン対応作業</t>
    <phoneticPr fontId="2"/>
  </si>
  <si>
    <t>6945</t>
    <phoneticPr fontId="2"/>
  </si>
  <si>
    <t>1436</t>
    <phoneticPr fontId="2"/>
  </si>
  <si>
    <t>E30115620119</t>
    <phoneticPr fontId="2"/>
  </si>
  <si>
    <t>1435</t>
    <phoneticPr fontId="2"/>
  </si>
  <si>
    <t>島内電源調査</t>
    <phoneticPr fontId="2"/>
  </si>
  <si>
    <t>1437</t>
    <phoneticPr fontId="2"/>
  </si>
  <si>
    <t>ウェアラブル端末VerUp（1.3.0）　現地フォロー</t>
    <phoneticPr fontId="2"/>
  </si>
  <si>
    <t>1438</t>
    <phoneticPr fontId="2"/>
  </si>
  <si>
    <t>1267</t>
    <phoneticPr fontId="2"/>
  </si>
  <si>
    <t>6905</t>
    <phoneticPr fontId="2"/>
  </si>
  <si>
    <t>1155</t>
    <phoneticPr fontId="2"/>
  </si>
  <si>
    <t>1225</t>
    <phoneticPr fontId="2"/>
  </si>
  <si>
    <t>TEB0013195</t>
    <phoneticPr fontId="2"/>
  </si>
  <si>
    <t>TEB0013180</t>
    <phoneticPr fontId="2"/>
  </si>
  <si>
    <t>1330</t>
    <phoneticPr fontId="2"/>
  </si>
  <si>
    <t>POS老朽化更新／6月度</t>
    <phoneticPr fontId="2"/>
  </si>
  <si>
    <t>5/23：見積有効期限切れ→再発行</t>
    <phoneticPr fontId="2"/>
  </si>
  <si>
    <t>1369</t>
    <phoneticPr fontId="2"/>
  </si>
  <si>
    <t>1375</t>
    <phoneticPr fontId="2"/>
  </si>
  <si>
    <t>1376</t>
    <phoneticPr fontId="2"/>
  </si>
  <si>
    <t>1362</t>
    <phoneticPr fontId="2"/>
  </si>
  <si>
    <t>1361</t>
    <phoneticPr fontId="2"/>
  </si>
  <si>
    <t>1363</t>
    <phoneticPr fontId="2"/>
  </si>
  <si>
    <t>6903</t>
    <phoneticPr fontId="2"/>
  </si>
  <si>
    <t>1219</t>
    <phoneticPr fontId="2"/>
  </si>
  <si>
    <t>個別計数機増設（68台）へのホールコン対応作業</t>
    <phoneticPr fontId="2"/>
  </si>
  <si>
    <t>6890</t>
    <phoneticPr fontId="2"/>
  </si>
  <si>
    <t>1154</t>
    <phoneticPr fontId="2"/>
  </si>
  <si>
    <t>S→P（40台）／玉貸しC（80台）へのホールコン対応作業</t>
    <phoneticPr fontId="2"/>
  </si>
  <si>
    <t>6861</t>
    <phoneticPr fontId="2"/>
  </si>
  <si>
    <t>1180</t>
    <phoneticPr fontId="2"/>
  </si>
  <si>
    <t>6872</t>
    <phoneticPr fontId="2"/>
  </si>
  <si>
    <t>1201</t>
    <phoneticPr fontId="2"/>
  </si>
  <si>
    <t>6878</t>
    <phoneticPr fontId="2"/>
  </si>
  <si>
    <t>1218</t>
    <phoneticPr fontId="2"/>
  </si>
  <si>
    <t>6889</t>
    <phoneticPr fontId="2"/>
  </si>
  <si>
    <t>1312</t>
    <phoneticPr fontId="2"/>
  </si>
  <si>
    <t>個別計数機増設（72台）へのホールコン対応作業</t>
    <phoneticPr fontId="2"/>
  </si>
  <si>
    <t>6908</t>
    <phoneticPr fontId="2"/>
  </si>
  <si>
    <t>1445</t>
    <phoneticPr fontId="2"/>
  </si>
  <si>
    <t>E30117040101</t>
    <phoneticPr fontId="2"/>
  </si>
  <si>
    <t>1446</t>
    <phoneticPr fontId="2"/>
  </si>
  <si>
    <t>1447</t>
    <phoneticPr fontId="2"/>
  </si>
  <si>
    <t>TEB0014282</t>
    <phoneticPr fontId="2"/>
  </si>
  <si>
    <t>TEB0014284</t>
    <phoneticPr fontId="2"/>
  </si>
  <si>
    <t>TEB0014285</t>
    <phoneticPr fontId="2"/>
  </si>
  <si>
    <t>1357</t>
    <phoneticPr fontId="2"/>
  </si>
  <si>
    <t>旭川永山</t>
    <phoneticPr fontId="2"/>
  </si>
  <si>
    <t>6928</t>
    <phoneticPr fontId="2"/>
  </si>
  <si>
    <t>6925</t>
    <phoneticPr fontId="2"/>
  </si>
  <si>
    <t>1358</t>
    <phoneticPr fontId="2"/>
  </si>
  <si>
    <t>6929</t>
    <phoneticPr fontId="2"/>
  </si>
  <si>
    <t>E30126900100</t>
    <phoneticPr fontId="2"/>
  </si>
  <si>
    <t>1359</t>
    <phoneticPr fontId="2"/>
  </si>
  <si>
    <t>6930</t>
    <phoneticPr fontId="2"/>
  </si>
  <si>
    <t>1371</t>
    <phoneticPr fontId="2"/>
  </si>
  <si>
    <t>6933</t>
    <phoneticPr fontId="2"/>
  </si>
  <si>
    <t>E30126610100</t>
    <phoneticPr fontId="2"/>
  </si>
  <si>
    <t>1448</t>
    <phoneticPr fontId="2"/>
  </si>
  <si>
    <t>単価変更見積</t>
    <phoneticPr fontId="2"/>
  </si>
  <si>
    <t>1434</t>
    <phoneticPr fontId="2"/>
  </si>
  <si>
    <t>谷</t>
    <phoneticPr fontId="2"/>
  </si>
  <si>
    <t>1187</t>
    <phoneticPr fontId="2"/>
  </si>
  <si>
    <t>TEB0014830</t>
    <phoneticPr fontId="2"/>
  </si>
  <si>
    <t>TEB0014283</t>
    <phoneticPr fontId="2"/>
  </si>
  <si>
    <t>E30126550100</t>
    <phoneticPr fontId="2"/>
  </si>
  <si>
    <t>E00001140100</t>
    <phoneticPr fontId="2"/>
  </si>
  <si>
    <t>E30127170100</t>
    <phoneticPr fontId="2"/>
  </si>
  <si>
    <t>6893</t>
    <phoneticPr fontId="2"/>
  </si>
  <si>
    <t>7/14:工期8月→9月以降に延期</t>
  </si>
  <si>
    <t>1129</t>
    <phoneticPr fontId="2"/>
  </si>
  <si>
    <t>6847</t>
    <phoneticPr fontId="2"/>
  </si>
  <si>
    <t>7/11見積有効期限切れ</t>
  </si>
  <si>
    <t>E30126540100</t>
    <phoneticPr fontId="2"/>
  </si>
  <si>
    <t>E30127280100</t>
    <phoneticPr fontId="2"/>
  </si>
  <si>
    <t>E30127550100</t>
    <phoneticPr fontId="2"/>
  </si>
  <si>
    <t>E30127870100</t>
    <phoneticPr fontId="2"/>
  </si>
  <si>
    <t>E30127890100</t>
    <phoneticPr fontId="2"/>
  </si>
  <si>
    <t>E30127910100</t>
    <phoneticPr fontId="2"/>
  </si>
  <si>
    <t>TEB0015748</t>
    <phoneticPr fontId="2"/>
  </si>
  <si>
    <t>TEB0016386</t>
    <phoneticPr fontId="2"/>
  </si>
  <si>
    <t>1137</t>
    <phoneticPr fontId="2"/>
  </si>
  <si>
    <t>7/13：見積有効期限切れ</t>
  </si>
  <si>
    <t>1380</t>
    <phoneticPr fontId="2"/>
  </si>
  <si>
    <t>6986</t>
    <phoneticPr fontId="2"/>
  </si>
  <si>
    <t>6937k</t>
    <phoneticPr fontId="2"/>
  </si>
  <si>
    <t>7/11:1380に含む</t>
    <phoneticPr fontId="2"/>
  </si>
  <si>
    <t>1459</t>
    <phoneticPr fontId="2"/>
  </si>
  <si>
    <t>KKS老朽化更新（SV)</t>
    <phoneticPr fontId="2"/>
  </si>
  <si>
    <t>1460</t>
    <phoneticPr fontId="2"/>
  </si>
  <si>
    <t>1451</t>
    <phoneticPr fontId="2"/>
  </si>
  <si>
    <t>1452</t>
    <phoneticPr fontId="2"/>
  </si>
  <si>
    <t>1321</t>
    <phoneticPr fontId="2"/>
  </si>
  <si>
    <t>6914</t>
    <phoneticPr fontId="2"/>
  </si>
  <si>
    <t>1322</t>
    <phoneticPr fontId="2"/>
  </si>
  <si>
    <t>開発案件テスト作業（人物認証_アノテーション作業）</t>
    <phoneticPr fontId="2"/>
  </si>
  <si>
    <t>1261</t>
    <phoneticPr fontId="2"/>
  </si>
  <si>
    <t>6916</t>
    <phoneticPr fontId="2"/>
  </si>
  <si>
    <t>E30128980100</t>
    <phoneticPr fontId="2"/>
  </si>
  <si>
    <t>E30129020100</t>
    <phoneticPr fontId="2"/>
  </si>
  <si>
    <t>E30129250100</t>
    <phoneticPr fontId="2"/>
  </si>
  <si>
    <t>E30128670100</t>
    <phoneticPr fontId="2"/>
  </si>
  <si>
    <t>E30128990100</t>
    <phoneticPr fontId="2"/>
  </si>
  <si>
    <t>E30129000100</t>
    <phoneticPr fontId="2"/>
  </si>
  <si>
    <t>E30129010100</t>
    <phoneticPr fontId="2"/>
  </si>
  <si>
    <t>7/21中止</t>
    <phoneticPr fontId="2"/>
  </si>
  <si>
    <t>1338</t>
    <phoneticPr fontId="2"/>
  </si>
  <si>
    <t>6922</t>
    <phoneticPr fontId="2"/>
  </si>
  <si>
    <t>1429</t>
    <phoneticPr fontId="2"/>
  </si>
  <si>
    <t>6941</t>
    <phoneticPr fontId="2"/>
  </si>
  <si>
    <t>1462</t>
    <phoneticPr fontId="2"/>
  </si>
  <si>
    <t>FF：1446</t>
    <phoneticPr fontId="2"/>
  </si>
  <si>
    <t>1463</t>
    <phoneticPr fontId="2"/>
  </si>
  <si>
    <t>ＰＨＣ業務補助／7月度</t>
    <phoneticPr fontId="2"/>
  </si>
  <si>
    <t>1464</t>
    <phoneticPr fontId="2"/>
  </si>
  <si>
    <t>POS老朽化更新作業／7月度</t>
    <phoneticPr fontId="2"/>
  </si>
  <si>
    <t>1466</t>
    <phoneticPr fontId="2"/>
  </si>
  <si>
    <t>保守受付業務補助／7月度</t>
    <phoneticPr fontId="2"/>
  </si>
  <si>
    <t>TEB0017735</t>
    <phoneticPr fontId="2"/>
  </si>
  <si>
    <t>1467</t>
    <phoneticPr fontId="2"/>
  </si>
  <si>
    <t>8月</t>
  </si>
  <si>
    <t>1441</t>
    <phoneticPr fontId="2"/>
  </si>
  <si>
    <t>PS増台（23台）／メダル貸しC（35第）へのホールコン対応作業</t>
    <phoneticPr fontId="2"/>
  </si>
  <si>
    <t>6950</t>
    <phoneticPr fontId="2"/>
  </si>
  <si>
    <t>1443</t>
    <phoneticPr fontId="2"/>
  </si>
  <si>
    <t>6951</t>
    <phoneticPr fontId="2"/>
  </si>
  <si>
    <t>LAN敷設_A作業（事務所モニタラック～応接室）</t>
  </si>
  <si>
    <t>E30129700100</t>
    <phoneticPr fontId="2"/>
  </si>
  <si>
    <t>E30129530100</t>
    <phoneticPr fontId="2"/>
  </si>
  <si>
    <t>E30129710100</t>
    <phoneticPr fontId="2"/>
  </si>
  <si>
    <t>E30129720100</t>
    <phoneticPr fontId="2"/>
  </si>
  <si>
    <t>E30129540100</t>
    <phoneticPr fontId="2"/>
  </si>
  <si>
    <t>E30128710100</t>
    <phoneticPr fontId="2"/>
  </si>
  <si>
    <t>E30128720100</t>
    <phoneticPr fontId="2"/>
  </si>
  <si>
    <t>E30130250100</t>
    <phoneticPr fontId="2"/>
  </si>
  <si>
    <t>TEB0018178</t>
    <phoneticPr fontId="2"/>
  </si>
  <si>
    <t>TEB0018189</t>
    <phoneticPr fontId="2"/>
  </si>
  <si>
    <t>TEB0018630</t>
    <phoneticPr fontId="2"/>
  </si>
  <si>
    <t>1145</t>
    <phoneticPr fontId="2"/>
  </si>
  <si>
    <t>鹿屋</t>
    <phoneticPr fontId="2"/>
  </si>
  <si>
    <t>7/19:見積有効期限切れ</t>
  </si>
  <si>
    <t>1461</t>
    <phoneticPr fontId="2"/>
  </si>
  <si>
    <t>1458</t>
    <phoneticPr fontId="2"/>
  </si>
  <si>
    <t>1450</t>
    <phoneticPr fontId="2"/>
  </si>
  <si>
    <t>7/26中止</t>
  </si>
  <si>
    <t xml:space="preserve"> E30126920100</t>
    <phoneticPr fontId="2"/>
  </si>
  <si>
    <t>6924</t>
    <phoneticPr fontId="2"/>
  </si>
  <si>
    <t>6956</t>
    <phoneticPr fontId="2"/>
  </si>
  <si>
    <t>E30126940100</t>
    <phoneticPr fontId="2"/>
  </si>
  <si>
    <t>6904</t>
    <phoneticPr fontId="2"/>
  </si>
  <si>
    <t>1315</t>
    <phoneticPr fontId="2"/>
  </si>
  <si>
    <t>6909</t>
    <phoneticPr fontId="2"/>
  </si>
  <si>
    <t>1208</t>
    <phoneticPr fontId="2"/>
  </si>
  <si>
    <t>6882</t>
    <phoneticPr fontId="2"/>
  </si>
  <si>
    <t>E30130390100</t>
    <phoneticPr fontId="2"/>
  </si>
  <si>
    <t>1479</t>
    <phoneticPr fontId="2"/>
  </si>
  <si>
    <t>1442</t>
    <phoneticPr fontId="2"/>
  </si>
  <si>
    <t>6949</t>
    <phoneticPr fontId="2"/>
  </si>
  <si>
    <t>E30129320100</t>
    <phoneticPr fontId="2"/>
  </si>
  <si>
    <t>1453</t>
    <phoneticPr fontId="2"/>
  </si>
  <si>
    <t>スキャナー（fi-65f）取付作業</t>
    <phoneticPr fontId="2"/>
  </si>
  <si>
    <t>E30128640100</t>
    <phoneticPr fontId="2"/>
  </si>
  <si>
    <t>E30130490100</t>
    <phoneticPr fontId="2"/>
  </si>
  <si>
    <t>E30130550100</t>
    <phoneticPr fontId="2"/>
  </si>
  <si>
    <t>E30130560100</t>
    <phoneticPr fontId="2"/>
  </si>
  <si>
    <t>E30130360100</t>
    <phoneticPr fontId="2"/>
  </si>
  <si>
    <t>E30130380100</t>
    <phoneticPr fontId="2"/>
  </si>
  <si>
    <t>E30130530100</t>
    <phoneticPr fontId="2"/>
  </si>
  <si>
    <t>E30115620128</t>
    <phoneticPr fontId="2"/>
  </si>
  <si>
    <t>E30130350100</t>
    <phoneticPr fontId="2"/>
  </si>
  <si>
    <t>袖師①</t>
    <phoneticPr fontId="2"/>
  </si>
  <si>
    <t>1455</t>
    <phoneticPr fontId="2"/>
  </si>
  <si>
    <t>6960k</t>
    <phoneticPr fontId="2"/>
  </si>
  <si>
    <t>E30117040100</t>
    <phoneticPr fontId="2"/>
  </si>
  <si>
    <t>E30127880100</t>
    <phoneticPr fontId="2"/>
  </si>
  <si>
    <t>1260</t>
    <phoneticPr fontId="2"/>
  </si>
  <si>
    <t>P島増設（20台）へのホールコン対応作業</t>
    <phoneticPr fontId="2"/>
  </si>
  <si>
    <t>6902</t>
    <phoneticPr fontId="2"/>
  </si>
  <si>
    <t>6851</t>
    <phoneticPr fontId="2"/>
  </si>
  <si>
    <t>E30119220100</t>
    <phoneticPr fontId="2"/>
  </si>
  <si>
    <t>1384</t>
    <phoneticPr fontId="2"/>
  </si>
  <si>
    <t>1385</t>
    <phoneticPr fontId="2"/>
  </si>
  <si>
    <t>1386</t>
    <phoneticPr fontId="2"/>
  </si>
  <si>
    <t>1387</t>
    <phoneticPr fontId="2"/>
  </si>
  <si>
    <t>1389</t>
    <phoneticPr fontId="2"/>
  </si>
  <si>
    <t>1390</t>
    <phoneticPr fontId="2"/>
  </si>
  <si>
    <t>1391</t>
    <phoneticPr fontId="2"/>
  </si>
  <si>
    <t>1392</t>
    <phoneticPr fontId="2"/>
  </si>
  <si>
    <t>1393</t>
    <phoneticPr fontId="2"/>
  </si>
  <si>
    <t>1394</t>
    <phoneticPr fontId="2"/>
  </si>
  <si>
    <t>1395</t>
    <phoneticPr fontId="2"/>
  </si>
  <si>
    <t>1396</t>
    <phoneticPr fontId="2"/>
  </si>
  <si>
    <t>1397</t>
    <phoneticPr fontId="2"/>
  </si>
  <si>
    <t>1398</t>
    <phoneticPr fontId="2"/>
  </si>
  <si>
    <t>1399</t>
    <phoneticPr fontId="2"/>
  </si>
  <si>
    <t>1400</t>
    <phoneticPr fontId="2"/>
  </si>
  <si>
    <t>1401</t>
    <phoneticPr fontId="2"/>
  </si>
  <si>
    <t>1402</t>
    <phoneticPr fontId="2"/>
  </si>
  <si>
    <t>1403</t>
    <phoneticPr fontId="2"/>
  </si>
  <si>
    <t>1404</t>
    <phoneticPr fontId="2"/>
  </si>
  <si>
    <t>1405</t>
    <phoneticPr fontId="2"/>
  </si>
  <si>
    <t>1406</t>
    <phoneticPr fontId="2"/>
  </si>
  <si>
    <t>1407</t>
    <phoneticPr fontId="2"/>
  </si>
  <si>
    <t>1408</t>
    <phoneticPr fontId="2"/>
  </si>
  <si>
    <t>1409</t>
    <phoneticPr fontId="2"/>
  </si>
  <si>
    <t>1410</t>
    <phoneticPr fontId="2"/>
  </si>
  <si>
    <t>1411</t>
    <phoneticPr fontId="2"/>
  </si>
  <si>
    <t>1412</t>
    <phoneticPr fontId="2"/>
  </si>
  <si>
    <t>1413</t>
    <phoneticPr fontId="2"/>
  </si>
  <si>
    <t>1414</t>
    <phoneticPr fontId="2"/>
  </si>
  <si>
    <t>1415</t>
    <phoneticPr fontId="2"/>
  </si>
  <si>
    <t>1416</t>
    <phoneticPr fontId="2"/>
  </si>
  <si>
    <t>1417</t>
    <phoneticPr fontId="2"/>
  </si>
  <si>
    <t>1418</t>
    <phoneticPr fontId="2"/>
  </si>
  <si>
    <t>1419</t>
    <phoneticPr fontId="2"/>
  </si>
  <si>
    <t>1420</t>
    <phoneticPr fontId="2"/>
  </si>
  <si>
    <t>1421</t>
    <phoneticPr fontId="2"/>
  </si>
  <si>
    <t>1422</t>
    <phoneticPr fontId="2"/>
  </si>
  <si>
    <t>1423</t>
    <phoneticPr fontId="2"/>
  </si>
  <si>
    <t>1424</t>
    <phoneticPr fontId="2"/>
  </si>
  <si>
    <t>1425</t>
    <phoneticPr fontId="2"/>
  </si>
  <si>
    <t>1426</t>
    <phoneticPr fontId="2"/>
  </si>
  <si>
    <t>1427</t>
    <phoneticPr fontId="2"/>
  </si>
  <si>
    <t>1482</t>
    <phoneticPr fontId="2"/>
  </si>
  <si>
    <t>1484</t>
  </si>
  <si>
    <t>橿原北</t>
  </si>
  <si>
    <t>1468</t>
    <phoneticPr fontId="2"/>
  </si>
  <si>
    <t>1473</t>
    <phoneticPr fontId="2"/>
  </si>
  <si>
    <t>ホールコンサポートセンター受付業務(8月分)　北日本カンパニー</t>
    <phoneticPr fontId="2"/>
  </si>
  <si>
    <t>ホールコンサポートセンター受付業務(8月分)　東日本カンパニー</t>
    <phoneticPr fontId="2"/>
  </si>
  <si>
    <t>ホールコンサポートセンター受付業務(8月分)　西日本カンパニー</t>
    <phoneticPr fontId="2"/>
  </si>
  <si>
    <t>携帯システム関連／保守料(8月分)</t>
    <phoneticPr fontId="2"/>
  </si>
  <si>
    <t>1485</t>
    <phoneticPr fontId="2"/>
  </si>
  <si>
    <t>9月</t>
    <phoneticPr fontId="2"/>
  </si>
  <si>
    <t>苫小牧東</t>
    <phoneticPr fontId="2"/>
  </si>
  <si>
    <t>なんば本館Ｐ</t>
    <phoneticPr fontId="2"/>
  </si>
  <si>
    <t>なんば本館Ｓ</t>
    <phoneticPr fontId="2"/>
  </si>
  <si>
    <t>大安寺</t>
    <phoneticPr fontId="2"/>
  </si>
  <si>
    <t>丸亀</t>
    <phoneticPr fontId="2"/>
  </si>
  <si>
    <t>氷上</t>
    <phoneticPr fontId="2"/>
  </si>
  <si>
    <t>08</t>
  </si>
  <si>
    <t>1535</t>
  </si>
  <si>
    <t>佐久</t>
  </si>
  <si>
    <t>1538</t>
    <phoneticPr fontId="2"/>
  </si>
  <si>
    <t>追加作業／PS増台（20 台）へのホールコン対応作業</t>
    <phoneticPr fontId="2"/>
  </si>
  <si>
    <t>№1196の追加作業／TDS請求無し</t>
    <phoneticPr fontId="2"/>
  </si>
  <si>
    <t>1444</t>
    <phoneticPr fontId="2"/>
  </si>
  <si>
    <t>6955</t>
    <phoneticPr fontId="2"/>
  </si>
  <si>
    <t>E30132330100</t>
    <phoneticPr fontId="2"/>
  </si>
  <si>
    <t>1471</t>
    <phoneticPr fontId="2"/>
  </si>
  <si>
    <t>1474</t>
    <phoneticPr fontId="2"/>
  </si>
  <si>
    <t>E30131600100</t>
    <phoneticPr fontId="2"/>
  </si>
  <si>
    <t>1478</t>
    <phoneticPr fontId="2"/>
  </si>
  <si>
    <t>E30107110100</t>
    <phoneticPr fontId="2"/>
  </si>
  <si>
    <t>E30115620100</t>
    <phoneticPr fontId="2"/>
  </si>
  <si>
    <t>TEB0020895</t>
    <phoneticPr fontId="2"/>
  </si>
  <si>
    <t>TEB0020899</t>
    <phoneticPr fontId="2"/>
  </si>
  <si>
    <t>TEB0020904</t>
    <phoneticPr fontId="2"/>
  </si>
  <si>
    <t>E30132200100</t>
    <phoneticPr fontId="2"/>
  </si>
  <si>
    <t>1534</t>
    <phoneticPr fontId="2"/>
  </si>
  <si>
    <t>1472</t>
    <phoneticPr fontId="2"/>
  </si>
  <si>
    <t>1377</t>
    <phoneticPr fontId="2"/>
  </si>
  <si>
    <t>6936</t>
    <phoneticPr fontId="2"/>
  </si>
  <si>
    <t>E30128580100</t>
    <phoneticPr fontId="2"/>
  </si>
  <si>
    <t>1431</t>
    <phoneticPr fontId="2"/>
  </si>
  <si>
    <t>S増台（20台）／玉貸しC（64台）へのホールコン対応作業</t>
    <phoneticPr fontId="2"/>
  </si>
  <si>
    <t>6943</t>
    <phoneticPr fontId="2"/>
  </si>
  <si>
    <t>1336</t>
    <phoneticPr fontId="2"/>
  </si>
  <si>
    <t>6920</t>
    <phoneticPr fontId="2"/>
  </si>
  <si>
    <t>E30126890100</t>
    <phoneticPr fontId="2"/>
  </si>
  <si>
    <t>6917</t>
    <phoneticPr fontId="2"/>
  </si>
  <si>
    <t>6900</t>
    <phoneticPr fontId="2"/>
  </si>
  <si>
    <t>1221</t>
    <phoneticPr fontId="2"/>
  </si>
  <si>
    <t>6892</t>
    <phoneticPr fontId="2"/>
  </si>
  <si>
    <t>1171</t>
    <phoneticPr fontId="2"/>
  </si>
  <si>
    <t>6868</t>
    <phoneticPr fontId="2"/>
  </si>
  <si>
    <t>1207</t>
    <phoneticPr fontId="2"/>
  </si>
  <si>
    <t>6884</t>
    <phoneticPr fontId="2"/>
  </si>
  <si>
    <t>1332</t>
    <phoneticPr fontId="2"/>
  </si>
  <si>
    <t>6915</t>
    <phoneticPr fontId="2"/>
  </si>
  <si>
    <t>E30117710100</t>
    <phoneticPr fontId="2"/>
  </si>
  <si>
    <t>1159</t>
    <phoneticPr fontId="2"/>
  </si>
  <si>
    <t>6862</t>
    <phoneticPr fontId="2"/>
  </si>
  <si>
    <t>1381</t>
    <phoneticPr fontId="2"/>
  </si>
  <si>
    <t>PS増台（11台）へのホールコン対応作業</t>
    <phoneticPr fontId="2"/>
  </si>
  <si>
    <t>6938</t>
    <phoneticPr fontId="2"/>
  </si>
  <si>
    <t>1439</t>
    <phoneticPr fontId="2"/>
  </si>
  <si>
    <t>6947</t>
    <phoneticPr fontId="2"/>
  </si>
  <si>
    <t>1430</t>
    <phoneticPr fontId="2"/>
  </si>
  <si>
    <t>6942</t>
    <phoneticPr fontId="2"/>
  </si>
  <si>
    <t>6899</t>
    <phoneticPr fontId="2"/>
  </si>
  <si>
    <t>E30118620100</t>
    <phoneticPr fontId="2"/>
  </si>
  <si>
    <t>1192</t>
    <phoneticPr fontId="2"/>
  </si>
  <si>
    <t>藤枝駅南P館</t>
    <phoneticPr fontId="2"/>
  </si>
  <si>
    <t>6876</t>
    <phoneticPr fontId="2"/>
  </si>
  <si>
    <t>1317</t>
    <phoneticPr fontId="2"/>
  </si>
  <si>
    <t>前橋インター①</t>
    <phoneticPr fontId="2"/>
  </si>
  <si>
    <t>6910</t>
    <phoneticPr fontId="2"/>
  </si>
  <si>
    <t>1341</t>
    <phoneticPr fontId="2"/>
  </si>
  <si>
    <t>6923</t>
    <phoneticPr fontId="2"/>
  </si>
  <si>
    <t>E30116950100</t>
    <phoneticPr fontId="2"/>
  </si>
  <si>
    <t>1235</t>
    <phoneticPr fontId="2"/>
  </si>
  <si>
    <t>玉貸しC（18台）へのホールコン対応作業</t>
    <phoneticPr fontId="2"/>
  </si>
  <si>
    <t>6898</t>
    <phoneticPr fontId="2"/>
  </si>
  <si>
    <t>1316</t>
    <phoneticPr fontId="2"/>
  </si>
  <si>
    <t>6911</t>
    <phoneticPr fontId="2"/>
  </si>
  <si>
    <t>1477</t>
    <phoneticPr fontId="2"/>
  </si>
  <si>
    <t>1378</t>
    <phoneticPr fontId="2"/>
  </si>
  <si>
    <t>6935</t>
    <phoneticPr fontId="2"/>
  </si>
  <si>
    <t>1379</t>
    <phoneticPr fontId="2"/>
  </si>
  <si>
    <t>6934</t>
    <phoneticPr fontId="2"/>
  </si>
  <si>
    <t>1432</t>
    <phoneticPr fontId="2"/>
  </si>
  <si>
    <t>PS増台（48台）へのホールコン対応作業</t>
    <phoneticPr fontId="2"/>
  </si>
  <si>
    <t>6944</t>
    <phoneticPr fontId="2"/>
  </si>
  <si>
    <t>6957</t>
    <phoneticPr fontId="2"/>
  </si>
  <si>
    <t>1457</t>
    <phoneticPr fontId="2"/>
  </si>
  <si>
    <t>6952</t>
    <phoneticPr fontId="2"/>
  </si>
  <si>
    <t>E30131630100</t>
    <phoneticPr fontId="2"/>
  </si>
  <si>
    <t>1319</t>
    <phoneticPr fontId="2"/>
  </si>
  <si>
    <t>6912</t>
    <phoneticPr fontId="2"/>
  </si>
  <si>
    <t>E30128560100</t>
    <phoneticPr fontId="2"/>
  </si>
  <si>
    <t>E30126950100</t>
    <phoneticPr fontId="2"/>
  </si>
  <si>
    <t>1366</t>
    <phoneticPr fontId="2"/>
  </si>
  <si>
    <t>S増台（1台）へのホールコン対応作業</t>
    <phoneticPr fontId="2"/>
  </si>
  <si>
    <t>6931</t>
    <phoneticPr fontId="2"/>
  </si>
  <si>
    <t>E30128570100</t>
    <phoneticPr fontId="2"/>
  </si>
  <si>
    <t>E30129330100</t>
    <phoneticPr fontId="2"/>
  </si>
  <si>
    <t>藤原</t>
  </si>
  <si>
    <t>藤原</t>
    <phoneticPr fontId="2"/>
  </si>
  <si>
    <t>E30119230100</t>
    <phoneticPr fontId="2"/>
  </si>
  <si>
    <t>1475</t>
    <phoneticPr fontId="2"/>
  </si>
  <si>
    <t>1546</t>
  </si>
  <si>
    <t>八千代緑が丘</t>
  </si>
  <si>
    <t>6963</t>
  </si>
  <si>
    <t>TEB0021564</t>
    <phoneticPr fontId="2"/>
  </si>
  <si>
    <t>1228</t>
    <phoneticPr fontId="2"/>
  </si>
  <si>
    <t>1536</t>
    <phoneticPr fontId="2"/>
  </si>
  <si>
    <t>E30133110100</t>
    <phoneticPr fontId="2"/>
  </si>
  <si>
    <t>E30133380100</t>
    <phoneticPr fontId="2"/>
  </si>
  <si>
    <t>E30133390100</t>
    <phoneticPr fontId="2"/>
  </si>
  <si>
    <t>1553</t>
  </si>
  <si>
    <t>上野</t>
  </si>
  <si>
    <t>KKS緊急老朽化更新(SV)</t>
    <phoneticPr fontId="2"/>
  </si>
  <si>
    <t>1555</t>
    <phoneticPr fontId="2"/>
  </si>
  <si>
    <t>E30133890100</t>
    <phoneticPr fontId="2"/>
  </si>
  <si>
    <t>E30134000100</t>
    <phoneticPr fontId="2"/>
  </si>
  <si>
    <t>E30133930100</t>
    <phoneticPr fontId="2"/>
  </si>
  <si>
    <t>1314</t>
    <phoneticPr fontId="2"/>
  </si>
  <si>
    <t>1340</t>
    <phoneticPr fontId="2"/>
  </si>
  <si>
    <t>1544</t>
    <phoneticPr fontId="2"/>
  </si>
  <si>
    <t>1226</t>
    <phoneticPr fontId="2"/>
  </si>
  <si>
    <t>ロッカー監視システム／改造工事</t>
    <phoneticPr fontId="2"/>
  </si>
  <si>
    <t>8/10:見積有効期限切れ</t>
  </si>
  <si>
    <t>1465</t>
    <phoneticPr fontId="2"/>
  </si>
  <si>
    <t>POS老朽化更新／7月度</t>
    <phoneticPr fontId="2"/>
  </si>
  <si>
    <t>TEB0022639</t>
    <phoneticPr fontId="2"/>
  </si>
  <si>
    <t>TEB0022638</t>
    <phoneticPr fontId="2"/>
  </si>
  <si>
    <t>E30133900100</t>
    <phoneticPr fontId="2"/>
  </si>
  <si>
    <t>E30133350100</t>
    <phoneticPr fontId="2"/>
  </si>
  <si>
    <t>E30133990100</t>
    <phoneticPr fontId="2"/>
  </si>
  <si>
    <t>E30134420100</t>
    <phoneticPr fontId="2"/>
  </si>
  <si>
    <t>E30134710100</t>
    <phoneticPr fontId="2"/>
  </si>
  <si>
    <t>E30134740100</t>
    <phoneticPr fontId="2"/>
  </si>
  <si>
    <t>E30134180100</t>
    <phoneticPr fontId="2"/>
  </si>
  <si>
    <t xml:space="preserve">E30134190100 </t>
    <phoneticPr fontId="2"/>
  </si>
  <si>
    <t>E30134200100</t>
    <phoneticPr fontId="2"/>
  </si>
  <si>
    <t>1539</t>
    <phoneticPr fontId="2"/>
  </si>
  <si>
    <t>1554</t>
    <phoneticPr fontId="2"/>
  </si>
  <si>
    <t>1537</t>
    <phoneticPr fontId="2"/>
  </si>
  <si>
    <t>1558</t>
    <phoneticPr fontId="2"/>
  </si>
  <si>
    <t>TEB0023546</t>
    <phoneticPr fontId="2"/>
  </si>
  <si>
    <t>千葉北</t>
  </si>
  <si>
    <t>1552</t>
    <phoneticPr fontId="2"/>
  </si>
  <si>
    <t>香貫</t>
    <phoneticPr fontId="2"/>
  </si>
  <si>
    <t>E30135050100</t>
    <phoneticPr fontId="2"/>
  </si>
  <si>
    <t>E30134960100</t>
    <phoneticPr fontId="2"/>
  </si>
  <si>
    <t>E30134430100</t>
    <phoneticPr fontId="2"/>
  </si>
  <si>
    <t>E30134440100</t>
    <phoneticPr fontId="2"/>
  </si>
  <si>
    <t>E30134910100</t>
    <phoneticPr fontId="2"/>
  </si>
  <si>
    <t>E30135010100</t>
    <phoneticPr fontId="2"/>
  </si>
  <si>
    <t>E30135030100</t>
    <phoneticPr fontId="2"/>
  </si>
  <si>
    <t>1561</t>
    <phoneticPr fontId="2"/>
  </si>
  <si>
    <t>実験室(1) Win10HMC検証(Pサーバ1本版）環境構築</t>
    <phoneticPr fontId="2"/>
  </si>
  <si>
    <t>1562</t>
    <phoneticPr fontId="2"/>
  </si>
  <si>
    <t>カウンタPC　トラブル対応（検証と対策）</t>
    <phoneticPr fontId="2"/>
  </si>
  <si>
    <t>1563</t>
    <phoneticPr fontId="2"/>
  </si>
  <si>
    <t>1564</t>
    <phoneticPr fontId="2"/>
  </si>
  <si>
    <t>TEB0024091</t>
    <phoneticPr fontId="2"/>
  </si>
  <si>
    <t>1486</t>
    <phoneticPr fontId="2"/>
  </si>
  <si>
    <t>1487</t>
    <phoneticPr fontId="2"/>
  </si>
  <si>
    <t>1488</t>
    <phoneticPr fontId="2"/>
  </si>
  <si>
    <t>1542</t>
    <phoneticPr fontId="2"/>
  </si>
  <si>
    <t>LAN敷設_A作業（事務所モニタラック～応接室）</t>
    <phoneticPr fontId="2"/>
  </si>
  <si>
    <t>6971</t>
    <phoneticPr fontId="2"/>
  </si>
  <si>
    <t>1167</t>
    <phoneticPr fontId="2"/>
  </si>
  <si>
    <t>LAN敷設作業（事務所モニタラック～会議室）</t>
    <phoneticPr fontId="2"/>
  </si>
  <si>
    <t>サンスター徳島Win11動作検証作業</t>
    <phoneticPr fontId="2"/>
  </si>
  <si>
    <t>1565</t>
    <phoneticPr fontId="2"/>
  </si>
  <si>
    <t>1566</t>
    <phoneticPr fontId="2"/>
  </si>
  <si>
    <t>6980</t>
  </si>
  <si>
    <t>静岡②</t>
    <phoneticPr fontId="2"/>
  </si>
  <si>
    <t>1567</t>
    <phoneticPr fontId="2"/>
  </si>
  <si>
    <t>6981</t>
    <phoneticPr fontId="2"/>
  </si>
  <si>
    <t>静岡③</t>
    <phoneticPr fontId="2"/>
  </si>
  <si>
    <t>1568</t>
    <phoneticPr fontId="2"/>
  </si>
  <si>
    <t>1449</t>
    <phoneticPr fontId="2"/>
  </si>
  <si>
    <t>6958</t>
    <phoneticPr fontId="2"/>
  </si>
  <si>
    <t>1318</t>
    <phoneticPr fontId="2"/>
  </si>
  <si>
    <t>前橋インター②</t>
    <phoneticPr fontId="2"/>
  </si>
  <si>
    <t>6913</t>
    <phoneticPr fontId="2"/>
  </si>
  <si>
    <t>№1569,1570で分割処理</t>
  </si>
  <si>
    <t>1569</t>
    <phoneticPr fontId="2"/>
  </si>
  <si>
    <t>カウンタPC　トラブル対応（検証と対策）／現場作業費</t>
    <phoneticPr fontId="2"/>
  </si>
  <si>
    <t>1570</t>
    <phoneticPr fontId="2"/>
  </si>
  <si>
    <t>カウンタPC　トラブル対応（検証と対策）／現場諸経費</t>
    <phoneticPr fontId="2"/>
  </si>
  <si>
    <t>№1563を分割処理</t>
    <phoneticPr fontId="2"/>
  </si>
  <si>
    <t>E30135130100</t>
    <phoneticPr fontId="2"/>
  </si>
  <si>
    <t>E30135040100</t>
    <phoneticPr fontId="2"/>
  </si>
  <si>
    <t>TEB0024688</t>
    <phoneticPr fontId="2"/>
  </si>
  <si>
    <t>1573</t>
  </si>
  <si>
    <t>カウンタPCタブレット(本体交換)</t>
  </si>
  <si>
    <t>橿原南</t>
  </si>
  <si>
    <t>1574</t>
  </si>
  <si>
    <t>高槻</t>
  </si>
  <si>
    <t>E30136180100</t>
    <phoneticPr fontId="2"/>
  </si>
  <si>
    <t>E30136190100</t>
    <phoneticPr fontId="2"/>
  </si>
  <si>
    <t>店舗様無償／川中島店で費用処理</t>
    <phoneticPr fontId="2"/>
  </si>
  <si>
    <t>上小田井駅前(川中島)</t>
    <phoneticPr fontId="2"/>
  </si>
  <si>
    <t>TEB0025503</t>
    <phoneticPr fontId="2"/>
  </si>
  <si>
    <t>1577</t>
    <phoneticPr fontId="2"/>
  </si>
  <si>
    <t>1550</t>
    <phoneticPr fontId="2"/>
  </si>
  <si>
    <t>1576</t>
    <phoneticPr fontId="2"/>
  </si>
  <si>
    <t>1575</t>
    <phoneticPr fontId="2"/>
  </si>
  <si>
    <t>E30136520100</t>
    <phoneticPr fontId="2"/>
  </si>
  <si>
    <t>9月</t>
  </si>
  <si>
    <t>1578</t>
    <phoneticPr fontId="2"/>
  </si>
  <si>
    <t>TEB0026086</t>
    <phoneticPr fontId="2"/>
  </si>
  <si>
    <t>E30137120100</t>
    <phoneticPr fontId="2"/>
  </si>
  <si>
    <t>E30136980100</t>
    <phoneticPr fontId="2"/>
  </si>
  <si>
    <t>E30136920100</t>
    <phoneticPr fontId="2"/>
  </si>
  <si>
    <t>E30137030100</t>
    <phoneticPr fontId="2"/>
  </si>
  <si>
    <t>E30137270100</t>
    <phoneticPr fontId="2"/>
  </si>
  <si>
    <t>1571</t>
    <phoneticPr fontId="2"/>
  </si>
  <si>
    <t>1572</t>
    <phoneticPr fontId="2"/>
  </si>
  <si>
    <t>1440</t>
    <phoneticPr fontId="2"/>
  </si>
  <si>
    <t>6948</t>
    <phoneticPr fontId="2"/>
  </si>
  <si>
    <t>1476</t>
    <phoneticPr fontId="2"/>
  </si>
  <si>
    <t>S増減台（14台）へのホールコン対応作業</t>
    <phoneticPr fontId="2"/>
  </si>
  <si>
    <t>6968</t>
    <phoneticPr fontId="2"/>
  </si>
  <si>
    <t>1337</t>
    <phoneticPr fontId="2"/>
  </si>
  <si>
    <t>6921</t>
    <phoneticPr fontId="2"/>
  </si>
  <si>
    <t>1543</t>
    <phoneticPr fontId="2"/>
  </si>
  <si>
    <t>LAN敷設_B作業（事務所モニタラック～応接室）</t>
    <phoneticPr fontId="2"/>
  </si>
  <si>
    <t>6964</t>
    <phoneticPr fontId="2"/>
  </si>
  <si>
    <t>1547</t>
    <phoneticPr fontId="2"/>
  </si>
  <si>
    <t>6962</t>
    <phoneticPr fontId="2"/>
  </si>
  <si>
    <t>E30132500100</t>
    <phoneticPr fontId="2"/>
  </si>
  <si>
    <t>E30135550100</t>
    <phoneticPr fontId="2"/>
  </si>
  <si>
    <t>E30132250100</t>
    <phoneticPr fontId="2"/>
  </si>
  <si>
    <t>1454</t>
    <phoneticPr fontId="2"/>
  </si>
  <si>
    <t>1198</t>
    <phoneticPr fontId="2"/>
  </si>
  <si>
    <t>8/3:見積有効期限切れ</t>
  </si>
  <si>
    <t>1619</t>
    <phoneticPr fontId="2"/>
  </si>
  <si>
    <t>TEB0026860</t>
    <phoneticPr fontId="2"/>
  </si>
  <si>
    <t>TEB0026866</t>
    <phoneticPr fontId="2"/>
  </si>
  <si>
    <t>中標津</t>
  </si>
  <si>
    <t>KKS老朽化更新（SV）</t>
    <phoneticPr fontId="2"/>
  </si>
  <si>
    <t>E30137680100</t>
    <phoneticPr fontId="2"/>
  </si>
  <si>
    <t>E30137670100</t>
    <phoneticPr fontId="2"/>
  </si>
  <si>
    <t>E30137700100</t>
    <phoneticPr fontId="2"/>
  </si>
  <si>
    <t>E30137730100</t>
    <phoneticPr fontId="2"/>
  </si>
  <si>
    <t>E30135850100</t>
    <phoneticPr fontId="2"/>
  </si>
  <si>
    <t>E30135840100</t>
    <phoneticPr fontId="2"/>
  </si>
  <si>
    <t>1370</t>
    <phoneticPr fontId="2"/>
  </si>
  <si>
    <t>1557</t>
    <phoneticPr fontId="2"/>
  </si>
  <si>
    <t>6977</t>
    <phoneticPr fontId="2"/>
  </si>
  <si>
    <t>8/24:中止</t>
  </si>
  <si>
    <t>TEB0027423</t>
    <phoneticPr fontId="2"/>
  </si>
  <si>
    <t>TEB0027577</t>
    <phoneticPr fontId="2"/>
  </si>
  <si>
    <t>小山千駄塚</t>
    <rPh sb="0" eb="2">
      <t>オヤマ</t>
    </rPh>
    <rPh sb="2" eb="3">
      <t>セン</t>
    </rPh>
    <rPh sb="3" eb="4">
      <t>ダ</t>
    </rPh>
    <rPh sb="4" eb="5">
      <t>ツカ</t>
    </rPh>
    <phoneticPr fontId="2"/>
  </si>
  <si>
    <t>古河北</t>
    <rPh sb="0" eb="2">
      <t>コガ</t>
    </rPh>
    <rPh sb="2" eb="3">
      <t>キタ</t>
    </rPh>
    <phoneticPr fontId="2"/>
  </si>
  <si>
    <t>1627</t>
  </si>
  <si>
    <t>1628</t>
  </si>
  <si>
    <t>1629</t>
  </si>
  <si>
    <t>1631</t>
  </si>
  <si>
    <t>1632</t>
  </si>
  <si>
    <t>1633</t>
  </si>
  <si>
    <t>1634</t>
  </si>
  <si>
    <t>1635</t>
  </si>
  <si>
    <t>1636</t>
  </si>
  <si>
    <t>TEB0027642</t>
    <phoneticPr fontId="2"/>
  </si>
  <si>
    <t>E30136440100</t>
    <phoneticPr fontId="2"/>
  </si>
  <si>
    <t>E30136410100</t>
    <phoneticPr fontId="2"/>
  </si>
  <si>
    <t>E30136400100</t>
    <phoneticPr fontId="2"/>
  </si>
  <si>
    <t>E30136420100</t>
    <phoneticPr fontId="2"/>
  </si>
  <si>
    <t>E30136430100</t>
    <phoneticPr fontId="2"/>
  </si>
  <si>
    <t>E30136380100</t>
    <phoneticPr fontId="2"/>
  </si>
  <si>
    <t>E30138190100</t>
    <phoneticPr fontId="2"/>
  </si>
  <si>
    <t>1313</t>
    <phoneticPr fontId="2"/>
  </si>
  <si>
    <t>プレンティ</t>
    <phoneticPr fontId="2"/>
  </si>
  <si>
    <t>8/22:見積有効期限切れ</t>
  </si>
  <si>
    <t>1639</t>
    <phoneticPr fontId="2"/>
  </si>
  <si>
    <t>E30107130100</t>
    <phoneticPr fontId="2"/>
  </si>
  <si>
    <t>E30138320100</t>
    <phoneticPr fontId="2"/>
  </si>
  <si>
    <t>津山</t>
    <rPh sb="0" eb="2">
      <t>ツヤマ</t>
    </rPh>
    <phoneticPr fontId="2"/>
  </si>
  <si>
    <t>峰山</t>
    <rPh sb="0" eb="2">
      <t>ミネヤマ</t>
    </rPh>
    <phoneticPr fontId="2"/>
  </si>
  <si>
    <t>郡山インター</t>
    <rPh sb="0" eb="2">
      <t>コオリヤマ</t>
    </rPh>
    <phoneticPr fontId="2"/>
  </si>
  <si>
    <t>姫路</t>
    <rPh sb="0" eb="2">
      <t>ヒメジ</t>
    </rPh>
    <phoneticPr fontId="2"/>
  </si>
  <si>
    <t>摂津</t>
    <rPh sb="0" eb="2">
      <t>セッツ</t>
    </rPh>
    <phoneticPr fontId="2"/>
  </si>
  <si>
    <t>茨木</t>
    <rPh sb="0" eb="2">
      <t>イバラギ</t>
    </rPh>
    <phoneticPr fontId="2"/>
  </si>
  <si>
    <t>児島</t>
    <rPh sb="0" eb="2">
      <t>コジマ</t>
    </rPh>
    <phoneticPr fontId="2"/>
  </si>
  <si>
    <t>廿日市</t>
    <phoneticPr fontId="2"/>
  </si>
  <si>
    <t>今福</t>
    <rPh sb="0" eb="2">
      <t>イマフク</t>
    </rPh>
    <phoneticPr fontId="2"/>
  </si>
  <si>
    <t>鳥取</t>
    <rPh sb="0" eb="2">
      <t>トットリ</t>
    </rPh>
    <phoneticPr fontId="2"/>
  </si>
  <si>
    <t>都城南</t>
    <rPh sb="0" eb="2">
      <t>ミヤコノジョウ</t>
    </rPh>
    <rPh sb="2" eb="3">
      <t>ミナミ</t>
    </rPh>
    <phoneticPr fontId="2"/>
  </si>
  <si>
    <t>西脇</t>
    <rPh sb="0" eb="2">
      <t>ニシワキ</t>
    </rPh>
    <phoneticPr fontId="2"/>
  </si>
  <si>
    <t>赤松台</t>
    <rPh sb="0" eb="3">
      <t>アカマツダイ</t>
    </rPh>
    <phoneticPr fontId="2"/>
  </si>
  <si>
    <t>1643</t>
  </si>
  <si>
    <t>1645</t>
  </si>
  <si>
    <t>1647</t>
  </si>
  <si>
    <t>1648</t>
  </si>
  <si>
    <t>1649</t>
  </si>
  <si>
    <t>1650</t>
  </si>
  <si>
    <t>1652</t>
  </si>
  <si>
    <t>1653</t>
  </si>
  <si>
    <t>1654</t>
  </si>
  <si>
    <t>1656</t>
  </si>
  <si>
    <t>1658</t>
  </si>
  <si>
    <t>1661</t>
  </si>
  <si>
    <t>1663</t>
  </si>
  <si>
    <t>1664</t>
  </si>
  <si>
    <t>1666</t>
  </si>
  <si>
    <t>1667</t>
  </si>
  <si>
    <t>1668</t>
  </si>
  <si>
    <t>1670</t>
  </si>
  <si>
    <t>1672</t>
  </si>
  <si>
    <t>1674</t>
  </si>
  <si>
    <t>1677</t>
  </si>
  <si>
    <t>1679</t>
  </si>
  <si>
    <t>1682</t>
  </si>
  <si>
    <t>1683</t>
  </si>
  <si>
    <t>1684</t>
  </si>
  <si>
    <t>1685</t>
  </si>
  <si>
    <t>E30133750100</t>
    <phoneticPr fontId="2"/>
  </si>
  <si>
    <t>E30102360100</t>
    <phoneticPr fontId="2"/>
  </si>
  <si>
    <t>E30102370100</t>
    <phoneticPr fontId="2"/>
  </si>
  <si>
    <t>E30102380100</t>
    <phoneticPr fontId="2"/>
  </si>
  <si>
    <t>E30102410100</t>
    <phoneticPr fontId="2"/>
  </si>
  <si>
    <t>E30102420100</t>
    <phoneticPr fontId="2"/>
  </si>
  <si>
    <t>E30131800100</t>
    <phoneticPr fontId="2"/>
  </si>
  <si>
    <t>E30131810100</t>
    <phoneticPr fontId="2"/>
  </si>
  <si>
    <t>E30131820100</t>
    <phoneticPr fontId="2"/>
  </si>
  <si>
    <t>E30109340100</t>
    <phoneticPr fontId="2"/>
  </si>
  <si>
    <t>TEB0028021</t>
    <phoneticPr fontId="2"/>
  </si>
  <si>
    <t>TEB0028076</t>
    <phoneticPr fontId="2"/>
  </si>
  <si>
    <t>藤枝駅南スロット館</t>
    <phoneticPr fontId="30"/>
  </si>
  <si>
    <t>小岩スロット館</t>
    <phoneticPr fontId="30"/>
  </si>
  <si>
    <t>小岩パチンコ館</t>
    <phoneticPr fontId="30"/>
  </si>
  <si>
    <t>酒田</t>
    <phoneticPr fontId="30"/>
  </si>
  <si>
    <t>E30137570100</t>
    <phoneticPr fontId="2"/>
  </si>
  <si>
    <t>E30135720100</t>
    <phoneticPr fontId="2"/>
  </si>
  <si>
    <t>1600</t>
    <phoneticPr fontId="2"/>
  </si>
  <si>
    <t>1500</t>
    <phoneticPr fontId="2"/>
  </si>
  <si>
    <t>1499</t>
    <phoneticPr fontId="2"/>
  </si>
  <si>
    <t>1498</t>
    <phoneticPr fontId="2"/>
  </si>
  <si>
    <t>1497</t>
    <phoneticPr fontId="2"/>
  </si>
  <si>
    <t>1496</t>
    <phoneticPr fontId="2"/>
  </si>
  <si>
    <t>1495</t>
    <phoneticPr fontId="2"/>
  </si>
  <si>
    <t>1494</t>
    <phoneticPr fontId="2"/>
  </si>
  <si>
    <t>1493</t>
    <phoneticPr fontId="2"/>
  </si>
  <si>
    <t>1492</t>
    <phoneticPr fontId="2"/>
  </si>
  <si>
    <t>1491</t>
    <phoneticPr fontId="2"/>
  </si>
  <si>
    <t>1490</t>
    <phoneticPr fontId="2"/>
  </si>
  <si>
    <t>1489</t>
    <phoneticPr fontId="2"/>
  </si>
  <si>
    <t>1711</t>
    <phoneticPr fontId="2"/>
  </si>
  <si>
    <t>保守受付業務補助／8月度</t>
    <phoneticPr fontId="2"/>
  </si>
  <si>
    <t>1533</t>
    <phoneticPr fontId="2"/>
  </si>
  <si>
    <t>1532</t>
    <phoneticPr fontId="2"/>
  </si>
  <si>
    <t>1531</t>
    <phoneticPr fontId="2"/>
  </si>
  <si>
    <t>1530</t>
    <phoneticPr fontId="2"/>
  </si>
  <si>
    <t>1529</t>
    <phoneticPr fontId="2"/>
  </si>
  <si>
    <t>1528</t>
    <phoneticPr fontId="2"/>
  </si>
  <si>
    <t>紙幣搬送交換に伴う島内機器撤去再設置作業</t>
  </si>
  <si>
    <t>1713</t>
  </si>
  <si>
    <t>若林②</t>
  </si>
  <si>
    <t>6991</t>
  </si>
  <si>
    <t>1714</t>
  </si>
  <si>
    <t>若林③</t>
  </si>
  <si>
    <t>6992</t>
  </si>
  <si>
    <t>1716</t>
  </si>
  <si>
    <t>横浜町田</t>
  </si>
  <si>
    <t>玉補給機交換（816台）に伴う作業</t>
  </si>
  <si>
    <t>6994</t>
  </si>
  <si>
    <t>1717</t>
  </si>
  <si>
    <t>玉補給機交換（520台）に伴う作業</t>
  </si>
  <si>
    <t>6995</t>
  </si>
  <si>
    <t>TEB0029218</t>
    <phoneticPr fontId="2"/>
  </si>
  <si>
    <t>1527</t>
    <phoneticPr fontId="2"/>
  </si>
  <si>
    <t>1526</t>
    <phoneticPr fontId="2"/>
  </si>
  <si>
    <t>1525</t>
    <phoneticPr fontId="2"/>
  </si>
  <si>
    <t>1524</t>
    <phoneticPr fontId="2"/>
  </si>
  <si>
    <t>1523</t>
    <phoneticPr fontId="2"/>
  </si>
  <si>
    <t>1522</t>
    <phoneticPr fontId="2"/>
  </si>
  <si>
    <t>1521</t>
    <phoneticPr fontId="2"/>
  </si>
  <si>
    <t>1520</t>
    <phoneticPr fontId="2"/>
  </si>
  <si>
    <t>1519</t>
    <phoneticPr fontId="2"/>
  </si>
  <si>
    <t>1518</t>
    <phoneticPr fontId="2"/>
  </si>
  <si>
    <t>1517</t>
    <phoneticPr fontId="2"/>
  </si>
  <si>
    <t>1510</t>
    <phoneticPr fontId="2"/>
  </si>
  <si>
    <t>1509</t>
    <phoneticPr fontId="2"/>
  </si>
  <si>
    <t>1508</t>
    <phoneticPr fontId="2"/>
  </si>
  <si>
    <t>1507</t>
    <phoneticPr fontId="2"/>
  </si>
  <si>
    <t>1506</t>
    <phoneticPr fontId="2"/>
  </si>
  <si>
    <t>1505</t>
    <phoneticPr fontId="2"/>
  </si>
  <si>
    <t>1504</t>
    <phoneticPr fontId="2"/>
  </si>
  <si>
    <t>1502</t>
    <phoneticPr fontId="2"/>
  </si>
  <si>
    <t>1503</t>
    <phoneticPr fontId="2"/>
  </si>
  <si>
    <t>1501</t>
    <phoneticPr fontId="2"/>
  </si>
  <si>
    <t>1686</t>
    <phoneticPr fontId="2"/>
  </si>
  <si>
    <t>1</t>
  </si>
  <si>
    <t>売上機変更（120台）へのホールコン対応作業</t>
    <phoneticPr fontId="2"/>
  </si>
  <si>
    <t>6988k</t>
    <phoneticPr fontId="2"/>
  </si>
  <si>
    <t>1515</t>
    <phoneticPr fontId="2"/>
  </si>
  <si>
    <t>1516</t>
    <phoneticPr fontId="2"/>
  </si>
  <si>
    <t>1511</t>
    <phoneticPr fontId="2"/>
  </si>
  <si>
    <t>1512</t>
    <phoneticPr fontId="2"/>
  </si>
  <si>
    <t>1513</t>
    <phoneticPr fontId="2"/>
  </si>
  <si>
    <t>8/10:納期変更依頼8/26→10/31→8/29：9月処理に変更</t>
    <phoneticPr fontId="2"/>
  </si>
  <si>
    <t>1690</t>
    <phoneticPr fontId="2"/>
  </si>
  <si>
    <t>1701</t>
    <phoneticPr fontId="2"/>
  </si>
  <si>
    <t>1703</t>
    <phoneticPr fontId="2"/>
  </si>
  <si>
    <t>1704</t>
    <phoneticPr fontId="2"/>
  </si>
  <si>
    <t>1697</t>
    <phoneticPr fontId="2"/>
  </si>
  <si>
    <t>1626</t>
    <phoneticPr fontId="2"/>
  </si>
  <si>
    <t>大野氏担当</t>
  </si>
  <si>
    <t>E30138470100</t>
    <phoneticPr fontId="2"/>
  </si>
  <si>
    <t>E30138560100</t>
    <phoneticPr fontId="2"/>
  </si>
  <si>
    <t>E30139350100</t>
    <phoneticPr fontId="2"/>
  </si>
  <si>
    <t>1706</t>
    <phoneticPr fontId="2"/>
  </si>
  <si>
    <t>1598</t>
    <phoneticPr fontId="2"/>
  </si>
  <si>
    <t>1721</t>
  </si>
  <si>
    <t>ハーネス製作（3点）</t>
  </si>
  <si>
    <t>1617</t>
    <phoneticPr fontId="2"/>
  </si>
  <si>
    <t>店舗退店に伴う機器撤去作業</t>
    <phoneticPr fontId="2"/>
  </si>
  <si>
    <t>6985</t>
    <phoneticPr fontId="2"/>
  </si>
  <si>
    <t>TEB0029895</t>
    <phoneticPr fontId="2"/>
  </si>
  <si>
    <t>TEB0029896</t>
    <phoneticPr fontId="2"/>
  </si>
  <si>
    <t>開発案件テスト作業（人物認証_アノテーション作業（２））</t>
    <phoneticPr fontId="2"/>
  </si>
  <si>
    <t>1725</t>
    <phoneticPr fontId="2"/>
  </si>
  <si>
    <t>1514</t>
    <phoneticPr fontId="2"/>
  </si>
  <si>
    <t>1483</t>
    <phoneticPr fontId="2"/>
  </si>
  <si>
    <t>廃材処理作業</t>
    <phoneticPr fontId="2"/>
  </si>
  <si>
    <t>E30139800100</t>
    <phoneticPr fontId="2"/>
  </si>
  <si>
    <t>E30107170100</t>
    <phoneticPr fontId="2"/>
  </si>
  <si>
    <t>E30107190100</t>
    <phoneticPr fontId="2"/>
  </si>
  <si>
    <t>E30101990100</t>
    <phoneticPr fontId="2"/>
  </si>
  <si>
    <t>E30101980100</t>
    <phoneticPr fontId="2"/>
  </si>
  <si>
    <t>TEB0030223</t>
    <phoneticPr fontId="2"/>
  </si>
  <si>
    <t>TEB0030226</t>
    <phoneticPr fontId="2"/>
  </si>
  <si>
    <t>1727</t>
    <phoneticPr fontId="2"/>
  </si>
  <si>
    <t>追加工／S増減台（64台）へのホールコン対応作業</t>
    <phoneticPr fontId="2"/>
  </si>
  <si>
    <t>1580</t>
    <phoneticPr fontId="2"/>
  </si>
  <si>
    <t>HC02</t>
    <phoneticPr fontId="2"/>
  </si>
  <si>
    <t>1593</t>
    <phoneticPr fontId="2"/>
  </si>
  <si>
    <t>HC04</t>
    <phoneticPr fontId="2"/>
  </si>
  <si>
    <t>1585</t>
    <phoneticPr fontId="2"/>
  </si>
  <si>
    <t>HC03</t>
    <phoneticPr fontId="2"/>
  </si>
  <si>
    <t>1586</t>
    <phoneticPr fontId="2"/>
  </si>
  <si>
    <t>1584</t>
    <phoneticPr fontId="2"/>
  </si>
  <si>
    <t>1579</t>
    <phoneticPr fontId="2"/>
  </si>
  <si>
    <t>1592</t>
    <phoneticPr fontId="2"/>
  </si>
  <si>
    <t>ホールコンサポートセンター受付業務(9月分)　北日本カンパニー</t>
    <phoneticPr fontId="2"/>
  </si>
  <si>
    <t>ホールコンサポートセンター受付業務(9月分)　西日本カンパニー</t>
    <phoneticPr fontId="2"/>
  </si>
  <si>
    <t>ホールコンサポートセンター受付業務(9月分)　東日本カンパニー</t>
    <phoneticPr fontId="2"/>
  </si>
  <si>
    <t>1582</t>
    <phoneticPr fontId="2"/>
  </si>
  <si>
    <t>1587</t>
    <phoneticPr fontId="2"/>
  </si>
  <si>
    <t>1588</t>
    <phoneticPr fontId="2"/>
  </si>
  <si>
    <t>1590</t>
    <phoneticPr fontId="2"/>
  </si>
  <si>
    <t>1594</t>
    <phoneticPr fontId="2"/>
  </si>
  <si>
    <t>1595</t>
    <phoneticPr fontId="2"/>
  </si>
  <si>
    <t>1596</t>
    <phoneticPr fontId="2"/>
  </si>
  <si>
    <t>1556</t>
    <phoneticPr fontId="2"/>
  </si>
  <si>
    <t>6976</t>
    <phoneticPr fontId="2"/>
  </si>
  <si>
    <t>1601</t>
    <phoneticPr fontId="2"/>
  </si>
  <si>
    <t>1602</t>
    <phoneticPr fontId="2"/>
  </si>
  <si>
    <t>1603</t>
    <phoneticPr fontId="2"/>
  </si>
  <si>
    <t>1604</t>
    <phoneticPr fontId="2"/>
  </si>
  <si>
    <t>1605</t>
    <phoneticPr fontId="2"/>
  </si>
  <si>
    <t>1606</t>
    <phoneticPr fontId="2"/>
  </si>
  <si>
    <t>1607</t>
    <phoneticPr fontId="2"/>
  </si>
  <si>
    <t>1608</t>
    <phoneticPr fontId="2"/>
  </si>
  <si>
    <t>1609</t>
    <phoneticPr fontId="2"/>
  </si>
  <si>
    <t>1610</t>
    <phoneticPr fontId="2"/>
  </si>
  <si>
    <t>1611</t>
    <phoneticPr fontId="2"/>
  </si>
  <si>
    <t>1612</t>
    <phoneticPr fontId="2"/>
  </si>
  <si>
    <t>1613</t>
    <phoneticPr fontId="2"/>
  </si>
  <si>
    <t>1614</t>
    <phoneticPr fontId="2"/>
  </si>
  <si>
    <t>1615</t>
    <phoneticPr fontId="2"/>
  </si>
  <si>
    <t>1621</t>
    <phoneticPr fontId="2"/>
  </si>
  <si>
    <t>1622</t>
    <phoneticPr fontId="2"/>
  </si>
  <si>
    <t>1623</t>
    <phoneticPr fontId="2"/>
  </si>
  <si>
    <t>1624</t>
    <phoneticPr fontId="2"/>
  </si>
  <si>
    <t>1625</t>
    <phoneticPr fontId="2"/>
  </si>
  <si>
    <t>1630</t>
    <phoneticPr fontId="2"/>
  </si>
  <si>
    <t>1637</t>
    <phoneticPr fontId="2"/>
  </si>
  <si>
    <t>1638</t>
    <phoneticPr fontId="2"/>
  </si>
  <si>
    <t>1640</t>
    <phoneticPr fontId="2"/>
  </si>
  <si>
    <t>1641</t>
    <phoneticPr fontId="2"/>
  </si>
  <si>
    <t>1660</t>
    <phoneticPr fontId="2"/>
  </si>
  <si>
    <t>1644</t>
    <phoneticPr fontId="2"/>
  </si>
  <si>
    <t>09</t>
  </si>
  <si>
    <t>1732</t>
  </si>
  <si>
    <t>那須塩原</t>
  </si>
  <si>
    <t>E30140020100</t>
    <phoneticPr fontId="2"/>
  </si>
  <si>
    <t>E30140010100</t>
    <phoneticPr fontId="2"/>
  </si>
  <si>
    <t>E30140000100</t>
    <phoneticPr fontId="2"/>
  </si>
  <si>
    <t>E30140410100</t>
    <phoneticPr fontId="2"/>
  </si>
  <si>
    <t>E30140310100</t>
    <phoneticPr fontId="2"/>
  </si>
  <si>
    <t>E30140430100</t>
    <phoneticPr fontId="2"/>
  </si>
  <si>
    <t>E30140720100</t>
    <phoneticPr fontId="2"/>
  </si>
  <si>
    <t>1599</t>
    <phoneticPr fontId="2"/>
  </si>
  <si>
    <t>1733</t>
    <phoneticPr fontId="2"/>
  </si>
  <si>
    <t>佐世保①</t>
    <phoneticPr fontId="2"/>
  </si>
  <si>
    <t>1735</t>
    <phoneticPr fontId="2"/>
  </si>
  <si>
    <t>1736</t>
    <phoneticPr fontId="2"/>
  </si>
  <si>
    <t>1734</t>
    <phoneticPr fontId="2"/>
  </si>
  <si>
    <t>佐世保②</t>
    <phoneticPr fontId="2"/>
  </si>
  <si>
    <t>1737</t>
  </si>
  <si>
    <t>萩原東</t>
  </si>
  <si>
    <t>個別計数機増設（80台）へのホールコン対応作業</t>
  </si>
  <si>
    <t>6997</t>
  </si>
  <si>
    <t>1738</t>
  </si>
  <si>
    <t>玉補給機交換（668台）に伴う作業</t>
  </si>
  <si>
    <t>6998</t>
  </si>
  <si>
    <t>TEB0030727</t>
    <phoneticPr fontId="2"/>
  </si>
  <si>
    <t>1720</t>
    <phoneticPr fontId="2"/>
  </si>
  <si>
    <t>E30138360100</t>
    <phoneticPr fontId="2"/>
  </si>
  <si>
    <t>1373</t>
    <phoneticPr fontId="2"/>
  </si>
  <si>
    <t>9/4:見積有効期限切れ</t>
  </si>
  <si>
    <t>1356</t>
    <phoneticPr fontId="2"/>
  </si>
  <si>
    <t>個別計数機増設（533台）へのホールコン対応作業</t>
    <phoneticPr fontId="2"/>
  </si>
  <si>
    <t>6927</t>
    <phoneticPr fontId="2"/>
  </si>
  <si>
    <t>8/29：見積有効期限切れ</t>
  </si>
  <si>
    <t>1681</t>
    <phoneticPr fontId="2"/>
  </si>
  <si>
    <t>9/5:9月工事無し</t>
  </si>
  <si>
    <t>1718</t>
    <phoneticPr fontId="2"/>
  </si>
  <si>
    <t>甲府・習志野</t>
    <phoneticPr fontId="2"/>
  </si>
  <si>
    <t>Wifi疎通テスト　現地作業</t>
    <phoneticPr fontId="2"/>
  </si>
  <si>
    <t>1597</t>
    <phoneticPr fontId="2"/>
  </si>
  <si>
    <t>S増減台（22台）へのホールコン対応作業</t>
    <phoneticPr fontId="2"/>
  </si>
  <si>
    <t>6983</t>
    <phoneticPr fontId="2"/>
  </si>
  <si>
    <t>TEB0030901</t>
    <phoneticPr fontId="2"/>
  </si>
  <si>
    <t>1708</t>
    <phoneticPr fontId="2"/>
  </si>
  <si>
    <t>ＰＨＣ業務補助／8月度</t>
    <phoneticPr fontId="2"/>
  </si>
  <si>
    <t>1741</t>
  </si>
  <si>
    <t>廿日市</t>
  </si>
  <si>
    <t>谷</t>
  </si>
  <si>
    <t>1710</t>
    <phoneticPr fontId="2"/>
  </si>
  <si>
    <t>POS老朽化更新／8月度</t>
    <phoneticPr fontId="2"/>
  </si>
  <si>
    <t>1694</t>
    <phoneticPr fontId="2"/>
  </si>
  <si>
    <t>1692</t>
    <phoneticPr fontId="2"/>
  </si>
  <si>
    <t>1691</t>
    <phoneticPr fontId="2"/>
  </si>
  <si>
    <t>1687</t>
    <phoneticPr fontId="2"/>
  </si>
  <si>
    <t>1742</t>
  </si>
  <si>
    <t>ダミー大型計数機（48台）割付作業</t>
  </si>
  <si>
    <t>6999</t>
  </si>
  <si>
    <t>1743</t>
  </si>
  <si>
    <t>布施</t>
  </si>
  <si>
    <t>大型計数機増設（1台）へのホールコン対応作業</t>
  </si>
  <si>
    <t>7000</t>
  </si>
  <si>
    <t>1581</t>
    <phoneticPr fontId="2"/>
  </si>
  <si>
    <t>1583</t>
    <phoneticPr fontId="2"/>
  </si>
  <si>
    <t>1589</t>
    <phoneticPr fontId="2"/>
  </si>
  <si>
    <t>1591</t>
    <phoneticPr fontId="2"/>
  </si>
  <si>
    <t>1688</t>
    <phoneticPr fontId="2"/>
  </si>
  <si>
    <t>1689</t>
    <phoneticPr fontId="2"/>
  </si>
  <si>
    <t>1693</t>
    <phoneticPr fontId="2"/>
  </si>
  <si>
    <t>1696</t>
    <phoneticPr fontId="2"/>
  </si>
  <si>
    <t>1698</t>
    <phoneticPr fontId="2"/>
  </si>
  <si>
    <t>1699</t>
    <phoneticPr fontId="2"/>
  </si>
  <si>
    <t>1702</t>
    <phoneticPr fontId="2"/>
  </si>
  <si>
    <t>みたけ</t>
    <phoneticPr fontId="2"/>
  </si>
  <si>
    <t>1726</t>
    <phoneticPr fontId="2"/>
  </si>
  <si>
    <t>新型タブレット型番変更に伴う製造評価作業／Lenovo Tab K10</t>
    <phoneticPr fontId="2"/>
  </si>
  <si>
    <t>1747</t>
    <phoneticPr fontId="2"/>
  </si>
  <si>
    <t>1731</t>
    <phoneticPr fontId="2"/>
  </si>
  <si>
    <t>E30141280100</t>
    <phoneticPr fontId="2"/>
  </si>
  <si>
    <t>1728</t>
    <phoneticPr fontId="2"/>
  </si>
  <si>
    <t>1729</t>
    <phoneticPr fontId="2"/>
  </si>
  <si>
    <t>1730</t>
    <phoneticPr fontId="2"/>
  </si>
  <si>
    <t>1560</t>
    <phoneticPr fontId="2"/>
  </si>
  <si>
    <t>6979</t>
    <phoneticPr fontId="2"/>
  </si>
  <si>
    <t>E30141080100</t>
    <phoneticPr fontId="2"/>
  </si>
  <si>
    <t>1722</t>
    <phoneticPr fontId="2"/>
  </si>
  <si>
    <t>6987</t>
    <phoneticPr fontId="2"/>
  </si>
  <si>
    <t>E30142000100</t>
    <phoneticPr fontId="2"/>
  </si>
  <si>
    <t>E30142010100</t>
    <phoneticPr fontId="2"/>
  </si>
  <si>
    <t>1618</t>
    <phoneticPr fontId="2"/>
  </si>
  <si>
    <t xml:space="preserve"> E30142020100</t>
    <phoneticPr fontId="2"/>
  </si>
  <si>
    <t>1723</t>
    <phoneticPr fontId="2"/>
  </si>
  <si>
    <t>E30142030100</t>
    <phoneticPr fontId="2"/>
  </si>
  <si>
    <t>TEB0032750</t>
    <phoneticPr fontId="2"/>
  </si>
  <si>
    <t>TEB0032758</t>
    <phoneticPr fontId="2"/>
  </si>
  <si>
    <t>1744</t>
    <phoneticPr fontId="2"/>
  </si>
  <si>
    <t>1748</t>
  </si>
  <si>
    <t>寒河江</t>
  </si>
  <si>
    <t>1700</t>
    <phoneticPr fontId="2"/>
  </si>
  <si>
    <t>1695</t>
    <phoneticPr fontId="2"/>
  </si>
  <si>
    <t>E30142340100</t>
    <phoneticPr fontId="2"/>
  </si>
  <si>
    <t>E30142880100</t>
    <phoneticPr fontId="2"/>
  </si>
  <si>
    <t>E30142960100</t>
    <phoneticPr fontId="2"/>
  </si>
  <si>
    <t>E30142940100</t>
    <phoneticPr fontId="2"/>
  </si>
  <si>
    <t>E30143500100</t>
    <phoneticPr fontId="2"/>
  </si>
  <si>
    <t>E30141240100</t>
    <phoneticPr fontId="2"/>
  </si>
  <si>
    <t>1750</t>
  </si>
  <si>
    <t>E30142220100</t>
    <phoneticPr fontId="2"/>
  </si>
  <si>
    <t>1752</t>
  </si>
  <si>
    <t>黒石</t>
  </si>
  <si>
    <t>台コン交換(Ｄ→E)に伴う変更工事</t>
  </si>
  <si>
    <t>7005</t>
  </si>
  <si>
    <t>1753</t>
  </si>
  <si>
    <t>青森下田</t>
  </si>
  <si>
    <t>台コン更新(Ｄ→E)に伴う変更工事</t>
  </si>
  <si>
    <t>7006</t>
  </si>
  <si>
    <t>TEB0033149</t>
    <phoneticPr fontId="2"/>
  </si>
  <si>
    <t>1754</t>
    <phoneticPr fontId="2"/>
  </si>
  <si>
    <t>1549</t>
    <phoneticPr fontId="2"/>
  </si>
  <si>
    <t>玉補給機交換（600台）に伴う作業</t>
    <phoneticPr fontId="2"/>
  </si>
  <si>
    <t>6972</t>
    <phoneticPr fontId="2"/>
  </si>
  <si>
    <t>1470</t>
    <phoneticPr fontId="2"/>
  </si>
  <si>
    <t>6967</t>
    <phoneticPr fontId="2"/>
  </si>
  <si>
    <t>1616</t>
    <phoneticPr fontId="2"/>
  </si>
  <si>
    <t>藤枝駅南S館</t>
    <phoneticPr fontId="2"/>
  </si>
  <si>
    <t>メダル貸しC（11台）へのホールコン対応作業</t>
    <phoneticPr fontId="2"/>
  </si>
  <si>
    <t>6984</t>
    <phoneticPr fontId="2"/>
  </si>
  <si>
    <t>E30141300100</t>
    <phoneticPr fontId="2"/>
  </si>
  <si>
    <t>1541</t>
    <phoneticPr fontId="2"/>
  </si>
  <si>
    <t>貝塚北</t>
    <phoneticPr fontId="2"/>
  </si>
  <si>
    <t>1481</t>
    <phoneticPr fontId="2"/>
  </si>
  <si>
    <t>袖師③</t>
    <phoneticPr fontId="2"/>
  </si>
  <si>
    <t>6970</t>
    <phoneticPr fontId="2"/>
  </si>
  <si>
    <t>1480</t>
    <phoneticPr fontId="2"/>
  </si>
  <si>
    <t>袖師②</t>
    <phoneticPr fontId="2"/>
  </si>
  <si>
    <t>6960</t>
    <phoneticPr fontId="2"/>
  </si>
  <si>
    <t>1756</t>
  </si>
  <si>
    <t>高知桟橋</t>
  </si>
  <si>
    <t>売上機変更（560台）へのホールコン対応作業</t>
  </si>
  <si>
    <t>7007</t>
  </si>
  <si>
    <t>1739</t>
    <phoneticPr fontId="2"/>
  </si>
  <si>
    <t>1755</t>
    <phoneticPr fontId="2"/>
  </si>
  <si>
    <t>1740</t>
    <phoneticPr fontId="2"/>
  </si>
  <si>
    <t>1749</t>
    <phoneticPr fontId="2"/>
  </si>
  <si>
    <t>1642</t>
    <phoneticPr fontId="2"/>
  </si>
  <si>
    <t>1655</t>
    <phoneticPr fontId="2"/>
  </si>
  <si>
    <t>1680</t>
    <phoneticPr fontId="2"/>
  </si>
  <si>
    <t>1651</t>
    <phoneticPr fontId="2"/>
  </si>
  <si>
    <t>1659</t>
    <phoneticPr fontId="2"/>
  </si>
  <si>
    <t>1758</t>
  </si>
  <si>
    <t>ハーネス製作／売上・券売ハーネス（L=70㎜）</t>
  </si>
  <si>
    <t>1759</t>
  </si>
  <si>
    <t>1760</t>
    <phoneticPr fontId="2"/>
  </si>
  <si>
    <t>1761</t>
    <phoneticPr fontId="2"/>
  </si>
  <si>
    <t>E30139760104</t>
    <phoneticPr fontId="2"/>
  </si>
  <si>
    <t>E30139760103</t>
    <phoneticPr fontId="2"/>
  </si>
  <si>
    <t>1762</t>
    <phoneticPr fontId="2"/>
  </si>
  <si>
    <t>1724</t>
    <phoneticPr fontId="2"/>
  </si>
  <si>
    <t>1657</t>
    <phoneticPr fontId="2"/>
  </si>
  <si>
    <t>1746</t>
    <phoneticPr fontId="2"/>
  </si>
  <si>
    <t>1745</t>
    <phoneticPr fontId="2"/>
  </si>
  <si>
    <t>7001</t>
    <phoneticPr fontId="2"/>
  </si>
  <si>
    <t>9/12:中止</t>
  </si>
  <si>
    <t>9/9:中止？</t>
    <phoneticPr fontId="2"/>
  </si>
  <si>
    <t>E30145380100</t>
    <phoneticPr fontId="2"/>
  </si>
  <si>
    <t>E30145330100</t>
    <phoneticPr fontId="2"/>
  </si>
  <si>
    <t>E30145350100</t>
    <phoneticPr fontId="2"/>
  </si>
  <si>
    <t>E30145470100</t>
    <phoneticPr fontId="2"/>
  </si>
  <si>
    <t>E30145360100</t>
    <phoneticPr fontId="2"/>
  </si>
  <si>
    <t>E30145550100</t>
    <phoneticPr fontId="2"/>
  </si>
  <si>
    <t>E30145820100</t>
    <phoneticPr fontId="2"/>
  </si>
  <si>
    <t>1765</t>
  </si>
  <si>
    <t>市原</t>
  </si>
  <si>
    <t>玉補給機交換（684台）に伴う作業</t>
  </si>
  <si>
    <t>7009</t>
  </si>
  <si>
    <t>TEB0035453</t>
    <phoneticPr fontId="2"/>
  </si>
  <si>
    <t>E30126620100</t>
    <phoneticPr fontId="2"/>
  </si>
  <si>
    <t>1540</t>
    <phoneticPr fontId="2"/>
  </si>
  <si>
    <t>6982</t>
    <phoneticPr fontId="2"/>
  </si>
  <si>
    <t>計画外老朽化更新：セキュリティコンピュータ導入工事</t>
    <phoneticPr fontId="2"/>
  </si>
  <si>
    <t>1669</t>
    <phoneticPr fontId="2"/>
  </si>
  <si>
    <t>E30146210100</t>
    <phoneticPr fontId="2"/>
  </si>
  <si>
    <t>E30146180100</t>
    <phoneticPr fontId="2"/>
  </si>
  <si>
    <t>TEB0035836</t>
    <phoneticPr fontId="2"/>
  </si>
  <si>
    <t>1770</t>
  </si>
  <si>
    <t>和泉寺田</t>
  </si>
  <si>
    <t>1665</t>
    <phoneticPr fontId="2"/>
  </si>
  <si>
    <t>1671</t>
    <phoneticPr fontId="2"/>
  </si>
  <si>
    <t>1769</t>
    <phoneticPr fontId="2"/>
  </si>
  <si>
    <t>E10019930001</t>
    <phoneticPr fontId="2"/>
  </si>
  <si>
    <t>E00001130104</t>
    <phoneticPr fontId="2"/>
  </si>
  <si>
    <t>E30146380100</t>
    <phoneticPr fontId="2"/>
  </si>
  <si>
    <t>E30146370100</t>
    <phoneticPr fontId="2"/>
  </si>
  <si>
    <t>1771</t>
  </si>
  <si>
    <t>上里</t>
  </si>
  <si>
    <t>メダル貸しC（15台）へのホールコン対応作業</t>
  </si>
  <si>
    <t>7013</t>
  </si>
  <si>
    <t>1772</t>
  </si>
  <si>
    <t>鷲宮</t>
  </si>
  <si>
    <t>メダル貸しC（40台）へのホールコン対応作業</t>
  </si>
  <si>
    <t>7014</t>
  </si>
  <si>
    <t>1773</t>
    <phoneticPr fontId="2"/>
  </si>
  <si>
    <t>7015</t>
    <phoneticPr fontId="2"/>
  </si>
  <si>
    <t>TEB0036206</t>
    <phoneticPr fontId="2"/>
  </si>
  <si>
    <t>1767</t>
    <phoneticPr fontId="2"/>
  </si>
  <si>
    <t>メダル貸しC（76台）へのホールコン対応作業</t>
    <phoneticPr fontId="2"/>
  </si>
  <si>
    <t>7101</t>
    <phoneticPr fontId="2"/>
  </si>
  <si>
    <t>9/15:中止</t>
    <phoneticPr fontId="2"/>
  </si>
  <si>
    <t>1764</t>
    <phoneticPr fontId="2"/>
  </si>
  <si>
    <t>開発案件補助作業（アノテーション_商品認識）</t>
    <phoneticPr fontId="2"/>
  </si>
  <si>
    <t>TEB0036265</t>
    <phoneticPr fontId="2"/>
  </si>
  <si>
    <t>1374</t>
    <phoneticPr fontId="2"/>
  </si>
  <si>
    <t>1646</t>
    <phoneticPr fontId="2"/>
  </si>
  <si>
    <t>9/16:別処理</t>
    <phoneticPr fontId="2"/>
  </si>
  <si>
    <t>1763</t>
    <phoneticPr fontId="2"/>
  </si>
  <si>
    <t>ホストコンピューターセットアップ作業</t>
    <phoneticPr fontId="2"/>
  </si>
  <si>
    <t>9/15:別処理</t>
  </si>
  <si>
    <t>1551</t>
    <phoneticPr fontId="2"/>
  </si>
  <si>
    <t>個別計数機増設（36台）へのホールコン対応作業</t>
    <phoneticPr fontId="2"/>
  </si>
  <si>
    <t>6974</t>
    <phoneticPr fontId="2"/>
  </si>
  <si>
    <t>1778</t>
  </si>
  <si>
    <t>津</t>
  </si>
  <si>
    <t>1779</t>
    <phoneticPr fontId="2"/>
  </si>
  <si>
    <t>撤去品点検作業</t>
    <phoneticPr fontId="2"/>
  </si>
  <si>
    <t>E30146700100</t>
    <phoneticPr fontId="2"/>
  </si>
  <si>
    <t>E30146710100</t>
    <phoneticPr fontId="2"/>
  </si>
  <si>
    <t>E30146670100</t>
    <phoneticPr fontId="2"/>
  </si>
  <si>
    <t>E30146690100</t>
    <phoneticPr fontId="2"/>
  </si>
  <si>
    <t>E30146720100</t>
    <phoneticPr fontId="2"/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</si>
  <si>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</si>
  <si>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</si>
  <si>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</si>
  <si>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</si>
  <si>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</si>
  <si>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</si>
  <si>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</si>
  <si>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</si>
  <si>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</si>
  <si>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</si>
  <si>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藤枝駅南スロット館</t>
    <phoneticPr fontId="2"/>
  </si>
  <si>
    <t>1790</t>
  </si>
  <si>
    <t>10月</t>
    <rPh sb="2" eb="3">
      <t>ガツ</t>
    </rPh>
    <phoneticPr fontId="2"/>
  </si>
  <si>
    <t>製作番号</t>
    <rPh sb="0" eb="2">
      <t>セイサク</t>
    </rPh>
    <rPh sb="2" eb="4">
      <t>バンゴウ</t>
    </rPh>
    <phoneticPr fontId="2"/>
  </si>
  <si>
    <t>E30107200100</t>
    <phoneticPr fontId="2"/>
  </si>
  <si>
    <t>HC01</t>
    <phoneticPr fontId="2"/>
  </si>
  <si>
    <t>1791</t>
    <phoneticPr fontId="2"/>
  </si>
  <si>
    <t>JDI茂原J1セル出荷トラブル対応（枚葉管理）</t>
    <phoneticPr fontId="2"/>
  </si>
  <si>
    <t>1792</t>
    <phoneticPr fontId="2"/>
  </si>
  <si>
    <t>TEB0036208</t>
    <phoneticPr fontId="2"/>
  </si>
  <si>
    <t>1705</t>
    <phoneticPr fontId="2"/>
  </si>
  <si>
    <t>1456</t>
    <phoneticPr fontId="2"/>
  </si>
  <si>
    <t>6961</t>
    <phoneticPr fontId="2"/>
  </si>
  <si>
    <t>1548</t>
    <phoneticPr fontId="2"/>
  </si>
  <si>
    <t>1559</t>
    <phoneticPr fontId="2"/>
  </si>
  <si>
    <t>M'sネット（TMDVｰS（3台）撤去</t>
    <phoneticPr fontId="2"/>
  </si>
  <si>
    <t>6978</t>
    <phoneticPr fontId="2"/>
  </si>
  <si>
    <t>1620</t>
    <phoneticPr fontId="2"/>
  </si>
  <si>
    <t>精算機増設（1台）へのホールコン対応作業</t>
    <phoneticPr fontId="2"/>
  </si>
  <si>
    <t>1707</t>
    <phoneticPr fontId="2"/>
  </si>
  <si>
    <t>6989</t>
    <phoneticPr fontId="2"/>
  </si>
  <si>
    <t>TEB0037167</t>
    <phoneticPr fontId="2"/>
  </si>
  <si>
    <t>1712</t>
    <phoneticPr fontId="2"/>
  </si>
  <si>
    <t>若林①</t>
    <phoneticPr fontId="2"/>
  </si>
  <si>
    <t>6990</t>
    <phoneticPr fontId="2"/>
  </si>
  <si>
    <t>TEB0037237</t>
    <phoneticPr fontId="2"/>
  </si>
  <si>
    <t>TEB0037174</t>
    <phoneticPr fontId="2"/>
  </si>
  <si>
    <t>E30143460100</t>
    <phoneticPr fontId="2"/>
  </si>
  <si>
    <t>E30144740100</t>
    <phoneticPr fontId="2"/>
  </si>
  <si>
    <t>E30144220100</t>
    <phoneticPr fontId="2"/>
  </si>
  <si>
    <t>E30143910100</t>
    <phoneticPr fontId="2"/>
  </si>
  <si>
    <t xml:space="preserve"> E30144200100</t>
    <phoneticPr fontId="2"/>
  </si>
  <si>
    <t>E30143930100</t>
    <phoneticPr fontId="2"/>
  </si>
  <si>
    <t>TEB0037461</t>
    <phoneticPr fontId="2"/>
  </si>
  <si>
    <t>1793</t>
  </si>
  <si>
    <t>苫小牧駅前</t>
  </si>
  <si>
    <t>玉貸しC（40台）へのホールコン対応作業</t>
  </si>
  <si>
    <t>7026</t>
  </si>
  <si>
    <t>1794</t>
  </si>
  <si>
    <t>美しが丘</t>
  </si>
  <si>
    <t>個別計数機撤去（36台）へのホールコン対応作業</t>
  </si>
  <si>
    <t>7027</t>
  </si>
  <si>
    <t>1795</t>
  </si>
  <si>
    <t>新守山駅前</t>
  </si>
  <si>
    <t>S増台（13台）へのホールコン対応作業</t>
  </si>
  <si>
    <t>7030</t>
  </si>
  <si>
    <t>1796</t>
  </si>
  <si>
    <t>倉賀野</t>
  </si>
  <si>
    <t>メダル貸しC'（60台）へのホールコン対応作業</t>
  </si>
  <si>
    <t>7031</t>
  </si>
  <si>
    <t>1751</t>
    <phoneticPr fontId="2"/>
  </si>
  <si>
    <t>袋井東西</t>
    <phoneticPr fontId="2"/>
  </si>
  <si>
    <t>7004</t>
    <phoneticPr fontId="2"/>
  </si>
  <si>
    <t>1777</t>
    <phoneticPr fontId="2"/>
  </si>
  <si>
    <t>1797</t>
  </si>
  <si>
    <t>亀有</t>
  </si>
  <si>
    <t>Ｗｉ－Ｆｉ設置ＬＡＮ敷設作業</t>
  </si>
  <si>
    <t>1675</t>
    <phoneticPr fontId="2"/>
  </si>
  <si>
    <t>1673</t>
    <phoneticPr fontId="2"/>
  </si>
  <si>
    <t>1662</t>
    <phoneticPr fontId="2"/>
  </si>
  <si>
    <t>1799</t>
    <phoneticPr fontId="2"/>
  </si>
  <si>
    <t>1545</t>
    <phoneticPr fontId="2"/>
  </si>
  <si>
    <t>LAN敷設_A作業（事務所モニタラック～会議室）</t>
    <phoneticPr fontId="2"/>
  </si>
  <si>
    <t>6966</t>
    <phoneticPr fontId="2"/>
  </si>
  <si>
    <t>1715</t>
    <phoneticPr fontId="2"/>
  </si>
  <si>
    <t>6993</t>
    <phoneticPr fontId="2"/>
  </si>
  <si>
    <t>E30144720100</t>
    <phoneticPr fontId="2"/>
  </si>
  <si>
    <t>大野店</t>
    <rPh sb="0" eb="2">
      <t>オオノ</t>
    </rPh>
    <rPh sb="2" eb="3">
      <t>テン</t>
    </rPh>
    <phoneticPr fontId="31"/>
  </si>
  <si>
    <t>那須塩原店</t>
    <rPh sb="0" eb="4">
      <t>ナスシオバラ</t>
    </rPh>
    <rPh sb="4" eb="5">
      <t>テン</t>
    </rPh>
    <phoneticPr fontId="31"/>
  </si>
  <si>
    <t>大東店</t>
    <rPh sb="0" eb="2">
      <t>ダイトウ</t>
    </rPh>
    <rPh sb="2" eb="3">
      <t>テン</t>
    </rPh>
    <phoneticPr fontId="31"/>
  </si>
  <si>
    <t>赤塚店</t>
    <rPh sb="0" eb="2">
      <t>アカツカ</t>
    </rPh>
    <rPh sb="2" eb="3">
      <t>テン</t>
    </rPh>
    <phoneticPr fontId="31"/>
  </si>
  <si>
    <t>東大阪店</t>
    <rPh sb="0" eb="3">
      <t>ヒガシオオサカ</t>
    </rPh>
    <rPh sb="3" eb="4">
      <t>テン</t>
    </rPh>
    <phoneticPr fontId="31"/>
  </si>
  <si>
    <t>千葉ニュータウン店</t>
    <rPh sb="0" eb="2">
      <t>チバ</t>
    </rPh>
    <rPh sb="8" eb="9">
      <t>テン</t>
    </rPh>
    <phoneticPr fontId="31"/>
  </si>
  <si>
    <t>姫路野里店</t>
    <rPh sb="0" eb="4">
      <t>ヒメジノサト</t>
    </rPh>
    <rPh sb="4" eb="5">
      <t>テン</t>
    </rPh>
    <phoneticPr fontId="31"/>
  </si>
  <si>
    <t>東大和店</t>
    <rPh sb="0" eb="3">
      <t>ヒガシヤマト</t>
    </rPh>
    <rPh sb="3" eb="4">
      <t>テン</t>
    </rPh>
    <phoneticPr fontId="31"/>
  </si>
  <si>
    <t>高松店</t>
    <rPh sb="0" eb="2">
      <t>タカマツ</t>
    </rPh>
    <rPh sb="2" eb="3">
      <t>テン</t>
    </rPh>
    <phoneticPr fontId="31"/>
  </si>
  <si>
    <t>丸亀店</t>
    <rPh sb="0" eb="3">
      <t>マルガメテン</t>
    </rPh>
    <phoneticPr fontId="31"/>
  </si>
  <si>
    <t>沼津店</t>
    <rPh sb="0" eb="3">
      <t>ヌマヅテン</t>
    </rPh>
    <phoneticPr fontId="31"/>
  </si>
  <si>
    <t>東与賀店</t>
    <rPh sb="0" eb="3">
      <t>ヒガシヨカ</t>
    </rPh>
    <rPh sb="3" eb="4">
      <t>テン</t>
    </rPh>
    <phoneticPr fontId="31"/>
  </si>
  <si>
    <t>荒田島店</t>
    <rPh sb="0" eb="3">
      <t>アラタジマ</t>
    </rPh>
    <rPh sb="3" eb="4">
      <t>テン</t>
    </rPh>
    <phoneticPr fontId="31"/>
  </si>
  <si>
    <t>佐世保店</t>
    <rPh sb="0" eb="3">
      <t>サセボ</t>
    </rPh>
    <rPh sb="3" eb="4">
      <t>シンテン</t>
    </rPh>
    <phoneticPr fontId="31"/>
  </si>
  <si>
    <t>香貫店</t>
    <rPh sb="0" eb="3">
      <t>カヌキテン</t>
    </rPh>
    <phoneticPr fontId="31"/>
  </si>
  <si>
    <t>萩原東店</t>
    <rPh sb="0" eb="3">
      <t>ハギワラヒガシ</t>
    </rPh>
    <rPh sb="3" eb="4">
      <t>テン</t>
    </rPh>
    <phoneticPr fontId="31"/>
  </si>
  <si>
    <t>静内店</t>
    <rPh sb="0" eb="3">
      <t>シズナイテン</t>
    </rPh>
    <phoneticPr fontId="31"/>
  </si>
  <si>
    <t>藤枝駅南S館</t>
    <rPh sb="0" eb="2">
      <t>フジエダ</t>
    </rPh>
    <rPh sb="2" eb="3">
      <t>エキ</t>
    </rPh>
    <rPh sb="3" eb="4">
      <t>ナン</t>
    </rPh>
    <rPh sb="5" eb="6">
      <t>カン</t>
    </rPh>
    <phoneticPr fontId="31"/>
  </si>
  <si>
    <t>千歳店</t>
    <rPh sb="0" eb="3">
      <t>チトセテン</t>
    </rPh>
    <phoneticPr fontId="31"/>
  </si>
  <si>
    <t>厚別店</t>
    <rPh sb="0" eb="2">
      <t>アツベツ</t>
    </rPh>
    <rPh sb="2" eb="3">
      <t>テン</t>
    </rPh>
    <phoneticPr fontId="31"/>
  </si>
  <si>
    <t>岩内店</t>
    <rPh sb="0" eb="3">
      <t>イワナイテン</t>
    </rPh>
    <phoneticPr fontId="31"/>
  </si>
  <si>
    <t>島田店</t>
    <rPh sb="0" eb="2">
      <t>シマダ</t>
    </rPh>
    <rPh sb="2" eb="3">
      <t>テン</t>
    </rPh>
    <phoneticPr fontId="31"/>
  </si>
  <si>
    <t>松飛台店</t>
    <rPh sb="0" eb="4">
      <t>マツヒダイテン</t>
    </rPh>
    <phoneticPr fontId="31"/>
  </si>
  <si>
    <t>青梅店</t>
    <rPh sb="0" eb="3">
      <t>オウメテン</t>
    </rPh>
    <phoneticPr fontId="31"/>
  </si>
  <si>
    <t>三好店</t>
    <rPh sb="0" eb="3">
      <t>ミヨシテン</t>
    </rPh>
    <phoneticPr fontId="31"/>
  </si>
  <si>
    <t>橋本台店</t>
    <rPh sb="0" eb="3">
      <t>ハシモトダイ</t>
    </rPh>
    <rPh sb="3" eb="4">
      <t>テン</t>
    </rPh>
    <phoneticPr fontId="31"/>
  </si>
  <si>
    <t>浜田店</t>
    <rPh sb="0" eb="2">
      <t>ハマダ</t>
    </rPh>
    <rPh sb="2" eb="3">
      <t>テン</t>
    </rPh>
    <phoneticPr fontId="31"/>
  </si>
  <si>
    <t>都筑店</t>
    <rPh sb="0" eb="2">
      <t>ツヅキ</t>
    </rPh>
    <rPh sb="2" eb="3">
      <t>テン</t>
    </rPh>
    <phoneticPr fontId="31"/>
  </si>
  <si>
    <t>石巻店</t>
    <rPh sb="0" eb="3">
      <t>イシノマキテン</t>
    </rPh>
    <phoneticPr fontId="31"/>
  </si>
  <si>
    <t>川崎桜本店</t>
    <rPh sb="0" eb="4">
      <t>カワサキサクラモト</t>
    </rPh>
    <rPh sb="4" eb="5">
      <t>テン</t>
    </rPh>
    <phoneticPr fontId="31"/>
  </si>
  <si>
    <t>寒河江店</t>
    <rPh sb="0" eb="3">
      <t>サガエ</t>
    </rPh>
    <rPh sb="3" eb="4">
      <t>テン</t>
    </rPh>
    <phoneticPr fontId="31"/>
  </si>
  <si>
    <t>水沢店</t>
    <rPh sb="0" eb="2">
      <t>ミズサワ</t>
    </rPh>
    <rPh sb="2" eb="3">
      <t>テン</t>
    </rPh>
    <phoneticPr fontId="31"/>
  </si>
  <si>
    <t>北上店</t>
    <rPh sb="0" eb="2">
      <t>キタカミ</t>
    </rPh>
    <rPh sb="2" eb="3">
      <t>テン</t>
    </rPh>
    <phoneticPr fontId="31"/>
  </si>
  <si>
    <t>大館店</t>
    <rPh sb="0" eb="3">
      <t>オオダテテン</t>
    </rPh>
    <phoneticPr fontId="31"/>
  </si>
  <si>
    <t>能代店</t>
    <rPh sb="0" eb="3">
      <t>ノシロテン</t>
    </rPh>
    <phoneticPr fontId="31"/>
  </si>
  <si>
    <t>由利本荘店</t>
    <rPh sb="0" eb="5">
      <t>ユリホンジョウテン</t>
    </rPh>
    <phoneticPr fontId="31"/>
  </si>
  <si>
    <t>酒田店</t>
    <rPh sb="0" eb="3">
      <t>サカタテン</t>
    </rPh>
    <phoneticPr fontId="31"/>
  </si>
  <si>
    <t>鶴岡店</t>
    <rPh sb="0" eb="2">
      <t>ツルオカ</t>
    </rPh>
    <rPh sb="2" eb="3">
      <t>テン</t>
    </rPh>
    <phoneticPr fontId="31"/>
  </si>
  <si>
    <t>宮町店</t>
    <rPh sb="0" eb="1">
      <t>ミヤ</t>
    </rPh>
    <rPh sb="1" eb="2">
      <t>マチ</t>
    </rPh>
    <rPh sb="2" eb="3">
      <t>テン</t>
    </rPh>
    <phoneticPr fontId="31"/>
  </si>
  <si>
    <t>高知高須店</t>
    <rPh sb="0" eb="2">
      <t>コウチ</t>
    </rPh>
    <rPh sb="2" eb="4">
      <t>タカス</t>
    </rPh>
    <rPh sb="4" eb="5">
      <t>テン</t>
    </rPh>
    <phoneticPr fontId="31"/>
  </si>
  <si>
    <t>高知一宮店</t>
    <rPh sb="0" eb="2">
      <t>コウチ</t>
    </rPh>
    <rPh sb="2" eb="4">
      <t>イック</t>
    </rPh>
    <rPh sb="4" eb="5">
      <t>テン</t>
    </rPh>
    <phoneticPr fontId="31"/>
  </si>
  <si>
    <t>前橋インター店</t>
    <rPh sb="0" eb="2">
      <t>マエバシ</t>
    </rPh>
    <rPh sb="6" eb="7">
      <t>テン</t>
    </rPh>
    <phoneticPr fontId="31"/>
  </si>
  <si>
    <t>土佐道路西店</t>
    <rPh sb="0" eb="2">
      <t>トサ</t>
    </rPh>
    <rPh sb="2" eb="5">
      <t>ドウロニシ</t>
    </rPh>
    <rPh sb="5" eb="6">
      <t>テン</t>
    </rPh>
    <phoneticPr fontId="31"/>
  </si>
  <si>
    <t>函館港店</t>
    <rPh sb="0" eb="4">
      <t>ハコダテミナトテン</t>
    </rPh>
    <phoneticPr fontId="31"/>
  </si>
  <si>
    <t>西条店</t>
    <rPh sb="0" eb="2">
      <t>サイジョウ</t>
    </rPh>
    <rPh sb="2" eb="3">
      <t>テン</t>
    </rPh>
    <phoneticPr fontId="31"/>
  </si>
  <si>
    <t>ぶらくり丁店</t>
    <rPh sb="4" eb="5">
      <t>チョウ</t>
    </rPh>
    <rPh sb="5" eb="6">
      <t>テン</t>
    </rPh>
    <phoneticPr fontId="31"/>
  </si>
  <si>
    <t>今治店</t>
    <rPh sb="0" eb="2">
      <t>イマバリ</t>
    </rPh>
    <rPh sb="2" eb="3">
      <t>シンテン</t>
    </rPh>
    <phoneticPr fontId="31"/>
  </si>
  <si>
    <t>上牧店</t>
    <rPh sb="0" eb="2">
      <t>カンマキ</t>
    </rPh>
    <rPh sb="2" eb="3">
      <t>テン</t>
    </rPh>
    <phoneticPr fontId="31"/>
  </si>
  <si>
    <t>五所川原店</t>
    <rPh sb="0" eb="4">
      <t>ゴショガワラ</t>
    </rPh>
    <rPh sb="4" eb="5">
      <t>テン</t>
    </rPh>
    <phoneticPr fontId="31"/>
  </si>
  <si>
    <t>二又瀬店</t>
    <rPh sb="0" eb="4">
      <t>フタマタセテン</t>
    </rPh>
    <phoneticPr fontId="31"/>
  </si>
  <si>
    <t>彦根店</t>
    <rPh sb="0" eb="2">
      <t>ヒコネ</t>
    </rPh>
    <rPh sb="2" eb="3">
      <t>テン</t>
    </rPh>
    <phoneticPr fontId="31"/>
  </si>
  <si>
    <t>弘前店</t>
    <rPh sb="0" eb="3">
      <t>ヒロサキテン</t>
    </rPh>
    <phoneticPr fontId="31"/>
  </si>
  <si>
    <t>佐世保店</t>
    <rPh sb="0" eb="4">
      <t>サセボテン</t>
    </rPh>
    <phoneticPr fontId="31"/>
  </si>
  <si>
    <t>加島店</t>
    <rPh sb="0" eb="2">
      <t>カシマ</t>
    </rPh>
    <rPh sb="2" eb="3">
      <t>テン</t>
    </rPh>
    <phoneticPr fontId="31"/>
  </si>
  <si>
    <t>青梅新町店</t>
    <rPh sb="0" eb="5">
      <t>オウメシンマチテン</t>
    </rPh>
    <phoneticPr fontId="31"/>
  </si>
  <si>
    <t>荒尾店</t>
    <rPh sb="0" eb="2">
      <t>アラオ</t>
    </rPh>
    <rPh sb="2" eb="3">
      <t>テン</t>
    </rPh>
    <phoneticPr fontId="31"/>
  </si>
  <si>
    <t>羽曳野店</t>
    <rPh sb="0" eb="3">
      <t>ハビキノ</t>
    </rPh>
    <rPh sb="3" eb="4">
      <t>テン</t>
    </rPh>
    <phoneticPr fontId="31"/>
  </si>
  <si>
    <t>三好店</t>
    <rPh sb="0" eb="2">
      <t>ミヨシ</t>
    </rPh>
    <rPh sb="2" eb="3">
      <t>テン</t>
    </rPh>
    <phoneticPr fontId="31"/>
  </si>
  <si>
    <t>山鹿店</t>
    <rPh sb="0" eb="3">
      <t>ヤマガテン</t>
    </rPh>
    <phoneticPr fontId="31"/>
  </si>
  <si>
    <t>泉南店</t>
    <rPh sb="0" eb="2">
      <t>センナン</t>
    </rPh>
    <rPh sb="2" eb="3">
      <t>テン</t>
    </rPh>
    <phoneticPr fontId="31"/>
  </si>
  <si>
    <t>高城店</t>
    <rPh sb="0" eb="2">
      <t>タカジョウ</t>
    </rPh>
    <rPh sb="2" eb="3">
      <t>テン</t>
    </rPh>
    <phoneticPr fontId="31"/>
  </si>
  <si>
    <t>神戸店</t>
    <rPh sb="0" eb="2">
      <t>コウベ</t>
    </rPh>
    <rPh sb="2" eb="3">
      <t>テン</t>
    </rPh>
    <phoneticPr fontId="31"/>
  </si>
  <si>
    <t>綾瀬上土棚店</t>
    <rPh sb="0" eb="5">
      <t>アヤセカミツチダナ</t>
    </rPh>
    <rPh sb="5" eb="6">
      <t>シンテン</t>
    </rPh>
    <phoneticPr fontId="31"/>
  </si>
  <si>
    <t>都城店</t>
    <rPh sb="0" eb="2">
      <t>ミヤコノジョウ</t>
    </rPh>
    <rPh sb="2" eb="3">
      <t>テン</t>
    </rPh>
    <phoneticPr fontId="31"/>
  </si>
  <si>
    <t>鳥取店</t>
    <rPh sb="0" eb="2">
      <t>トットリ</t>
    </rPh>
    <rPh sb="2" eb="3">
      <t>テン</t>
    </rPh>
    <phoneticPr fontId="31"/>
  </si>
  <si>
    <t>横浜町田店</t>
    <rPh sb="0" eb="4">
      <t>ヨコハママチダ</t>
    </rPh>
    <rPh sb="4" eb="5">
      <t>テン</t>
    </rPh>
    <phoneticPr fontId="31"/>
  </si>
  <si>
    <t>十和田店</t>
    <rPh sb="0" eb="3">
      <t>トワダ</t>
    </rPh>
    <rPh sb="3" eb="4">
      <t>テン</t>
    </rPh>
    <phoneticPr fontId="31"/>
  </si>
  <si>
    <t>卸本町店</t>
    <rPh sb="0" eb="4">
      <t>オロシホンマチテン</t>
    </rPh>
    <phoneticPr fontId="31"/>
  </si>
  <si>
    <t>東岡山店</t>
    <rPh sb="0" eb="3">
      <t>ヒガシオカヤマ</t>
    </rPh>
    <rPh sb="3" eb="4">
      <t>テン</t>
    </rPh>
    <phoneticPr fontId="31"/>
  </si>
  <si>
    <t>むつ店</t>
    <rPh sb="2" eb="3">
      <t>テン</t>
    </rPh>
    <phoneticPr fontId="31"/>
  </si>
  <si>
    <t>鹿児島新港店</t>
    <rPh sb="0" eb="6">
      <t>カゴシマシンコウテン</t>
    </rPh>
    <phoneticPr fontId="31"/>
  </si>
  <si>
    <t>下松店</t>
    <rPh sb="0" eb="2">
      <t>クダマツ</t>
    </rPh>
    <rPh sb="2" eb="3">
      <t>テン</t>
    </rPh>
    <phoneticPr fontId="31"/>
  </si>
  <si>
    <t>鹿屋店</t>
    <rPh sb="0" eb="2">
      <t>カノヤ</t>
    </rPh>
    <rPh sb="2" eb="3">
      <t>テン</t>
    </rPh>
    <phoneticPr fontId="31"/>
  </si>
  <si>
    <t>苅田店</t>
    <rPh sb="0" eb="2">
      <t>カンダ</t>
    </rPh>
    <rPh sb="2" eb="3">
      <t>テン</t>
    </rPh>
    <phoneticPr fontId="31"/>
  </si>
  <si>
    <t>本城店</t>
    <rPh sb="0" eb="2">
      <t>ホンジョウ</t>
    </rPh>
    <rPh sb="2" eb="3">
      <t>テン</t>
    </rPh>
    <phoneticPr fontId="31"/>
  </si>
  <si>
    <t>鶴見店</t>
    <rPh sb="0" eb="2">
      <t>ツルミ</t>
    </rPh>
    <rPh sb="2" eb="3">
      <t>テン</t>
    </rPh>
    <phoneticPr fontId="31"/>
  </si>
  <si>
    <t>1800</t>
  </si>
  <si>
    <t>1801</t>
  </si>
  <si>
    <t>1802</t>
  </si>
  <si>
    <t>1803</t>
  </si>
  <si>
    <t>1804</t>
  </si>
  <si>
    <t>1805</t>
  </si>
  <si>
    <t>1806</t>
  </si>
  <si>
    <t>1807</t>
  </si>
  <si>
    <t>1808</t>
  </si>
  <si>
    <t>1809</t>
  </si>
  <si>
    <t>1810</t>
  </si>
  <si>
    <t>1811</t>
  </si>
  <si>
    <t>1812</t>
  </si>
  <si>
    <t>1813</t>
  </si>
  <si>
    <t>1814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</si>
  <si>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</si>
  <si>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</si>
  <si>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</si>
  <si>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</si>
  <si>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</si>
  <si>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</si>
  <si>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</si>
  <si>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</si>
  <si>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</si>
  <si>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1824</t>
  </si>
  <si>
    <t>1825</t>
  </si>
  <si>
    <t>1826</t>
  </si>
  <si>
    <t>1827</t>
  </si>
  <si>
    <t>1828</t>
  </si>
  <si>
    <t>1829</t>
  </si>
  <si>
    <t>1830</t>
  </si>
  <si>
    <t>1831</t>
  </si>
  <si>
    <t>1832</t>
  </si>
  <si>
    <t>1833</t>
  </si>
  <si>
    <t>1834</t>
  </si>
  <si>
    <t>1836</t>
  </si>
  <si>
    <t>1837</t>
  </si>
  <si>
    <t>1838</t>
  </si>
  <si>
    <t>1839</t>
  </si>
  <si>
    <t>1840</t>
  </si>
  <si>
    <t>1841</t>
  </si>
  <si>
    <t>1842</t>
  </si>
  <si>
    <t>1843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</si>
  <si>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</si>
  <si>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</si>
  <si>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</si>
  <si>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</si>
  <si>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</si>
  <si>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</si>
  <si>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</si>
  <si>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</si>
  <si>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</si>
  <si>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</si>
  <si>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</si>
  <si>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</si>
  <si>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</si>
  <si>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</si>
  <si>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</si>
  <si>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</si>
  <si>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</si>
  <si>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</si>
  <si>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</si>
  <si>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</si>
  <si>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1864</t>
  </si>
  <si>
    <t>1865</t>
  </si>
  <si>
    <t>1866</t>
  </si>
  <si>
    <t>1867</t>
  </si>
  <si>
    <t>1868</t>
  </si>
  <si>
    <t>1869</t>
  </si>
  <si>
    <t>1870</t>
  </si>
  <si>
    <t>1871</t>
  </si>
  <si>
    <t>1872</t>
  </si>
  <si>
    <t>1873</t>
  </si>
  <si>
    <t>1874</t>
  </si>
  <si>
    <t>1875</t>
  </si>
  <si>
    <t>1876</t>
  </si>
  <si>
    <t>1877</t>
  </si>
  <si>
    <t>1878</t>
  </si>
  <si>
    <t>1879</t>
  </si>
  <si>
    <t>1880</t>
  </si>
  <si>
    <t>1881</t>
  </si>
  <si>
    <t>1775</t>
    <phoneticPr fontId="2"/>
  </si>
  <si>
    <t>1882</t>
  </si>
  <si>
    <t>ＰＨＣ業務補助／9月度</t>
  </si>
  <si>
    <t>1883</t>
    <phoneticPr fontId="2"/>
  </si>
  <si>
    <t>POS老朽化更新作業／9月度</t>
    <phoneticPr fontId="2"/>
  </si>
  <si>
    <t>1884</t>
  </si>
  <si>
    <t>POS老朽化更新／9月度</t>
  </si>
  <si>
    <t>1885</t>
    <phoneticPr fontId="2"/>
  </si>
  <si>
    <t>保守受付業務補助／9月度</t>
    <phoneticPr fontId="2"/>
  </si>
  <si>
    <t>1676</t>
    <phoneticPr fontId="2"/>
  </si>
  <si>
    <t>1678</t>
    <phoneticPr fontId="2"/>
  </si>
  <si>
    <t>1774</t>
    <phoneticPr fontId="2"/>
  </si>
  <si>
    <t>1709</t>
    <phoneticPr fontId="2"/>
  </si>
  <si>
    <t>KKS老朽化補助／9月度</t>
    <phoneticPr fontId="2"/>
  </si>
  <si>
    <t>1886</t>
  </si>
  <si>
    <t>浜松泉</t>
  </si>
  <si>
    <t>1887</t>
  </si>
  <si>
    <t>堺遠里小野</t>
  </si>
  <si>
    <t>9/5：見積有効期限切れ→9/26再発行</t>
    <phoneticPr fontId="2"/>
  </si>
  <si>
    <t>1776</t>
    <phoneticPr fontId="2"/>
  </si>
  <si>
    <t>E30148670100</t>
    <phoneticPr fontId="2"/>
  </si>
  <si>
    <t>E30147690100</t>
    <phoneticPr fontId="2"/>
  </si>
  <si>
    <t>E30147820100</t>
    <phoneticPr fontId="2"/>
  </si>
  <si>
    <t>E30147830100</t>
    <phoneticPr fontId="2"/>
  </si>
  <si>
    <t>1888</t>
    <phoneticPr fontId="2"/>
  </si>
  <si>
    <t>E30147930100</t>
    <phoneticPr fontId="2"/>
  </si>
  <si>
    <t>E30147950100</t>
    <phoneticPr fontId="2"/>
  </si>
  <si>
    <t>E30148180100</t>
    <phoneticPr fontId="2"/>
  </si>
  <si>
    <t>E30148000101</t>
    <phoneticPr fontId="2"/>
  </si>
  <si>
    <t>E30148140100</t>
    <phoneticPr fontId="2"/>
  </si>
  <si>
    <t>1719</t>
    <phoneticPr fontId="2"/>
  </si>
  <si>
    <t>6996k</t>
    <phoneticPr fontId="2"/>
  </si>
  <si>
    <t>1835</t>
    <phoneticPr fontId="2"/>
  </si>
  <si>
    <t>2022/4に実施済み</t>
  </si>
  <si>
    <t>鹿浜店</t>
    <phoneticPr fontId="31"/>
  </si>
  <si>
    <t>1798</t>
    <phoneticPr fontId="2"/>
  </si>
  <si>
    <t>Wifi電波測定（現地作業）</t>
    <phoneticPr fontId="2"/>
  </si>
  <si>
    <t>E00001130100</t>
    <phoneticPr fontId="2"/>
  </si>
  <si>
    <t>1469</t>
    <phoneticPr fontId="2"/>
  </si>
  <si>
    <t>9/25:見積有効期限切れ</t>
  </si>
  <si>
    <t>1889</t>
  </si>
  <si>
    <t>堺</t>
  </si>
  <si>
    <t>大型計数機撤去（1台）へのホールコン対応作業</t>
  </si>
  <si>
    <t>7033</t>
  </si>
  <si>
    <t>1890</t>
  </si>
  <si>
    <t>安城</t>
  </si>
  <si>
    <t>S増台（18台）へのホールコン対応作業</t>
  </si>
  <si>
    <t>7034</t>
  </si>
  <si>
    <t>1891</t>
  </si>
  <si>
    <t>岐阜六条</t>
  </si>
  <si>
    <t>液晶ランプ撤去（40台）に伴うホールコンピュータ変更</t>
  </si>
  <si>
    <t>7035</t>
  </si>
  <si>
    <t>TEB0038443</t>
    <phoneticPr fontId="2"/>
  </si>
  <si>
    <t>TEB0038456</t>
    <phoneticPr fontId="2"/>
  </si>
  <si>
    <t>TEB0038653</t>
    <phoneticPr fontId="2"/>
  </si>
  <si>
    <t>1892</t>
  </si>
  <si>
    <t>松島</t>
  </si>
  <si>
    <t>S増台（28台）へのホールコン対応作業</t>
  </si>
  <si>
    <t>7032k</t>
  </si>
  <si>
    <t>1766</t>
    <phoneticPr fontId="2"/>
  </si>
  <si>
    <t>PS増台（29台）へのホールコン対応作業</t>
    <phoneticPr fontId="2"/>
  </si>
  <si>
    <t>7010</t>
    <phoneticPr fontId="2"/>
  </si>
  <si>
    <t>E30149060100</t>
  </si>
  <si>
    <t>1768</t>
    <phoneticPr fontId="2"/>
  </si>
  <si>
    <t>7012</t>
    <phoneticPr fontId="2"/>
  </si>
  <si>
    <t>E30149070100</t>
  </si>
  <si>
    <t>E30149080100</t>
  </si>
  <si>
    <t>1757</t>
    <phoneticPr fontId="2"/>
  </si>
  <si>
    <t>個別計数機減台（36台）へのホールコン対応作業</t>
    <phoneticPr fontId="2"/>
  </si>
  <si>
    <t>7008</t>
    <phoneticPr fontId="2"/>
  </si>
  <si>
    <t>E30149100100</t>
  </si>
  <si>
    <t>E30146750100</t>
    <phoneticPr fontId="2"/>
  </si>
  <si>
    <t>1893</t>
    <phoneticPr fontId="2"/>
  </si>
  <si>
    <t>7036</t>
  </si>
  <si>
    <t>S増台（22台）／メダル貸し変更（52台）へのホールコン対応作業</t>
    <phoneticPr fontId="2"/>
  </si>
  <si>
    <t>1894</t>
    <phoneticPr fontId="2"/>
  </si>
  <si>
    <t>7037</t>
    <phoneticPr fontId="2"/>
  </si>
  <si>
    <t>S増台（29台）／玉貸し変更（15台）へのホールコン対応作業</t>
    <phoneticPr fontId="2"/>
  </si>
  <si>
    <t>1895</t>
    <phoneticPr fontId="2"/>
  </si>
  <si>
    <t>7038</t>
    <phoneticPr fontId="2"/>
  </si>
  <si>
    <t>TEB0039319</t>
    <phoneticPr fontId="2"/>
  </si>
  <si>
    <t>9/9キャンセル依頼</t>
  </si>
  <si>
    <t>携帯システム関連／保守料(9月分)</t>
    <phoneticPr fontId="2"/>
  </si>
  <si>
    <t>1896</t>
  </si>
  <si>
    <t>四日市北</t>
  </si>
  <si>
    <t>7039</t>
  </si>
  <si>
    <t>1897</t>
  </si>
  <si>
    <t>館林</t>
  </si>
  <si>
    <t>7040</t>
  </si>
  <si>
    <t>1898</t>
  </si>
  <si>
    <t>室蘭</t>
  </si>
  <si>
    <t>玉補給機交換（600台）に伴う作業</t>
  </si>
  <si>
    <t>7041</t>
  </si>
  <si>
    <t>1899</t>
    <phoneticPr fontId="2"/>
  </si>
  <si>
    <t>E30148000102</t>
    <phoneticPr fontId="2"/>
  </si>
  <si>
    <t>E30149320100</t>
    <phoneticPr fontId="2"/>
  </si>
  <si>
    <t>E30149440100</t>
    <phoneticPr fontId="2"/>
  </si>
  <si>
    <t>1900</t>
    <phoneticPr fontId="2"/>
  </si>
  <si>
    <t>TEB0039817</t>
    <phoneticPr fontId="2"/>
  </si>
  <si>
    <t>TEB0039818</t>
    <phoneticPr fontId="2"/>
  </si>
  <si>
    <t>9/27：見積有効期限切れ</t>
  </si>
  <si>
    <t>E30148130100</t>
    <phoneticPr fontId="2"/>
  </si>
  <si>
    <t>E30102020100</t>
    <phoneticPr fontId="2"/>
  </si>
  <si>
    <t>1901</t>
  </si>
  <si>
    <t>1901</t>
    <phoneticPr fontId="2"/>
  </si>
  <si>
    <t>千葉北</t>
    <rPh sb="0" eb="3">
      <t>チバキタ</t>
    </rPh>
    <phoneticPr fontId="2"/>
  </si>
  <si>
    <t>保守作業</t>
    <rPh sb="0" eb="4">
      <t>ホシュサギョウ</t>
    </rPh>
    <phoneticPr fontId="2"/>
  </si>
  <si>
    <t>1479／1901</t>
    <phoneticPr fontId="2"/>
  </si>
  <si>
    <t>草薙アピア</t>
    <phoneticPr fontId="2"/>
  </si>
  <si>
    <t>卸本町</t>
    <phoneticPr fontId="2"/>
  </si>
  <si>
    <t>新大蔵谷</t>
    <phoneticPr fontId="2"/>
  </si>
  <si>
    <t>枚方</t>
    <phoneticPr fontId="2"/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</si>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</sst>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5" formatCode="&quot;¥&quot;#,##0;&quot;¥&quot;\-#,##0"/>
    <numFmt numFmtId="6" formatCode="&quot;¥&quot;#,##0;[Red]&quot;¥&quot;\-#,##0"/>
    <numFmt numFmtId="176" formatCode="0.0_ "/>
    <numFmt numFmtId="178" formatCode="m&quot;月&quot;d&quot;日&quot;;@"/>
    <numFmt numFmtId="183" formatCode="0.0_);[Red]\(0.0\)"/>
    <numFmt numFmtId="187" formatCode="m&quot;月&quot;"/>
    <numFmt numFmtId="188" formatCode="0_);[Red]\(0\)"/>
  </numFmts>
  <fonts count="38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8"/>
      <name val="ＭＳ Ｐ明朝"/>
      <family val="1"/>
      <charset val="128"/>
    </font>
    <font>
      <b/>
      <sz val="12"/>
      <color indexed="9"/>
      <name val="ＭＳ Ｐ明朝"/>
      <family val="1"/>
      <charset val="128"/>
    </font>
    <font>
      <sz val="8"/>
      <color indexed="10"/>
      <name val="ＭＳ Ｐ明朝"/>
      <family val="1"/>
      <charset val="128"/>
    </font>
    <font>
      <sz val="9"/>
      <name val="MS UI Gothic"/>
      <family val="3"/>
      <charset val="128"/>
    </font>
    <font>
      <sz val="8"/>
      <color indexed="81"/>
      <name val="ＭＳ Ｐゴシック"/>
      <family val="3"/>
      <charset val="128"/>
    </font>
    <font>
      <u/>
      <sz val="8"/>
      <color indexed="10"/>
      <name val="ＭＳ Ｐ明朝"/>
      <family val="1"/>
      <charset val="128"/>
    </font>
    <font>
      <b/>
      <u/>
      <sz val="12"/>
      <color indexed="41"/>
      <name val="ＭＳ Ｐゴシック"/>
      <family val="3"/>
      <charset val="128"/>
    </font>
    <font>
      <b/>
      <u/>
      <sz val="12"/>
      <color indexed="14"/>
      <name val="ＭＳ Ｐゴシック"/>
      <family val="3"/>
      <charset val="128"/>
    </font>
    <font>
      <b/>
      <u/>
      <sz val="12"/>
      <color indexed="13"/>
      <name val="ＭＳ Ｐゴシック"/>
      <family val="3"/>
      <charset val="128"/>
    </font>
    <font>
      <b/>
      <u/>
      <sz val="12"/>
      <color indexed="10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u/>
      <sz val="12"/>
      <color indexed="12"/>
      <name val="ＭＳ Ｐゴシック"/>
      <family val="3"/>
      <charset val="128"/>
    </font>
    <font>
      <b/>
      <sz val="12"/>
      <name val="ＭＳ Ｐ明朝"/>
      <family val="1"/>
      <charset val="128"/>
    </font>
    <font>
      <b/>
      <sz val="8"/>
      <color indexed="10"/>
      <name val="ＭＳ Ｐ明朝"/>
      <family val="1"/>
      <charset val="128"/>
    </font>
    <font>
      <b/>
      <sz val="8"/>
      <name val="ＭＳ Ｐ明朝"/>
      <family val="1"/>
      <charset val="128"/>
    </font>
    <font>
      <b/>
      <u/>
      <sz val="8"/>
      <color indexed="41"/>
      <name val="ＭＳ Ｐ明朝"/>
      <family val="1"/>
      <charset val="128"/>
    </font>
    <font>
      <b/>
      <sz val="8"/>
      <color indexed="9"/>
      <name val="ＭＳ Ｐ明朝"/>
      <family val="1"/>
      <charset val="128"/>
    </font>
    <font>
      <sz val="8"/>
      <color indexed="9"/>
      <name val="ＭＳ Ｐ明朝"/>
      <family val="1"/>
      <charset val="128"/>
    </font>
    <font>
      <sz val="6"/>
      <name val="ＭＳ Ｐ明朝"/>
      <family val="1"/>
      <charset val="128"/>
    </font>
    <font>
      <b/>
      <sz val="9"/>
      <color indexed="9"/>
      <name val="ＭＳ Ｐ明朝"/>
      <family val="1"/>
      <charset val="128"/>
    </font>
    <font>
      <b/>
      <sz val="10"/>
      <color indexed="9"/>
      <name val="ＭＳ Ｐ明朝"/>
      <family val="1"/>
      <charset val="128"/>
    </font>
    <font>
      <b/>
      <sz val="10"/>
      <color indexed="12"/>
      <name val="ＭＳ Ｐ明朝"/>
      <family val="1"/>
      <charset val="128"/>
    </font>
    <font>
      <b/>
      <sz val="12"/>
      <color indexed="12"/>
      <name val="ＭＳ Ｐ明朝"/>
      <family val="1"/>
      <charset val="128"/>
    </font>
    <font>
      <b/>
      <sz val="8"/>
      <color indexed="9"/>
      <name val="ＭＳ Ｐゴシック"/>
      <family val="3"/>
      <charset val="128"/>
    </font>
    <font>
      <sz val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8"/>
      <color rgb="FF7030A0"/>
      <name val="ＭＳ Ｐ明朝"/>
      <family val="1"/>
      <charset val="128"/>
    </font>
    <font>
      <sz val="8"/>
      <color rgb="FFFF0000"/>
      <name val="ＭＳ Ｐ明朝"/>
      <family val="1"/>
      <charset val="128"/>
    </font>
    <font>
      <sz val="8"/>
      <color rgb="FF002060"/>
      <name val="ＭＳ Ｐ明朝"/>
      <family val="1"/>
      <charset val="128"/>
    </font>
    <font>
      <sz val="8"/>
      <color theme="1"/>
      <name val="ＭＳ Ｐ明朝"/>
      <family val="1"/>
      <charset val="128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0" fontId="1" fillId="0" borderId="0"/>
    <xf numFmtId="0" fontId="1" fillId="0" borderId="0"/>
    <xf numFmtId="38" fontId="1" fillId="0" borderId="0" applyFont="0" applyFill="0" applyBorder="0" applyAlignment="0" applyProtection="0"/>
    <xf numFmtId="0" fontId="33" fillId="0" borderId="0">
      <alignment vertical="center"/>
    </xf>
    <xf numFmtId="0" fontId="1" fillId="0" borderId="0"/>
    <xf numFmtId="0" fontId="1" fillId="0" borderId="0">
      <alignment vertical="center"/>
    </xf>
    <xf numFmtId="0" fontId="32" fillId="0" borderId="0">
      <alignment vertical="center"/>
    </xf>
  </cellStyleXfs>
  <cellXfs count="328">
    <xf numFmtId="0" fontId="0" fillId="0" borderId="0" xfId="0"/>
    <xf numFmtId="0" fontId="3" fillId="2" borderId="1" xfId="1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3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/>
    </xf>
    <xf numFmtId="0" fontId="3" fillId="2" borderId="6" xfId="1" applyFont="1" applyFill="1" applyBorder="1" applyAlignment="1">
      <alignment horizontal="center" vertical="center"/>
    </xf>
    <xf numFmtId="0" fontId="3" fillId="2" borderId="7" xfId="1" applyFont="1" applyFill="1" applyBorder="1" applyAlignment="1">
      <alignment horizontal="center" vertical="center"/>
    </xf>
    <xf numFmtId="0" fontId="3" fillId="2" borderId="8" xfId="1" applyFont="1" applyFill="1" applyBorder="1" applyAlignment="1">
      <alignment horizontal="center" vertical="center"/>
    </xf>
    <xf numFmtId="0" fontId="3" fillId="2" borderId="9" xfId="1" applyFont="1" applyFill="1" applyBorder="1" applyAlignment="1">
      <alignment horizontal="center" vertical="center"/>
    </xf>
    <xf numFmtId="5" fontId="3" fillId="2" borderId="10" xfId="1" applyNumberFormat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5" fontId="3" fillId="2" borderId="0" xfId="1" applyNumberFormat="1" applyFont="1" applyFill="1" applyBorder="1" applyAlignment="1">
      <alignment horizontal="right" vertical="center"/>
    </xf>
    <xf numFmtId="14" fontId="3" fillId="2" borderId="0" xfId="1" applyNumberFormat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left" vertical="center"/>
    </xf>
    <xf numFmtId="0" fontId="8" fillId="2" borderId="0" xfId="1" applyFont="1" applyFill="1" applyBorder="1" applyAlignment="1">
      <alignment horizontal="left" vertical="center"/>
    </xf>
    <xf numFmtId="0" fontId="3" fillId="2" borderId="2" xfId="1" applyFont="1" applyFill="1" applyBorder="1" applyAlignment="1">
      <alignment horizontal="center" vertical="center" wrapText="1"/>
    </xf>
    <xf numFmtId="0" fontId="4" fillId="2" borderId="0" xfId="1" applyFont="1" applyFill="1" applyBorder="1" applyAlignment="1">
      <alignment horizontal="left" vertical="center"/>
    </xf>
    <xf numFmtId="0" fontId="12" fillId="2" borderId="10" xfId="1" applyFont="1" applyFill="1" applyBorder="1" applyAlignment="1">
      <alignment horizontal="left" vertical="center"/>
    </xf>
    <xf numFmtId="0" fontId="3" fillId="2" borderId="2" xfId="1" applyFont="1" applyFill="1" applyBorder="1" applyAlignment="1">
      <alignment horizontal="center" vertical="center" shrinkToFit="1"/>
    </xf>
    <xf numFmtId="0" fontId="3" fillId="0" borderId="0" xfId="1" applyFont="1" applyFill="1" applyBorder="1" applyAlignment="1">
      <alignment horizontal="left" vertical="center"/>
    </xf>
    <xf numFmtId="0" fontId="19" fillId="2" borderId="9" xfId="1" applyFont="1" applyFill="1" applyBorder="1" applyAlignment="1">
      <alignment horizontal="left" vertical="center"/>
    </xf>
    <xf numFmtId="0" fontId="19" fillId="2" borderId="0" xfId="1" applyFont="1" applyFill="1" applyBorder="1" applyAlignment="1">
      <alignment horizontal="left" vertical="center"/>
    </xf>
    <xf numFmtId="0" fontId="19" fillId="0" borderId="0" xfId="1" applyFont="1" applyFill="1" applyBorder="1" applyAlignment="1">
      <alignment horizontal="left" vertical="center"/>
    </xf>
    <xf numFmtId="0" fontId="20" fillId="0" borderId="0" xfId="1" applyFont="1" applyFill="1" applyBorder="1" applyAlignment="1">
      <alignment horizontal="left" vertical="center"/>
    </xf>
    <xf numFmtId="0" fontId="19" fillId="3" borderId="2" xfId="1" applyFont="1" applyFill="1" applyBorder="1" applyAlignment="1">
      <alignment horizontal="left" vertical="center"/>
    </xf>
    <xf numFmtId="0" fontId="20" fillId="3" borderId="2" xfId="1" applyFont="1" applyFill="1" applyBorder="1" applyAlignment="1">
      <alignment horizontal="left" vertical="center"/>
    </xf>
    <xf numFmtId="0" fontId="19" fillId="2" borderId="7" xfId="1" applyFont="1" applyFill="1" applyBorder="1" applyAlignment="1">
      <alignment vertical="center"/>
    </xf>
    <xf numFmtId="0" fontId="19" fillId="2" borderId="7" xfId="1" applyFont="1" applyFill="1" applyBorder="1" applyAlignment="1">
      <alignment horizontal="left" vertical="center"/>
    </xf>
    <xf numFmtId="0" fontId="19" fillId="2" borderId="1" xfId="1" applyFont="1" applyFill="1" applyBorder="1" applyAlignment="1">
      <alignment horizontal="left" vertical="center"/>
    </xf>
    <xf numFmtId="0" fontId="18" fillId="2" borderId="0" xfId="1" applyFont="1" applyFill="1" applyBorder="1" applyAlignment="1">
      <alignment horizontal="left" vertical="center"/>
    </xf>
    <xf numFmtId="0" fontId="3" fillId="0" borderId="0" xfId="1" applyFont="1" applyAlignment="1">
      <alignment vertical="center"/>
    </xf>
    <xf numFmtId="0" fontId="3" fillId="2" borderId="7" xfId="1" applyFont="1" applyFill="1" applyBorder="1" applyAlignment="1">
      <alignment vertical="center"/>
    </xf>
    <xf numFmtId="0" fontId="3" fillId="2" borderId="0" xfId="1" applyFont="1" applyFill="1" applyBorder="1" applyAlignment="1">
      <alignment vertical="center"/>
    </xf>
    <xf numFmtId="0" fontId="3" fillId="2" borderId="9" xfId="1" applyFont="1" applyFill="1" applyBorder="1" applyAlignment="1">
      <alignment vertical="center"/>
    </xf>
    <xf numFmtId="0" fontId="3" fillId="2" borderId="12" xfId="1" applyFont="1" applyFill="1" applyBorder="1" applyAlignment="1">
      <alignment vertical="center"/>
    </xf>
    <xf numFmtId="0" fontId="3" fillId="2" borderId="12" xfId="1" applyFont="1" applyFill="1" applyBorder="1" applyAlignment="1">
      <alignment horizontal="center" vertical="center"/>
    </xf>
    <xf numFmtId="0" fontId="9" fillId="2" borderId="0" xfId="1" applyFont="1" applyFill="1" applyBorder="1" applyAlignment="1">
      <alignment horizontal="left" vertical="center"/>
    </xf>
    <xf numFmtId="0" fontId="3" fillId="2" borderId="13" xfId="1" applyFont="1" applyFill="1" applyBorder="1" applyAlignment="1">
      <alignment horizontal="center" vertical="center"/>
    </xf>
    <xf numFmtId="0" fontId="10" fillId="2" borderId="7" xfId="1" applyFont="1" applyFill="1" applyBorder="1" applyAlignment="1">
      <alignment vertical="center"/>
    </xf>
    <xf numFmtId="0" fontId="11" fillId="2" borderId="7" xfId="1" applyFont="1" applyFill="1" applyBorder="1" applyAlignment="1">
      <alignment horizontal="left" vertical="center"/>
    </xf>
    <xf numFmtId="0" fontId="12" fillId="2" borderId="7" xfId="1" applyFont="1" applyFill="1" applyBorder="1" applyAlignment="1">
      <alignment horizontal="left" vertical="center"/>
    </xf>
    <xf numFmtId="0" fontId="14" fillId="2" borderId="7" xfId="1" applyFont="1" applyFill="1" applyBorder="1" applyAlignment="1">
      <alignment vertical="center"/>
    </xf>
    <xf numFmtId="0" fontId="3" fillId="0" borderId="0" xfId="1" applyFont="1" applyBorder="1" applyAlignment="1">
      <alignment vertical="center"/>
    </xf>
    <xf numFmtId="49" fontId="3" fillId="3" borderId="14" xfId="1" applyNumberFormat="1" applyFont="1" applyFill="1" applyBorder="1" applyAlignment="1" applyProtection="1">
      <alignment horizontal="center" vertical="center"/>
      <protection locked="0"/>
    </xf>
    <xf numFmtId="0" fontId="3" fillId="3" borderId="15" xfId="1" applyFont="1" applyFill="1" applyBorder="1" applyAlignment="1" applyProtection="1">
      <alignment horizontal="center" vertical="center"/>
      <protection locked="0"/>
    </xf>
    <xf numFmtId="0" fontId="3" fillId="3" borderId="16" xfId="1" applyFont="1" applyFill="1" applyBorder="1" applyAlignment="1" applyProtection="1">
      <alignment horizontal="center" vertical="center"/>
      <protection locked="0"/>
    </xf>
    <xf numFmtId="0" fontId="3" fillId="3" borderId="17" xfId="1" applyFont="1" applyFill="1" applyBorder="1" applyAlignment="1" applyProtection="1">
      <alignment horizontal="center" vertical="center"/>
      <protection locked="0"/>
    </xf>
    <xf numFmtId="0" fontId="3" fillId="3" borderId="18" xfId="1" applyFont="1" applyFill="1" applyBorder="1" applyAlignment="1" applyProtection="1">
      <alignment horizontal="center" vertical="center"/>
      <protection locked="0"/>
    </xf>
    <xf numFmtId="0" fontId="3" fillId="0" borderId="2" xfId="1" applyFont="1" applyBorder="1" applyAlignment="1">
      <alignment vertical="center"/>
    </xf>
    <xf numFmtId="0" fontId="17" fillId="0" borderId="2" xfId="1" applyFont="1" applyBorder="1" applyAlignment="1">
      <alignment horizontal="center" vertical="center"/>
    </xf>
    <xf numFmtId="0" fontId="0" fillId="0" borderId="2" xfId="1" applyFont="1" applyBorder="1"/>
    <xf numFmtId="0" fontId="21" fillId="2" borderId="0" xfId="1" applyFont="1" applyFill="1" applyBorder="1" applyAlignment="1">
      <alignment horizontal="center" vertical="center"/>
    </xf>
    <xf numFmtId="0" fontId="3" fillId="0" borderId="19" xfId="1" applyFont="1" applyBorder="1" applyAlignment="1">
      <alignment vertical="center"/>
    </xf>
    <xf numFmtId="0" fontId="3" fillId="2" borderId="19" xfId="1" applyNumberFormat="1" applyFont="1" applyFill="1" applyBorder="1" applyAlignment="1">
      <alignment horizontal="center" vertical="center"/>
    </xf>
    <xf numFmtId="0" fontId="3" fillId="4" borderId="20" xfId="1" applyFont="1" applyFill="1" applyBorder="1" applyAlignment="1" applyProtection="1">
      <alignment horizontal="center" vertical="center"/>
    </xf>
    <xf numFmtId="0" fontId="3" fillId="4" borderId="21" xfId="1" applyFont="1" applyFill="1" applyBorder="1" applyAlignment="1" applyProtection="1">
      <alignment horizontal="center" vertical="center"/>
    </xf>
    <xf numFmtId="0" fontId="3" fillId="0" borderId="0" xfId="1" applyFont="1" applyAlignment="1" applyProtection="1">
      <alignment horizontal="center" vertical="center"/>
      <protection locked="0"/>
    </xf>
    <xf numFmtId="0" fontId="3" fillId="0" borderId="19" xfId="1" applyFont="1" applyBorder="1" applyAlignment="1" applyProtection="1">
      <alignment horizontal="center" vertical="center"/>
      <protection locked="0"/>
    </xf>
    <xf numFmtId="178" fontId="3" fillId="0" borderId="19" xfId="1" applyNumberFormat="1" applyFont="1" applyBorder="1" applyAlignment="1" applyProtection="1">
      <alignment horizontal="center" vertical="center"/>
      <protection locked="0"/>
    </xf>
    <xf numFmtId="49" fontId="3" fillId="0" borderId="19" xfId="1" applyNumberFormat="1" applyFont="1" applyBorder="1" applyAlignment="1" applyProtection="1">
      <alignment horizontal="center" vertical="center"/>
      <protection locked="0"/>
    </xf>
    <xf numFmtId="0" fontId="3" fillId="0" borderId="19" xfId="1" applyFont="1" applyBorder="1" applyAlignment="1" applyProtection="1">
      <alignment horizontal="left" vertical="center"/>
      <protection locked="0"/>
    </xf>
    <xf numFmtId="6" fontId="3" fillId="0" borderId="19" xfId="1" applyNumberFormat="1" applyFont="1" applyBorder="1" applyAlignment="1" applyProtection="1">
      <alignment horizontal="right" vertical="center"/>
      <protection locked="0"/>
    </xf>
    <xf numFmtId="5" fontId="3" fillId="0" borderId="19" xfId="1" applyNumberFormat="1" applyFont="1" applyBorder="1" applyAlignment="1" applyProtection="1">
      <alignment horizontal="right" vertical="center"/>
      <protection locked="0"/>
    </xf>
    <xf numFmtId="0" fontId="3" fillId="0" borderId="0" xfId="1" applyFont="1" applyAlignment="1" applyProtection="1">
      <alignment horizontal="center" vertical="center"/>
    </xf>
    <xf numFmtId="0" fontId="3" fillId="0" borderId="0" xfId="1" applyFont="1" applyAlignment="1" applyProtection="1">
      <alignment horizontal="left" vertical="center"/>
    </xf>
    <xf numFmtId="0" fontId="3" fillId="0" borderId="0" xfId="1" applyFont="1" applyAlignment="1" applyProtection="1">
      <alignment horizontal="right" vertical="center"/>
    </xf>
    <xf numFmtId="0" fontId="3" fillId="2" borderId="0" xfId="1" applyFont="1" applyFill="1" applyBorder="1" applyAlignment="1" applyProtection="1">
      <alignment horizontal="left" vertical="center" wrapText="1"/>
      <protection locked="0"/>
    </xf>
    <xf numFmtId="0" fontId="3" fillId="3" borderId="19" xfId="1" applyFont="1" applyFill="1" applyBorder="1" applyAlignment="1" applyProtection="1">
      <alignment horizontal="center" vertical="center"/>
      <protection locked="0"/>
    </xf>
    <xf numFmtId="0" fontId="3" fillId="3" borderId="0" xfId="1" applyFont="1" applyFill="1" applyAlignment="1" applyProtection="1">
      <alignment horizontal="center" vertical="center"/>
      <protection locked="0"/>
    </xf>
    <xf numFmtId="0" fontId="25" fillId="3" borderId="22" xfId="1" applyFont="1" applyFill="1" applyBorder="1" applyAlignment="1" applyProtection="1">
      <alignment horizontal="right" vertical="center"/>
    </xf>
    <xf numFmtId="49" fontId="3" fillId="3" borderId="2" xfId="1" applyNumberFormat="1" applyFont="1" applyFill="1" applyBorder="1" applyAlignment="1" applyProtection="1">
      <alignment horizontal="center" vertical="center"/>
      <protection locked="0"/>
    </xf>
    <xf numFmtId="0" fontId="13" fillId="5" borderId="12" xfId="1" applyFont="1" applyFill="1" applyBorder="1" applyAlignment="1">
      <alignment horizontal="left" vertical="center"/>
    </xf>
    <xf numFmtId="49" fontId="13" fillId="5" borderId="12" xfId="1" applyNumberFormat="1" applyFont="1" applyFill="1" applyBorder="1" applyAlignment="1">
      <alignment horizontal="left" vertical="center"/>
    </xf>
    <xf numFmtId="0" fontId="26" fillId="5" borderId="12" xfId="1" applyFont="1" applyFill="1" applyBorder="1" applyAlignment="1">
      <alignment horizontal="left" vertical="center"/>
    </xf>
    <xf numFmtId="5" fontId="3" fillId="3" borderId="19" xfId="1" applyNumberFormat="1" applyFont="1" applyFill="1" applyBorder="1" applyAlignment="1" applyProtection="1">
      <alignment horizontal="center" vertical="center"/>
      <protection locked="0"/>
    </xf>
    <xf numFmtId="0" fontId="17" fillId="0" borderId="2" xfId="1" applyFont="1" applyFill="1" applyBorder="1" applyAlignment="1">
      <alignment vertical="center"/>
    </xf>
    <xf numFmtId="14" fontId="16" fillId="2" borderId="0" xfId="1" applyNumberFormat="1" applyFont="1" applyFill="1" applyBorder="1" applyAlignment="1">
      <alignment horizontal="center" vertical="center"/>
    </xf>
    <xf numFmtId="183" fontId="3" fillId="0" borderId="0" xfId="1" applyNumberFormat="1" applyFont="1" applyAlignment="1" applyProtection="1">
      <alignment horizontal="right" vertical="center"/>
    </xf>
    <xf numFmtId="183" fontId="3" fillId="0" borderId="19" xfId="1" applyNumberFormat="1" applyFont="1" applyBorder="1" applyAlignment="1" applyProtection="1">
      <alignment horizontal="right" vertical="center"/>
      <protection locked="0"/>
    </xf>
    <xf numFmtId="183" fontId="3" fillId="0" borderId="0" xfId="1" applyNumberFormat="1" applyFont="1" applyAlignment="1" applyProtection="1">
      <alignment horizontal="center" vertical="center"/>
    </xf>
    <xf numFmtId="183" fontId="3" fillId="0" borderId="19" xfId="1" applyNumberFormat="1" applyFont="1" applyBorder="1" applyAlignment="1" applyProtection="1">
      <alignment horizontal="center" vertical="center"/>
      <protection locked="0"/>
    </xf>
    <xf numFmtId="0" fontId="3" fillId="0" borderId="0" xfId="1" applyFont="1" applyFill="1" applyAlignment="1">
      <alignment vertical="center"/>
    </xf>
    <xf numFmtId="0" fontId="17" fillId="0" borderId="2" xfId="1" applyFont="1" applyFill="1" applyBorder="1" applyAlignment="1">
      <alignment horizontal="center" vertical="center"/>
    </xf>
    <xf numFmtId="0" fontId="3" fillId="0" borderId="2" xfId="1" applyFont="1" applyFill="1" applyBorder="1" applyAlignment="1">
      <alignment vertical="center"/>
    </xf>
    <xf numFmtId="49" fontId="3" fillId="0" borderId="2" xfId="1" applyNumberFormat="1" applyFont="1" applyFill="1" applyBorder="1" applyAlignment="1">
      <alignment vertical="center"/>
    </xf>
    <xf numFmtId="0" fontId="3" fillId="2" borderId="0" xfId="1" applyNumberFormat="1" applyFont="1" applyFill="1" applyBorder="1" applyAlignment="1">
      <alignment horizontal="center" vertical="center"/>
    </xf>
    <xf numFmtId="0" fontId="3" fillId="2" borderId="0" xfId="1" applyNumberFormat="1" applyFont="1" applyFill="1" applyBorder="1" applyAlignment="1">
      <alignment vertical="center"/>
    </xf>
    <xf numFmtId="187" fontId="3" fillId="0" borderId="0" xfId="1" applyNumberFormat="1" applyFont="1" applyAlignment="1" applyProtection="1">
      <alignment horizontal="center" vertical="center"/>
    </xf>
    <xf numFmtId="187" fontId="3" fillId="0" borderId="19" xfId="1" applyNumberFormat="1" applyFont="1" applyBorder="1" applyAlignment="1" applyProtection="1">
      <alignment horizontal="center" vertical="center"/>
      <protection locked="0"/>
    </xf>
    <xf numFmtId="187" fontId="3" fillId="3" borderId="19" xfId="1" applyNumberFormat="1" applyFont="1" applyFill="1" applyBorder="1" applyAlignment="1" applyProtection="1">
      <alignment horizontal="center" vertical="center"/>
      <protection locked="0"/>
    </xf>
    <xf numFmtId="0" fontId="3" fillId="2" borderId="0" xfId="1" applyFont="1" applyFill="1" applyBorder="1" applyAlignment="1" applyProtection="1">
      <alignment horizontal="left" vertical="center" wrapText="1"/>
    </xf>
    <xf numFmtId="0" fontId="3" fillId="2" borderId="0" xfId="1" applyFont="1" applyFill="1" applyBorder="1" applyAlignment="1" applyProtection="1">
      <alignment horizontal="center" vertical="center" wrapText="1"/>
    </xf>
    <xf numFmtId="38" fontId="3" fillId="0" borderId="19" xfId="3" applyFont="1" applyBorder="1" applyAlignment="1" applyProtection="1">
      <alignment horizontal="center" vertical="center"/>
      <protection locked="0"/>
    </xf>
    <xf numFmtId="38" fontId="3" fillId="0" borderId="0" xfId="3" applyFont="1" applyAlignment="1" applyProtection="1">
      <alignment horizontal="left" vertical="center"/>
    </xf>
    <xf numFmtId="38" fontId="3" fillId="6" borderId="19" xfId="3" applyFont="1" applyFill="1" applyBorder="1" applyAlignment="1" applyProtection="1">
      <alignment horizontal="center" vertical="center"/>
      <protection locked="0"/>
    </xf>
    <xf numFmtId="38" fontId="3" fillId="3" borderId="19" xfId="3" applyFont="1" applyFill="1" applyBorder="1" applyAlignment="1" applyProtection="1">
      <alignment horizontal="center" vertical="center"/>
      <protection locked="0"/>
    </xf>
    <xf numFmtId="38" fontId="3" fillId="0" borderId="19" xfId="3" applyFont="1" applyBorder="1" applyAlignment="1" applyProtection="1">
      <alignment horizontal="right" vertical="center"/>
      <protection locked="0"/>
    </xf>
    <xf numFmtId="5" fontId="3" fillId="0" borderId="0" xfId="1" applyNumberFormat="1" applyFont="1" applyFill="1" applyAlignment="1">
      <alignment vertical="center"/>
    </xf>
    <xf numFmtId="49" fontId="3" fillId="0" borderId="0" xfId="1" applyNumberFormat="1" applyFont="1" applyAlignment="1" applyProtection="1">
      <alignment horizontal="center" vertical="center"/>
    </xf>
    <xf numFmtId="49" fontId="3" fillId="3" borderId="19" xfId="1" applyNumberFormat="1" applyFont="1" applyFill="1" applyBorder="1" applyAlignment="1" applyProtection="1">
      <alignment horizontal="center" vertical="center"/>
      <protection locked="0"/>
    </xf>
    <xf numFmtId="0" fontId="3" fillId="2" borderId="0" xfId="1" applyFont="1" applyFill="1" applyBorder="1" applyAlignment="1">
      <alignment horizontal="left" vertical="center"/>
    </xf>
    <xf numFmtId="0" fontId="3" fillId="2" borderId="0" xfId="1" applyFont="1" applyFill="1" applyBorder="1" applyAlignment="1">
      <alignment horizontal="right" vertical="center"/>
    </xf>
    <xf numFmtId="0" fontId="3" fillId="0" borderId="23" xfId="1" applyFont="1" applyBorder="1" applyAlignment="1">
      <alignment vertical="center"/>
    </xf>
    <xf numFmtId="0" fontId="0" fillId="0" borderId="2" xfId="0" applyFill="1" applyBorder="1"/>
    <xf numFmtId="38" fontId="3" fillId="10" borderId="19" xfId="3" applyFont="1" applyFill="1" applyBorder="1" applyAlignment="1" applyProtection="1">
      <alignment horizontal="right" vertical="center"/>
      <protection locked="0"/>
    </xf>
    <xf numFmtId="0" fontId="3" fillId="2" borderId="15" xfId="1" applyFont="1" applyFill="1" applyBorder="1" applyAlignment="1">
      <alignment horizontal="center" vertical="center"/>
    </xf>
    <xf numFmtId="0" fontId="3" fillId="2" borderId="19" xfId="1" applyFont="1" applyFill="1" applyBorder="1" applyAlignment="1">
      <alignment horizontal="center" vertical="center"/>
    </xf>
    <xf numFmtId="0" fontId="9" fillId="2" borderId="19" xfId="1" applyFont="1" applyFill="1" applyBorder="1" applyAlignment="1">
      <alignment horizontal="left" vertical="center"/>
    </xf>
    <xf numFmtId="0" fontId="18" fillId="2" borderId="19" xfId="1" applyFont="1" applyFill="1" applyBorder="1" applyAlignment="1">
      <alignment horizontal="left" vertical="center"/>
    </xf>
    <xf numFmtId="0" fontId="8" fillId="2" borderId="19" xfId="1" applyFont="1" applyFill="1" applyBorder="1" applyAlignment="1">
      <alignment horizontal="left" vertical="center"/>
    </xf>
    <xf numFmtId="0" fontId="3" fillId="2" borderId="19" xfId="1" applyFont="1" applyFill="1" applyBorder="1" applyAlignment="1">
      <alignment vertical="center"/>
    </xf>
    <xf numFmtId="0" fontId="19" fillId="2" borderId="19" xfId="1" applyFont="1" applyFill="1" applyBorder="1" applyAlignment="1">
      <alignment horizontal="left" vertical="center"/>
    </xf>
    <xf numFmtId="0" fontId="23" fillId="7" borderId="19" xfId="1" applyFont="1" applyFill="1" applyBorder="1" applyAlignment="1">
      <alignment horizontal="center" vertical="center"/>
    </xf>
    <xf numFmtId="0" fontId="3" fillId="2" borderId="19" xfId="1" applyFont="1" applyFill="1" applyBorder="1" applyAlignment="1">
      <alignment horizontal="center" vertical="center" wrapText="1"/>
    </xf>
    <xf numFmtId="0" fontId="3" fillId="2" borderId="19" xfId="1" applyFont="1" applyFill="1" applyBorder="1" applyAlignment="1">
      <alignment horizontal="left" vertical="center"/>
    </xf>
    <xf numFmtId="0" fontId="4" fillId="2" borderId="19" xfId="1" applyFont="1" applyFill="1" applyBorder="1" applyAlignment="1">
      <alignment horizontal="left" vertical="center"/>
    </xf>
    <xf numFmtId="0" fontId="3" fillId="2" borderId="19" xfId="1" applyFont="1" applyFill="1" applyBorder="1" applyAlignment="1">
      <alignment horizontal="right" vertical="center"/>
    </xf>
    <xf numFmtId="0" fontId="19" fillId="0" borderId="19" xfId="1" applyFont="1" applyBorder="1" applyAlignment="1">
      <alignment horizontal="left" vertical="center"/>
    </xf>
    <xf numFmtId="0" fontId="3" fillId="0" borderId="19" xfId="1" applyFont="1" applyBorder="1" applyAlignment="1">
      <alignment horizontal="left" vertical="center"/>
    </xf>
    <xf numFmtId="0" fontId="20" fillId="0" borderId="19" xfId="1" applyFont="1" applyBorder="1" applyAlignment="1">
      <alignment horizontal="left" vertical="center"/>
    </xf>
    <xf numFmtId="0" fontId="19" fillId="3" borderId="19" xfId="1" applyFont="1" applyFill="1" applyBorder="1" applyAlignment="1">
      <alignment horizontal="left" vertical="center"/>
    </xf>
    <xf numFmtId="0" fontId="20" fillId="3" borderId="19" xfId="1" applyFont="1" applyFill="1" applyBorder="1" applyAlignment="1">
      <alignment horizontal="left" vertical="center"/>
    </xf>
    <xf numFmtId="0" fontId="20" fillId="3" borderId="15" xfId="1" applyFont="1" applyFill="1" applyBorder="1" applyAlignment="1">
      <alignment horizontal="left" vertical="center"/>
    </xf>
    <xf numFmtId="0" fontId="3" fillId="2" borderId="24" xfId="1" applyFont="1" applyFill="1" applyBorder="1" applyAlignment="1">
      <alignment horizontal="right" vertical="center"/>
    </xf>
    <xf numFmtId="0" fontId="23" fillId="2" borderId="25" xfId="1" applyFont="1" applyFill="1" applyBorder="1" applyAlignment="1">
      <alignment horizontal="center" vertical="center" wrapText="1"/>
    </xf>
    <xf numFmtId="0" fontId="23" fillId="2" borderId="19" xfId="1" applyFont="1" applyFill="1" applyBorder="1" applyAlignment="1">
      <alignment horizontal="center" vertical="center" wrapText="1"/>
    </xf>
    <xf numFmtId="0" fontId="10" fillId="2" borderId="19" xfId="1" applyFont="1" applyFill="1" applyBorder="1" applyAlignment="1">
      <alignment vertical="center"/>
    </xf>
    <xf numFmtId="0" fontId="19" fillId="2" borderId="19" xfId="1" applyFont="1" applyFill="1" applyBorder="1" applyAlignment="1">
      <alignment vertical="center"/>
    </xf>
    <xf numFmtId="0" fontId="11" fillId="2" borderId="19" xfId="1" applyFont="1" applyFill="1" applyBorder="1" applyAlignment="1">
      <alignment horizontal="left" vertical="center"/>
    </xf>
    <xf numFmtId="0" fontId="4" fillId="2" borderId="26" xfId="1" applyFont="1" applyFill="1" applyBorder="1" applyAlignment="1">
      <alignment horizontal="left" vertical="center"/>
    </xf>
    <xf numFmtId="0" fontId="3" fillId="2" borderId="25" xfId="1" applyFont="1" applyFill="1" applyBorder="1" applyAlignment="1">
      <alignment horizontal="center" vertical="center"/>
    </xf>
    <xf numFmtId="0" fontId="3" fillId="2" borderId="19" xfId="1" applyFont="1" applyFill="1" applyBorder="1" applyAlignment="1">
      <alignment horizontal="center" vertical="center" shrinkToFit="1"/>
    </xf>
    <xf numFmtId="0" fontId="12" fillId="2" borderId="19" xfId="1" applyFont="1" applyFill="1" applyBorder="1" applyAlignment="1">
      <alignment horizontal="left" vertical="center"/>
    </xf>
    <xf numFmtId="0" fontId="3" fillId="3" borderId="19" xfId="1" applyFont="1" applyFill="1" applyBorder="1" applyAlignment="1">
      <alignment horizontal="center" vertical="center"/>
    </xf>
    <xf numFmtId="0" fontId="14" fillId="2" borderId="19" xfId="1" applyFont="1" applyFill="1" applyBorder="1" applyAlignment="1">
      <alignment vertical="center"/>
    </xf>
    <xf numFmtId="0" fontId="23" fillId="2" borderId="1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38" fontId="3" fillId="0" borderId="19" xfId="3" applyFont="1" applyFill="1" applyBorder="1" applyAlignment="1" applyProtection="1">
      <alignment horizontal="right" vertical="center"/>
      <protection locked="0"/>
    </xf>
    <xf numFmtId="0" fontId="34" fillId="0" borderId="19" xfId="1" applyFont="1" applyBorder="1" applyAlignment="1" applyProtection="1">
      <alignment horizontal="center" vertical="center"/>
      <protection locked="0"/>
    </xf>
    <xf numFmtId="178" fontId="34" fillId="0" borderId="19" xfId="1" applyNumberFormat="1" applyFont="1" applyBorder="1" applyAlignment="1" applyProtection="1">
      <alignment horizontal="center" vertical="center"/>
      <protection locked="0"/>
    </xf>
    <xf numFmtId="49" fontId="34" fillId="0" borderId="19" xfId="1" applyNumberFormat="1" applyFont="1" applyBorder="1" applyAlignment="1" applyProtection="1">
      <alignment horizontal="center" vertical="center"/>
      <protection locked="0"/>
    </xf>
    <xf numFmtId="0" fontId="34" fillId="0" borderId="19" xfId="1" applyFont="1" applyBorder="1" applyAlignment="1" applyProtection="1">
      <alignment horizontal="left" vertical="center"/>
      <protection locked="0"/>
    </xf>
    <xf numFmtId="6" fontId="34" fillId="0" borderId="19" xfId="1" applyNumberFormat="1" applyFont="1" applyBorder="1" applyAlignment="1" applyProtection="1">
      <alignment horizontal="right" vertical="center"/>
      <protection locked="0"/>
    </xf>
    <xf numFmtId="187" fontId="34" fillId="0" borderId="19" xfId="1" applyNumberFormat="1" applyFont="1" applyBorder="1" applyAlignment="1" applyProtection="1">
      <alignment horizontal="center" vertical="center"/>
      <protection locked="0"/>
    </xf>
    <xf numFmtId="38" fontId="34" fillId="0" borderId="19" xfId="3" applyFont="1" applyBorder="1" applyAlignment="1" applyProtection="1">
      <alignment horizontal="right" vertical="center"/>
      <protection locked="0"/>
    </xf>
    <xf numFmtId="183" fontId="34" fillId="0" borderId="19" xfId="1" applyNumberFormat="1" applyFont="1" applyBorder="1" applyAlignment="1" applyProtection="1">
      <alignment horizontal="center" vertical="center"/>
      <protection locked="0"/>
    </xf>
    <xf numFmtId="5" fontId="34" fillId="0" borderId="19" xfId="1" applyNumberFormat="1" applyFont="1" applyBorder="1" applyAlignment="1" applyProtection="1">
      <alignment horizontal="right" vertical="center"/>
      <protection locked="0"/>
    </xf>
    <xf numFmtId="183" fontId="34" fillId="0" borderId="19" xfId="1" applyNumberFormat="1" applyFont="1" applyBorder="1" applyAlignment="1" applyProtection="1">
      <alignment horizontal="right" vertical="center"/>
      <protection locked="0"/>
    </xf>
    <xf numFmtId="0" fontId="34" fillId="0" borderId="0" xfId="1" applyFont="1" applyAlignment="1" applyProtection="1">
      <alignment horizontal="center" vertical="center"/>
      <protection locked="0"/>
    </xf>
    <xf numFmtId="14" fontId="3" fillId="0" borderId="19" xfId="1" applyNumberFormat="1" applyFont="1" applyBorder="1" applyAlignment="1" applyProtection="1">
      <alignment horizontal="center" vertical="center"/>
      <protection locked="0"/>
    </xf>
    <xf numFmtId="38" fontId="34" fillId="10" borderId="19" xfId="3" applyFont="1" applyFill="1" applyBorder="1" applyAlignment="1" applyProtection="1">
      <alignment horizontal="right" vertical="center"/>
      <protection locked="0"/>
    </xf>
    <xf numFmtId="178" fontId="35" fillId="0" borderId="19" xfId="1" applyNumberFormat="1" applyFont="1" applyBorder="1" applyAlignment="1" applyProtection="1">
      <alignment horizontal="center" vertical="center"/>
      <protection locked="0"/>
    </xf>
    <xf numFmtId="38" fontId="35" fillId="10" borderId="19" xfId="3" applyFont="1" applyFill="1" applyBorder="1" applyAlignment="1" applyProtection="1">
      <alignment horizontal="right" vertical="center"/>
      <protection locked="0"/>
    </xf>
    <xf numFmtId="0" fontId="3" fillId="0" borderId="19" xfId="1" quotePrefix="1" applyFont="1" applyBorder="1" applyAlignment="1" applyProtection="1">
      <alignment horizontal="center" vertical="center"/>
      <protection locked="0"/>
    </xf>
    <xf numFmtId="0" fontId="36" fillId="0" borderId="19" xfId="1" applyFont="1" applyBorder="1" applyAlignment="1" applyProtection="1">
      <alignment horizontal="center" vertical="center"/>
      <protection locked="0"/>
    </xf>
    <xf numFmtId="178" fontId="36" fillId="0" borderId="19" xfId="1" applyNumberFormat="1" applyFont="1" applyBorder="1" applyAlignment="1" applyProtection="1">
      <alignment horizontal="center" vertical="center"/>
      <protection locked="0"/>
    </xf>
    <xf numFmtId="49" fontId="36" fillId="0" borderId="19" xfId="1" applyNumberFormat="1" applyFont="1" applyBorder="1" applyAlignment="1" applyProtection="1">
      <alignment horizontal="center" vertical="center"/>
      <protection locked="0"/>
    </xf>
    <xf numFmtId="0" fontId="36" fillId="0" borderId="19" xfId="1" applyFont="1" applyBorder="1" applyAlignment="1" applyProtection="1">
      <alignment horizontal="left" vertical="center"/>
      <protection locked="0"/>
    </xf>
    <xf numFmtId="6" fontId="36" fillId="0" borderId="19" xfId="1" applyNumberFormat="1" applyFont="1" applyBorder="1" applyAlignment="1" applyProtection="1">
      <alignment horizontal="right" vertical="center"/>
      <protection locked="0"/>
    </xf>
    <xf numFmtId="187" fontId="36" fillId="0" borderId="19" xfId="1" applyNumberFormat="1" applyFont="1" applyBorder="1" applyAlignment="1" applyProtection="1">
      <alignment horizontal="center" vertical="center"/>
      <protection locked="0"/>
    </xf>
    <xf numFmtId="38" fontId="36" fillId="0" borderId="19" xfId="3" applyFont="1" applyBorder="1" applyAlignment="1" applyProtection="1">
      <alignment horizontal="right" vertical="center"/>
      <protection locked="0"/>
    </xf>
    <xf numFmtId="183" fontId="36" fillId="0" borderId="19" xfId="1" applyNumberFormat="1" applyFont="1" applyBorder="1" applyAlignment="1" applyProtection="1">
      <alignment horizontal="center" vertical="center"/>
      <protection locked="0"/>
    </xf>
    <xf numFmtId="5" fontId="36" fillId="0" borderId="19" xfId="1" applyNumberFormat="1" applyFont="1" applyBorder="1" applyAlignment="1" applyProtection="1">
      <alignment horizontal="right" vertical="center"/>
      <protection locked="0"/>
    </xf>
    <xf numFmtId="183" fontId="36" fillId="0" borderId="19" xfId="1" applyNumberFormat="1" applyFont="1" applyBorder="1" applyAlignment="1" applyProtection="1">
      <alignment horizontal="right" vertical="center"/>
      <protection locked="0"/>
    </xf>
    <xf numFmtId="0" fontId="36" fillId="0" borderId="0" xfId="1" applyFont="1" applyAlignment="1" applyProtection="1">
      <alignment horizontal="center" vertical="center"/>
      <protection locked="0"/>
    </xf>
    <xf numFmtId="0" fontId="3" fillId="0" borderId="27" xfId="1" applyFont="1" applyBorder="1" applyAlignment="1" applyProtection="1">
      <alignment horizontal="left" vertical="center"/>
      <protection locked="0"/>
    </xf>
    <xf numFmtId="0" fontId="3" fillId="0" borderId="0" xfId="1" applyFont="1" applyAlignment="1" applyProtection="1">
      <alignment horizontal="left" vertical="center"/>
      <protection locked="0"/>
    </xf>
    <xf numFmtId="0" fontId="3" fillId="0" borderId="19" xfId="1" applyFont="1" applyFill="1" applyBorder="1" applyAlignment="1" applyProtection="1">
      <alignment horizontal="left" vertical="center"/>
      <protection locked="0"/>
    </xf>
    <xf numFmtId="0" fontId="34" fillId="0" borderId="19" xfId="1" quotePrefix="1" applyFont="1" applyBorder="1" applyAlignment="1" applyProtection="1">
      <alignment horizontal="center" vertical="center"/>
      <protection locked="0"/>
    </xf>
    <xf numFmtId="38" fontId="34" fillId="0" borderId="19" xfId="3" applyFont="1" applyFill="1" applyBorder="1" applyAlignment="1" applyProtection="1">
      <alignment horizontal="right" vertical="center"/>
      <protection locked="0"/>
    </xf>
    <xf numFmtId="6" fontId="3" fillId="10" borderId="19" xfId="1" applyNumberFormat="1" applyFont="1" applyFill="1" applyBorder="1" applyAlignment="1" applyProtection="1">
      <alignment horizontal="right" vertical="center"/>
      <protection locked="0"/>
    </xf>
    <xf numFmtId="187" fontId="35" fillId="0" borderId="19" xfId="1" applyNumberFormat="1" applyFont="1" applyBorder="1" applyAlignment="1" applyProtection="1">
      <alignment horizontal="center" vertical="center"/>
      <protection locked="0"/>
    </xf>
    <xf numFmtId="49" fontId="37" fillId="0" borderId="19" xfId="1" applyNumberFormat="1" applyFont="1" applyBorder="1" applyAlignment="1" applyProtection="1">
      <alignment horizontal="center" vertical="center"/>
      <protection locked="0"/>
    </xf>
    <xf numFmtId="0" fontId="3" fillId="0" borderId="19" xfId="2" applyFont="1" applyBorder="1" applyAlignment="1" applyProtection="1">
      <alignment horizontal="left" vertical="center"/>
      <protection locked="0"/>
    </xf>
    <xf numFmtId="6" fontId="3" fillId="0" borderId="19" xfId="2" applyNumberFormat="1" applyFont="1" applyBorder="1" applyAlignment="1" applyProtection="1">
      <alignment horizontal="right" vertical="center"/>
      <protection locked="0"/>
    </xf>
    <xf numFmtId="178" fontId="3" fillId="0" borderId="19" xfId="2" applyNumberFormat="1" applyFont="1" applyBorder="1" applyAlignment="1" applyProtection="1">
      <alignment horizontal="center" vertical="center"/>
      <protection locked="0"/>
    </xf>
    <xf numFmtId="0" fontId="37" fillId="0" borderId="19" xfId="1" applyFont="1" applyBorder="1" applyAlignment="1" applyProtection="1">
      <alignment horizontal="center" vertical="center"/>
      <protection locked="0"/>
    </xf>
    <xf numFmtId="178" fontId="37" fillId="0" borderId="19" xfId="1" applyNumberFormat="1" applyFont="1" applyBorder="1" applyAlignment="1" applyProtection="1">
      <alignment horizontal="center" vertical="center"/>
      <protection locked="0"/>
    </xf>
    <xf numFmtId="0" fontId="37" fillId="0" borderId="19" xfId="1" applyFont="1" applyBorder="1" applyAlignment="1" applyProtection="1">
      <alignment horizontal="left" vertical="center"/>
      <protection locked="0"/>
    </xf>
    <xf numFmtId="6" fontId="37" fillId="0" borderId="19" xfId="1" applyNumberFormat="1" applyFont="1" applyBorder="1" applyAlignment="1" applyProtection="1">
      <alignment horizontal="right" vertical="center"/>
      <protection locked="0"/>
    </xf>
    <xf numFmtId="187" fontId="37" fillId="0" borderId="19" xfId="1" applyNumberFormat="1" applyFont="1" applyBorder="1" applyAlignment="1" applyProtection="1">
      <alignment horizontal="center" vertical="center"/>
      <protection locked="0"/>
    </xf>
    <xf numFmtId="38" fontId="37" fillId="0" borderId="19" xfId="3" applyFont="1" applyBorder="1" applyAlignment="1" applyProtection="1">
      <alignment horizontal="right" vertical="center"/>
      <protection locked="0"/>
    </xf>
    <xf numFmtId="183" fontId="37" fillId="0" borderId="19" xfId="1" applyNumberFormat="1" applyFont="1" applyBorder="1" applyAlignment="1" applyProtection="1">
      <alignment horizontal="center" vertical="center"/>
      <protection locked="0"/>
    </xf>
    <xf numFmtId="5" fontId="37" fillId="0" borderId="19" xfId="1" applyNumberFormat="1" applyFont="1" applyBorder="1" applyAlignment="1" applyProtection="1">
      <alignment horizontal="right" vertical="center"/>
      <protection locked="0"/>
    </xf>
    <xf numFmtId="183" fontId="37" fillId="0" borderId="19" xfId="1" applyNumberFormat="1" applyFont="1" applyBorder="1" applyAlignment="1" applyProtection="1">
      <alignment horizontal="right" vertical="center"/>
      <protection locked="0"/>
    </xf>
    <xf numFmtId="0" fontId="37" fillId="0" borderId="0" xfId="1" applyFont="1" applyAlignment="1" applyProtection="1">
      <alignment horizontal="center" vertical="center"/>
      <protection locked="0"/>
    </xf>
    <xf numFmtId="0" fontId="34" fillId="0" borderId="19" xfId="2" applyFont="1" applyBorder="1" applyAlignment="1" applyProtection="1">
      <alignment horizontal="left" vertical="center"/>
      <protection locked="0"/>
    </xf>
    <xf numFmtId="6" fontId="34" fillId="0" borderId="19" xfId="2" applyNumberFormat="1" applyFont="1" applyBorder="1" applyAlignment="1" applyProtection="1">
      <alignment horizontal="right" vertical="center"/>
      <protection locked="0"/>
    </xf>
    <xf numFmtId="178" fontId="34" fillId="0" borderId="19" xfId="2" applyNumberFormat="1" applyFont="1" applyBorder="1" applyAlignment="1" applyProtection="1">
      <alignment horizontal="center" vertical="center"/>
      <protection locked="0"/>
    </xf>
    <xf numFmtId="0" fontId="27" fillId="2" borderId="9" xfId="1" applyFont="1" applyFill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5" fontId="3" fillId="0" borderId="2" xfId="1" applyNumberFormat="1" applyFont="1" applyFill="1" applyBorder="1" applyAlignment="1" applyProtection="1">
      <alignment horizontal="right" vertical="center"/>
      <protection locked="0"/>
    </xf>
    <xf numFmtId="0" fontId="3" fillId="2" borderId="2" xfId="1" applyFont="1" applyFill="1" applyBorder="1" applyAlignment="1">
      <alignment horizontal="center" vertical="center" wrapText="1"/>
    </xf>
    <xf numFmtId="5" fontId="3" fillId="4" borderId="2" xfId="1" applyNumberFormat="1" applyFont="1" applyFill="1" applyBorder="1" applyAlignment="1" applyProtection="1">
      <alignment horizontal="right" vertical="center"/>
    </xf>
    <xf numFmtId="5" fontId="3" fillId="3" borderId="28" xfId="1" applyNumberFormat="1" applyFont="1" applyFill="1" applyBorder="1" applyAlignment="1" applyProtection="1">
      <alignment horizontal="center" vertical="center"/>
      <protection locked="0"/>
    </xf>
    <xf numFmtId="5" fontId="3" fillId="3" borderId="29" xfId="1" applyNumberFormat="1" applyFont="1" applyFill="1" applyBorder="1" applyAlignment="1" applyProtection="1">
      <alignment horizontal="center" vertical="center"/>
      <protection locked="0"/>
    </xf>
    <xf numFmtId="0" fontId="3" fillId="2" borderId="2" xfId="1" applyFont="1" applyFill="1" applyBorder="1" applyAlignment="1">
      <alignment horizontal="center" vertical="center"/>
    </xf>
    <xf numFmtId="5" fontId="3" fillId="3" borderId="2" xfId="1" applyNumberFormat="1" applyFont="1" applyFill="1" applyBorder="1" applyAlignment="1" applyProtection="1">
      <alignment horizontal="right" vertical="center"/>
      <protection locked="0"/>
    </xf>
    <xf numFmtId="0" fontId="3" fillId="2" borderId="33" xfId="1" applyFont="1" applyFill="1" applyBorder="1" applyAlignment="1">
      <alignment horizontal="center" vertical="center"/>
    </xf>
    <xf numFmtId="0" fontId="3" fillId="4" borderId="2" xfId="1" applyFont="1" applyFill="1" applyBorder="1" applyAlignment="1" applyProtection="1">
      <alignment horizontal="right" vertical="center"/>
    </xf>
    <xf numFmtId="14" fontId="16" fillId="2" borderId="35" xfId="1" applyNumberFormat="1" applyFont="1" applyFill="1" applyBorder="1" applyAlignment="1">
      <alignment horizontal="center" vertical="center"/>
    </xf>
    <xf numFmtId="14" fontId="16" fillId="2" borderId="1" xfId="1" applyNumberFormat="1" applyFont="1" applyFill="1" applyBorder="1" applyAlignment="1">
      <alignment horizontal="center" vertical="center"/>
    </xf>
    <xf numFmtId="14" fontId="3" fillId="3" borderId="28" xfId="1" applyNumberFormat="1" applyFont="1" applyFill="1" applyBorder="1" applyAlignment="1" applyProtection="1">
      <alignment horizontal="center" vertical="center"/>
      <protection locked="0"/>
    </xf>
    <xf numFmtId="14" fontId="3" fillId="3" borderId="29" xfId="1" applyNumberFormat="1" applyFont="1" applyFill="1" applyBorder="1" applyAlignment="1" applyProtection="1">
      <alignment horizontal="center" vertical="center"/>
      <protection locked="0"/>
    </xf>
    <xf numFmtId="14" fontId="3" fillId="3" borderId="28" xfId="1" applyNumberFormat="1" applyFont="1" applyFill="1" applyBorder="1" applyAlignment="1" applyProtection="1">
      <alignment horizontal="center" vertical="center" wrapText="1"/>
      <protection locked="0"/>
    </xf>
    <xf numFmtId="14" fontId="3" fillId="3" borderId="29" xfId="1" applyNumberFormat="1" applyFont="1" applyFill="1" applyBorder="1" applyAlignment="1" applyProtection="1">
      <alignment horizontal="center" vertical="center" wrapText="1"/>
      <protection locked="0"/>
    </xf>
    <xf numFmtId="0" fontId="4" fillId="2" borderId="7" xfId="1" applyFont="1" applyFill="1" applyBorder="1" applyAlignment="1">
      <alignment horizontal="left" vertical="center"/>
    </xf>
    <xf numFmtId="0" fontId="3" fillId="3" borderId="2" xfId="1" applyFont="1" applyFill="1" applyBorder="1" applyAlignment="1" applyProtection="1">
      <alignment horizontal="left" vertical="center"/>
      <protection locked="0"/>
    </xf>
    <xf numFmtId="187" fontId="3" fillId="3" borderId="2" xfId="1" applyNumberFormat="1" applyFont="1" applyFill="1" applyBorder="1" applyAlignment="1" applyProtection="1">
      <alignment horizontal="center" vertical="center"/>
      <protection locked="0"/>
    </xf>
    <xf numFmtId="0" fontId="3" fillId="2" borderId="28" xfId="1" applyFont="1" applyFill="1" applyBorder="1" applyAlignment="1">
      <alignment horizontal="left" vertical="center"/>
    </xf>
    <xf numFmtId="0" fontId="3" fillId="2" borderId="29" xfId="1" applyFont="1" applyFill="1" applyBorder="1" applyAlignment="1">
      <alignment horizontal="left" vertical="center"/>
    </xf>
    <xf numFmtId="0" fontId="3" fillId="2" borderId="23" xfId="1" applyFont="1" applyFill="1" applyBorder="1" applyAlignment="1">
      <alignment horizontal="center" vertical="center"/>
    </xf>
    <xf numFmtId="176" fontId="3" fillId="3" borderId="28" xfId="1" applyNumberFormat="1" applyFont="1" applyFill="1" applyBorder="1" applyAlignment="1" applyProtection="1">
      <alignment horizontal="right" vertical="center"/>
      <protection locked="0"/>
    </xf>
    <xf numFmtId="176" fontId="3" fillId="3" borderId="29" xfId="1" applyNumberFormat="1" applyFont="1" applyFill="1" applyBorder="1" applyAlignment="1" applyProtection="1">
      <alignment horizontal="right" vertical="center"/>
      <protection locked="0"/>
    </xf>
    <xf numFmtId="0" fontId="5" fillId="2" borderId="0" xfId="1" applyFont="1" applyFill="1" applyBorder="1" applyAlignment="1">
      <alignment horizontal="center" vertical="center"/>
    </xf>
    <xf numFmtId="14" fontId="3" fillId="3" borderId="2" xfId="1" applyNumberFormat="1" applyFont="1" applyFill="1" applyBorder="1" applyAlignment="1" applyProtection="1">
      <alignment horizontal="center" vertical="center"/>
      <protection locked="0"/>
    </xf>
    <xf numFmtId="0" fontId="3" fillId="2" borderId="9" xfId="1" applyFont="1" applyFill="1" applyBorder="1" applyAlignment="1">
      <alignment horizontal="center" vertical="center"/>
    </xf>
    <xf numFmtId="176" fontId="3" fillId="4" borderId="2" xfId="1" applyNumberFormat="1" applyFont="1" applyFill="1" applyBorder="1" applyAlignment="1" applyProtection="1">
      <alignment horizontal="right" vertical="center"/>
    </xf>
    <xf numFmtId="6" fontId="3" fillId="4" borderId="2" xfId="1" applyNumberFormat="1" applyFont="1" applyFill="1" applyBorder="1" applyAlignment="1" applyProtection="1">
      <alignment horizontal="right" vertical="center"/>
    </xf>
    <xf numFmtId="56" fontId="3" fillId="3" borderId="28" xfId="1" quotePrefix="1" applyNumberFormat="1" applyFont="1" applyFill="1" applyBorder="1" applyAlignment="1" applyProtection="1">
      <alignment horizontal="left" vertical="center" wrapText="1"/>
      <protection locked="0"/>
    </xf>
    <xf numFmtId="56" fontId="3" fillId="3" borderId="11" xfId="1" applyNumberFormat="1" applyFont="1" applyFill="1" applyBorder="1" applyAlignment="1" applyProtection="1">
      <alignment horizontal="left" vertical="center" wrapText="1"/>
      <protection locked="0"/>
    </xf>
    <xf numFmtId="56" fontId="3" fillId="3" borderId="29" xfId="1" applyNumberFormat="1" applyFont="1" applyFill="1" applyBorder="1" applyAlignment="1" applyProtection="1">
      <alignment horizontal="left" vertical="center" wrapText="1"/>
      <protection locked="0"/>
    </xf>
    <xf numFmtId="49" fontId="3" fillId="3" borderId="14" xfId="1" quotePrefix="1" applyNumberFormat="1" applyFont="1" applyFill="1" applyBorder="1" applyAlignment="1" applyProtection="1">
      <alignment horizontal="center" vertical="center"/>
      <protection locked="0"/>
    </xf>
    <xf numFmtId="49" fontId="3" fillId="3" borderId="31" xfId="1" applyNumberFormat="1" applyFont="1" applyFill="1" applyBorder="1" applyAlignment="1" applyProtection="1">
      <alignment horizontal="center" vertical="center"/>
      <protection locked="0"/>
    </xf>
    <xf numFmtId="56" fontId="3" fillId="3" borderId="28" xfId="1" applyNumberFormat="1" applyFont="1" applyFill="1" applyBorder="1" applyAlignment="1" applyProtection="1">
      <alignment horizontal="center" vertical="center"/>
      <protection locked="0"/>
    </xf>
    <xf numFmtId="56" fontId="3" fillId="3" borderId="34" xfId="1" applyNumberFormat="1" applyFont="1" applyFill="1" applyBorder="1" applyAlignment="1" applyProtection="1">
      <alignment horizontal="center" vertical="center"/>
      <protection locked="0"/>
    </xf>
    <xf numFmtId="5" fontId="3" fillId="3" borderId="28" xfId="1" applyNumberFormat="1" applyFont="1" applyFill="1" applyBorder="1" applyAlignment="1" applyProtection="1">
      <alignment horizontal="center" vertical="center" shrinkToFit="1"/>
      <protection locked="0"/>
    </xf>
    <xf numFmtId="5" fontId="3" fillId="3" borderId="11" xfId="1" applyNumberFormat="1" applyFont="1" applyFill="1" applyBorder="1" applyAlignment="1" applyProtection="1">
      <alignment horizontal="center" vertical="center" shrinkToFit="1"/>
      <protection locked="0"/>
    </xf>
    <xf numFmtId="5" fontId="3" fillId="3" borderId="29" xfId="1" applyNumberFormat="1" applyFont="1" applyFill="1" applyBorder="1" applyAlignment="1" applyProtection="1">
      <alignment horizontal="center" vertical="center" shrinkToFit="1"/>
      <protection locked="0"/>
    </xf>
    <xf numFmtId="188" fontId="3" fillId="3" borderId="28" xfId="1" applyNumberFormat="1" applyFont="1" applyFill="1" applyBorder="1" applyAlignment="1" applyProtection="1">
      <alignment horizontal="center" vertical="center"/>
      <protection locked="0"/>
    </xf>
    <xf numFmtId="188" fontId="3" fillId="3" borderId="29" xfId="1" applyNumberFormat="1" applyFont="1" applyFill="1" applyBorder="1" applyAlignment="1" applyProtection="1">
      <alignment horizontal="center" vertical="center"/>
      <protection locked="0"/>
    </xf>
    <xf numFmtId="0" fontId="4" fillId="2" borderId="9" xfId="1" applyFont="1" applyFill="1" applyBorder="1" applyAlignment="1">
      <alignment horizontal="left" vertical="center"/>
    </xf>
    <xf numFmtId="5" fontId="3" fillId="3" borderId="28" xfId="1" applyNumberFormat="1" applyFont="1" applyFill="1" applyBorder="1" applyAlignment="1" applyProtection="1">
      <alignment horizontal="right" vertical="center"/>
      <protection locked="0"/>
    </xf>
    <xf numFmtId="5" fontId="3" fillId="3" borderId="11" xfId="1" applyNumberFormat="1" applyFont="1" applyFill="1" applyBorder="1" applyAlignment="1" applyProtection="1">
      <alignment horizontal="right" vertical="center"/>
      <protection locked="0"/>
    </xf>
    <xf numFmtId="5" fontId="3" fillId="3" borderId="29" xfId="1" applyNumberFormat="1" applyFont="1" applyFill="1" applyBorder="1" applyAlignment="1" applyProtection="1">
      <alignment horizontal="right" vertical="center"/>
      <protection locked="0"/>
    </xf>
    <xf numFmtId="0" fontId="5" fillId="2" borderId="1" xfId="1" applyFont="1" applyFill="1" applyBorder="1" applyAlignment="1">
      <alignment horizontal="center" vertical="center"/>
    </xf>
    <xf numFmtId="0" fontId="3" fillId="3" borderId="2" xfId="1" applyFont="1" applyFill="1" applyBorder="1" applyAlignment="1" applyProtection="1">
      <alignment horizontal="center" vertical="center"/>
      <protection locked="0"/>
    </xf>
    <xf numFmtId="0" fontId="3" fillId="2" borderId="28" xfId="1" applyFont="1" applyFill="1" applyBorder="1" applyAlignment="1">
      <alignment horizontal="center" vertical="center"/>
    </xf>
    <xf numFmtId="0" fontId="3" fillId="2" borderId="29" xfId="1" applyFont="1" applyFill="1" applyBorder="1" applyAlignment="1">
      <alignment horizontal="center" vertical="center"/>
    </xf>
    <xf numFmtId="14" fontId="3" fillId="3" borderId="28" xfId="1" applyNumberFormat="1" applyFont="1" applyFill="1" applyBorder="1" applyAlignment="1" applyProtection="1">
      <alignment horizontal="left" vertical="center" wrapText="1"/>
      <protection locked="0"/>
    </xf>
    <xf numFmtId="14" fontId="3" fillId="3" borderId="11" xfId="1" applyNumberFormat="1" applyFont="1" applyFill="1" applyBorder="1" applyAlignment="1" applyProtection="1">
      <alignment horizontal="left" vertical="center" wrapText="1"/>
      <protection locked="0"/>
    </xf>
    <xf numFmtId="14" fontId="3" fillId="3" borderId="29" xfId="1" applyNumberFormat="1" applyFont="1" applyFill="1" applyBorder="1" applyAlignment="1" applyProtection="1">
      <alignment horizontal="left" vertical="center" wrapText="1"/>
      <protection locked="0"/>
    </xf>
    <xf numFmtId="0" fontId="3" fillId="2" borderId="11" xfId="1" applyFont="1" applyFill="1" applyBorder="1" applyAlignment="1">
      <alignment horizontal="left" vertical="center"/>
    </xf>
    <xf numFmtId="5" fontId="3" fillId="4" borderId="28" xfId="1" applyNumberFormat="1" applyFont="1" applyFill="1" applyBorder="1" applyAlignment="1" applyProtection="1">
      <alignment horizontal="right" vertical="center"/>
    </xf>
    <xf numFmtId="5" fontId="3" fillId="4" borderId="11" xfId="1" applyNumberFormat="1" applyFont="1" applyFill="1" applyBorder="1" applyAlignment="1" applyProtection="1">
      <alignment horizontal="right" vertical="center"/>
    </xf>
    <xf numFmtId="5" fontId="3" fillId="4" borderId="29" xfId="1" applyNumberFormat="1" applyFont="1" applyFill="1" applyBorder="1" applyAlignment="1" applyProtection="1">
      <alignment horizontal="right" vertical="center"/>
    </xf>
    <xf numFmtId="0" fontId="22" fillId="2" borderId="9" xfId="1" applyFont="1" applyFill="1" applyBorder="1" applyAlignment="1">
      <alignment horizontal="center" vertical="center"/>
    </xf>
    <xf numFmtId="14" fontId="3" fillId="3" borderId="11" xfId="1" applyNumberFormat="1" applyFont="1" applyFill="1" applyBorder="1" applyAlignment="1" applyProtection="1">
      <alignment horizontal="center" vertical="center"/>
      <protection locked="0"/>
    </xf>
    <xf numFmtId="14" fontId="3" fillId="3" borderId="32" xfId="1" applyNumberFormat="1" applyFont="1" applyFill="1" applyBorder="1" applyAlignment="1" applyProtection="1">
      <alignment horizontal="center" vertical="center" wrapText="1"/>
      <protection locked="0"/>
    </xf>
    <xf numFmtId="49" fontId="3" fillId="2" borderId="0" xfId="1" applyNumberFormat="1" applyFont="1" applyFill="1" applyBorder="1" applyAlignment="1" applyProtection="1">
      <alignment horizontal="right" vertical="center"/>
      <protection locked="0"/>
    </xf>
    <xf numFmtId="14" fontId="3" fillId="3" borderId="10" xfId="1" applyNumberFormat="1" applyFont="1" applyFill="1" applyBorder="1" applyAlignment="1" applyProtection="1">
      <alignment horizontal="center" vertical="center"/>
      <protection locked="0"/>
    </xf>
    <xf numFmtId="14" fontId="3" fillId="3" borderId="7" xfId="1" applyNumberFormat="1" applyFont="1" applyFill="1" applyBorder="1" applyAlignment="1" applyProtection="1">
      <alignment horizontal="center" vertical="center"/>
      <protection locked="0"/>
    </xf>
    <xf numFmtId="14" fontId="3" fillId="3" borderId="30" xfId="1" applyNumberFormat="1" applyFont="1" applyFill="1" applyBorder="1" applyAlignment="1" applyProtection="1">
      <alignment horizontal="center" vertical="center"/>
      <protection locked="0"/>
    </xf>
    <xf numFmtId="0" fontId="3" fillId="3" borderId="28" xfId="1" applyFont="1" applyFill="1" applyBorder="1" applyAlignment="1" applyProtection="1">
      <alignment horizontal="left" vertical="center"/>
      <protection locked="0"/>
    </xf>
    <xf numFmtId="0" fontId="3" fillId="3" borderId="11" xfId="1" applyFont="1" applyFill="1" applyBorder="1" applyAlignment="1" applyProtection="1">
      <alignment horizontal="left" vertical="center"/>
      <protection locked="0"/>
    </xf>
    <xf numFmtId="0" fontId="3" fillId="3" borderId="29" xfId="1" applyFont="1" applyFill="1" applyBorder="1" applyAlignment="1" applyProtection="1">
      <alignment horizontal="left" vertical="center"/>
      <protection locked="0"/>
    </xf>
    <xf numFmtId="49" fontId="3" fillId="3" borderId="14" xfId="1" applyNumberFormat="1" applyFont="1" applyFill="1" applyBorder="1" applyAlignment="1" applyProtection="1">
      <alignment horizontal="center" vertical="center" wrapText="1"/>
      <protection locked="0"/>
    </xf>
    <xf numFmtId="0" fontId="3" fillId="2" borderId="28" xfId="1" applyFont="1" applyFill="1" applyBorder="1" applyAlignment="1">
      <alignment horizontal="center" vertical="center" wrapText="1"/>
    </xf>
    <xf numFmtId="0" fontId="3" fillId="2" borderId="29" xfId="1" applyFont="1" applyFill="1" applyBorder="1" applyAlignment="1">
      <alignment horizontal="center" vertical="center" wrapText="1"/>
    </xf>
    <xf numFmtId="0" fontId="24" fillId="3" borderId="37" xfId="1" applyFont="1" applyFill="1" applyBorder="1" applyAlignment="1" applyProtection="1">
      <alignment horizontal="center" vertical="center" wrapText="1"/>
    </xf>
    <xf numFmtId="0" fontId="24" fillId="3" borderId="38" xfId="1" applyFont="1" applyFill="1" applyBorder="1" applyAlignment="1" applyProtection="1">
      <alignment horizontal="center" vertical="center"/>
    </xf>
    <xf numFmtId="0" fontId="3" fillId="0" borderId="19" xfId="1" applyFont="1" applyBorder="1" applyAlignment="1" applyProtection="1">
      <alignment horizontal="center" vertical="center"/>
      <protection locked="0"/>
    </xf>
    <xf numFmtId="0" fontId="3" fillId="12" borderId="19" xfId="1" applyFont="1" applyFill="1" applyBorder="1" applyAlignment="1" applyProtection="1">
      <alignment horizontal="center" vertical="center"/>
      <protection locked="0"/>
    </xf>
    <xf numFmtId="0" fontId="3" fillId="8" borderId="25" xfId="1" applyFont="1" applyFill="1" applyBorder="1" applyAlignment="1" applyProtection="1">
      <alignment horizontal="center" vertical="center"/>
      <protection locked="0"/>
    </xf>
    <xf numFmtId="0" fontId="3" fillId="9" borderId="25" xfId="1" applyFont="1" applyFill="1" applyBorder="1" applyAlignment="1" applyProtection="1">
      <alignment horizontal="center" vertical="center"/>
      <protection locked="0"/>
    </xf>
    <xf numFmtId="0" fontId="3" fillId="9" borderId="19" xfId="1" applyFont="1" applyFill="1" applyBorder="1" applyAlignment="1" applyProtection="1">
      <alignment horizontal="center" vertical="center"/>
      <protection locked="0"/>
    </xf>
    <xf numFmtId="0" fontId="3" fillId="0" borderId="19" xfId="1" applyFont="1" applyBorder="1" applyAlignment="1" applyProtection="1">
      <alignment horizontal="center" vertical="center" wrapText="1"/>
      <protection locked="0"/>
    </xf>
    <xf numFmtId="0" fontId="3" fillId="0" borderId="26" xfId="1" applyFont="1" applyBorder="1" applyAlignment="1" applyProtection="1">
      <alignment horizontal="center" vertical="center"/>
      <protection locked="0"/>
    </xf>
    <xf numFmtId="0" fontId="3" fillId="0" borderId="25" xfId="1" applyFont="1" applyBorder="1" applyAlignment="1" applyProtection="1">
      <alignment horizontal="center" vertical="center"/>
      <protection locked="0"/>
    </xf>
    <xf numFmtId="0" fontId="3" fillId="0" borderId="15" xfId="1" applyFont="1" applyBorder="1" applyAlignment="1" applyProtection="1">
      <alignment horizontal="center" vertical="center"/>
      <protection locked="0"/>
    </xf>
    <xf numFmtId="0" fontId="3" fillId="0" borderId="36" xfId="1" applyFont="1" applyBorder="1" applyAlignment="1" applyProtection="1">
      <alignment horizontal="center" vertical="center"/>
      <protection locked="0"/>
    </xf>
    <xf numFmtId="0" fontId="3" fillId="0" borderId="24" xfId="1" applyFont="1" applyBorder="1" applyAlignment="1" applyProtection="1">
      <alignment horizontal="center" vertical="center"/>
      <protection locked="0"/>
    </xf>
    <xf numFmtId="183" fontId="3" fillId="0" borderId="26" xfId="1" applyNumberFormat="1" applyFont="1" applyBorder="1" applyAlignment="1" applyProtection="1">
      <alignment horizontal="center" vertical="center" wrapText="1"/>
      <protection locked="0"/>
    </xf>
    <xf numFmtId="183" fontId="3" fillId="0" borderId="25" xfId="1" applyNumberFormat="1" applyFont="1" applyBorder="1" applyAlignment="1" applyProtection="1">
      <alignment horizontal="center" vertical="center"/>
      <protection locked="0"/>
    </xf>
    <xf numFmtId="187" fontId="3" fillId="0" borderId="19" xfId="1" applyNumberFormat="1" applyFont="1" applyBorder="1" applyAlignment="1" applyProtection="1">
      <alignment horizontal="center" vertical="center" wrapText="1"/>
      <protection locked="0"/>
    </xf>
    <xf numFmtId="187" fontId="3" fillId="0" borderId="19" xfId="1" applyNumberFormat="1" applyFont="1" applyBorder="1" applyAlignment="1" applyProtection="1">
      <alignment horizontal="center" vertical="center"/>
      <protection locked="0"/>
    </xf>
    <xf numFmtId="0" fontId="3" fillId="11" borderId="19" xfId="1" applyFont="1" applyFill="1" applyBorder="1" applyAlignment="1" applyProtection="1">
      <alignment horizontal="center" vertical="center"/>
      <protection locked="0"/>
    </xf>
    <xf numFmtId="183" fontId="3" fillId="0" borderId="19" xfId="1" applyNumberFormat="1" applyFont="1" applyBorder="1" applyAlignment="1" applyProtection="1">
      <alignment horizontal="center" vertical="center" wrapText="1"/>
      <protection locked="0"/>
    </xf>
    <xf numFmtId="183" fontId="3" fillId="0" borderId="19" xfId="1" applyNumberFormat="1" applyFont="1" applyBorder="1" applyAlignment="1" applyProtection="1">
      <alignment horizontal="center" vertical="center"/>
      <protection locked="0"/>
    </xf>
    <xf numFmtId="0" fontId="3" fillId="6" borderId="19" xfId="1" applyFont="1" applyFill="1" applyBorder="1" applyAlignment="1" applyProtection="1">
      <alignment horizontal="center" vertical="center"/>
      <protection locked="0"/>
    </xf>
    <xf numFmtId="38" fontId="3" fillId="0" borderId="19" xfId="3" applyFont="1" applyBorder="1" applyAlignment="1" applyProtection="1">
      <alignment horizontal="center" vertical="center"/>
      <protection locked="0"/>
    </xf>
    <xf numFmtId="0" fontId="3" fillId="0" borderId="26" xfId="1" applyFont="1" applyBorder="1" applyAlignment="1" applyProtection="1">
      <alignment horizontal="center" vertical="center" wrapText="1"/>
      <protection locked="0"/>
    </xf>
    <xf numFmtId="0" fontId="0" fillId="0" borderId="25" xfId="0" applyBorder="1" applyAlignment="1">
      <alignment horizontal="center" vertical="center"/>
    </xf>
    <xf numFmtId="0" fontId="3" fillId="7" borderId="19" xfId="1" applyFont="1" applyFill="1" applyBorder="1" applyAlignment="1" applyProtection="1">
      <alignment horizontal="center" vertical="center"/>
      <protection locked="0"/>
    </xf>
    <xf numFmtId="0" fontId="3" fillId="0" borderId="27" xfId="1" applyFont="1" applyBorder="1" applyAlignment="1" applyProtection="1">
      <alignment horizontal="center" vertical="center"/>
      <protection locked="0"/>
    </xf>
    <xf numFmtId="0" fontId="3" fillId="2" borderId="19" xfId="1" applyFont="1" applyFill="1" applyBorder="1" applyAlignment="1">
      <alignment horizontal="center" vertical="center"/>
    </xf>
    <xf numFmtId="0" fontId="23" fillId="7" borderId="19" xfId="1" applyFont="1" applyFill="1" applyBorder="1" applyAlignment="1">
      <alignment horizontal="center" vertical="center"/>
    </xf>
    <xf numFmtId="0" fontId="23" fillId="7" borderId="15" xfId="1" applyFont="1" applyFill="1" applyBorder="1" applyAlignment="1">
      <alignment horizontal="center" vertical="center"/>
    </xf>
    <xf numFmtId="0" fontId="23" fillId="7" borderId="24" xfId="1" applyFont="1" applyFill="1" applyBorder="1" applyAlignment="1">
      <alignment horizontal="center" vertical="center"/>
    </xf>
    <xf numFmtId="0" fontId="3" fillId="2" borderId="19" xfId="1" applyFont="1" applyFill="1" applyBorder="1" applyAlignment="1">
      <alignment horizontal="left" vertical="center"/>
    </xf>
    <xf numFmtId="0" fontId="5" fillId="2" borderId="19" xfId="1" applyFont="1" applyFill="1" applyBorder="1" applyAlignment="1">
      <alignment horizontal="center" vertical="center"/>
    </xf>
    <xf numFmtId="0" fontId="3" fillId="2" borderId="19" xfId="1" applyFont="1" applyFill="1" applyBorder="1" applyAlignment="1">
      <alignment horizontal="center" vertical="center" wrapText="1"/>
    </xf>
    <xf numFmtId="0" fontId="4" fillId="2" borderId="19" xfId="1" applyFont="1" applyFill="1" applyBorder="1" applyAlignment="1">
      <alignment horizontal="left" vertical="center"/>
    </xf>
    <xf numFmtId="0" fontId="23" fillId="7" borderId="19" xfId="1" applyFont="1" applyFill="1" applyBorder="1" applyAlignment="1">
      <alignment horizontal="center" vertical="center" shrinkToFit="1"/>
    </xf>
    <xf numFmtId="0" fontId="3" fillId="2" borderId="17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23" fillId="7" borderId="15" xfId="1" applyFont="1" applyFill="1" applyBorder="1" applyAlignment="1">
      <alignment horizontal="center" vertical="center" wrapText="1"/>
    </xf>
    <xf numFmtId="0" fontId="23" fillId="7" borderId="36" xfId="1" applyFont="1" applyFill="1" applyBorder="1" applyAlignment="1">
      <alignment horizontal="center" vertical="center" wrapText="1"/>
    </xf>
    <xf numFmtId="0" fontId="23" fillId="7" borderId="24" xfId="1" applyFont="1" applyFill="1" applyBorder="1" applyAlignment="1">
      <alignment horizontal="center" vertical="center" wrapText="1"/>
    </xf>
    <xf numFmtId="0" fontId="3" fillId="2" borderId="26" xfId="1" applyFont="1" applyFill="1" applyBorder="1" applyAlignment="1">
      <alignment horizontal="left" vertical="center"/>
    </xf>
    <xf numFmtId="0" fontId="3" fillId="2" borderId="15" xfId="1" applyFont="1" applyFill="1" applyBorder="1" applyAlignment="1">
      <alignment horizontal="left" vertical="center"/>
    </xf>
    <xf numFmtId="0" fontId="3" fillId="2" borderId="36" xfId="1" applyFont="1" applyFill="1" applyBorder="1" applyAlignment="1">
      <alignment horizontal="left" vertical="center"/>
    </xf>
    <xf numFmtId="0" fontId="3" fillId="2" borderId="24" xfId="1" applyFont="1" applyFill="1" applyBorder="1" applyAlignment="1">
      <alignment horizontal="left" vertical="center"/>
    </xf>
    <xf numFmtId="0" fontId="13" fillId="2" borderId="39" xfId="1" applyFont="1" applyFill="1" applyBorder="1" applyAlignment="1">
      <alignment horizontal="left" vertical="center"/>
    </xf>
    <xf numFmtId="0" fontId="13" fillId="2" borderId="40" xfId="1" applyFont="1" applyFill="1" applyBorder="1" applyAlignment="1">
      <alignment horizontal="left" vertical="center"/>
    </xf>
    <xf numFmtId="0" fontId="13" fillId="2" borderId="41" xfId="1" applyFont="1" applyFill="1" applyBorder="1" applyAlignment="1">
      <alignment horizontal="left" vertical="center"/>
    </xf>
    <xf numFmtId="0" fontId="23" fillId="2" borderId="19" xfId="1" applyFont="1" applyFill="1" applyBorder="1" applyAlignment="1">
      <alignment horizontal="center" vertical="center"/>
    </xf>
    <xf numFmtId="0" fontId="16" fillId="2" borderId="19" xfId="1" applyFont="1" applyFill="1" applyBorder="1" applyAlignment="1">
      <alignment horizontal="center" vertical="center"/>
    </xf>
    <xf numFmtId="0" fontId="3" fillId="3" borderId="19" xfId="1" applyFont="1" applyFill="1" applyBorder="1" applyAlignment="1">
      <alignment horizontal="right" vertical="center"/>
    </xf>
    <xf numFmtId="14" fontId="3" fillId="3" borderId="19" xfId="1" applyNumberFormat="1" applyFont="1" applyFill="1" applyBorder="1" applyAlignment="1" applyProtection="1">
      <alignment horizontal="center" vertical="center"/>
      <protection locked="0"/>
    </xf>
    <xf numFmtId="0" fontId="3" fillId="2" borderId="26" xfId="1" applyFont="1" applyFill="1" applyBorder="1" applyAlignment="1">
      <alignment horizontal="center" vertical="center"/>
    </xf>
    <xf numFmtId="0" fontId="3" fillId="3" borderId="26" xfId="1" applyFont="1" applyFill="1" applyBorder="1" applyAlignment="1">
      <alignment horizontal="center" vertical="center"/>
    </xf>
    <xf numFmtId="0" fontId="3" fillId="3" borderId="19" xfId="1" applyFont="1" applyFill="1" applyBorder="1" applyAlignment="1">
      <alignment horizontal="center" vertical="center"/>
    </xf>
    <xf numFmtId="0" fontId="3" fillId="3" borderId="19" xfId="1" applyFont="1" applyFill="1" applyBorder="1" applyAlignment="1">
      <alignment horizontal="center" vertical="center" shrinkToFit="1"/>
    </xf>
    <xf numFmtId="0" fontId="3" fillId="2" borderId="15" xfId="1" applyFont="1" applyFill="1" applyBorder="1" applyAlignment="1">
      <alignment horizontal="center" vertical="center"/>
    </xf>
    <xf numFmtId="0" fontId="3" fillId="2" borderId="24" xfId="1" applyFont="1" applyFill="1" applyBorder="1" applyAlignment="1">
      <alignment horizontal="center" vertical="center"/>
    </xf>
    <xf numFmtId="0" fontId="3" fillId="3" borderId="24" xfId="1" applyFont="1" applyFill="1" applyBorder="1" applyAlignment="1">
      <alignment horizontal="right" vertical="center"/>
    </xf>
    <xf numFmtId="0" fontId="3" fillId="3" borderId="15" xfId="1" applyFont="1" applyFill="1" applyBorder="1" applyAlignment="1">
      <alignment horizontal="center" vertical="center" wrapText="1"/>
    </xf>
    <xf numFmtId="0" fontId="3" fillId="3" borderId="36" xfId="1" applyFont="1" applyFill="1" applyBorder="1" applyAlignment="1">
      <alignment horizontal="center" vertical="center" wrapText="1"/>
    </xf>
    <xf numFmtId="0" fontId="3" fillId="3" borderId="24" xfId="1" applyFont="1" applyFill="1" applyBorder="1" applyAlignment="1">
      <alignment horizontal="center" vertical="center" wrapText="1"/>
    </xf>
    <xf numFmtId="0" fontId="4" fillId="2" borderId="15" xfId="1" applyFont="1" applyFill="1" applyBorder="1" applyAlignment="1">
      <alignment horizontal="left" vertical="center"/>
    </xf>
    <xf numFmtId="0" fontId="4" fillId="2" borderId="36" xfId="1" applyFont="1" applyFill="1" applyBorder="1" applyAlignment="1">
      <alignment horizontal="left" vertical="center"/>
    </xf>
    <xf numFmtId="0" fontId="4" fillId="2" borderId="24" xfId="1" applyFont="1" applyFill="1" applyBorder="1" applyAlignment="1">
      <alignment horizontal="left" vertical="center"/>
    </xf>
    <xf numFmtId="0" fontId="3" fillId="3" borderId="19" xfId="1" applyFont="1" applyFill="1" applyBorder="1" applyAlignment="1">
      <alignment horizontal="left" vertical="center"/>
    </xf>
  </cellXfs>
  <cellStyles count="8">
    <cellStyle name="_x000a_sound.drv=mm" xfId="1"/>
    <cellStyle name="_x000a_sound.drv=mm 2 2" xfId="2"/>
    <cellStyle name="桁区切り" xfId="3" builtinId="6"/>
    <cellStyle name="標準" xfId="0" builtinId="0"/>
    <cellStyle name="標準 2" xfId="4"/>
    <cellStyle name="標準 2 2" xfId="5"/>
    <cellStyle name="標準 3" xfId="6"/>
    <cellStyle name="標準 3 3" xfId="7"/>
  </cellStyles>
  <dxfs count="2">
    <dxf>
      <fill>
        <patternFill>
          <bgColor indexed="43"/>
        </patternFill>
      </fill>
    </dxf>
    <dxf>
      <fill>
        <patternFill>
          <bgColor indexed="4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firstButton="1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44</xdr:row>
          <xdr:rowOff>28575</xdr:rowOff>
        </xdr:from>
        <xdr:to>
          <xdr:col>15</xdr:col>
          <xdr:colOff>266700</xdr:colOff>
          <xdr:row>44</xdr:row>
          <xdr:rowOff>219075</xdr:rowOff>
        </xdr:to>
        <xdr:sp macro="" textlink="">
          <xdr:nvSpPr>
            <xdr:cNvPr id="1053" name="optStatusSelector1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9C5F0538-E2E7-0E0C-5005-A404B5AB32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45</xdr:row>
          <xdr:rowOff>28575</xdr:rowOff>
        </xdr:from>
        <xdr:to>
          <xdr:col>15</xdr:col>
          <xdr:colOff>266700</xdr:colOff>
          <xdr:row>45</xdr:row>
          <xdr:rowOff>219075</xdr:rowOff>
        </xdr:to>
        <xdr:sp macro="" textlink="">
          <xdr:nvSpPr>
            <xdr:cNvPr id="1054" name="optStatusSelector2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A943E53C-753E-61AD-CE8F-2345F738F9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46</xdr:row>
          <xdr:rowOff>28575</xdr:rowOff>
        </xdr:from>
        <xdr:to>
          <xdr:col>15</xdr:col>
          <xdr:colOff>266700</xdr:colOff>
          <xdr:row>46</xdr:row>
          <xdr:rowOff>219075</xdr:rowOff>
        </xdr:to>
        <xdr:sp macro="" textlink="">
          <xdr:nvSpPr>
            <xdr:cNvPr id="1055" name="optStatusSelector3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E1F382BA-2BE3-61AF-38AF-F6010727EF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4</xdr:row>
          <xdr:rowOff>0</xdr:rowOff>
        </xdr:from>
        <xdr:to>
          <xdr:col>11</xdr:col>
          <xdr:colOff>19050</xdr:colOff>
          <xdr:row>5</xdr:row>
          <xdr:rowOff>9525</xdr:rowOff>
        </xdr:to>
        <xdr:sp macro="" textlink="">
          <xdr:nvSpPr>
            <xdr:cNvPr id="1070" name="cmdNewEntry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2BD2E15E-4B54-4E62-FBF4-CF84ED094D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4</xdr:row>
          <xdr:rowOff>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1071" name="cmdCallExists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AAE42CA7-73BC-7367-5CF5-FD303DDC38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0</xdr:colOff>
          <xdr:row>0</xdr:row>
          <xdr:rowOff>0</xdr:rowOff>
        </xdr:from>
        <xdr:to>
          <xdr:col>18</xdr:col>
          <xdr:colOff>161925</xdr:colOff>
          <xdr:row>0</xdr:row>
          <xdr:rowOff>257175</xdr:rowOff>
        </xdr:to>
        <xdr:sp macro="" textlink="">
          <xdr:nvSpPr>
            <xdr:cNvPr id="1073" name="cmdExit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8DF63CF2-5370-B1FA-BC82-99ECCCF383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0</xdr:colOff>
          <xdr:row>0</xdr:row>
          <xdr:rowOff>0</xdr:rowOff>
        </xdr:from>
        <xdr:to>
          <xdr:col>13</xdr:col>
          <xdr:colOff>104775</xdr:colOff>
          <xdr:row>0</xdr:row>
          <xdr:rowOff>257175</xdr:rowOff>
        </xdr:to>
        <xdr:sp macro="" textlink="">
          <xdr:nvSpPr>
            <xdr:cNvPr id="1074" name="cmdUpdate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D62D4862-7D02-DB15-764E-782535D0D0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11</xdr:col>
          <xdr:colOff>19050</xdr:colOff>
          <xdr:row>9</xdr:row>
          <xdr:rowOff>0</xdr:rowOff>
        </xdr:to>
        <xdr:sp macro="" textlink="">
          <xdr:nvSpPr>
            <xdr:cNvPr id="1077" name="scrEntryMove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7B27B4B-6146-6857-A155-DB5A3E44FA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19050</xdr:colOff>
          <xdr:row>0</xdr:row>
          <xdr:rowOff>0</xdr:rowOff>
        </xdr:from>
        <xdr:to>
          <xdr:col>15</xdr:col>
          <xdr:colOff>180975</xdr:colOff>
          <xdr:row>0</xdr:row>
          <xdr:rowOff>257175</xdr:rowOff>
        </xdr:to>
        <xdr:sp macro="" textlink="">
          <xdr:nvSpPr>
            <xdr:cNvPr id="1086" name="cmdListDisp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646F817-9FA3-3E1C-368E-D4248F162D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11</xdr:row>
          <xdr:rowOff>57150</xdr:rowOff>
        </xdr:from>
        <xdr:to>
          <xdr:col>1</xdr:col>
          <xdr:colOff>314325</xdr:colOff>
          <xdr:row>11</xdr:row>
          <xdr:rowOff>200025</xdr:rowOff>
        </xdr:to>
        <xdr:sp macro="" textlink="">
          <xdr:nvSpPr>
            <xdr:cNvPr id="1050" name="optKindSelector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E47FE553-F979-6D85-19F0-24F5A1C58B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13</xdr:row>
          <xdr:rowOff>28575</xdr:rowOff>
        </xdr:from>
        <xdr:to>
          <xdr:col>1</xdr:col>
          <xdr:colOff>314325</xdr:colOff>
          <xdr:row>13</xdr:row>
          <xdr:rowOff>200025</xdr:rowOff>
        </xdr:to>
        <xdr:sp macro="" textlink="">
          <xdr:nvSpPr>
            <xdr:cNvPr id="1052" name="optKindSelector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3AAE65AA-E72A-71B5-FB12-8E7F7F6093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12</xdr:row>
          <xdr:rowOff>28575</xdr:rowOff>
        </xdr:from>
        <xdr:to>
          <xdr:col>1</xdr:col>
          <xdr:colOff>314325</xdr:colOff>
          <xdr:row>12</xdr:row>
          <xdr:rowOff>200025</xdr:rowOff>
        </xdr:to>
        <xdr:sp macro="" textlink="">
          <xdr:nvSpPr>
            <xdr:cNvPr id="1081" name="optKindSelector2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20101DEE-3C85-E05E-86FE-854C944258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14</xdr:row>
          <xdr:rowOff>28575</xdr:rowOff>
        </xdr:from>
        <xdr:to>
          <xdr:col>1</xdr:col>
          <xdr:colOff>314325</xdr:colOff>
          <xdr:row>14</xdr:row>
          <xdr:rowOff>200025</xdr:rowOff>
        </xdr:to>
        <xdr:sp macro="" textlink="">
          <xdr:nvSpPr>
            <xdr:cNvPr id="1092" name="optKindSelector4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80017AA2-FB26-48EB-A7A9-9A5C8EC6BF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304800</xdr:colOff>
          <xdr:row>11</xdr:row>
          <xdr:rowOff>0</xdr:rowOff>
        </xdr:to>
        <xdr:sp macro="" textlink="">
          <xdr:nvSpPr>
            <xdr:cNvPr id="1093" name="cmdAutoJudge1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D37EE0BE-7157-5699-C9B1-82048F9218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2</xdr:col>
          <xdr:colOff>19050</xdr:colOff>
          <xdr:row>1</xdr:row>
          <xdr:rowOff>0</xdr:rowOff>
        </xdr:to>
        <xdr:sp macro="" textlink="">
          <xdr:nvSpPr>
            <xdr:cNvPr id="2154" name="cmdSelectDisp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66A5B042-320D-F718-9E92-59F32E716D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19050</xdr:rowOff>
        </xdr:from>
        <xdr:to>
          <xdr:col>4</xdr:col>
          <xdr:colOff>19050</xdr:colOff>
          <xdr:row>1</xdr:row>
          <xdr:rowOff>0</xdr:rowOff>
        </xdr:to>
        <xdr:sp macro="" textlink="">
          <xdr:nvSpPr>
            <xdr:cNvPr id="2155" name="cmdProgressChecker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99C48F7B-8987-005A-BB0A-5CD80806D0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2397" name="cmdForTamae" hidden="1">
              <a:extLst>
                <a:ext uri="{63B3BB69-23CF-44E3-9099-C40C66FF867C}">
                  <a14:compatExt spid="_x0000_s2397"/>
                </a:ext>
                <a:ext uri="{FF2B5EF4-FFF2-40B4-BE49-F238E27FC236}">
                  <a16:creationId xmlns:a16="http://schemas.microsoft.com/office/drawing/2014/main" id="{57484EB1-C421-07FA-45AA-CA98837C78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19050</xdr:rowOff>
        </xdr:from>
        <xdr:to>
          <xdr:col>7</xdr:col>
          <xdr:colOff>476250</xdr:colOff>
          <xdr:row>1</xdr:row>
          <xdr:rowOff>0</xdr:rowOff>
        </xdr:to>
        <xdr:sp macro="" textlink="">
          <xdr:nvSpPr>
            <xdr:cNvPr id="2398" name="cmdGoToLatestData" hidden="1">
              <a:extLst>
                <a:ext uri="{63B3BB69-23CF-44E3-9099-C40C66FF867C}">
                  <a14:compatExt spid="_x0000_s2398"/>
                </a:ext>
                <a:ext uri="{FF2B5EF4-FFF2-40B4-BE49-F238E27FC236}">
                  <a16:creationId xmlns:a16="http://schemas.microsoft.com/office/drawing/2014/main" id="{A22154DF-ABB5-E251-31EF-EA5B377323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19050</xdr:colOff>
          <xdr:row>0</xdr:row>
          <xdr:rowOff>19050</xdr:rowOff>
        </xdr:from>
        <xdr:to>
          <xdr:col>16</xdr:col>
          <xdr:colOff>190500</xdr:colOff>
          <xdr:row>0</xdr:row>
          <xdr:rowOff>276225</xdr:rowOff>
        </xdr:to>
        <xdr:sp macro="" textlink="">
          <xdr:nvSpPr>
            <xdr:cNvPr id="2401" name="cmdFFButton" hidden="1">
              <a:extLst>
                <a:ext uri="{63B3BB69-23CF-44E3-9099-C40C66FF867C}">
                  <a14:compatExt spid="_x0000_s2401"/>
                </a:ext>
                <a:ext uri="{FF2B5EF4-FFF2-40B4-BE49-F238E27FC236}">
                  <a16:creationId xmlns:a16="http://schemas.microsoft.com/office/drawing/2014/main" id="{A8E2F7FB-694A-C164-A73D-0AE960F134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43</xdr:row>
          <xdr:rowOff>0</xdr:rowOff>
        </xdr:from>
        <xdr:to>
          <xdr:col>16</xdr:col>
          <xdr:colOff>19050</xdr:colOff>
          <xdr:row>45</xdr:row>
          <xdr:rowOff>0</xdr:rowOff>
        </xdr:to>
        <xdr:sp macro="" textlink="">
          <xdr:nvSpPr>
            <xdr:cNvPr id="83969" name="Option 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3A8D87FA-A9F0-F9B4-3248-C33CC11D63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44</xdr:row>
          <xdr:rowOff>0</xdr:rowOff>
        </xdr:from>
        <xdr:to>
          <xdr:col>16</xdr:col>
          <xdr:colOff>19050</xdr:colOff>
          <xdr:row>46</xdr:row>
          <xdr:rowOff>0</xdr:rowOff>
        </xdr:to>
        <xdr:sp macro="" textlink="">
          <xdr:nvSpPr>
            <xdr:cNvPr id="83970" name="Option Button 2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A730EC32-E441-3937-5DAF-A8C3E21BB7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45</xdr:row>
          <xdr:rowOff>0</xdr:rowOff>
        </xdr:from>
        <xdr:to>
          <xdr:col>16</xdr:col>
          <xdr:colOff>19050</xdr:colOff>
          <xdr:row>47</xdr:row>
          <xdr:rowOff>0</xdr:rowOff>
        </xdr:to>
        <xdr:sp macro="" textlink="">
          <xdr:nvSpPr>
            <xdr:cNvPr id="83971" name="Option Button 3" hidden="1">
              <a:extLst>
                <a:ext uri="{63B3BB69-23CF-44E3-9099-C40C66FF867C}">
                  <a14:compatExt spid="_x0000_s83971"/>
                </a:ext>
                <a:ext uri="{FF2B5EF4-FFF2-40B4-BE49-F238E27FC236}">
                  <a16:creationId xmlns:a16="http://schemas.microsoft.com/office/drawing/2014/main" id="{C3BAEA3D-B27D-2F6F-B627-47A56BF73D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43</xdr:row>
          <xdr:rowOff>0</xdr:rowOff>
        </xdr:from>
        <xdr:to>
          <xdr:col>16</xdr:col>
          <xdr:colOff>19050</xdr:colOff>
          <xdr:row>45</xdr:row>
          <xdr:rowOff>0</xdr:rowOff>
        </xdr:to>
        <xdr:sp macro="" textlink="">
          <xdr:nvSpPr>
            <xdr:cNvPr id="84993" name="Option Button 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3FB7033E-9A41-E81F-E427-24701CF73F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44</xdr:row>
          <xdr:rowOff>0</xdr:rowOff>
        </xdr:from>
        <xdr:to>
          <xdr:col>16</xdr:col>
          <xdr:colOff>19050</xdr:colOff>
          <xdr:row>46</xdr:row>
          <xdr:rowOff>0</xdr:rowOff>
        </xdr:to>
        <xdr:sp macro="" textlink="">
          <xdr:nvSpPr>
            <xdr:cNvPr id="84994" name="Option Button 2" hidden="1">
              <a:extLst>
                <a:ext uri="{63B3BB69-23CF-44E3-9099-C40C66FF867C}">
                  <a14:compatExt spid="_x0000_s84994"/>
                </a:ext>
                <a:ext uri="{FF2B5EF4-FFF2-40B4-BE49-F238E27FC236}">
                  <a16:creationId xmlns:a16="http://schemas.microsoft.com/office/drawing/2014/main" id="{8F12F8E2-2838-9F6C-64F5-29BCC94113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45</xdr:row>
          <xdr:rowOff>0</xdr:rowOff>
        </xdr:from>
        <xdr:to>
          <xdr:col>16</xdr:col>
          <xdr:colOff>19050</xdr:colOff>
          <xdr:row>47</xdr:row>
          <xdr:rowOff>0</xdr:rowOff>
        </xdr:to>
        <xdr:sp macro="" textlink="">
          <xdr:nvSpPr>
            <xdr:cNvPr id="84995" name="Option Button 3" hidden="1">
              <a:extLst>
                <a:ext uri="{63B3BB69-23CF-44E3-9099-C40C66FF867C}">
                  <a14:compatExt spid="_x0000_s84995"/>
                </a:ext>
                <a:ext uri="{FF2B5EF4-FFF2-40B4-BE49-F238E27FC236}">
                  <a16:creationId xmlns:a16="http://schemas.microsoft.com/office/drawing/2014/main" id="{4E1E4F3A-80D2-A092-F06A-51EDC28631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43</xdr:row>
          <xdr:rowOff>0</xdr:rowOff>
        </xdr:from>
        <xdr:to>
          <xdr:col>16</xdr:col>
          <xdr:colOff>19050</xdr:colOff>
          <xdr:row>45</xdr:row>
          <xdr:rowOff>0</xdr:rowOff>
        </xdr:to>
        <xdr:sp macro="" textlink="">
          <xdr:nvSpPr>
            <xdr:cNvPr id="86017" name="Option 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B38F5913-14D3-C3B5-A5CC-9D933626B4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44</xdr:row>
          <xdr:rowOff>0</xdr:rowOff>
        </xdr:from>
        <xdr:to>
          <xdr:col>16</xdr:col>
          <xdr:colOff>19050</xdr:colOff>
          <xdr:row>46</xdr:row>
          <xdr:rowOff>0</xdr:rowOff>
        </xdr:to>
        <xdr:sp macro="" textlink="">
          <xdr:nvSpPr>
            <xdr:cNvPr id="86018" name="Option Button 2" hidden="1">
              <a:extLst>
                <a:ext uri="{63B3BB69-23CF-44E3-9099-C40C66FF867C}">
                  <a14:compatExt spid="_x0000_s86018"/>
                </a:ext>
                <a:ext uri="{FF2B5EF4-FFF2-40B4-BE49-F238E27FC236}">
                  <a16:creationId xmlns:a16="http://schemas.microsoft.com/office/drawing/2014/main" id="{E2430D7E-6A68-EB68-EDA0-5489A6F488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45</xdr:row>
          <xdr:rowOff>0</xdr:rowOff>
        </xdr:from>
        <xdr:to>
          <xdr:col>16</xdr:col>
          <xdr:colOff>19050</xdr:colOff>
          <xdr:row>47</xdr:row>
          <xdr:rowOff>0</xdr:rowOff>
        </xdr:to>
        <xdr:sp macro="" textlink="">
          <xdr:nvSpPr>
            <xdr:cNvPr id="86019" name="Option Button 3" hidden="1">
              <a:extLst>
                <a:ext uri="{63B3BB69-23CF-44E3-9099-C40C66FF867C}">
                  <a14:compatExt spid="_x0000_s86019"/>
                </a:ext>
                <a:ext uri="{FF2B5EF4-FFF2-40B4-BE49-F238E27FC236}">
                  <a16:creationId xmlns:a16="http://schemas.microsoft.com/office/drawing/2014/main" id="{ABF41DEB-B842-0AA8-7516-FA63270B17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U54"/>
  <sheetViews>
    <sheetView zoomScaleNormal="100" zoomScaleSheetLayoutView="100" workbookViewId="0">
      <pane ySplit="1" topLeftCell="A2" activePane="bottomLeft" state="frozen"/>
      <selection pane="bottomLeft" activeCell="O13" sqref="O13:Q13"/>
    </sheetView>
  </sheetViews>
  <sheetFormatPr defaultColWidth="6" defaultRowHeight="0" customHeight="1" zeroHeight="1" x14ac:dyDescent="0.15"/>
  <cols>
    <col min="1" max="18" width="5" style="45" customWidth="1"/>
    <col min="19" max="19" width="6.875" style="45" customWidth="1"/>
    <col min="20" max="25" width="3" style="84" customWidth="1"/>
    <col min="26" max="26" width="7" style="84" bestFit="1" customWidth="1"/>
    <col min="27" max="248" width="3" style="84" customWidth="1"/>
    <col min="249" max="249" width="7.5" style="84" bestFit="1" customWidth="1"/>
    <col min="250" max="250" width="18.125" style="84" bestFit="1" customWidth="1"/>
    <col min="251" max="251" width="6" style="84" bestFit="1" customWidth="1"/>
    <col min="252" max="252" width="7.5" style="84" bestFit="1" customWidth="1"/>
    <col min="253" max="253" width="6" style="84" bestFit="1" customWidth="1"/>
    <col min="254" max="254" width="6" style="33"/>
    <col min="255" max="255" width="7.5" style="33" bestFit="1" customWidth="1"/>
    <col min="256" max="16384" width="6" style="33"/>
  </cols>
  <sheetData>
    <row r="1" spans="1:255" ht="23.25" customHeight="1" thickBot="1" x14ac:dyDescent="0.2">
      <c r="A1" s="74" t="s">
        <v>67</v>
      </c>
      <c r="B1" s="74"/>
      <c r="C1" s="76" t="str">
        <f>CONCATENATE(D5,E5,F5,G5," ",D6," ",D7)</f>
        <v>18L091901 千葉北 保守作業</v>
      </c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IO1" s="85" t="s">
        <v>149</v>
      </c>
      <c r="IP1" s="85" t="s">
        <v>110</v>
      </c>
      <c r="IQ1" s="85" t="s">
        <v>150</v>
      </c>
      <c r="IR1" s="85" t="s">
        <v>93</v>
      </c>
      <c r="IS1" s="85" t="s">
        <v>185</v>
      </c>
      <c r="IT1" s="52" t="s">
        <v>147</v>
      </c>
      <c r="IU1" s="52" t="s">
        <v>265</v>
      </c>
    </row>
    <row r="2" spans="1:255" ht="18" customHeight="1" x14ac:dyDescent="0.15">
      <c r="A2" s="39" t="s">
        <v>41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17" t="s">
        <v>111</v>
      </c>
      <c r="N2" s="32"/>
      <c r="O2" s="32"/>
      <c r="P2" s="32"/>
      <c r="Q2" s="32"/>
      <c r="R2" s="32"/>
      <c r="S2" s="35"/>
      <c r="IO2" s="78" t="s">
        <v>115</v>
      </c>
      <c r="IP2" s="86" t="s">
        <v>315</v>
      </c>
      <c r="IQ2" s="86" t="s">
        <v>104</v>
      </c>
      <c r="IR2" s="86" t="s">
        <v>207</v>
      </c>
      <c r="IS2" s="87" t="s">
        <v>40</v>
      </c>
      <c r="IT2" s="51" t="s">
        <v>182</v>
      </c>
      <c r="IU2" s="33" t="s">
        <v>256</v>
      </c>
    </row>
    <row r="3" spans="1:255" ht="18" customHeight="1" x14ac:dyDescent="0.15">
      <c r="A3" s="2"/>
      <c r="B3" s="193"/>
      <c r="C3" s="194"/>
      <c r="D3" s="24"/>
      <c r="E3" s="24"/>
      <c r="F3" s="24"/>
      <c r="G3" s="24"/>
      <c r="H3" s="24"/>
      <c r="I3" s="24"/>
      <c r="J3" s="250"/>
      <c r="K3" s="250"/>
      <c r="L3" s="24"/>
      <c r="M3" s="200" t="s">
        <v>103</v>
      </c>
      <c r="N3" s="200"/>
      <c r="O3" s="200" t="s">
        <v>61</v>
      </c>
      <c r="P3" s="200"/>
      <c r="Q3" s="24"/>
      <c r="R3" s="2"/>
      <c r="S3" s="35"/>
      <c r="V3" s="84" t="s">
        <v>286</v>
      </c>
      <c r="IO3" s="86" t="s">
        <v>273</v>
      </c>
      <c r="IP3" s="86" t="s">
        <v>316</v>
      </c>
      <c r="IQ3" s="86" t="s">
        <v>35</v>
      </c>
      <c r="IR3" s="84" t="s">
        <v>277</v>
      </c>
      <c r="IS3" s="87" t="s">
        <v>141</v>
      </c>
      <c r="IT3" s="51" t="s">
        <v>183</v>
      </c>
      <c r="IU3" s="33" t="s">
        <v>255</v>
      </c>
    </row>
    <row r="4" spans="1:255" ht="18" customHeight="1" x14ac:dyDescent="0.15">
      <c r="A4" s="40"/>
      <c r="B4" s="241" t="s">
        <v>151</v>
      </c>
      <c r="C4" s="242"/>
      <c r="D4" s="254">
        <v>44834</v>
      </c>
      <c r="E4" s="255"/>
      <c r="F4" s="256"/>
      <c r="G4" s="3" t="s">
        <v>144</v>
      </c>
      <c r="H4" s="73">
        <v>0</v>
      </c>
      <c r="I4" s="206"/>
      <c r="J4" s="251"/>
      <c r="K4" s="207"/>
      <c r="L4" s="2"/>
      <c r="M4" s="5" t="s">
        <v>76</v>
      </c>
      <c r="N4" s="57">
        <f>SUM(N5:N6)</f>
        <v>0</v>
      </c>
      <c r="O4" s="5" t="s">
        <v>145</v>
      </c>
      <c r="P4" s="58">
        <f>SUM(P5:P6)</f>
        <v>0</v>
      </c>
      <c r="Q4" s="2"/>
      <c r="R4" s="2"/>
      <c r="S4" s="35"/>
      <c r="V4" s="84" t="s">
        <v>287</v>
      </c>
      <c r="IO4" s="86" t="s">
        <v>274</v>
      </c>
      <c r="IP4" s="84" t="s">
        <v>314</v>
      </c>
      <c r="IQ4" s="86" t="s">
        <v>176</v>
      </c>
      <c r="IR4" s="86" t="s">
        <v>165</v>
      </c>
      <c r="IS4" s="87" t="s">
        <v>135</v>
      </c>
      <c r="IT4" s="51" t="s">
        <v>184</v>
      </c>
    </row>
    <row r="5" spans="1:255" ht="18" customHeight="1" x14ac:dyDescent="0.15">
      <c r="A5" s="40"/>
      <c r="B5" s="241" t="s">
        <v>106</v>
      </c>
      <c r="C5" s="242"/>
      <c r="D5" s="46" t="s">
        <v>331</v>
      </c>
      <c r="E5" s="46" t="s">
        <v>6</v>
      </c>
      <c r="F5" s="46" t="s">
        <v>46</v>
      </c>
      <c r="G5" s="260" t="s">
        <v>5224</v>
      </c>
      <c r="H5" s="227"/>
      <c r="I5" s="2"/>
      <c r="J5" s="54"/>
      <c r="K5" s="2"/>
      <c r="L5" s="2"/>
      <c r="M5" s="6" t="s">
        <v>77</v>
      </c>
      <c r="N5" s="47"/>
      <c r="O5" s="6" t="s">
        <v>89</v>
      </c>
      <c r="P5" s="49"/>
      <c r="Q5" s="2"/>
      <c r="R5" s="2"/>
      <c r="S5" s="35"/>
      <c r="V5" s="84" t="s">
        <v>288</v>
      </c>
      <c r="IO5" s="106"/>
      <c r="IP5" s="86" t="s">
        <v>317</v>
      </c>
      <c r="IQ5" s="86" t="s">
        <v>162</v>
      </c>
      <c r="IR5" s="86" t="s">
        <v>213</v>
      </c>
      <c r="IS5" s="87" t="s">
        <v>136</v>
      </c>
      <c r="IT5" s="51" t="s">
        <v>159</v>
      </c>
    </row>
    <row r="6" spans="1:255" ht="18" customHeight="1" x14ac:dyDescent="0.15">
      <c r="A6" s="40"/>
      <c r="B6" s="261" t="s">
        <v>49</v>
      </c>
      <c r="C6" s="262"/>
      <c r="D6" s="257" t="s">
        <v>5225</v>
      </c>
      <c r="E6" s="258"/>
      <c r="F6" s="258"/>
      <c r="G6" s="258"/>
      <c r="H6" s="258"/>
      <c r="I6" s="258"/>
      <c r="J6" s="258"/>
      <c r="K6" s="259"/>
      <c r="L6" s="2"/>
      <c r="M6" s="7" t="s">
        <v>133</v>
      </c>
      <c r="N6" s="48"/>
      <c r="O6" s="7" t="s">
        <v>11</v>
      </c>
      <c r="P6" s="50"/>
      <c r="Q6" s="2"/>
      <c r="R6" s="2"/>
      <c r="S6" s="35"/>
      <c r="V6" s="84" t="s">
        <v>289</v>
      </c>
      <c r="IO6" s="86"/>
      <c r="IP6" s="86" t="s">
        <v>318</v>
      </c>
      <c r="IQ6" s="86" t="s">
        <v>323</v>
      </c>
      <c r="IR6" s="86" t="s">
        <v>214</v>
      </c>
      <c r="IS6" s="87" t="s">
        <v>137</v>
      </c>
      <c r="IT6" s="51" t="s">
        <v>278</v>
      </c>
    </row>
    <row r="7" spans="1:255" ht="18" customHeight="1" x14ac:dyDescent="0.15">
      <c r="A7" s="40"/>
      <c r="B7" s="241" t="s">
        <v>42</v>
      </c>
      <c r="C7" s="242"/>
      <c r="D7" s="243" t="s">
        <v>5226</v>
      </c>
      <c r="E7" s="244"/>
      <c r="F7" s="244"/>
      <c r="G7" s="244"/>
      <c r="H7" s="244"/>
      <c r="I7" s="244"/>
      <c r="J7" s="244"/>
      <c r="K7" s="245"/>
      <c r="L7" s="2"/>
      <c r="M7" s="17" t="s">
        <v>177</v>
      </c>
      <c r="N7" s="2"/>
      <c r="O7" s="2"/>
      <c r="P7" s="2"/>
      <c r="Q7" s="2"/>
      <c r="R7" s="2"/>
      <c r="S7" s="35"/>
      <c r="V7" s="84" t="s">
        <v>290</v>
      </c>
      <c r="IO7" s="86"/>
      <c r="IP7" s="86" t="s">
        <v>14</v>
      </c>
      <c r="IQ7" s="86" t="s">
        <v>186</v>
      </c>
      <c r="IR7" s="86" t="s">
        <v>215</v>
      </c>
      <c r="IS7" s="87" t="s">
        <v>138</v>
      </c>
      <c r="IT7" s="51" t="s">
        <v>279</v>
      </c>
    </row>
    <row r="8" spans="1:255" ht="18" customHeight="1" x14ac:dyDescent="0.15">
      <c r="A8" s="40"/>
      <c r="B8" s="241" t="s">
        <v>43</v>
      </c>
      <c r="C8" s="242"/>
      <c r="D8" s="8" t="s">
        <v>62</v>
      </c>
      <c r="E8" s="252"/>
      <c r="F8" s="251"/>
      <c r="G8" s="207"/>
      <c r="H8" s="8" t="s">
        <v>63</v>
      </c>
      <c r="I8" s="252"/>
      <c r="J8" s="251"/>
      <c r="K8" s="207"/>
      <c r="L8" s="2"/>
      <c r="M8" s="5" t="s">
        <v>160</v>
      </c>
      <c r="N8" s="58">
        <f>SUM(N9:N10)</f>
        <v>0</v>
      </c>
      <c r="O8" s="2"/>
      <c r="P8" s="2"/>
      <c r="Q8" s="2"/>
      <c r="R8" s="2"/>
      <c r="S8" s="35"/>
      <c r="V8" s="84" t="s">
        <v>291</v>
      </c>
      <c r="Z8" s="100"/>
      <c r="IO8" s="86"/>
      <c r="IP8" s="86" t="s">
        <v>319</v>
      </c>
      <c r="IQ8" s="84" t="s">
        <v>324</v>
      </c>
      <c r="IR8" s="86" t="s">
        <v>28</v>
      </c>
      <c r="IS8" s="87" t="s">
        <v>200</v>
      </c>
      <c r="IT8" s="51" t="s">
        <v>280</v>
      </c>
    </row>
    <row r="9" spans="1:255" ht="18" customHeight="1" x14ac:dyDescent="0.15">
      <c r="A9" s="40"/>
      <c r="B9" s="241" t="s">
        <v>188</v>
      </c>
      <c r="C9" s="242"/>
      <c r="D9" s="206"/>
      <c r="E9" s="251"/>
      <c r="F9" s="251"/>
      <c r="G9" s="207"/>
      <c r="H9" s="2"/>
      <c r="I9" s="2"/>
      <c r="J9" s="2"/>
      <c r="K9" s="2"/>
      <c r="L9" s="2"/>
      <c r="M9" s="6" t="s">
        <v>12</v>
      </c>
      <c r="N9" s="49"/>
      <c r="O9" s="2"/>
      <c r="P9" s="103"/>
      <c r="Q9" s="2"/>
      <c r="R9" s="2"/>
      <c r="S9" s="35"/>
      <c r="V9" s="84" t="s">
        <v>292</v>
      </c>
      <c r="IO9" s="86"/>
      <c r="IP9" s="86" t="s">
        <v>320</v>
      </c>
      <c r="IQ9" s="86" t="s">
        <v>148</v>
      </c>
      <c r="IR9" s="86" t="s">
        <v>29</v>
      </c>
      <c r="IS9" s="87" t="s">
        <v>118</v>
      </c>
      <c r="IT9" s="51" t="s">
        <v>281</v>
      </c>
    </row>
    <row r="10" spans="1:255" ht="18" customHeight="1" x14ac:dyDescent="0.15">
      <c r="A10" s="2"/>
      <c r="B10" s="9"/>
      <c r="C10" s="2"/>
      <c r="D10" s="2"/>
      <c r="E10" s="2"/>
      <c r="F10" s="2"/>
      <c r="G10" s="2"/>
      <c r="H10" s="2"/>
      <c r="I10" s="2"/>
      <c r="J10" s="253" t="s">
        <v>5227</v>
      </c>
      <c r="K10" s="253"/>
      <c r="L10" s="2"/>
      <c r="M10" s="7" t="s">
        <v>87</v>
      </c>
      <c r="N10" s="50"/>
      <c r="O10" s="2"/>
      <c r="P10" s="103"/>
      <c r="Q10" s="2"/>
      <c r="R10" s="2"/>
      <c r="S10" s="35"/>
      <c r="V10" s="84" t="s">
        <v>293</v>
      </c>
      <c r="IO10" s="86"/>
      <c r="IP10" s="84" t="s">
        <v>272</v>
      </c>
      <c r="IQ10" s="86" t="s">
        <v>311</v>
      </c>
      <c r="IR10" s="86" t="s">
        <v>209</v>
      </c>
      <c r="IS10" s="87" t="s">
        <v>46</v>
      </c>
      <c r="IT10" s="51" t="s">
        <v>282</v>
      </c>
    </row>
    <row r="11" spans="1:255" ht="18.75" customHeight="1" x14ac:dyDescent="0.15">
      <c r="A11" s="2"/>
      <c r="B11" s="235" t="s">
        <v>212</v>
      </c>
      <c r="C11" s="235"/>
      <c r="D11" s="235"/>
      <c r="E11" s="235"/>
      <c r="F11" s="24"/>
      <c r="G11" s="235" t="s">
        <v>175</v>
      </c>
      <c r="H11" s="235"/>
      <c r="I11" s="235"/>
      <c r="J11" s="235"/>
      <c r="K11" s="235"/>
      <c r="L11" s="24"/>
      <c r="M11" s="235" t="s">
        <v>128</v>
      </c>
      <c r="N11" s="235"/>
      <c r="O11" s="235"/>
      <c r="P11" s="235"/>
      <c r="Q11" s="235"/>
      <c r="R11" s="2"/>
      <c r="S11" s="104"/>
      <c r="T11" s="25"/>
      <c r="U11" s="22"/>
      <c r="V11" s="22" t="s">
        <v>294</v>
      </c>
      <c r="W11" s="22"/>
      <c r="X11" s="26"/>
      <c r="Y11" s="22"/>
      <c r="Z11" s="22"/>
      <c r="AA11" s="22"/>
      <c r="AB11" s="26"/>
      <c r="AC11" s="22"/>
      <c r="AD11" s="22"/>
      <c r="AE11" s="22"/>
      <c r="IO11" s="86"/>
      <c r="IP11" s="86" t="s">
        <v>321</v>
      </c>
      <c r="IQ11" s="86"/>
      <c r="IR11" s="86" t="s">
        <v>208</v>
      </c>
      <c r="IS11" s="87" t="s">
        <v>105</v>
      </c>
      <c r="IT11" s="51" t="s">
        <v>283</v>
      </c>
    </row>
    <row r="12" spans="1:255" ht="18" customHeight="1" x14ac:dyDescent="0.15">
      <c r="A12" s="2"/>
      <c r="B12" s="27"/>
      <c r="C12" s="213" t="s">
        <v>161</v>
      </c>
      <c r="D12" s="246"/>
      <c r="E12" s="214"/>
      <c r="F12" s="24"/>
      <c r="G12" s="200" t="s">
        <v>164</v>
      </c>
      <c r="H12" s="200"/>
      <c r="I12" s="247">
        <f>O12+O15</f>
        <v>35000</v>
      </c>
      <c r="J12" s="248"/>
      <c r="K12" s="249"/>
      <c r="L12" s="2"/>
      <c r="M12" s="200" t="s">
        <v>164</v>
      </c>
      <c r="N12" s="200"/>
      <c r="O12" s="201">
        <v>35000</v>
      </c>
      <c r="P12" s="201"/>
      <c r="Q12" s="201"/>
      <c r="R12" s="2"/>
      <c r="S12" s="35"/>
      <c r="V12" s="84" t="s">
        <v>295</v>
      </c>
      <c r="IO12" s="86"/>
      <c r="IP12" s="86" t="s">
        <v>267</v>
      </c>
      <c r="IQ12" s="86"/>
      <c r="IR12" s="86" t="s">
        <v>45</v>
      </c>
      <c r="IS12" s="87" t="s">
        <v>120</v>
      </c>
      <c r="IT12" s="105" t="s">
        <v>284</v>
      </c>
    </row>
    <row r="13" spans="1:255" ht="18" customHeight="1" x14ac:dyDescent="0.15">
      <c r="A13" s="2"/>
      <c r="B13" s="28"/>
      <c r="C13" s="213" t="s">
        <v>139</v>
      </c>
      <c r="D13" s="246"/>
      <c r="E13" s="214"/>
      <c r="F13" s="24"/>
      <c r="G13" s="196" t="s">
        <v>21</v>
      </c>
      <c r="H13" s="196"/>
      <c r="I13" s="197">
        <f>I12 + (I12 * MASTER!$A$2/100)</f>
        <v>38500</v>
      </c>
      <c r="J13" s="197"/>
      <c r="K13" s="197"/>
      <c r="L13" s="2"/>
      <c r="M13" s="196" t="s">
        <v>21</v>
      </c>
      <c r="N13" s="196"/>
      <c r="O13" s="197">
        <f>O12 + (O12 * MASTER!A2/100)</f>
        <v>38500</v>
      </c>
      <c r="P13" s="197"/>
      <c r="Q13" s="197"/>
      <c r="R13" s="2"/>
      <c r="S13" s="35"/>
      <c r="V13" s="84" t="s">
        <v>296</v>
      </c>
      <c r="IO13" s="86"/>
      <c r="IP13" s="86" t="s">
        <v>266</v>
      </c>
      <c r="IQ13" s="86"/>
      <c r="IR13" s="86" t="s">
        <v>275</v>
      </c>
      <c r="IS13" s="87" t="s">
        <v>125</v>
      </c>
      <c r="IT13" s="105" t="s">
        <v>285</v>
      </c>
    </row>
    <row r="14" spans="1:255" ht="18" customHeight="1" x14ac:dyDescent="0.15">
      <c r="A14" s="2"/>
      <c r="B14" s="28"/>
      <c r="C14" s="213" t="s">
        <v>210</v>
      </c>
      <c r="D14" s="246"/>
      <c r="E14" s="214"/>
      <c r="F14" s="14"/>
      <c r="G14" s="235" t="s">
        <v>251</v>
      </c>
      <c r="H14" s="235"/>
      <c r="I14" s="235"/>
      <c r="J14" s="235"/>
      <c r="K14" s="235"/>
      <c r="L14" s="2"/>
      <c r="M14" s="235" t="s">
        <v>202</v>
      </c>
      <c r="N14" s="235"/>
      <c r="O14" s="235"/>
      <c r="P14" s="235"/>
      <c r="Q14" s="235"/>
      <c r="R14" s="2"/>
      <c r="S14" s="35"/>
      <c r="V14" s="84" t="s">
        <v>297</v>
      </c>
      <c r="IO14" s="86"/>
      <c r="IP14" s="86" t="s">
        <v>162</v>
      </c>
      <c r="IQ14" s="86"/>
      <c r="IR14" s="86" t="s">
        <v>77</v>
      </c>
      <c r="IS14" s="86"/>
      <c r="IT14" s="53"/>
    </row>
    <row r="15" spans="1:255" ht="18" customHeight="1" x14ac:dyDescent="0.15">
      <c r="A15" s="2"/>
      <c r="B15" s="28"/>
      <c r="C15" s="213" t="s">
        <v>56</v>
      </c>
      <c r="D15" s="246"/>
      <c r="E15" s="214"/>
      <c r="F15" s="14"/>
      <c r="G15" s="200" t="s">
        <v>254</v>
      </c>
      <c r="H15" s="200"/>
      <c r="I15" s="195"/>
      <c r="J15" s="195"/>
      <c r="K15" s="195"/>
      <c r="L15" s="2"/>
      <c r="M15" s="200" t="s">
        <v>164</v>
      </c>
      <c r="N15" s="200"/>
      <c r="O15" s="236"/>
      <c r="P15" s="237"/>
      <c r="Q15" s="238"/>
      <c r="R15" s="2"/>
      <c r="S15" s="35"/>
      <c r="V15" s="84" t="s">
        <v>312</v>
      </c>
      <c r="IO15" s="86"/>
      <c r="IP15" s="86" t="s">
        <v>107</v>
      </c>
      <c r="IQ15" s="86"/>
      <c r="IR15" s="86" t="s">
        <v>260</v>
      </c>
      <c r="IS15" s="86"/>
      <c r="IT15" s="53"/>
    </row>
    <row r="16" spans="1:255" ht="18" customHeight="1" x14ac:dyDescent="0.15">
      <c r="A16" s="2"/>
      <c r="B16" s="94"/>
      <c r="C16" s="93"/>
      <c r="D16" s="93"/>
      <c r="E16" s="93"/>
      <c r="F16" s="69"/>
      <c r="G16" s="196" t="s">
        <v>21</v>
      </c>
      <c r="H16" s="196"/>
      <c r="I16" s="197">
        <f>ROUNDDOWN(I15 + (I15 * MASTER!$A$2/100),0)</f>
        <v>0</v>
      </c>
      <c r="J16" s="197"/>
      <c r="K16" s="197"/>
      <c r="L16" s="2"/>
      <c r="M16" s="196" t="s">
        <v>21</v>
      </c>
      <c r="N16" s="200"/>
      <c r="O16" s="197">
        <f>O15 + (O15 * MASTER!A2/100)</f>
        <v>0</v>
      </c>
      <c r="P16" s="197"/>
      <c r="Q16" s="197"/>
      <c r="R16" s="2"/>
      <c r="S16" s="35"/>
      <c r="V16" s="84" t="s">
        <v>313</v>
      </c>
      <c r="IO16" s="86"/>
      <c r="IP16" s="86" t="s">
        <v>322</v>
      </c>
      <c r="IQ16" s="86"/>
      <c r="IR16" s="86" t="s">
        <v>262</v>
      </c>
      <c r="IS16" s="86"/>
      <c r="IT16" s="53"/>
    </row>
    <row r="17" spans="1:254" ht="6" customHeight="1" x14ac:dyDescent="0.1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35"/>
      <c r="V17" s="84" t="s">
        <v>298</v>
      </c>
      <c r="IO17" s="86"/>
      <c r="IQ17" s="86"/>
      <c r="IR17" s="86" t="s">
        <v>263</v>
      </c>
      <c r="IS17" s="86"/>
      <c r="IT17" s="53"/>
    </row>
    <row r="18" spans="1:254" ht="18" customHeight="1" x14ac:dyDescent="0.15">
      <c r="A18" s="2"/>
      <c r="B18" s="18" t="s">
        <v>55</v>
      </c>
      <c r="C18" s="223"/>
      <c r="D18" s="224"/>
      <c r="E18" s="224"/>
      <c r="F18" s="224"/>
      <c r="G18" s="224"/>
      <c r="H18" s="224"/>
      <c r="I18" s="224"/>
      <c r="J18" s="224"/>
      <c r="K18" s="224"/>
      <c r="L18" s="224"/>
      <c r="M18" s="224"/>
      <c r="N18" s="224"/>
      <c r="O18" s="224"/>
      <c r="P18" s="224"/>
      <c r="Q18" s="225"/>
      <c r="R18" s="2"/>
      <c r="S18" s="35"/>
      <c r="V18" s="84" t="s">
        <v>299</v>
      </c>
      <c r="IO18" s="86"/>
      <c r="IP18" s="86"/>
      <c r="IQ18" s="86"/>
      <c r="IR18" s="86" t="s">
        <v>50</v>
      </c>
      <c r="IS18" s="86"/>
      <c r="IT18" s="53"/>
    </row>
    <row r="19" spans="1:254" ht="7.5" customHeight="1" x14ac:dyDescent="0.15">
      <c r="A19" s="220"/>
      <c r="B19" s="220"/>
      <c r="C19" s="220"/>
      <c r="D19" s="220"/>
      <c r="E19" s="220"/>
      <c r="F19" s="220"/>
      <c r="G19" s="220"/>
      <c r="H19" s="220"/>
      <c r="I19" s="220"/>
      <c r="J19" s="220"/>
      <c r="K19" s="220"/>
      <c r="L19" s="220"/>
      <c r="M19" s="220"/>
      <c r="N19" s="220"/>
      <c r="O19" s="220"/>
      <c r="P19" s="220"/>
      <c r="Q19" s="220"/>
      <c r="R19" s="220"/>
      <c r="S19" s="36"/>
      <c r="V19" s="84" t="s">
        <v>300</v>
      </c>
      <c r="IO19" s="86"/>
      <c r="IP19" s="86"/>
      <c r="IQ19" s="86"/>
      <c r="IR19" s="86" t="s">
        <v>259</v>
      </c>
      <c r="IS19" s="86"/>
      <c r="IT19" s="53"/>
    </row>
    <row r="20" spans="1:254" ht="18" customHeight="1" x14ac:dyDescent="0.15">
      <c r="A20" s="41" t="s">
        <v>142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34"/>
      <c r="V20" s="84" t="s">
        <v>301</v>
      </c>
      <c r="IO20" s="86"/>
      <c r="IP20" s="86"/>
      <c r="IQ20" s="86"/>
      <c r="IR20" s="86"/>
      <c r="IS20" s="86"/>
      <c r="IT20" s="53"/>
    </row>
    <row r="21" spans="1:254" ht="6.75" customHeight="1" x14ac:dyDescent="0.15">
      <c r="A21" s="2"/>
      <c r="B21" s="23"/>
      <c r="C21" s="23"/>
      <c r="D21" s="23"/>
      <c r="E21" s="23"/>
      <c r="F21" s="23"/>
      <c r="G21" s="23"/>
      <c r="H21" s="24"/>
      <c r="I21" s="24"/>
      <c r="J21" s="24"/>
      <c r="K21" s="24"/>
      <c r="L21" s="23"/>
      <c r="M21" s="23"/>
      <c r="N21" s="23"/>
      <c r="O21" s="23"/>
      <c r="P21" s="24"/>
      <c r="Q21" s="24"/>
      <c r="R21" s="2"/>
      <c r="S21" s="35"/>
      <c r="V21" s="84" t="s">
        <v>310</v>
      </c>
      <c r="IO21" s="86"/>
      <c r="IP21" s="86"/>
      <c r="IQ21" s="86"/>
      <c r="IR21" s="86"/>
      <c r="IS21" s="86"/>
      <c r="IT21" s="53"/>
    </row>
    <row r="22" spans="1:254" ht="18" customHeight="1" x14ac:dyDescent="0.15">
      <c r="A22" s="40"/>
      <c r="B22" s="200" t="s">
        <v>34</v>
      </c>
      <c r="C22" s="200"/>
      <c r="D22" s="228"/>
      <c r="E22" s="229"/>
      <c r="F22" s="226" t="s">
        <v>309</v>
      </c>
      <c r="G22" s="227"/>
      <c r="H22" s="2"/>
      <c r="I22" s="2"/>
      <c r="J22" s="2"/>
      <c r="K22" s="202" t="s">
        <v>78</v>
      </c>
      <c r="L22" s="202"/>
      <c r="M22" s="200" t="s">
        <v>74</v>
      </c>
      <c r="N22" s="200"/>
      <c r="O22" s="206"/>
      <c r="P22" s="207"/>
      <c r="Q22" s="2"/>
      <c r="R22" s="2"/>
      <c r="S22" s="35"/>
      <c r="V22" s="84" t="s">
        <v>302</v>
      </c>
      <c r="IT22"/>
    </row>
    <row r="23" spans="1:254" ht="18" customHeight="1" x14ac:dyDescent="0.15">
      <c r="A23" s="40"/>
      <c r="B23" s="202" t="s">
        <v>83</v>
      </c>
      <c r="C23" s="202"/>
      <c r="D23" s="206"/>
      <c r="E23" s="207"/>
      <c r="F23" s="1"/>
      <c r="G23" s="2"/>
      <c r="H23" s="15"/>
      <c r="I23" s="15"/>
      <c r="J23" s="2"/>
      <c r="K23" s="215"/>
      <c r="L23" s="215"/>
      <c r="M23" s="200" t="s">
        <v>60</v>
      </c>
      <c r="N23" s="200"/>
      <c r="O23" s="233"/>
      <c r="P23" s="234"/>
      <c r="Q23" s="2"/>
      <c r="R23" s="2"/>
      <c r="S23" s="35"/>
      <c r="V23" s="84" t="s">
        <v>303</v>
      </c>
      <c r="IT23"/>
    </row>
    <row r="24" spans="1:254" ht="18" customHeight="1" x14ac:dyDescent="0.15">
      <c r="A24" s="2"/>
      <c r="B24" s="200" t="s">
        <v>94</v>
      </c>
      <c r="C24" s="200"/>
      <c r="D24" s="219"/>
      <c r="E24" s="219"/>
      <c r="F24" s="200" t="s">
        <v>4899</v>
      </c>
      <c r="G24" s="200"/>
      <c r="H24" s="206"/>
      <c r="I24" s="207"/>
      <c r="J24" s="2"/>
      <c r="K24" s="202" t="s">
        <v>86</v>
      </c>
      <c r="L24" s="202"/>
      <c r="M24" s="200" t="s">
        <v>127</v>
      </c>
      <c r="N24" s="200"/>
      <c r="O24" s="206"/>
      <c r="P24" s="207"/>
      <c r="Q24" s="2"/>
      <c r="R24" s="2"/>
      <c r="S24" s="35"/>
      <c r="V24" s="84" t="s">
        <v>304</v>
      </c>
      <c r="IT24"/>
    </row>
    <row r="25" spans="1:254" ht="18" customHeight="1" x14ac:dyDescent="0.15">
      <c r="A25" s="2"/>
      <c r="B25" s="2"/>
      <c r="C25" s="2"/>
      <c r="D25" s="14"/>
      <c r="E25" s="14"/>
      <c r="F25" s="14"/>
      <c r="G25" s="2"/>
      <c r="H25" s="2"/>
      <c r="I25" s="2"/>
      <c r="J25" s="2"/>
      <c r="K25" s="215"/>
      <c r="L25" s="215"/>
      <c r="M25" s="200" t="s">
        <v>60</v>
      </c>
      <c r="N25" s="200"/>
      <c r="O25" s="206"/>
      <c r="P25" s="207"/>
      <c r="Q25" s="2"/>
      <c r="R25" s="2"/>
      <c r="S25" s="35"/>
      <c r="V25" s="84" t="s">
        <v>305</v>
      </c>
      <c r="IT25"/>
    </row>
    <row r="26" spans="1:254" ht="18" customHeight="1" x14ac:dyDescent="0.15">
      <c r="A26" s="2"/>
      <c r="B26" s="2"/>
      <c r="C26" s="2"/>
      <c r="D26" s="2"/>
      <c r="E26" s="2"/>
      <c r="F26" s="2"/>
      <c r="G26" s="2"/>
      <c r="H26" s="2"/>
      <c r="I26" s="2"/>
      <c r="J26" s="2"/>
      <c r="K26" s="200" t="s">
        <v>85</v>
      </c>
      <c r="L26" s="200"/>
      <c r="M26" s="200"/>
      <c r="N26" s="200"/>
      <c r="O26" s="206"/>
      <c r="P26" s="207"/>
      <c r="Q26" s="2"/>
      <c r="R26" s="2"/>
      <c r="S26" s="35"/>
      <c r="V26" s="84" t="s">
        <v>306</v>
      </c>
      <c r="IT26"/>
    </row>
    <row r="27" spans="1:254" ht="7.5" customHeight="1" x14ac:dyDescent="0.15">
      <c r="A27" s="220"/>
      <c r="B27" s="220"/>
      <c r="C27" s="220"/>
      <c r="D27" s="220"/>
      <c r="E27" s="220"/>
      <c r="F27" s="220"/>
      <c r="G27" s="220"/>
      <c r="H27" s="220"/>
      <c r="I27" s="220"/>
      <c r="J27" s="220"/>
      <c r="K27" s="220"/>
      <c r="L27" s="220"/>
      <c r="M27" s="220"/>
      <c r="N27" s="220"/>
      <c r="O27" s="220"/>
      <c r="P27" s="220"/>
      <c r="Q27" s="220"/>
      <c r="R27" s="220"/>
      <c r="S27" s="36"/>
      <c r="V27" s="84" t="s">
        <v>307</v>
      </c>
      <c r="IT27"/>
    </row>
    <row r="28" spans="1:254" ht="18" customHeight="1" x14ac:dyDescent="0.15">
      <c r="A28" s="42" t="s">
        <v>69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4"/>
      <c r="V28" s="84" t="s">
        <v>308</v>
      </c>
      <c r="IT28"/>
    </row>
    <row r="29" spans="1:254" ht="18" customHeight="1" x14ac:dyDescent="0.15">
      <c r="A29" s="2"/>
      <c r="B29" s="16" t="s">
        <v>112</v>
      </c>
      <c r="C29" s="16"/>
      <c r="D29" s="16"/>
      <c r="E29" s="16"/>
      <c r="F29" s="16"/>
      <c r="G29" s="19"/>
      <c r="H29" s="16" t="s">
        <v>72</v>
      </c>
      <c r="I29" s="16"/>
      <c r="J29" s="16"/>
      <c r="K29" s="16"/>
      <c r="L29" s="16"/>
      <c r="M29" s="19"/>
      <c r="N29" s="16" t="s">
        <v>15</v>
      </c>
      <c r="O29" s="19"/>
      <c r="P29" s="19"/>
      <c r="Q29" s="19"/>
      <c r="R29" s="2"/>
      <c r="S29" s="35"/>
      <c r="IT29"/>
    </row>
    <row r="30" spans="1:254" ht="18" customHeight="1" x14ac:dyDescent="0.15">
      <c r="A30" s="40"/>
      <c r="B30" s="200" t="s">
        <v>10</v>
      </c>
      <c r="C30" s="200"/>
      <c r="D30" s="230"/>
      <c r="E30" s="231"/>
      <c r="F30" s="232"/>
      <c r="G30" s="2"/>
      <c r="H30" s="200" t="s">
        <v>13</v>
      </c>
      <c r="I30" s="200"/>
      <c r="J30" s="201"/>
      <c r="K30" s="201"/>
      <c r="L30" s="201"/>
      <c r="M30" s="2"/>
      <c r="N30" s="200" t="s">
        <v>81</v>
      </c>
      <c r="O30" s="200"/>
      <c r="P30" s="216"/>
      <c r="Q30" s="217"/>
      <c r="R30" s="2"/>
      <c r="S30" s="35"/>
      <c r="IT30"/>
    </row>
    <row r="31" spans="1:254" ht="18" customHeight="1" x14ac:dyDescent="0.15">
      <c r="A31" s="40"/>
      <c r="B31" s="200" t="s">
        <v>192</v>
      </c>
      <c r="C31" s="200"/>
      <c r="D31" s="201"/>
      <c r="E31" s="201"/>
      <c r="F31" s="201"/>
      <c r="G31" s="2"/>
      <c r="H31" s="200" t="s">
        <v>206</v>
      </c>
      <c r="I31" s="200"/>
      <c r="J31" s="201"/>
      <c r="K31" s="201"/>
      <c r="L31" s="201"/>
      <c r="M31" s="2"/>
      <c r="N31" s="200" t="s">
        <v>101</v>
      </c>
      <c r="O31" s="200"/>
      <c r="P31" s="216"/>
      <c r="Q31" s="217"/>
      <c r="R31" s="2"/>
      <c r="S31" s="35"/>
      <c r="IT31"/>
    </row>
    <row r="32" spans="1:254" ht="18" customHeight="1" x14ac:dyDescent="0.15">
      <c r="A32" s="40"/>
      <c r="B32" s="196" t="s">
        <v>21</v>
      </c>
      <c r="C32" s="196"/>
      <c r="D32" s="197">
        <f>D31 + (D31 * MASTER!A2/100)</f>
        <v>0</v>
      </c>
      <c r="E32" s="197"/>
      <c r="F32" s="197"/>
      <c r="G32" s="2"/>
      <c r="H32" s="200" t="s">
        <v>109</v>
      </c>
      <c r="I32" s="200"/>
      <c r="J32" s="201"/>
      <c r="K32" s="201"/>
      <c r="L32" s="201"/>
      <c r="M32" s="2"/>
      <c r="N32" s="2"/>
      <c r="O32" s="2"/>
      <c r="P32" s="2"/>
      <c r="Q32" s="2"/>
      <c r="R32" s="2"/>
      <c r="S32" s="35"/>
      <c r="IT32"/>
    </row>
    <row r="33" spans="1:254" ht="18" customHeight="1" x14ac:dyDescent="0.15">
      <c r="A33" s="2"/>
      <c r="B33" s="196" t="s">
        <v>47</v>
      </c>
      <c r="C33" s="196"/>
      <c r="D33" s="198"/>
      <c r="E33" s="199"/>
      <c r="F33" s="12"/>
      <c r="G33" s="2"/>
      <c r="H33" s="200" t="s">
        <v>187</v>
      </c>
      <c r="I33" s="200"/>
      <c r="J33" s="201"/>
      <c r="K33" s="201"/>
      <c r="L33" s="201"/>
      <c r="M33" s="21" t="s">
        <v>70</v>
      </c>
      <c r="N33" s="211"/>
      <c r="O33" s="211"/>
      <c r="P33" s="211"/>
      <c r="Q33" s="211"/>
      <c r="R33" s="2"/>
      <c r="S33" s="35"/>
      <c r="IT33"/>
    </row>
    <row r="34" spans="1:254" ht="18" customHeight="1" x14ac:dyDescent="0.15">
      <c r="A34" s="2"/>
      <c r="B34" s="200" t="s">
        <v>65</v>
      </c>
      <c r="C34" s="200"/>
      <c r="D34" s="230"/>
      <c r="E34" s="231"/>
      <c r="F34" s="232"/>
      <c r="G34" s="2"/>
      <c r="H34" s="200" t="s">
        <v>66</v>
      </c>
      <c r="I34" s="200"/>
      <c r="J34" s="201"/>
      <c r="K34" s="201"/>
      <c r="L34" s="201"/>
      <c r="M34" s="21" t="s">
        <v>131</v>
      </c>
      <c r="N34" s="211"/>
      <c r="O34" s="211"/>
      <c r="P34" s="211"/>
      <c r="Q34" s="211"/>
      <c r="R34" s="2"/>
      <c r="S34" s="35"/>
    </row>
    <row r="35" spans="1:254" ht="18" customHeight="1" x14ac:dyDescent="0.15">
      <c r="A35" s="2"/>
      <c r="B35" s="200" t="s">
        <v>192</v>
      </c>
      <c r="C35" s="200"/>
      <c r="D35" s="201"/>
      <c r="E35" s="201"/>
      <c r="F35" s="201"/>
      <c r="G35" s="2"/>
      <c r="H35" s="200" t="s">
        <v>129</v>
      </c>
      <c r="I35" s="200"/>
      <c r="J35" s="201"/>
      <c r="K35" s="201"/>
      <c r="L35" s="201"/>
      <c r="M35" s="21" t="s">
        <v>157</v>
      </c>
      <c r="N35" s="211"/>
      <c r="O35" s="211"/>
      <c r="P35" s="211"/>
      <c r="Q35" s="211"/>
      <c r="R35" s="2"/>
      <c r="S35" s="35"/>
    </row>
    <row r="36" spans="1:254" ht="18" customHeight="1" x14ac:dyDescent="0.15">
      <c r="A36" s="2"/>
      <c r="B36" s="196" t="s">
        <v>21</v>
      </c>
      <c r="C36" s="196"/>
      <c r="D36" s="197">
        <f>D35 + (D35 * MASTER!A2/100)</f>
        <v>0</v>
      </c>
      <c r="E36" s="197"/>
      <c r="F36" s="197"/>
      <c r="G36" s="2"/>
      <c r="H36" s="200" t="s">
        <v>27</v>
      </c>
      <c r="I36" s="200"/>
      <c r="J36" s="197">
        <f>SUM(J30:L35)</f>
        <v>0</v>
      </c>
      <c r="K36" s="203"/>
      <c r="L36" s="203"/>
      <c r="M36" s="2"/>
      <c r="N36" s="2"/>
      <c r="O36" s="2"/>
      <c r="P36" s="2"/>
      <c r="Q36" s="2"/>
      <c r="R36" s="2"/>
      <c r="S36" s="35"/>
    </row>
    <row r="37" spans="1:254" ht="18" customHeight="1" x14ac:dyDescent="0.15">
      <c r="A37" s="2"/>
      <c r="B37" s="196" t="s">
        <v>47</v>
      </c>
      <c r="C37" s="196"/>
      <c r="D37" s="198"/>
      <c r="E37" s="199"/>
      <c r="F37" s="1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35"/>
    </row>
    <row r="38" spans="1:254" s="45" customFormat="1" ht="18" customHeight="1" x14ac:dyDescent="0.15">
      <c r="A38" s="56"/>
      <c r="B38" s="200" t="s">
        <v>108</v>
      </c>
      <c r="C38" s="200"/>
      <c r="D38" s="230"/>
      <c r="E38" s="231"/>
      <c r="F38" s="232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9"/>
    </row>
    <row r="39" spans="1:254" s="45" customFormat="1" ht="18" customHeight="1" x14ac:dyDescent="0.15">
      <c r="A39" s="56"/>
      <c r="B39" s="200" t="s">
        <v>192</v>
      </c>
      <c r="C39" s="200"/>
      <c r="D39" s="201"/>
      <c r="E39" s="201"/>
      <c r="F39" s="201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9"/>
    </row>
    <row r="40" spans="1:254" s="45" customFormat="1" ht="18" customHeight="1" x14ac:dyDescent="0.15">
      <c r="A40" s="56"/>
      <c r="B40" s="196" t="s">
        <v>21</v>
      </c>
      <c r="C40" s="196"/>
      <c r="D40" s="197">
        <f>D39 + (D39 * MASTER!A2/100)</f>
        <v>0</v>
      </c>
      <c r="E40" s="197"/>
      <c r="F40" s="197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9"/>
    </row>
    <row r="41" spans="1:254" s="45" customFormat="1" ht="18" customHeight="1" x14ac:dyDescent="0.15">
      <c r="A41" s="56"/>
      <c r="B41" s="196" t="s">
        <v>47</v>
      </c>
      <c r="C41" s="196"/>
      <c r="D41" s="198"/>
      <c r="E41" s="199"/>
      <c r="F41" s="12"/>
      <c r="G41" s="88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9"/>
    </row>
    <row r="42" spans="1:254" ht="14.25" customHeight="1" x14ac:dyDescent="0.1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36"/>
    </row>
    <row r="43" spans="1:254" ht="14.25" x14ac:dyDescent="0.15">
      <c r="A43" s="43" t="s">
        <v>0</v>
      </c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20" t="s">
        <v>36</v>
      </c>
      <c r="P43" s="210"/>
      <c r="Q43" s="210"/>
      <c r="R43" s="210"/>
      <c r="S43" s="34"/>
    </row>
    <row r="44" spans="1:254" ht="18" customHeight="1" x14ac:dyDescent="0.15">
      <c r="A44" s="2"/>
      <c r="B44" s="23"/>
      <c r="C44" s="23"/>
      <c r="D44" s="23"/>
      <c r="E44" s="23"/>
      <c r="F44" s="24"/>
      <c r="G44" s="24"/>
      <c r="H44" s="24"/>
      <c r="I44" s="23"/>
      <c r="J44" s="24"/>
      <c r="K44" s="24"/>
      <c r="L44" s="218" t="s">
        <v>4</v>
      </c>
      <c r="M44" s="218"/>
      <c r="N44" s="35"/>
      <c r="O44" s="31"/>
      <c r="P44" s="24"/>
      <c r="Q44" s="15"/>
      <c r="R44" s="15"/>
      <c r="S44" s="35"/>
    </row>
    <row r="45" spans="1:254" ht="18" customHeight="1" x14ac:dyDescent="0.15">
      <c r="A45" s="40"/>
      <c r="B45" s="200" t="s">
        <v>140</v>
      </c>
      <c r="C45" s="200"/>
      <c r="D45" s="240"/>
      <c r="E45" s="240"/>
      <c r="F45" s="239" t="s">
        <v>117</v>
      </c>
      <c r="G45" s="218"/>
      <c r="H45" s="200" t="s">
        <v>18</v>
      </c>
      <c r="I45" s="200"/>
      <c r="J45" s="219"/>
      <c r="K45" s="219"/>
      <c r="L45" s="204" t="str">
        <f>IF(O26="","",O26)</f>
        <v/>
      </c>
      <c r="M45" s="205"/>
      <c r="N45" s="35"/>
      <c r="O45" s="1"/>
      <c r="P45" s="4"/>
      <c r="Q45" s="213" t="s">
        <v>122</v>
      </c>
      <c r="R45" s="214"/>
      <c r="S45" s="35"/>
    </row>
    <row r="46" spans="1:254" ht="18" customHeight="1" x14ac:dyDescent="0.15">
      <c r="A46" s="40"/>
      <c r="B46" s="200" t="s">
        <v>201</v>
      </c>
      <c r="C46" s="200"/>
      <c r="D46" s="208"/>
      <c r="E46" s="209"/>
      <c r="F46" s="204" t="str">
        <f>IF(D9="","",D9+3)</f>
        <v/>
      </c>
      <c r="G46" s="205"/>
      <c r="H46" s="200" t="s">
        <v>97</v>
      </c>
      <c r="I46" s="200"/>
      <c r="J46" s="212"/>
      <c r="K46" s="212"/>
      <c r="L46" s="1"/>
      <c r="M46" s="2"/>
      <c r="N46" s="35"/>
      <c r="O46" s="1"/>
      <c r="P46" s="4"/>
      <c r="Q46" s="213" t="s">
        <v>51</v>
      </c>
      <c r="R46" s="214"/>
      <c r="S46" s="35"/>
    </row>
    <row r="47" spans="1:254" ht="18" customHeight="1" x14ac:dyDescent="0.15">
      <c r="A47" s="40"/>
      <c r="B47" s="200" t="s">
        <v>53</v>
      </c>
      <c r="C47" s="200"/>
      <c r="D47" s="206"/>
      <c r="E47" s="207"/>
      <c r="F47" s="204" t="str">
        <f>IF(D9="","",D9+7)</f>
        <v/>
      </c>
      <c r="G47" s="205"/>
      <c r="H47" s="200" t="s">
        <v>146</v>
      </c>
      <c r="I47" s="200"/>
      <c r="J47" s="212"/>
      <c r="K47" s="212"/>
      <c r="L47" s="1"/>
      <c r="M47" s="2"/>
      <c r="N47" s="35"/>
      <c r="O47" s="1"/>
      <c r="P47" s="4"/>
      <c r="Q47" s="213" t="s">
        <v>203</v>
      </c>
      <c r="R47" s="214"/>
      <c r="S47" s="35"/>
    </row>
    <row r="48" spans="1:254" ht="18" customHeight="1" x14ac:dyDescent="0.15">
      <c r="A48" s="2"/>
      <c r="B48" s="200" t="s">
        <v>22</v>
      </c>
      <c r="C48" s="200"/>
      <c r="D48" s="206"/>
      <c r="E48" s="207"/>
      <c r="F48" s="79"/>
      <c r="G48" s="79"/>
      <c r="H48" s="2"/>
      <c r="I48" s="2"/>
      <c r="J48" s="2"/>
      <c r="K48" s="2"/>
      <c r="L48" s="2"/>
      <c r="M48" s="2"/>
      <c r="N48" s="35"/>
      <c r="O48" s="1"/>
      <c r="P48" s="2"/>
      <c r="Q48" s="2"/>
      <c r="R48" s="2"/>
      <c r="S48" s="2"/>
    </row>
    <row r="49" spans="1:19" ht="14.25" customHeight="1" x14ac:dyDescent="0.15">
      <c r="A49" s="11"/>
      <c r="B49" s="13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0"/>
      <c r="P49" s="11"/>
      <c r="Q49" s="23"/>
      <c r="R49" s="11"/>
      <c r="S49" s="36"/>
    </row>
    <row r="50" spans="1:19" ht="18" customHeight="1" x14ac:dyDescent="0.15">
      <c r="A50" s="44" t="s">
        <v>132</v>
      </c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</row>
    <row r="51" spans="1:19" ht="18" customHeight="1" x14ac:dyDescent="0.15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</row>
    <row r="52" spans="1:19" ht="18" customHeight="1" x14ac:dyDescent="0.15">
      <c r="A52" s="35"/>
      <c r="B52" s="200" t="s">
        <v>19</v>
      </c>
      <c r="C52" s="200"/>
      <c r="D52" s="197">
        <f>O13</f>
        <v>38500</v>
      </c>
      <c r="E52" s="203"/>
      <c r="F52" s="203"/>
      <c r="G52" s="35"/>
      <c r="H52" s="200" t="s">
        <v>173</v>
      </c>
      <c r="I52" s="200"/>
      <c r="J52" s="197">
        <f>SUM(D32,D36,D40)</f>
        <v>0</v>
      </c>
      <c r="K52" s="203"/>
      <c r="L52" s="203"/>
      <c r="M52" s="35"/>
      <c r="N52" s="200" t="s">
        <v>25</v>
      </c>
      <c r="O52" s="200"/>
      <c r="P52" s="222">
        <f>D52-J52-J53</f>
        <v>38500</v>
      </c>
      <c r="Q52" s="222"/>
      <c r="R52" s="222"/>
      <c r="S52" s="35"/>
    </row>
    <row r="53" spans="1:19" ht="18" customHeight="1" x14ac:dyDescent="0.15">
      <c r="A53" s="35"/>
      <c r="B53" s="35"/>
      <c r="C53" s="35"/>
      <c r="D53" s="35"/>
      <c r="E53" s="35"/>
      <c r="F53" s="35"/>
      <c r="G53" s="35"/>
      <c r="H53" s="200" t="s">
        <v>174</v>
      </c>
      <c r="I53" s="200"/>
      <c r="J53" s="197">
        <f>J36</f>
        <v>0</v>
      </c>
      <c r="K53" s="203"/>
      <c r="L53" s="203"/>
      <c r="M53" s="35"/>
      <c r="N53" s="200" t="s">
        <v>48</v>
      </c>
      <c r="O53" s="200"/>
      <c r="P53" s="221">
        <f>IF(ISERROR(SUM(P52)/D52*100),"",SUM(P52)/D52*100)</f>
        <v>100</v>
      </c>
      <c r="Q53" s="221"/>
      <c r="R53" s="221"/>
      <c r="S53" s="35"/>
    </row>
    <row r="54" spans="1:19" ht="10.5" customHeight="1" thickBot="1" x14ac:dyDescent="0.2">
      <c r="A54" s="37"/>
      <c r="B54" s="37"/>
      <c r="C54" s="37"/>
      <c r="D54" s="37"/>
      <c r="E54" s="37"/>
      <c r="F54" s="37"/>
      <c r="G54" s="37"/>
      <c r="H54" s="38"/>
      <c r="I54" s="38"/>
      <c r="J54" s="38"/>
      <c r="K54" s="38"/>
      <c r="L54" s="38"/>
      <c r="M54" s="37"/>
      <c r="N54" s="37"/>
      <c r="O54" s="37"/>
      <c r="P54" s="37"/>
      <c r="Q54" s="37"/>
      <c r="R54" s="37"/>
      <c r="S54" s="37"/>
    </row>
  </sheetData>
  <sheetProtection sheet="1"/>
  <mergeCells count="148">
    <mergeCell ref="B8:C8"/>
    <mergeCell ref="B4:C4"/>
    <mergeCell ref="D4:F4"/>
    <mergeCell ref="D6:K6"/>
    <mergeCell ref="G5:H5"/>
    <mergeCell ref="B6:C6"/>
    <mergeCell ref="B5:C5"/>
    <mergeCell ref="G15:H15"/>
    <mergeCell ref="J3:K3"/>
    <mergeCell ref="G11:K11"/>
    <mergeCell ref="I4:K4"/>
    <mergeCell ref="E8:G8"/>
    <mergeCell ref="I8:K8"/>
    <mergeCell ref="J10:K10"/>
    <mergeCell ref="D9:G9"/>
    <mergeCell ref="B11:E11"/>
    <mergeCell ref="B7:C7"/>
    <mergeCell ref="I13:K13"/>
    <mergeCell ref="M15:N15"/>
    <mergeCell ref="M11:Q11"/>
    <mergeCell ref="C14:E14"/>
    <mergeCell ref="G13:H13"/>
    <mergeCell ref="O12:Q12"/>
    <mergeCell ref="M12:N12"/>
    <mergeCell ref="I12:K12"/>
    <mergeCell ref="C13:E13"/>
    <mergeCell ref="G14:K14"/>
    <mergeCell ref="D38:F38"/>
    <mergeCell ref="D23:E23"/>
    <mergeCell ref="B23:C23"/>
    <mergeCell ref="B9:C9"/>
    <mergeCell ref="D7:K7"/>
    <mergeCell ref="C12:E12"/>
    <mergeCell ref="G12:H12"/>
    <mergeCell ref="K22:L22"/>
    <mergeCell ref="C15:E15"/>
    <mergeCell ref="B22:C22"/>
    <mergeCell ref="O3:P3"/>
    <mergeCell ref="F45:G45"/>
    <mergeCell ref="B45:C45"/>
    <mergeCell ref="D45:E45"/>
    <mergeCell ref="B35:C35"/>
    <mergeCell ref="B37:C37"/>
    <mergeCell ref="D37:E37"/>
    <mergeCell ref="D36:F36"/>
    <mergeCell ref="B36:C36"/>
    <mergeCell ref="B38:C38"/>
    <mergeCell ref="H36:I36"/>
    <mergeCell ref="M3:N3"/>
    <mergeCell ref="O23:P23"/>
    <mergeCell ref="M13:N13"/>
    <mergeCell ref="M16:N16"/>
    <mergeCell ref="O16:Q16"/>
    <mergeCell ref="O22:P22"/>
    <mergeCell ref="O13:Q13"/>
    <mergeCell ref="M14:Q14"/>
    <mergeCell ref="O15:Q15"/>
    <mergeCell ref="D24:E24"/>
    <mergeCell ref="D32:F32"/>
    <mergeCell ref="H32:I32"/>
    <mergeCell ref="D35:F35"/>
    <mergeCell ref="D31:F31"/>
    <mergeCell ref="D34:F34"/>
    <mergeCell ref="H35:I35"/>
    <mergeCell ref="J35:L35"/>
    <mergeCell ref="J31:L31"/>
    <mergeCell ref="H31:I31"/>
    <mergeCell ref="J32:L32"/>
    <mergeCell ref="D33:E33"/>
    <mergeCell ref="H33:I33"/>
    <mergeCell ref="A19:R19"/>
    <mergeCell ref="M25:N25"/>
    <mergeCell ref="K26:N26"/>
    <mergeCell ref="J30:L30"/>
    <mergeCell ref="N30:O30"/>
    <mergeCell ref="O25:P25"/>
    <mergeCell ref="K25:L25"/>
    <mergeCell ref="O26:P26"/>
    <mergeCell ref="D22:E22"/>
    <mergeCell ref="D30:F30"/>
    <mergeCell ref="H45:I45"/>
    <mergeCell ref="O24:P24"/>
    <mergeCell ref="C18:Q18"/>
    <mergeCell ref="B24:C24"/>
    <mergeCell ref="B30:C30"/>
    <mergeCell ref="H24:I24"/>
    <mergeCell ref="H30:I30"/>
    <mergeCell ref="F24:G24"/>
    <mergeCell ref="F22:G22"/>
    <mergeCell ref="M22:N22"/>
    <mergeCell ref="N53:O53"/>
    <mergeCell ref="P53:R53"/>
    <mergeCell ref="H52:I52"/>
    <mergeCell ref="J52:L52"/>
    <mergeCell ref="N52:O52"/>
    <mergeCell ref="P52:R52"/>
    <mergeCell ref="H53:I53"/>
    <mergeCell ref="J53:L53"/>
    <mergeCell ref="N35:Q35"/>
    <mergeCell ref="J33:L33"/>
    <mergeCell ref="A27:R27"/>
    <mergeCell ref="P30:Q30"/>
    <mergeCell ref="B31:C31"/>
    <mergeCell ref="B32:C32"/>
    <mergeCell ref="N31:O31"/>
    <mergeCell ref="B34:C34"/>
    <mergeCell ref="H34:I34"/>
    <mergeCell ref="B33:C33"/>
    <mergeCell ref="H46:I46"/>
    <mergeCell ref="L45:M45"/>
    <mergeCell ref="Q47:R47"/>
    <mergeCell ref="J47:K47"/>
    <mergeCell ref="K23:L23"/>
    <mergeCell ref="M24:N24"/>
    <mergeCell ref="M23:N23"/>
    <mergeCell ref="P31:Q31"/>
    <mergeCell ref="L44:M44"/>
    <mergeCell ref="J45:K45"/>
    <mergeCell ref="D48:E48"/>
    <mergeCell ref="H47:I47"/>
    <mergeCell ref="P43:R43"/>
    <mergeCell ref="N34:Q34"/>
    <mergeCell ref="N33:Q33"/>
    <mergeCell ref="J36:L36"/>
    <mergeCell ref="J34:L34"/>
    <mergeCell ref="J46:K46"/>
    <mergeCell ref="Q46:R46"/>
    <mergeCell ref="Q45:R45"/>
    <mergeCell ref="K24:L24"/>
    <mergeCell ref="B52:C52"/>
    <mergeCell ref="D52:F52"/>
    <mergeCell ref="F46:G46"/>
    <mergeCell ref="D47:E47"/>
    <mergeCell ref="D46:E46"/>
    <mergeCell ref="B46:C46"/>
    <mergeCell ref="F47:G47"/>
    <mergeCell ref="B48:C48"/>
    <mergeCell ref="B47:C47"/>
    <mergeCell ref="B3:C3"/>
    <mergeCell ref="I15:K15"/>
    <mergeCell ref="G16:H16"/>
    <mergeCell ref="I16:K16"/>
    <mergeCell ref="B41:C41"/>
    <mergeCell ref="D41:E41"/>
    <mergeCell ref="B39:C39"/>
    <mergeCell ref="D39:F39"/>
    <mergeCell ref="B40:C40"/>
    <mergeCell ref="D40:F40"/>
  </mergeCells>
  <phoneticPr fontId="2"/>
  <conditionalFormatting sqref="J45:K45 D46:D48">
    <cfRule type="cellIs" dxfId="1" priority="1" stopIfTrue="1" operator="equal">
      <formula>$D$49</formula>
    </cfRule>
  </conditionalFormatting>
  <dataValidations count="7">
    <dataValidation type="list" showInputMessage="1" showErrorMessage="1" sqref="F5">
      <formula1>$IS$2:$IS$13</formula1>
    </dataValidation>
    <dataValidation type="date" allowBlank="1" showInputMessage="1" showErrorMessage="1" sqref="J46:K47">
      <formula1>36526</formula1>
      <formula2>50771</formula2>
    </dataValidation>
    <dataValidation type="list" allowBlank="1" showInputMessage="1" showErrorMessage="1" sqref="D24:E24">
      <formula1>$IQ$2:$IQ$10</formula1>
    </dataValidation>
    <dataValidation type="list" allowBlank="1" showInputMessage="1" showErrorMessage="1" sqref="D45:E45">
      <formula1>$IQ$2:$IQ$10</formula1>
    </dataValidation>
    <dataValidation type="list" showInputMessage="1" showErrorMessage="1" sqref="E5">
      <formula1>$IR$2:$IR$19</formula1>
    </dataValidation>
    <dataValidation type="list" allowBlank="1" showInputMessage="1" showErrorMessage="1" sqref="D41:E41 D33:E33 D37:E37">
      <formula1>$IT$2:$IT$13</formula1>
    </dataValidation>
    <dataValidation type="list" allowBlank="1" showInputMessage="1" showErrorMessage="1" sqref="D34:F34 D30:F30 D38:F38">
      <formula1>$IP$2:$IP$16</formula1>
    </dataValidation>
  </dataValidations>
  <pageMargins left="0.59055118110236227" right="0.19685039370078741" top="0.59055118110236227" bottom="0.39370078740157483" header="0.19685039370078741" footer="0.19685039370078741"/>
  <pageSetup paperSize="9" orientation="portrait" r:id="rId1"/>
  <headerFooter alignWithMargins="0"/>
  <cellWatches>
    <cellWatch r="J46"/>
  </cellWatches>
  <drawing r:id="rId2"/>
  <legacyDrawing r:id="rId3"/>
  <controls>
    <mc:AlternateContent xmlns:mc="http://schemas.openxmlformats.org/markup-compatibility/2006">
      <mc:Choice Requires="x14">
        <control shapeId="1093" r:id="rId4" name="cmdAutoJudge1">
          <controlPr defaultSize="0" print="0" autoLine="0" r:id="rId5">
            <anchor moveWithCells="1">
              <from>
                <xdr:col>3</xdr:col>
                <xdr:colOff>0</xdr:colOff>
                <xdr:row>10</xdr:row>
                <xdr:rowOff>0</xdr:rowOff>
              </from>
              <to>
                <xdr:col>4</xdr:col>
                <xdr:colOff>304800</xdr:colOff>
                <xdr:row>11</xdr:row>
                <xdr:rowOff>0</xdr:rowOff>
              </to>
            </anchor>
          </controlPr>
        </control>
      </mc:Choice>
      <mc:Fallback>
        <control shapeId="1093" r:id="rId4" name="cmdAutoJudge1"/>
      </mc:Fallback>
    </mc:AlternateContent>
    <mc:AlternateContent xmlns:mc="http://schemas.openxmlformats.org/markup-compatibility/2006">
      <mc:Choice Requires="x14">
        <control shapeId="1092" r:id="rId6" name="optKindSelector4">
          <controlPr locked="0" defaultSize="0" autoFill="0" autoLine="0" r:id="rId7">
            <anchor moveWithCells="1" sizeWithCells="1">
              <from>
                <xdr:col>1</xdr:col>
                <xdr:colOff>114300</xdr:colOff>
                <xdr:row>14</xdr:row>
                <xdr:rowOff>28575</xdr:rowOff>
              </from>
              <to>
                <xdr:col>1</xdr:col>
                <xdr:colOff>314325</xdr:colOff>
                <xdr:row>14</xdr:row>
                <xdr:rowOff>200025</xdr:rowOff>
              </to>
            </anchor>
          </controlPr>
        </control>
      </mc:Choice>
      <mc:Fallback>
        <control shapeId="1092" r:id="rId6" name="optKindSelector4"/>
      </mc:Fallback>
    </mc:AlternateContent>
    <mc:AlternateContent xmlns:mc="http://schemas.openxmlformats.org/markup-compatibility/2006">
      <mc:Choice Requires="x14">
        <control shapeId="1081" r:id="rId8" name="optKindSelector2">
          <controlPr locked="0" defaultSize="0" autoFill="0" autoLine="0" r:id="rId9">
            <anchor moveWithCells="1" sizeWithCells="1">
              <from>
                <xdr:col>1</xdr:col>
                <xdr:colOff>114300</xdr:colOff>
                <xdr:row>12</xdr:row>
                <xdr:rowOff>28575</xdr:rowOff>
              </from>
              <to>
                <xdr:col>1</xdr:col>
                <xdr:colOff>314325</xdr:colOff>
                <xdr:row>12</xdr:row>
                <xdr:rowOff>200025</xdr:rowOff>
              </to>
            </anchor>
          </controlPr>
        </control>
      </mc:Choice>
      <mc:Fallback>
        <control shapeId="1081" r:id="rId8" name="optKindSelector2"/>
      </mc:Fallback>
    </mc:AlternateContent>
    <mc:AlternateContent xmlns:mc="http://schemas.openxmlformats.org/markup-compatibility/2006">
      <mc:Choice Requires="x14">
        <control shapeId="1052" r:id="rId10" name="optKindSelector3">
          <controlPr locked="0" defaultSize="0" autoFill="0" autoLine="0" r:id="rId11">
            <anchor moveWithCells="1" sizeWithCells="1">
              <from>
                <xdr:col>1</xdr:col>
                <xdr:colOff>114300</xdr:colOff>
                <xdr:row>13</xdr:row>
                <xdr:rowOff>28575</xdr:rowOff>
              </from>
              <to>
                <xdr:col>1</xdr:col>
                <xdr:colOff>314325</xdr:colOff>
                <xdr:row>13</xdr:row>
                <xdr:rowOff>200025</xdr:rowOff>
              </to>
            </anchor>
          </controlPr>
        </control>
      </mc:Choice>
      <mc:Fallback>
        <control shapeId="1052" r:id="rId10" name="optKindSelector3"/>
      </mc:Fallback>
    </mc:AlternateContent>
    <mc:AlternateContent xmlns:mc="http://schemas.openxmlformats.org/markup-compatibility/2006">
      <mc:Choice Requires="x14">
        <control shapeId="1050" r:id="rId12" name="optKindSelector1">
          <controlPr locked="0" defaultSize="0" autoFill="0" autoLine="0" r:id="rId13">
            <anchor moveWithCells="1" sizeWithCells="1">
              <from>
                <xdr:col>1</xdr:col>
                <xdr:colOff>114300</xdr:colOff>
                <xdr:row>11</xdr:row>
                <xdr:rowOff>57150</xdr:rowOff>
              </from>
              <to>
                <xdr:col>1</xdr:col>
                <xdr:colOff>314325</xdr:colOff>
                <xdr:row>11</xdr:row>
                <xdr:rowOff>200025</xdr:rowOff>
              </to>
            </anchor>
          </controlPr>
        </control>
      </mc:Choice>
      <mc:Fallback>
        <control shapeId="1050" r:id="rId12" name="optKindSelector1"/>
      </mc:Fallback>
    </mc:AlternateContent>
    <mc:AlternateContent xmlns:mc="http://schemas.openxmlformats.org/markup-compatibility/2006">
      <mc:Choice Requires="x14">
        <control shapeId="1086" r:id="rId14" name="cmdListDisp">
          <controlPr defaultSize="0" print="0" autoLine="0" r:id="rId15">
            <anchor>
              <from>
                <xdr:col>14</xdr:col>
                <xdr:colOff>19050</xdr:colOff>
                <xdr:row>0</xdr:row>
                <xdr:rowOff>0</xdr:rowOff>
              </from>
              <to>
                <xdr:col>15</xdr:col>
                <xdr:colOff>180975</xdr:colOff>
                <xdr:row>0</xdr:row>
                <xdr:rowOff>257175</xdr:rowOff>
              </to>
            </anchor>
          </controlPr>
        </control>
      </mc:Choice>
      <mc:Fallback>
        <control shapeId="1086" r:id="rId14" name="cmdListDisp"/>
      </mc:Fallback>
    </mc:AlternateContent>
    <mc:AlternateContent xmlns:mc="http://schemas.openxmlformats.org/markup-compatibility/2006">
      <mc:Choice Requires="x14">
        <control shapeId="1077" r:id="rId16" name="scrEntryMove">
          <controlPr defaultSize="0" print="0" autoLine="0" r:id="rId17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11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077" r:id="rId16" name="scrEntryMove"/>
      </mc:Fallback>
    </mc:AlternateContent>
    <mc:AlternateContent xmlns:mc="http://schemas.openxmlformats.org/markup-compatibility/2006">
      <mc:Choice Requires="x14">
        <control shapeId="1074" r:id="rId18" name="cmdUpdate">
          <controlPr defaultSize="0" print="0" autoLine="0" r:id="rId19">
            <anchor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104775</xdr:colOff>
                <xdr:row>0</xdr:row>
                <xdr:rowOff>257175</xdr:rowOff>
              </to>
            </anchor>
          </controlPr>
        </control>
      </mc:Choice>
      <mc:Fallback>
        <control shapeId="1074" r:id="rId18" name="cmdUpdate"/>
      </mc:Fallback>
    </mc:AlternateContent>
    <mc:AlternateContent xmlns:mc="http://schemas.openxmlformats.org/markup-compatibility/2006">
      <mc:Choice Requires="x14">
        <control shapeId="1073" r:id="rId20" name="cmdExit">
          <controlPr defaultSize="0" print="0" autoLine="0" r:id="rId21">
            <anchor>
              <from>
                <xdr:col>17</xdr:col>
                <xdr:colOff>0</xdr:colOff>
                <xdr:row>0</xdr:row>
                <xdr:rowOff>0</xdr:rowOff>
              </from>
              <to>
                <xdr:col>18</xdr:col>
                <xdr:colOff>161925</xdr:colOff>
                <xdr:row>0</xdr:row>
                <xdr:rowOff>257175</xdr:rowOff>
              </to>
            </anchor>
          </controlPr>
        </control>
      </mc:Choice>
      <mc:Fallback>
        <control shapeId="1073" r:id="rId20" name="cmdExit"/>
      </mc:Fallback>
    </mc:AlternateContent>
    <mc:AlternateContent xmlns:mc="http://schemas.openxmlformats.org/markup-compatibility/2006">
      <mc:Choice Requires="x14">
        <control shapeId="1071" r:id="rId22" name="cmdCallExists">
          <controlPr defaultSize="0" print="0" autoLine="0" r:id="rId23">
            <anchor moveWithCells="1">
              <from>
                <xdr:col>8</xdr:col>
                <xdr:colOff>19050</xdr:colOff>
                <xdr:row>4</xdr:row>
                <xdr:rowOff>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71" r:id="rId22" name="cmdCallExists"/>
      </mc:Fallback>
    </mc:AlternateContent>
    <mc:AlternateContent xmlns:mc="http://schemas.openxmlformats.org/markup-compatibility/2006">
      <mc:Choice Requires="x14">
        <control shapeId="1070" r:id="rId24" name="cmdNewEntry">
          <controlPr defaultSize="0" print="0" autoLine="0" r:id="rId25">
            <anchor moveWithCells="1">
              <from>
                <xdr:col>10</xdr:col>
                <xdr:colOff>19050</xdr:colOff>
                <xdr:row>4</xdr:row>
                <xdr:rowOff>0</xdr:rowOff>
              </from>
              <to>
                <xdr:col>11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70" r:id="rId24" name="cmdNewEntry"/>
      </mc:Fallback>
    </mc:AlternateContent>
    <mc:AlternateContent xmlns:mc="http://schemas.openxmlformats.org/markup-compatibility/2006">
      <mc:Choice Requires="x14">
        <control shapeId="1055" r:id="rId26" name="optStatusSelector3">
          <controlPr locked="0" defaultSize="0" autoFill="0" autoLine="0" r:id="rId27">
            <anchor moveWithCells="1" sizeWithCells="1">
              <from>
                <xdr:col>15</xdr:col>
                <xdr:colOff>123825</xdr:colOff>
                <xdr:row>46</xdr:row>
                <xdr:rowOff>28575</xdr:rowOff>
              </from>
              <to>
                <xdr:col>15</xdr:col>
                <xdr:colOff>266700</xdr:colOff>
                <xdr:row>46</xdr:row>
                <xdr:rowOff>219075</xdr:rowOff>
              </to>
            </anchor>
          </controlPr>
        </control>
      </mc:Choice>
      <mc:Fallback>
        <control shapeId="1055" r:id="rId26" name="optStatusSelector3"/>
      </mc:Fallback>
    </mc:AlternateContent>
    <mc:AlternateContent xmlns:mc="http://schemas.openxmlformats.org/markup-compatibility/2006">
      <mc:Choice Requires="x14">
        <control shapeId="1054" r:id="rId28" name="optStatusSelector2">
          <controlPr locked="0" defaultSize="0" autoFill="0" autoLine="0" r:id="rId29">
            <anchor moveWithCells="1" sizeWithCells="1">
              <from>
                <xdr:col>15</xdr:col>
                <xdr:colOff>123825</xdr:colOff>
                <xdr:row>45</xdr:row>
                <xdr:rowOff>28575</xdr:rowOff>
              </from>
              <to>
                <xdr:col>15</xdr:col>
                <xdr:colOff>266700</xdr:colOff>
                <xdr:row>45</xdr:row>
                <xdr:rowOff>219075</xdr:rowOff>
              </to>
            </anchor>
          </controlPr>
        </control>
      </mc:Choice>
      <mc:Fallback>
        <control shapeId="1054" r:id="rId28" name="optStatusSelector2"/>
      </mc:Fallback>
    </mc:AlternateContent>
    <mc:AlternateContent xmlns:mc="http://schemas.openxmlformats.org/markup-compatibility/2006">
      <mc:Choice Requires="x14">
        <control shapeId="1053" r:id="rId30" name="optStatusSelector1">
          <controlPr locked="0" defaultSize="0" autoFill="0" autoLine="0" r:id="rId31">
            <anchor moveWithCells="1" sizeWithCells="1">
              <from>
                <xdr:col>15</xdr:col>
                <xdr:colOff>123825</xdr:colOff>
                <xdr:row>44</xdr:row>
                <xdr:rowOff>28575</xdr:rowOff>
              </from>
              <to>
                <xdr:col>15</xdr:col>
                <xdr:colOff>266700</xdr:colOff>
                <xdr:row>44</xdr:row>
                <xdr:rowOff>219075</xdr:rowOff>
              </to>
            </anchor>
          </controlPr>
        </control>
      </mc:Choice>
      <mc:Fallback>
        <control shapeId="1053" r:id="rId30" name="optStatusSelecto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K1951"/>
  <sheetViews>
    <sheetView tabSelected="1" zoomScaleNormal="100" zoomScaleSheetLayoutView="100" workbookViewId="0">
      <pane xSplit="18" ySplit="5" topLeftCell="S1933" activePane="bottomRight" state="frozen"/>
      <selection pane="topRight" activeCell="S1" sqref="S1"/>
      <selection pane="bottomLeft" activeCell="A6" sqref="A6"/>
      <selection pane="bottomRight" activeCell="S1952" sqref="S1952"/>
    </sheetView>
  </sheetViews>
  <sheetFormatPr defaultRowHeight="10.5" x14ac:dyDescent="0.15"/>
  <cols>
    <col min="1" max="1" width="4.5" style="60" customWidth="1"/>
    <col min="2" max="2" width="7.125" style="61" customWidth="1"/>
    <col min="3" max="3" width="6.875" style="61" customWidth="1"/>
    <col min="4" max="5" width="7.5" style="61" customWidth="1"/>
    <col min="6" max="6" width="7.125" style="61" customWidth="1"/>
    <col min="7" max="7" width="7" style="61" customWidth="1"/>
    <col min="8" max="8" width="8" style="61" customWidth="1"/>
    <col min="9" max="9" width="5.5" style="60" customWidth="1"/>
    <col min="10" max="10" width="4.125" style="60" customWidth="1"/>
    <col min="11" max="11" width="7.125" style="61" customWidth="1"/>
    <col min="12" max="12" width="4.125" style="60" customWidth="1"/>
    <col min="13" max="13" width="7.5" style="61" customWidth="1"/>
    <col min="14" max="14" width="6.5" style="61" hidden="1" customWidth="1"/>
    <col min="15" max="15" width="3" style="62" customWidth="1"/>
    <col min="16" max="16" width="2.5" style="60" customWidth="1"/>
    <col min="17" max="17" width="3" style="62" customWidth="1"/>
    <col min="18" max="18" width="4.125" style="62" customWidth="1"/>
    <col min="19" max="19" width="12.125" style="63" customWidth="1"/>
    <col min="20" max="20" width="28.875" style="63" customWidth="1"/>
    <col min="21" max="24" width="13" style="64" customWidth="1"/>
    <col min="25" max="26" width="12.125" style="64" customWidth="1"/>
    <col min="27" max="29" width="7.125" style="61" customWidth="1"/>
    <col min="30" max="32" width="9.125" style="60" customWidth="1"/>
    <col min="33" max="33" width="8.5" style="60" customWidth="1"/>
    <col min="34" max="34" width="11.125" style="60" customWidth="1"/>
    <col min="35" max="36" width="7.125" style="60" customWidth="1"/>
    <col min="37" max="37" width="10.125" style="60" customWidth="1"/>
    <col min="38" max="40" width="11.125" style="60" customWidth="1"/>
    <col min="41" max="41" width="9.875" style="61" customWidth="1"/>
    <col min="42" max="42" width="11.875" style="60" customWidth="1"/>
    <col min="43" max="43" width="11.125" style="60" customWidth="1"/>
    <col min="44" max="44" width="9.125" style="61" customWidth="1"/>
    <col min="45" max="45" width="11.5" style="60" customWidth="1"/>
    <col min="46" max="46" width="9.125" style="61" customWidth="1"/>
    <col min="47" max="47" width="11.5" style="60" customWidth="1"/>
    <col min="48" max="48" width="9.5" style="61" customWidth="1"/>
    <col min="49" max="49" width="4.125" style="91" customWidth="1"/>
    <col min="50" max="50" width="4" style="91" customWidth="1"/>
    <col min="51" max="52" width="13" style="99" customWidth="1"/>
    <col min="53" max="53" width="17.125" style="60" customWidth="1"/>
    <col min="54" max="55" width="13" style="64" customWidth="1"/>
    <col min="56" max="56" width="5.5" style="60" customWidth="1"/>
    <col min="57" max="57" width="13.5" style="60" customWidth="1"/>
    <col min="58" max="59" width="12.5" style="64" customWidth="1"/>
    <col min="60" max="60" width="7.125" style="60" customWidth="1"/>
    <col min="61" max="61" width="13.5" style="60" customWidth="1"/>
    <col min="62" max="63" width="12.5" style="64" customWidth="1"/>
    <col min="64" max="64" width="7.125" style="60" customWidth="1"/>
    <col min="65" max="65" width="8.5" style="64" customWidth="1"/>
    <col min="66" max="66" width="9" style="64" customWidth="1"/>
    <col min="67" max="67" width="8.5" style="64" customWidth="1"/>
    <col min="68" max="69" width="7.125" style="64" customWidth="1"/>
    <col min="70" max="70" width="8.125" style="64" customWidth="1"/>
    <col min="71" max="71" width="8.875" style="64" customWidth="1"/>
    <col min="72" max="72" width="9.5" style="83" customWidth="1"/>
    <col min="73" max="73" width="10.125" style="83" customWidth="1"/>
    <col min="74" max="74" width="14" style="65" customWidth="1"/>
    <col min="75" max="75" width="13.125" style="65" customWidth="1"/>
    <col min="76" max="76" width="11.5" style="65" customWidth="1"/>
    <col min="77" max="77" width="13.125" style="65" customWidth="1"/>
    <col min="78" max="78" width="10.5" style="81" customWidth="1"/>
    <col min="79" max="79" width="12.875" style="60" customWidth="1"/>
    <col min="80" max="80" width="12.5" style="60" customWidth="1"/>
    <col min="81" max="81" width="11.125" style="60" customWidth="1"/>
    <col min="82" max="82" width="50.875" style="63" bestFit="1" customWidth="1"/>
    <col min="83" max="88" width="9" style="61" customWidth="1"/>
    <col min="89" max="89" width="13" style="64" customWidth="1"/>
    <col min="90" max="16384" width="9" style="59"/>
  </cols>
  <sheetData>
    <row r="1" spans="1:89" s="66" customFormat="1" ht="24.75" customHeight="1" thickTop="1" thickBot="1" x14ac:dyDescent="0.2">
      <c r="I1" s="263" t="s">
        <v>220</v>
      </c>
      <c r="J1" s="264"/>
      <c r="K1" s="72">
        <v>1</v>
      </c>
      <c r="N1" s="140"/>
      <c r="Q1" s="101"/>
      <c r="S1" s="67"/>
      <c r="T1" s="67"/>
      <c r="U1" s="67"/>
      <c r="V1" s="67"/>
      <c r="W1" s="68"/>
      <c r="X1" s="68"/>
      <c r="AW1" s="90"/>
      <c r="AX1" s="90"/>
      <c r="AY1" s="96"/>
      <c r="AZ1" s="96"/>
      <c r="BB1" s="68"/>
      <c r="BC1" s="68"/>
      <c r="BF1" s="68"/>
      <c r="BG1" s="68"/>
      <c r="BJ1" s="68"/>
      <c r="BK1" s="68"/>
      <c r="BT1" s="82"/>
      <c r="BU1" s="82"/>
      <c r="BZ1" s="80"/>
      <c r="CD1" s="67"/>
      <c r="CK1" s="68"/>
    </row>
    <row r="2" spans="1:89" ht="13.5" customHeight="1" thickTop="1" x14ac:dyDescent="0.15">
      <c r="A2" s="266" t="s">
        <v>0</v>
      </c>
      <c r="B2" s="266"/>
      <c r="C2" s="266"/>
      <c r="D2" s="266"/>
      <c r="E2" s="266"/>
      <c r="F2" s="266"/>
      <c r="G2" s="266"/>
      <c r="H2" s="266"/>
      <c r="I2" s="267"/>
      <c r="J2" s="268" t="s">
        <v>41</v>
      </c>
      <c r="K2" s="268"/>
      <c r="L2" s="269"/>
      <c r="M2" s="269"/>
      <c r="N2" s="269"/>
      <c r="O2" s="269"/>
      <c r="P2" s="269"/>
      <c r="Q2" s="269"/>
      <c r="R2" s="269"/>
      <c r="S2" s="269"/>
      <c r="T2" s="269"/>
      <c r="U2" s="269"/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69"/>
      <c r="AK2" s="269"/>
      <c r="AL2" s="269"/>
      <c r="AM2" s="283" t="s">
        <v>142</v>
      </c>
      <c r="AN2" s="283"/>
      <c r="AO2" s="283"/>
      <c r="AP2" s="283"/>
      <c r="AQ2" s="283"/>
      <c r="AR2" s="283"/>
      <c r="AS2" s="283"/>
      <c r="AT2" s="283"/>
      <c r="AU2" s="283"/>
      <c r="AV2" s="283"/>
      <c r="AW2" s="283"/>
      <c r="AX2" s="283"/>
      <c r="AY2" s="97"/>
      <c r="AZ2" s="97"/>
      <c r="BA2" s="280" t="s">
        <v>69</v>
      </c>
      <c r="BB2" s="280"/>
      <c r="BC2" s="280"/>
      <c r="BD2" s="280"/>
      <c r="BE2" s="280"/>
      <c r="BF2" s="280"/>
      <c r="BG2" s="280"/>
      <c r="BH2" s="280"/>
      <c r="BI2" s="280"/>
      <c r="BJ2" s="280"/>
      <c r="BK2" s="280"/>
      <c r="BL2" s="280"/>
      <c r="BM2" s="280"/>
      <c r="BN2" s="280"/>
      <c r="BO2" s="280"/>
      <c r="BP2" s="280"/>
      <c r="BQ2" s="280"/>
      <c r="BR2" s="280"/>
      <c r="BS2" s="280"/>
      <c r="BT2" s="280"/>
      <c r="BU2" s="280"/>
      <c r="BV2" s="287" t="s">
        <v>121</v>
      </c>
      <c r="BW2" s="287"/>
      <c r="BX2" s="287"/>
      <c r="BY2" s="287"/>
      <c r="BZ2" s="287"/>
      <c r="CA2" s="280"/>
      <c r="CB2" s="280"/>
      <c r="CC2" s="280"/>
      <c r="CD2" s="271" t="s">
        <v>55</v>
      </c>
      <c r="CE2" s="273" t="s">
        <v>68</v>
      </c>
      <c r="CF2" s="274"/>
      <c r="CG2" s="274"/>
      <c r="CH2" s="274"/>
      <c r="CI2" s="274"/>
      <c r="CJ2" s="275"/>
      <c r="CK2" s="59"/>
    </row>
    <row r="3" spans="1:89" ht="13.5" customHeight="1" x14ac:dyDescent="0.15">
      <c r="A3" s="270" t="s">
        <v>36</v>
      </c>
      <c r="B3" s="270" t="s">
        <v>37</v>
      </c>
      <c r="C3" s="270"/>
      <c r="D3" s="265" t="s">
        <v>96</v>
      </c>
      <c r="E3" s="265" t="s">
        <v>191</v>
      </c>
      <c r="F3" s="265"/>
      <c r="G3" s="265" t="s">
        <v>201</v>
      </c>
      <c r="H3" s="265"/>
      <c r="I3" s="270" t="s">
        <v>134</v>
      </c>
      <c r="J3" s="270" t="s">
        <v>116</v>
      </c>
      <c r="K3" s="265" t="s">
        <v>68</v>
      </c>
      <c r="L3" s="265"/>
      <c r="M3" s="265" t="s">
        <v>151</v>
      </c>
      <c r="N3" s="285" t="s">
        <v>257</v>
      </c>
      <c r="O3" s="265" t="s">
        <v>106</v>
      </c>
      <c r="P3" s="265"/>
      <c r="Q3" s="265"/>
      <c r="R3" s="265"/>
      <c r="S3" s="270" t="s">
        <v>179</v>
      </c>
      <c r="T3" s="265" t="s">
        <v>42</v>
      </c>
      <c r="U3" s="265" t="s">
        <v>126</v>
      </c>
      <c r="V3" s="265"/>
      <c r="W3" s="265" t="s">
        <v>204</v>
      </c>
      <c r="X3" s="265"/>
      <c r="Y3" s="265" t="s">
        <v>205</v>
      </c>
      <c r="Z3" s="265"/>
      <c r="AA3" s="265" t="s">
        <v>43</v>
      </c>
      <c r="AB3" s="265"/>
      <c r="AC3" s="265"/>
      <c r="AD3" s="265" t="s">
        <v>123</v>
      </c>
      <c r="AE3" s="265"/>
      <c r="AF3" s="265"/>
      <c r="AG3" s="265" t="s">
        <v>23</v>
      </c>
      <c r="AH3" s="265"/>
      <c r="AI3" s="265"/>
      <c r="AJ3" s="265" t="s">
        <v>113</v>
      </c>
      <c r="AK3" s="265"/>
      <c r="AL3" s="265"/>
      <c r="AM3" s="265" t="s">
        <v>71</v>
      </c>
      <c r="AN3" s="265"/>
      <c r="AO3" s="265"/>
      <c r="AP3" s="265"/>
      <c r="AQ3" s="265"/>
      <c r="AR3" s="265" t="s">
        <v>78</v>
      </c>
      <c r="AS3" s="265"/>
      <c r="AT3" s="265" t="s">
        <v>86</v>
      </c>
      <c r="AU3" s="265"/>
      <c r="AV3" s="265" t="s">
        <v>20</v>
      </c>
      <c r="AW3" s="278" t="s">
        <v>54</v>
      </c>
      <c r="AX3" s="278" t="s">
        <v>193</v>
      </c>
      <c r="AY3" s="284" t="s">
        <v>254</v>
      </c>
      <c r="AZ3" s="284"/>
      <c r="BA3" s="265" t="s">
        <v>196</v>
      </c>
      <c r="BB3" s="265"/>
      <c r="BC3" s="265"/>
      <c r="BD3" s="265"/>
      <c r="BE3" s="265" t="s">
        <v>64</v>
      </c>
      <c r="BF3" s="265"/>
      <c r="BG3" s="265"/>
      <c r="BH3" s="265"/>
      <c r="BI3" s="265" t="s">
        <v>124</v>
      </c>
      <c r="BJ3" s="265"/>
      <c r="BK3" s="265"/>
      <c r="BL3" s="265"/>
      <c r="BM3" s="265" t="s">
        <v>16</v>
      </c>
      <c r="BN3" s="265"/>
      <c r="BO3" s="265"/>
      <c r="BP3" s="265"/>
      <c r="BQ3" s="265"/>
      <c r="BR3" s="265"/>
      <c r="BS3" s="265"/>
      <c r="BT3" s="281" t="s">
        <v>102</v>
      </c>
      <c r="BU3" s="281" t="s">
        <v>57</v>
      </c>
      <c r="BV3" s="270" t="s">
        <v>84</v>
      </c>
      <c r="BW3" s="265" t="s">
        <v>173</v>
      </c>
      <c r="BX3" s="265" t="s">
        <v>174</v>
      </c>
      <c r="BY3" s="270" t="s">
        <v>190</v>
      </c>
      <c r="BZ3" s="276" t="s">
        <v>163</v>
      </c>
      <c r="CA3" s="265" t="s">
        <v>55</v>
      </c>
      <c r="CB3" s="265"/>
      <c r="CC3" s="265"/>
      <c r="CD3" s="288"/>
      <c r="CE3" s="271" t="s">
        <v>31</v>
      </c>
      <c r="CF3" s="265">
        <v>1</v>
      </c>
      <c r="CG3" s="265">
        <v>2</v>
      </c>
      <c r="CH3" s="265">
        <v>3</v>
      </c>
      <c r="CI3" s="265">
        <v>4</v>
      </c>
      <c r="CJ3" s="265">
        <v>5</v>
      </c>
      <c r="CK3" s="59"/>
    </row>
    <row r="4" spans="1:89" ht="12" customHeight="1" x14ac:dyDescent="0.15">
      <c r="A4" s="265"/>
      <c r="B4" s="60" t="s">
        <v>158</v>
      </c>
      <c r="C4" s="60" t="s">
        <v>9</v>
      </c>
      <c r="D4" s="265"/>
      <c r="E4" s="60" t="s">
        <v>79</v>
      </c>
      <c r="F4" s="60" t="s">
        <v>9</v>
      </c>
      <c r="G4" s="60" t="s">
        <v>8</v>
      </c>
      <c r="H4" s="60" t="s">
        <v>9</v>
      </c>
      <c r="I4" s="265"/>
      <c r="J4" s="270"/>
      <c r="K4" s="60" t="s">
        <v>114</v>
      </c>
      <c r="L4" s="60" t="s">
        <v>144</v>
      </c>
      <c r="M4" s="265"/>
      <c r="N4" s="286"/>
      <c r="O4" s="265"/>
      <c r="P4" s="265"/>
      <c r="Q4" s="265"/>
      <c r="R4" s="265"/>
      <c r="S4" s="265"/>
      <c r="T4" s="265"/>
      <c r="U4" s="60" t="s">
        <v>95</v>
      </c>
      <c r="V4" s="60" t="s">
        <v>21</v>
      </c>
      <c r="W4" s="60" t="s">
        <v>95</v>
      </c>
      <c r="X4" s="60" t="s">
        <v>21</v>
      </c>
      <c r="Y4" s="60" t="s">
        <v>95</v>
      </c>
      <c r="Z4" s="60" t="s">
        <v>21</v>
      </c>
      <c r="AA4" s="60" t="s">
        <v>62</v>
      </c>
      <c r="AB4" s="60" t="s">
        <v>63</v>
      </c>
      <c r="AC4" s="60" t="s">
        <v>216</v>
      </c>
      <c r="AD4" s="60" t="s">
        <v>217</v>
      </c>
      <c r="AE4" s="60" t="s">
        <v>218</v>
      </c>
      <c r="AF4" s="60" t="s">
        <v>219</v>
      </c>
      <c r="AG4" s="60" t="s">
        <v>217</v>
      </c>
      <c r="AH4" s="60" t="s">
        <v>218</v>
      </c>
      <c r="AI4" s="60" t="s">
        <v>219</v>
      </c>
      <c r="AJ4" s="60" t="s">
        <v>217</v>
      </c>
      <c r="AK4" s="60" t="s">
        <v>12</v>
      </c>
      <c r="AL4" s="60" t="s">
        <v>87</v>
      </c>
      <c r="AM4" s="265" t="s">
        <v>60</v>
      </c>
      <c r="AN4" s="265"/>
      <c r="AO4" s="60" t="s">
        <v>83</v>
      </c>
      <c r="AP4" s="60" t="s">
        <v>5</v>
      </c>
      <c r="AQ4" s="60" t="s">
        <v>4899</v>
      </c>
      <c r="AR4" s="60" t="s">
        <v>127</v>
      </c>
      <c r="AS4" s="60" t="s">
        <v>60</v>
      </c>
      <c r="AT4" s="60" t="s">
        <v>58</v>
      </c>
      <c r="AU4" s="60" t="s">
        <v>180</v>
      </c>
      <c r="AV4" s="265"/>
      <c r="AW4" s="279"/>
      <c r="AX4" s="279"/>
      <c r="AY4" s="95" t="s">
        <v>95</v>
      </c>
      <c r="AZ4" s="95" t="s">
        <v>21</v>
      </c>
      <c r="BA4" s="60" t="s">
        <v>195</v>
      </c>
      <c r="BB4" s="60" t="s">
        <v>192</v>
      </c>
      <c r="BC4" s="60" t="s">
        <v>21</v>
      </c>
      <c r="BD4" s="60" t="s">
        <v>47</v>
      </c>
      <c r="BE4" s="60" t="s">
        <v>195</v>
      </c>
      <c r="BF4" s="60" t="s">
        <v>192</v>
      </c>
      <c r="BG4" s="60" t="s">
        <v>21</v>
      </c>
      <c r="BH4" s="60" t="s">
        <v>47</v>
      </c>
      <c r="BI4" s="60" t="s">
        <v>195</v>
      </c>
      <c r="BJ4" s="60" t="s">
        <v>192</v>
      </c>
      <c r="BK4" s="60" t="s">
        <v>21</v>
      </c>
      <c r="BL4" s="60" t="s">
        <v>47</v>
      </c>
      <c r="BM4" s="60" t="s">
        <v>13</v>
      </c>
      <c r="BN4" s="60" t="s">
        <v>206</v>
      </c>
      <c r="BO4" s="60" t="s">
        <v>109</v>
      </c>
      <c r="BP4" s="60" t="s">
        <v>187</v>
      </c>
      <c r="BQ4" s="60" t="s">
        <v>66</v>
      </c>
      <c r="BR4" s="60" t="s">
        <v>129</v>
      </c>
      <c r="BS4" s="60" t="s">
        <v>27</v>
      </c>
      <c r="BT4" s="282"/>
      <c r="BU4" s="282"/>
      <c r="BV4" s="265"/>
      <c r="BW4" s="265"/>
      <c r="BX4" s="265"/>
      <c r="BY4" s="265"/>
      <c r="BZ4" s="277"/>
      <c r="CA4" s="60" t="s">
        <v>80</v>
      </c>
      <c r="CB4" s="60" t="s">
        <v>32</v>
      </c>
      <c r="CC4" s="60" t="s">
        <v>33</v>
      </c>
      <c r="CD4" s="272"/>
      <c r="CE4" s="272"/>
      <c r="CF4" s="265"/>
      <c r="CG4" s="265"/>
      <c r="CH4" s="265"/>
      <c r="CI4" s="265"/>
      <c r="CJ4" s="265"/>
      <c r="CK4" s="60" t="s">
        <v>269</v>
      </c>
    </row>
    <row r="5" spans="1:89" s="71" customFormat="1" ht="12.75" customHeight="1" x14ac:dyDescent="0.1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102"/>
      <c r="R5" s="70"/>
      <c r="S5" s="70"/>
      <c r="T5" s="70" t="str">
        <f>SUBTOTAL(3,T6:T2195) &amp; "件"</f>
        <v>1946件</v>
      </c>
      <c r="U5" s="77">
        <f t="shared" ref="U5:Z5" si="0">SUBTOTAL(9,U6:U2195)</f>
        <v>222271867</v>
      </c>
      <c r="V5" s="77">
        <f t="shared" si="0"/>
        <v>244499053.69999999</v>
      </c>
      <c r="W5" s="77">
        <f t="shared" si="0"/>
        <v>198700167</v>
      </c>
      <c r="X5" s="77">
        <f t="shared" si="0"/>
        <v>218570183.69999999</v>
      </c>
      <c r="Y5" s="77">
        <f t="shared" si="0"/>
        <v>23571700</v>
      </c>
      <c r="Z5" s="77">
        <f t="shared" si="0"/>
        <v>25928870</v>
      </c>
      <c r="AA5" s="70"/>
      <c r="AB5" s="70"/>
      <c r="AC5" s="70"/>
      <c r="AD5" s="70">
        <f t="shared" ref="AD5:AL5" si="1">SUBTOTAL(9,AD6:AD2195)</f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70">
        <f t="shared" si="1"/>
        <v>0</v>
      </c>
      <c r="AI5" s="70">
        <f t="shared" si="1"/>
        <v>0</v>
      </c>
      <c r="AJ5" s="70">
        <f t="shared" si="1"/>
        <v>0</v>
      </c>
      <c r="AK5" s="70">
        <f t="shared" si="1"/>
        <v>0</v>
      </c>
      <c r="AL5" s="70">
        <f t="shared" si="1"/>
        <v>0</v>
      </c>
      <c r="AM5" s="70"/>
      <c r="AN5" s="70"/>
      <c r="AO5" s="70"/>
      <c r="AP5" s="70"/>
      <c r="AQ5" s="70"/>
      <c r="AR5" s="70"/>
      <c r="AS5" s="70"/>
      <c r="AT5" s="70"/>
      <c r="AU5" s="70"/>
      <c r="AV5" s="70"/>
      <c r="AW5" s="92"/>
      <c r="AX5" s="92"/>
      <c r="AY5" s="98">
        <f>SUBTOTAL(9,AY6:AY2195)</f>
        <v>216292747</v>
      </c>
      <c r="AZ5" s="98">
        <f>SUBTOTAL(9,AZ6:AZ2195)</f>
        <v>237921971</v>
      </c>
      <c r="BA5" s="98"/>
      <c r="BB5" s="98">
        <f>SUBTOTAL(9,BB6:BB2195)</f>
        <v>66732034</v>
      </c>
      <c r="BC5" s="98">
        <f>SUBTOTAL(9,BC6:BC2195)</f>
        <v>73405238</v>
      </c>
      <c r="BD5" s="98"/>
      <c r="BE5" s="98"/>
      <c r="BF5" s="98">
        <f>SUBTOTAL(9,BF6:BF2195)</f>
        <v>0</v>
      </c>
      <c r="BG5" s="98">
        <f>SUBTOTAL(9,BG6:BG2195)</f>
        <v>0</v>
      </c>
      <c r="BH5" s="98"/>
      <c r="BI5" s="98"/>
      <c r="BJ5" s="98">
        <f>SUBTOTAL(9,BJ6:BJ2195)</f>
        <v>11802626</v>
      </c>
      <c r="BK5" s="98">
        <f>SUBTOTAL(9,BK6:BK2195)</f>
        <v>12982888.6</v>
      </c>
      <c r="BL5" s="98"/>
      <c r="BM5" s="98">
        <f t="shared" ref="BM5:CC5" si="2">SUBTOTAL(9,BM6:BM2195)</f>
        <v>0</v>
      </c>
      <c r="BN5" s="98">
        <f t="shared" si="2"/>
        <v>0</v>
      </c>
      <c r="BO5" s="98">
        <f t="shared" si="2"/>
        <v>0</v>
      </c>
      <c r="BP5" s="98">
        <f t="shared" si="2"/>
        <v>0</v>
      </c>
      <c r="BQ5" s="98">
        <f t="shared" si="2"/>
        <v>0</v>
      </c>
      <c r="BR5" s="98">
        <f t="shared" si="2"/>
        <v>0</v>
      </c>
      <c r="BS5" s="98">
        <f t="shared" si="2"/>
        <v>0</v>
      </c>
      <c r="BT5" s="98">
        <f t="shared" si="2"/>
        <v>0</v>
      </c>
      <c r="BU5" s="98">
        <f t="shared" si="2"/>
        <v>0</v>
      </c>
      <c r="BV5" s="98">
        <f t="shared" si="2"/>
        <v>203623383.69999999</v>
      </c>
      <c r="BW5" s="98">
        <f t="shared" si="2"/>
        <v>86388126.000000015</v>
      </c>
      <c r="BX5" s="98">
        <f t="shared" si="2"/>
        <v>76607598</v>
      </c>
      <c r="BY5" s="98">
        <f t="shared" si="2"/>
        <v>110749991.19999996</v>
      </c>
      <c r="BZ5" s="98">
        <f t="shared" si="2"/>
        <v>144741.66750248609</v>
      </c>
      <c r="CA5" s="98">
        <f t="shared" si="2"/>
        <v>0</v>
      </c>
      <c r="CB5" s="98">
        <f t="shared" si="2"/>
        <v>0</v>
      </c>
      <c r="CC5" s="98">
        <f t="shared" si="2"/>
        <v>0</v>
      </c>
      <c r="CD5" s="77"/>
      <c r="CE5" s="77"/>
      <c r="CF5" s="77"/>
      <c r="CG5" s="77"/>
      <c r="CH5" s="77"/>
      <c r="CI5" s="77"/>
      <c r="CJ5" s="77"/>
      <c r="CK5" s="77">
        <f>SUBTOTAL(9,CK6:CK2195)</f>
        <v>0</v>
      </c>
    </row>
    <row r="6" spans="1:89" x14ac:dyDescent="0.15">
      <c r="A6" s="60">
        <v>1</v>
      </c>
      <c r="B6" s="61">
        <v>44480</v>
      </c>
      <c r="C6" s="61">
        <v>44494</v>
      </c>
      <c r="F6" s="61" t="s">
        <v>309</v>
      </c>
      <c r="H6" s="61" t="s">
        <v>309</v>
      </c>
      <c r="J6" s="60">
        <v>2</v>
      </c>
      <c r="L6" s="60">
        <v>0</v>
      </c>
      <c r="M6" s="61">
        <v>44470</v>
      </c>
      <c r="O6" s="62" t="s">
        <v>331</v>
      </c>
      <c r="P6" s="60" t="s">
        <v>262</v>
      </c>
      <c r="Q6" s="62" t="s">
        <v>105</v>
      </c>
      <c r="R6" s="62" t="s">
        <v>327</v>
      </c>
      <c r="S6" s="63" t="s">
        <v>326</v>
      </c>
      <c r="T6" s="63" t="s">
        <v>332</v>
      </c>
      <c r="U6" s="64">
        <v>438000</v>
      </c>
      <c r="V6" s="64">
        <v>481800</v>
      </c>
      <c r="W6" s="64">
        <v>438000</v>
      </c>
      <c r="X6" s="64">
        <v>481800</v>
      </c>
      <c r="Y6" s="64">
        <v>0</v>
      </c>
      <c r="Z6" s="64">
        <v>0</v>
      </c>
      <c r="AD6" s="60">
        <v>0</v>
      </c>
      <c r="AG6" s="60">
        <v>0</v>
      </c>
      <c r="AJ6" s="60">
        <v>0</v>
      </c>
      <c r="AQ6" s="60" t="s">
        <v>380</v>
      </c>
      <c r="AR6" s="61">
        <v>44475</v>
      </c>
      <c r="AS6" s="60">
        <v>6001943517</v>
      </c>
      <c r="AT6" s="61">
        <v>44477</v>
      </c>
      <c r="AU6" s="60" t="s">
        <v>395</v>
      </c>
      <c r="AV6" s="61">
        <v>44494</v>
      </c>
      <c r="AW6" s="91">
        <v>44500</v>
      </c>
      <c r="AX6" s="91">
        <v>44520</v>
      </c>
      <c r="AY6" s="107">
        <v>438000</v>
      </c>
      <c r="AZ6" s="107">
        <f>ROUNDDOWN(AY6+(AY6*MASTER!$A$2/100),0)</f>
        <v>481800</v>
      </c>
      <c r="BC6" s="64">
        <v>0</v>
      </c>
      <c r="BG6" s="64">
        <v>0</v>
      </c>
      <c r="BK6" s="64">
        <v>0</v>
      </c>
      <c r="BS6" s="64">
        <v>0</v>
      </c>
      <c r="BV6" s="65">
        <v>481800</v>
      </c>
      <c r="BW6" s="65">
        <v>0</v>
      </c>
      <c r="BX6" s="65">
        <v>44470</v>
      </c>
      <c r="BY6" s="65">
        <v>481800</v>
      </c>
      <c r="BZ6" s="81">
        <v>100</v>
      </c>
    </row>
    <row r="7" spans="1:89" x14ac:dyDescent="0.15">
      <c r="A7" s="60">
        <v>1</v>
      </c>
      <c r="B7" s="61">
        <v>44480</v>
      </c>
      <c r="C7" s="61">
        <v>44494</v>
      </c>
      <c r="F7" s="61" t="s">
        <v>309</v>
      </c>
      <c r="H7" s="61" t="s">
        <v>309</v>
      </c>
      <c r="J7" s="60">
        <v>2</v>
      </c>
      <c r="L7" s="60">
        <v>0</v>
      </c>
      <c r="M7" s="61">
        <v>44470</v>
      </c>
      <c r="O7" s="62" t="s">
        <v>331</v>
      </c>
      <c r="P7" s="60" t="s">
        <v>262</v>
      </c>
      <c r="Q7" s="62" t="s">
        <v>105</v>
      </c>
      <c r="R7" s="62" t="s">
        <v>328</v>
      </c>
      <c r="S7" s="63" t="s">
        <v>326</v>
      </c>
      <c r="T7" s="63" t="s">
        <v>333</v>
      </c>
      <c r="U7" s="64">
        <v>438000</v>
      </c>
      <c r="V7" s="64">
        <v>481800</v>
      </c>
      <c r="W7" s="64">
        <v>438000</v>
      </c>
      <c r="X7" s="64">
        <v>481800</v>
      </c>
      <c r="Y7" s="64">
        <v>0</v>
      </c>
      <c r="Z7" s="64">
        <v>0</v>
      </c>
      <c r="AD7" s="60">
        <v>0</v>
      </c>
      <c r="AG7" s="60">
        <v>0</v>
      </c>
      <c r="AJ7" s="60">
        <v>0</v>
      </c>
      <c r="AQ7" s="60" t="s">
        <v>380</v>
      </c>
      <c r="AR7" s="61">
        <v>44475</v>
      </c>
      <c r="AS7" s="60">
        <v>6001943517</v>
      </c>
      <c r="AT7" s="61">
        <v>44477</v>
      </c>
      <c r="AU7" s="60" t="s">
        <v>395</v>
      </c>
      <c r="AV7" s="61">
        <v>44494</v>
      </c>
      <c r="AW7" s="91">
        <v>44500</v>
      </c>
      <c r="AX7" s="91">
        <v>44520</v>
      </c>
      <c r="AY7" s="107">
        <v>438000</v>
      </c>
      <c r="AZ7" s="107">
        <f>ROUNDDOWN(AY7+(AY7*MASTER!$A$2/100),0)</f>
        <v>481800</v>
      </c>
      <c r="BC7" s="64">
        <v>0</v>
      </c>
      <c r="BG7" s="64">
        <v>0</v>
      </c>
      <c r="BK7" s="64">
        <v>0</v>
      </c>
      <c r="BS7" s="64">
        <v>0</v>
      </c>
      <c r="BV7" s="65">
        <v>481800</v>
      </c>
      <c r="BW7" s="65">
        <v>0</v>
      </c>
      <c r="BX7" s="65">
        <v>44470</v>
      </c>
      <c r="BY7" s="65">
        <v>481800</v>
      </c>
      <c r="BZ7" s="81">
        <v>100</v>
      </c>
    </row>
    <row r="8" spans="1:89" x14ac:dyDescent="0.15">
      <c r="A8" s="60">
        <v>1</v>
      </c>
      <c r="B8" s="61">
        <v>44480</v>
      </c>
      <c r="C8" s="61">
        <v>44494</v>
      </c>
      <c r="F8" s="61" t="s">
        <v>309</v>
      </c>
      <c r="H8" s="61" t="s">
        <v>309</v>
      </c>
      <c r="J8" s="60">
        <v>2</v>
      </c>
      <c r="L8" s="60">
        <v>0</v>
      </c>
      <c r="M8" s="61">
        <v>44470</v>
      </c>
      <c r="O8" s="62" t="s">
        <v>331</v>
      </c>
      <c r="P8" s="60" t="s">
        <v>262</v>
      </c>
      <c r="Q8" s="62" t="s">
        <v>105</v>
      </c>
      <c r="R8" s="62" t="s">
        <v>329</v>
      </c>
      <c r="S8" s="63" t="s">
        <v>326</v>
      </c>
      <c r="T8" s="63" t="s">
        <v>334</v>
      </c>
      <c r="U8" s="64">
        <v>262000</v>
      </c>
      <c r="V8" s="64">
        <v>288200</v>
      </c>
      <c r="W8" s="64">
        <v>262000</v>
      </c>
      <c r="X8" s="64">
        <v>288200</v>
      </c>
      <c r="Y8" s="64">
        <v>0</v>
      </c>
      <c r="Z8" s="64">
        <v>0</v>
      </c>
      <c r="AD8" s="60">
        <v>0</v>
      </c>
      <c r="AG8" s="60">
        <v>0</v>
      </c>
      <c r="AJ8" s="60">
        <v>0</v>
      </c>
      <c r="AQ8" s="60" t="s">
        <v>380</v>
      </c>
      <c r="AR8" s="61">
        <v>44475</v>
      </c>
      <c r="AS8" s="60">
        <v>6001943517</v>
      </c>
      <c r="AT8" s="61">
        <v>44477</v>
      </c>
      <c r="AU8" s="60" t="s">
        <v>395</v>
      </c>
      <c r="AV8" s="61">
        <v>44494</v>
      </c>
      <c r="AW8" s="91">
        <v>44500</v>
      </c>
      <c r="AX8" s="91">
        <v>44520</v>
      </c>
      <c r="AY8" s="107">
        <v>262000</v>
      </c>
      <c r="AZ8" s="107">
        <f>ROUNDDOWN(AY8+(AY8*MASTER!$A$2/100),0)</f>
        <v>288200</v>
      </c>
      <c r="BC8" s="64">
        <v>0</v>
      </c>
      <c r="BG8" s="64">
        <v>0</v>
      </c>
      <c r="BK8" s="64">
        <v>0</v>
      </c>
      <c r="BS8" s="64">
        <v>0</v>
      </c>
      <c r="BV8" s="65">
        <v>288200</v>
      </c>
      <c r="BW8" s="65">
        <v>0</v>
      </c>
      <c r="BX8" s="65">
        <v>44470</v>
      </c>
      <c r="BY8" s="65">
        <v>288200</v>
      </c>
      <c r="BZ8" s="81">
        <v>100</v>
      </c>
    </row>
    <row r="9" spans="1:89" x14ac:dyDescent="0.15">
      <c r="A9" s="60">
        <v>1</v>
      </c>
      <c r="B9" s="61">
        <v>44480</v>
      </c>
      <c r="C9" s="61">
        <v>44494</v>
      </c>
      <c r="F9" s="61" t="s">
        <v>309</v>
      </c>
      <c r="H9" s="61" t="s">
        <v>309</v>
      </c>
      <c r="J9" s="60">
        <v>2</v>
      </c>
      <c r="L9" s="60">
        <v>0</v>
      </c>
      <c r="M9" s="61">
        <v>44470</v>
      </c>
      <c r="O9" s="62" t="s">
        <v>331</v>
      </c>
      <c r="P9" s="60" t="s">
        <v>260</v>
      </c>
      <c r="Q9" s="62" t="s">
        <v>105</v>
      </c>
      <c r="R9" s="62" t="s">
        <v>416</v>
      </c>
      <c r="S9" s="63" t="s">
        <v>417</v>
      </c>
      <c r="T9" s="63" t="s">
        <v>418</v>
      </c>
      <c r="U9" s="64">
        <v>66000</v>
      </c>
      <c r="V9" s="64">
        <v>72600</v>
      </c>
      <c r="W9" s="64">
        <v>66000</v>
      </c>
      <c r="X9" s="64">
        <v>72600</v>
      </c>
      <c r="Y9" s="64">
        <v>0</v>
      </c>
      <c r="Z9" s="64">
        <v>0</v>
      </c>
      <c r="AA9" s="61">
        <v>44470</v>
      </c>
      <c r="AB9" s="61">
        <v>44500</v>
      </c>
      <c r="AD9" s="60">
        <v>0</v>
      </c>
      <c r="AG9" s="60">
        <v>0</v>
      </c>
      <c r="AJ9" s="60">
        <v>0</v>
      </c>
      <c r="AN9" s="60" t="s">
        <v>309</v>
      </c>
      <c r="AQ9" s="60" t="s">
        <v>381</v>
      </c>
      <c r="AR9" s="61">
        <v>44475</v>
      </c>
      <c r="AS9" s="60">
        <v>6001943517</v>
      </c>
      <c r="AT9" s="61">
        <v>44477</v>
      </c>
      <c r="AU9" s="60" t="s">
        <v>395</v>
      </c>
      <c r="AV9" s="61">
        <v>44494</v>
      </c>
      <c r="AW9" s="91">
        <v>44500</v>
      </c>
      <c r="AX9" s="91">
        <v>44520</v>
      </c>
      <c r="AY9" s="99">
        <v>63360</v>
      </c>
      <c r="AZ9" s="141">
        <f>ROUNDDOWN(AY9+(AY9*MASTER!$A$2/100),0)</f>
        <v>69696</v>
      </c>
      <c r="BC9" s="64">
        <v>0</v>
      </c>
      <c r="BG9" s="64">
        <v>0</v>
      </c>
      <c r="BK9" s="64">
        <v>0</v>
      </c>
      <c r="BS9" s="64">
        <v>0</v>
      </c>
      <c r="BV9" s="65">
        <v>72600</v>
      </c>
      <c r="BW9" s="65">
        <v>0</v>
      </c>
      <c r="BX9" s="65">
        <v>44470</v>
      </c>
      <c r="BY9" s="65">
        <v>72600</v>
      </c>
      <c r="BZ9" s="81">
        <v>100</v>
      </c>
    </row>
    <row r="10" spans="1:89" x14ac:dyDescent="0.15">
      <c r="A10" s="60">
        <v>1</v>
      </c>
      <c r="B10" s="61">
        <v>44480</v>
      </c>
      <c r="C10" s="61">
        <v>44477</v>
      </c>
      <c r="F10" s="61" t="s">
        <v>309</v>
      </c>
      <c r="H10" s="61" t="s">
        <v>309</v>
      </c>
      <c r="J10" s="60">
        <v>3</v>
      </c>
      <c r="L10" s="60">
        <v>0</v>
      </c>
      <c r="M10" s="61">
        <v>44470</v>
      </c>
      <c r="O10" s="62" t="s">
        <v>331</v>
      </c>
      <c r="P10" s="60" t="s">
        <v>6</v>
      </c>
      <c r="Q10" s="62" t="s">
        <v>105</v>
      </c>
      <c r="R10" s="62" t="s">
        <v>351</v>
      </c>
      <c r="S10" s="63" t="s">
        <v>338</v>
      </c>
      <c r="T10" s="63" t="s">
        <v>352</v>
      </c>
      <c r="U10" s="64">
        <v>16000</v>
      </c>
      <c r="V10" s="64">
        <v>17600</v>
      </c>
      <c r="W10" s="64">
        <v>0</v>
      </c>
      <c r="X10" s="64">
        <v>0</v>
      </c>
      <c r="Y10" s="64">
        <v>16000</v>
      </c>
      <c r="Z10" s="64">
        <v>17600</v>
      </c>
      <c r="AD10" s="60">
        <v>0</v>
      </c>
      <c r="AG10" s="60">
        <v>0</v>
      </c>
      <c r="AJ10" s="60">
        <v>0</v>
      </c>
      <c r="AN10" s="60" t="s">
        <v>309</v>
      </c>
      <c r="AQ10" s="60" t="s">
        <v>374</v>
      </c>
      <c r="AR10" s="61">
        <v>44475</v>
      </c>
      <c r="AS10" s="60">
        <v>6001943244</v>
      </c>
      <c r="AT10" s="61">
        <v>44477</v>
      </c>
      <c r="AU10" s="60" t="s">
        <v>394</v>
      </c>
      <c r="AV10" s="61">
        <v>44477</v>
      </c>
      <c r="AW10" s="91">
        <v>44500</v>
      </c>
      <c r="AX10" s="91">
        <v>44520</v>
      </c>
      <c r="AY10" s="99">
        <v>15360</v>
      </c>
      <c r="AZ10" s="141">
        <f>ROUNDDOWN(AY10+(AY10*MASTER!$A$2/100),0)</f>
        <v>16896</v>
      </c>
      <c r="BC10" s="64">
        <v>0</v>
      </c>
      <c r="BG10" s="64">
        <v>0</v>
      </c>
      <c r="BK10" s="64">
        <v>0</v>
      </c>
      <c r="BS10" s="64">
        <v>0</v>
      </c>
      <c r="BV10" s="65">
        <v>0</v>
      </c>
      <c r="BW10" s="65">
        <v>0</v>
      </c>
      <c r="BX10" s="65">
        <v>44470</v>
      </c>
      <c r="BY10" s="65">
        <v>0</v>
      </c>
      <c r="BZ10" s="81" t="s">
        <v>309</v>
      </c>
    </row>
    <row r="11" spans="1:89" x14ac:dyDescent="0.15">
      <c r="A11" s="60">
        <v>1</v>
      </c>
      <c r="B11" s="61">
        <v>44480</v>
      </c>
      <c r="C11" s="61">
        <v>44477</v>
      </c>
      <c r="F11" s="61" t="s">
        <v>309</v>
      </c>
      <c r="H11" s="61" t="s">
        <v>309</v>
      </c>
      <c r="J11" s="60">
        <v>3</v>
      </c>
      <c r="L11" s="60">
        <v>0</v>
      </c>
      <c r="M11" s="61">
        <v>44470</v>
      </c>
      <c r="O11" s="62" t="s">
        <v>331</v>
      </c>
      <c r="P11" s="60" t="s">
        <v>6</v>
      </c>
      <c r="Q11" s="62" t="s">
        <v>105</v>
      </c>
      <c r="R11" s="62" t="s">
        <v>337</v>
      </c>
      <c r="S11" s="63" t="s">
        <v>338</v>
      </c>
      <c r="T11" s="63" t="s">
        <v>339</v>
      </c>
      <c r="U11" s="64">
        <v>16000</v>
      </c>
      <c r="V11" s="64">
        <v>17600</v>
      </c>
      <c r="W11" s="64">
        <v>0</v>
      </c>
      <c r="X11" s="64">
        <v>0</v>
      </c>
      <c r="Y11" s="64">
        <v>16000</v>
      </c>
      <c r="Z11" s="64">
        <v>17600</v>
      </c>
      <c r="AD11" s="60">
        <v>0</v>
      </c>
      <c r="AG11" s="60">
        <v>0</v>
      </c>
      <c r="AJ11" s="60">
        <v>0</v>
      </c>
      <c r="AQ11" s="60" t="s">
        <v>374</v>
      </c>
      <c r="AR11" s="61">
        <v>44475</v>
      </c>
      <c r="AS11" s="60">
        <v>6001943244</v>
      </c>
      <c r="AT11" s="61">
        <v>44477</v>
      </c>
      <c r="AU11" s="60" t="s">
        <v>394</v>
      </c>
      <c r="AV11" s="61">
        <v>44477</v>
      </c>
      <c r="AW11" s="91">
        <v>44500</v>
      </c>
      <c r="AX11" s="91">
        <v>44520</v>
      </c>
      <c r="AY11" s="99">
        <v>15360</v>
      </c>
      <c r="AZ11" s="141">
        <f>ROUNDDOWN(AY11+(AY11*MASTER!$A$2/100),0)</f>
        <v>16896</v>
      </c>
      <c r="BC11" s="64">
        <v>0</v>
      </c>
      <c r="BG11" s="64">
        <v>0</v>
      </c>
      <c r="BK11" s="64">
        <v>0</v>
      </c>
      <c r="BS11" s="64">
        <v>0</v>
      </c>
      <c r="BV11" s="65">
        <v>0</v>
      </c>
      <c r="BW11" s="65">
        <v>0</v>
      </c>
      <c r="BX11" s="65">
        <v>44470</v>
      </c>
      <c r="BY11" s="65">
        <v>0</v>
      </c>
      <c r="BZ11" s="81" t="s">
        <v>309</v>
      </c>
    </row>
    <row r="12" spans="1:89" ht="10.5" customHeight="1" x14ac:dyDescent="0.15">
      <c r="A12" s="60">
        <v>2</v>
      </c>
      <c r="B12" s="61">
        <v>44480</v>
      </c>
      <c r="C12" s="61">
        <v>44530</v>
      </c>
      <c r="D12" s="61">
        <v>44515</v>
      </c>
      <c r="E12" s="61">
        <v>44498</v>
      </c>
      <c r="F12" s="61">
        <v>44505</v>
      </c>
      <c r="G12" s="61">
        <v>44498</v>
      </c>
      <c r="H12" s="61">
        <v>44501</v>
      </c>
      <c r="I12" s="60" t="s">
        <v>511</v>
      </c>
      <c r="J12" s="60">
        <v>1</v>
      </c>
      <c r="L12" s="60">
        <v>0</v>
      </c>
      <c r="M12" s="61">
        <v>44470</v>
      </c>
      <c r="O12" s="62" t="s">
        <v>331</v>
      </c>
      <c r="P12" s="60" t="s">
        <v>26</v>
      </c>
      <c r="Q12" s="62" t="s">
        <v>105</v>
      </c>
      <c r="R12" s="62" t="s">
        <v>341</v>
      </c>
      <c r="S12" s="63" t="s">
        <v>342</v>
      </c>
      <c r="T12" s="63" t="s">
        <v>340</v>
      </c>
      <c r="U12" s="64">
        <v>84000</v>
      </c>
      <c r="V12" s="64">
        <v>92400</v>
      </c>
      <c r="W12" s="64">
        <v>68000</v>
      </c>
      <c r="X12" s="64">
        <v>74800</v>
      </c>
      <c r="Y12" s="64">
        <v>16000</v>
      </c>
      <c r="Z12" s="64">
        <v>17600</v>
      </c>
      <c r="AA12" s="61">
        <v>44497</v>
      </c>
      <c r="AB12" s="61">
        <v>44498</v>
      </c>
      <c r="AC12" s="61">
        <v>44498</v>
      </c>
      <c r="AD12" s="60">
        <v>0</v>
      </c>
      <c r="AG12" s="60">
        <v>0</v>
      </c>
      <c r="AJ12" s="60">
        <v>0</v>
      </c>
      <c r="AM12" s="60" t="s">
        <v>344</v>
      </c>
      <c r="AN12" s="60" t="s">
        <v>345</v>
      </c>
      <c r="AQ12" s="60" t="s">
        <v>343</v>
      </c>
      <c r="AR12" s="61">
        <v>44475</v>
      </c>
      <c r="AS12" s="60">
        <v>6001943517</v>
      </c>
      <c r="AT12" s="61">
        <v>44477</v>
      </c>
      <c r="AU12" s="60" t="s">
        <v>395</v>
      </c>
      <c r="AV12" s="61">
        <v>44530</v>
      </c>
      <c r="AW12" s="91">
        <v>44500</v>
      </c>
      <c r="AX12" s="91">
        <v>44520</v>
      </c>
      <c r="AY12" s="99">
        <v>80640</v>
      </c>
      <c r="AZ12" s="141">
        <f>ROUNDDOWN(AY12+(AY12*MASTER!$A$2/100),0)</f>
        <v>88704</v>
      </c>
      <c r="BA12" s="60" t="s">
        <v>613</v>
      </c>
      <c r="BB12" s="64">
        <v>26000</v>
      </c>
      <c r="BC12" s="64">
        <v>28600</v>
      </c>
      <c r="BD12" s="60" t="s">
        <v>182</v>
      </c>
      <c r="BG12" s="64">
        <v>0</v>
      </c>
      <c r="BK12" s="64">
        <v>0</v>
      </c>
      <c r="BS12" s="64">
        <v>0</v>
      </c>
      <c r="BV12" s="65">
        <v>74800</v>
      </c>
      <c r="BW12" s="65">
        <v>28600</v>
      </c>
      <c r="BX12" s="65">
        <v>44470</v>
      </c>
      <c r="BY12" s="65">
        <v>46200</v>
      </c>
      <c r="BZ12" s="81">
        <v>61.764705882352942</v>
      </c>
    </row>
    <row r="13" spans="1:89" x14ac:dyDescent="0.15">
      <c r="A13" s="60">
        <v>1</v>
      </c>
      <c r="B13" s="61">
        <v>44480</v>
      </c>
      <c r="C13" s="61">
        <v>44487</v>
      </c>
      <c r="F13" s="61" t="s">
        <v>309</v>
      </c>
      <c r="H13" s="61" t="s">
        <v>309</v>
      </c>
      <c r="J13" s="60">
        <v>2</v>
      </c>
      <c r="L13" s="60">
        <v>0</v>
      </c>
      <c r="M13" s="61">
        <v>44470</v>
      </c>
      <c r="O13" s="62" t="s">
        <v>331</v>
      </c>
      <c r="P13" s="60" t="s">
        <v>77</v>
      </c>
      <c r="Q13" s="62" t="s">
        <v>105</v>
      </c>
      <c r="R13" s="62" t="s">
        <v>347</v>
      </c>
      <c r="S13" s="63" t="s">
        <v>348</v>
      </c>
      <c r="T13" s="63" t="s">
        <v>346</v>
      </c>
      <c r="U13" s="64">
        <v>65000</v>
      </c>
      <c r="V13" s="64">
        <v>71500</v>
      </c>
      <c r="W13" s="64">
        <v>65000</v>
      </c>
      <c r="X13" s="64">
        <v>71500</v>
      </c>
      <c r="Y13" s="64">
        <v>0</v>
      </c>
      <c r="Z13" s="64">
        <v>0</v>
      </c>
      <c r="AA13" s="61">
        <v>44486</v>
      </c>
      <c r="AB13" s="61">
        <v>44487</v>
      </c>
      <c r="AD13" s="60">
        <v>0</v>
      </c>
      <c r="AG13" s="60">
        <v>0</v>
      </c>
      <c r="AJ13" s="60">
        <v>0</v>
      </c>
      <c r="AQ13" s="60" t="s">
        <v>382</v>
      </c>
      <c r="AR13" s="61">
        <v>44475</v>
      </c>
      <c r="AS13" s="60">
        <v>6001943517</v>
      </c>
      <c r="AT13" s="61">
        <v>44477</v>
      </c>
      <c r="AU13" s="60" t="s">
        <v>395</v>
      </c>
      <c r="AV13" s="61">
        <v>44487</v>
      </c>
      <c r="AW13" s="91">
        <v>44500</v>
      </c>
      <c r="AX13" s="91">
        <v>44520</v>
      </c>
      <c r="AY13" s="107">
        <v>65000</v>
      </c>
      <c r="AZ13" s="107">
        <f>ROUNDDOWN(AY13+(AY13*MASTER!$A$2/100),0)</f>
        <v>71500</v>
      </c>
      <c r="BC13" s="64">
        <v>0</v>
      </c>
      <c r="BG13" s="64">
        <v>0</v>
      </c>
      <c r="BK13" s="64">
        <v>0</v>
      </c>
      <c r="BS13" s="64">
        <v>0</v>
      </c>
      <c r="BV13" s="65">
        <v>71500</v>
      </c>
      <c r="BW13" s="65">
        <v>0</v>
      </c>
      <c r="BX13" s="65">
        <v>44470</v>
      </c>
      <c r="BY13" s="65">
        <v>71500</v>
      </c>
      <c r="BZ13" s="81">
        <v>100</v>
      </c>
    </row>
    <row r="14" spans="1:89" x14ac:dyDescent="0.15">
      <c r="A14" s="60">
        <v>2</v>
      </c>
      <c r="B14" s="61">
        <v>44484</v>
      </c>
      <c r="C14" s="61">
        <v>44489</v>
      </c>
      <c r="D14" s="61">
        <v>44510</v>
      </c>
      <c r="E14" s="61">
        <v>44490</v>
      </c>
      <c r="F14" s="61">
        <v>44496</v>
      </c>
      <c r="G14" s="61">
        <v>44489</v>
      </c>
      <c r="H14" s="61">
        <v>44492</v>
      </c>
      <c r="I14" s="60" t="s">
        <v>511</v>
      </c>
      <c r="J14" s="60">
        <v>1</v>
      </c>
      <c r="L14" s="60">
        <v>0</v>
      </c>
      <c r="M14" s="61">
        <v>44470</v>
      </c>
      <c r="O14" s="62" t="s">
        <v>331</v>
      </c>
      <c r="P14" s="60" t="s">
        <v>26</v>
      </c>
      <c r="Q14" s="62" t="s">
        <v>105</v>
      </c>
      <c r="R14" s="62" t="s">
        <v>440</v>
      </c>
      <c r="S14" s="63" t="s">
        <v>441</v>
      </c>
      <c r="T14" s="63" t="s">
        <v>442</v>
      </c>
      <c r="U14" s="64">
        <v>105500</v>
      </c>
      <c r="V14" s="64">
        <v>116050</v>
      </c>
      <c r="W14" s="64">
        <v>81500</v>
      </c>
      <c r="X14" s="64">
        <v>89650</v>
      </c>
      <c r="Y14" s="64">
        <v>24000</v>
      </c>
      <c r="Z14" s="64">
        <v>26400</v>
      </c>
      <c r="AA14" s="61">
        <v>44487</v>
      </c>
      <c r="AB14" s="61">
        <v>44489</v>
      </c>
      <c r="AC14" s="61">
        <v>44489</v>
      </c>
      <c r="AD14" s="60">
        <v>0</v>
      </c>
      <c r="AG14" s="60">
        <v>0</v>
      </c>
      <c r="AJ14" s="60">
        <v>0</v>
      </c>
      <c r="AM14" s="60" t="s">
        <v>273</v>
      </c>
      <c r="AN14" s="60" t="s">
        <v>443</v>
      </c>
      <c r="AQ14" s="60" t="s">
        <v>435</v>
      </c>
      <c r="AR14" s="61">
        <v>44483</v>
      </c>
      <c r="AS14" s="60">
        <v>6001946417</v>
      </c>
      <c r="AT14" s="61">
        <v>44483</v>
      </c>
      <c r="AU14" s="60" t="s">
        <v>436</v>
      </c>
      <c r="AV14" s="61">
        <v>44489</v>
      </c>
      <c r="AW14" s="91">
        <v>44500</v>
      </c>
      <c r="AX14" s="91">
        <v>44520</v>
      </c>
      <c r="AY14" s="99">
        <v>101280</v>
      </c>
      <c r="AZ14" s="99">
        <f>ROUNDDOWN(AY14+(AY14*MASTER!$A$2/100),0)</f>
        <v>111408</v>
      </c>
      <c r="BA14" s="60" t="s">
        <v>314</v>
      </c>
      <c r="BB14" s="64">
        <v>34000</v>
      </c>
      <c r="BC14" s="64">
        <v>37400</v>
      </c>
      <c r="BD14" s="60" t="s">
        <v>182</v>
      </c>
      <c r="BG14" s="64">
        <v>0</v>
      </c>
      <c r="BI14" s="60" t="s">
        <v>748</v>
      </c>
      <c r="BJ14" s="64">
        <v>15600</v>
      </c>
      <c r="BK14" s="64">
        <v>17160</v>
      </c>
      <c r="BL14" s="60" t="s">
        <v>182</v>
      </c>
      <c r="BS14" s="64">
        <v>0</v>
      </c>
      <c r="BV14" s="65">
        <v>89650</v>
      </c>
      <c r="BW14" s="65">
        <v>54560</v>
      </c>
      <c r="BX14" s="65">
        <v>44470</v>
      </c>
      <c r="BY14" s="65">
        <v>35090</v>
      </c>
      <c r="BZ14" s="81">
        <v>39.141104294478531</v>
      </c>
    </row>
    <row r="15" spans="1:89" x14ac:dyDescent="0.15">
      <c r="A15" s="60">
        <v>2</v>
      </c>
      <c r="B15" s="61">
        <v>44505</v>
      </c>
      <c r="C15" s="61">
        <v>44510</v>
      </c>
      <c r="D15" s="61">
        <v>44545</v>
      </c>
      <c r="E15" s="61">
        <v>44510</v>
      </c>
      <c r="F15" s="61">
        <v>44517</v>
      </c>
      <c r="G15" s="61">
        <v>44510</v>
      </c>
      <c r="H15" s="61">
        <v>44513</v>
      </c>
      <c r="I15" s="60" t="s">
        <v>511</v>
      </c>
      <c r="J15" s="60">
        <v>1</v>
      </c>
      <c r="L15" s="60">
        <v>0</v>
      </c>
      <c r="M15" s="61">
        <v>44470</v>
      </c>
      <c r="O15" s="62" t="s">
        <v>331</v>
      </c>
      <c r="P15" s="60" t="s">
        <v>26</v>
      </c>
      <c r="Q15" s="62" t="s">
        <v>105</v>
      </c>
      <c r="R15" s="62" t="s">
        <v>692</v>
      </c>
      <c r="S15" s="63" t="s">
        <v>693</v>
      </c>
      <c r="T15" s="63" t="s">
        <v>442</v>
      </c>
      <c r="U15" s="64">
        <v>105500</v>
      </c>
      <c r="V15" s="64">
        <v>116050</v>
      </c>
      <c r="W15" s="64">
        <v>81500</v>
      </c>
      <c r="X15" s="64">
        <v>89650</v>
      </c>
      <c r="Y15" s="64">
        <v>24000</v>
      </c>
      <c r="Z15" s="64">
        <v>26400</v>
      </c>
      <c r="AA15" s="61">
        <v>44508</v>
      </c>
      <c r="AB15" s="61">
        <v>44510</v>
      </c>
      <c r="AC15" s="61">
        <v>44510</v>
      </c>
      <c r="AD15" s="60">
        <v>0</v>
      </c>
      <c r="AG15" s="60">
        <v>0</v>
      </c>
      <c r="AJ15" s="60">
        <v>0</v>
      </c>
      <c r="AM15" s="60" t="s">
        <v>273</v>
      </c>
      <c r="AN15" s="60" t="s">
        <v>694</v>
      </c>
      <c r="AQ15" s="60" t="s">
        <v>434</v>
      </c>
      <c r="AR15" s="61">
        <v>44483</v>
      </c>
      <c r="AS15" s="60">
        <v>6001946417</v>
      </c>
      <c r="AT15" s="61">
        <v>44483</v>
      </c>
      <c r="AU15" s="60" t="s">
        <v>436</v>
      </c>
      <c r="AV15" s="61">
        <v>44510</v>
      </c>
      <c r="AW15" s="91">
        <v>44530</v>
      </c>
      <c r="AX15" s="91">
        <v>44550</v>
      </c>
      <c r="AY15" s="99">
        <v>101280</v>
      </c>
      <c r="AZ15" s="99">
        <f>ROUNDDOWN(AY15+(AY15*MASTER!$A$2/100),0)</f>
        <v>111408</v>
      </c>
      <c r="BA15" s="60" t="s">
        <v>314</v>
      </c>
      <c r="BB15" s="64">
        <v>34000</v>
      </c>
      <c r="BC15" s="64">
        <v>37400</v>
      </c>
      <c r="BD15" s="60" t="s">
        <v>183</v>
      </c>
      <c r="BG15" s="64">
        <v>0</v>
      </c>
      <c r="BI15" s="60" t="s">
        <v>748</v>
      </c>
      <c r="BJ15" s="64">
        <v>15600</v>
      </c>
      <c r="BK15" s="64">
        <v>17160</v>
      </c>
      <c r="BL15" s="60" t="s">
        <v>183</v>
      </c>
      <c r="BS15" s="64">
        <v>0</v>
      </c>
      <c r="BV15" s="65">
        <v>89650</v>
      </c>
      <c r="BW15" s="65">
        <v>54560</v>
      </c>
      <c r="BX15" s="65">
        <v>44470</v>
      </c>
      <c r="BY15" s="65">
        <v>35090</v>
      </c>
      <c r="BZ15" s="81">
        <v>39.141104294478531</v>
      </c>
    </row>
    <row r="16" spans="1:89" x14ac:dyDescent="0.15">
      <c r="A16" s="60">
        <v>2</v>
      </c>
      <c r="B16" s="61">
        <v>44621</v>
      </c>
      <c r="C16" s="61">
        <v>44621</v>
      </c>
      <c r="D16" s="61">
        <v>44635</v>
      </c>
      <c r="E16" s="61">
        <v>44621</v>
      </c>
      <c r="F16" s="61">
        <v>44628</v>
      </c>
      <c r="G16" s="61">
        <v>44622</v>
      </c>
      <c r="H16" s="61">
        <v>44624</v>
      </c>
      <c r="I16" s="60" t="s">
        <v>511</v>
      </c>
      <c r="J16" s="60">
        <v>1</v>
      </c>
      <c r="L16" s="60">
        <v>0</v>
      </c>
      <c r="M16" s="61">
        <v>44470</v>
      </c>
      <c r="N16" s="143"/>
      <c r="O16" s="62" t="s">
        <v>331</v>
      </c>
      <c r="P16" s="60" t="s">
        <v>26</v>
      </c>
      <c r="Q16" s="62" t="s">
        <v>105</v>
      </c>
      <c r="R16" s="62" t="s">
        <v>1169</v>
      </c>
      <c r="S16" s="63" t="s">
        <v>1170</v>
      </c>
      <c r="T16" s="63" t="s">
        <v>442</v>
      </c>
      <c r="U16" s="64">
        <v>59000</v>
      </c>
      <c r="V16" s="64">
        <v>64900</v>
      </c>
      <c r="W16" s="64">
        <v>47000</v>
      </c>
      <c r="X16" s="64">
        <v>51700</v>
      </c>
      <c r="Y16" s="64">
        <v>12000</v>
      </c>
      <c r="Z16" s="64">
        <v>13200</v>
      </c>
      <c r="AA16" s="61">
        <v>44620</v>
      </c>
      <c r="AB16" s="61">
        <v>44621</v>
      </c>
      <c r="AC16" s="61">
        <v>44621</v>
      </c>
      <c r="AD16" s="60">
        <v>0</v>
      </c>
      <c r="AG16" s="60">
        <v>0</v>
      </c>
      <c r="AJ16" s="60">
        <v>0</v>
      </c>
      <c r="AM16" s="60" t="s">
        <v>273</v>
      </c>
      <c r="AN16" s="60" t="s">
        <v>1171</v>
      </c>
      <c r="AQ16" s="60" t="s">
        <v>1358</v>
      </c>
      <c r="AR16" s="61">
        <v>44547</v>
      </c>
      <c r="AS16" s="60">
        <v>6001971916</v>
      </c>
      <c r="AT16" s="61">
        <v>44547</v>
      </c>
      <c r="AU16" s="60" t="s">
        <v>1362</v>
      </c>
      <c r="AV16" s="61">
        <v>44621</v>
      </c>
      <c r="AW16" s="91">
        <v>44651</v>
      </c>
      <c r="AX16" s="91">
        <v>44671</v>
      </c>
      <c r="AY16" s="99">
        <v>56640</v>
      </c>
      <c r="AZ16" s="99">
        <f>ROUNDDOWN(AY16+(AY16*MASTER!$A$2/100),0)</f>
        <v>62304</v>
      </c>
      <c r="BA16" s="60" t="s">
        <v>319</v>
      </c>
      <c r="BB16" s="64">
        <v>33000</v>
      </c>
      <c r="BC16" s="64">
        <v>36300</v>
      </c>
      <c r="BD16" s="60" t="s">
        <v>2044</v>
      </c>
      <c r="BG16" s="64">
        <v>0</v>
      </c>
      <c r="BK16" s="64">
        <v>0</v>
      </c>
      <c r="BS16" s="64">
        <v>0</v>
      </c>
      <c r="BV16" s="65">
        <v>51700</v>
      </c>
      <c r="BW16" s="65">
        <v>36300</v>
      </c>
      <c r="BX16" s="65">
        <v>44470</v>
      </c>
      <c r="BY16" s="65">
        <v>15400</v>
      </c>
      <c r="BZ16" s="81">
        <v>29.787234042553191</v>
      </c>
      <c r="CD16" s="63" t="s">
        <v>1964</v>
      </c>
    </row>
    <row r="17" spans="1:89" x14ac:dyDescent="0.15">
      <c r="A17" s="60">
        <v>1</v>
      </c>
      <c r="C17" s="61" t="s">
        <v>309</v>
      </c>
      <c r="F17" s="61" t="s">
        <v>309</v>
      </c>
      <c r="H17" s="61" t="s">
        <v>309</v>
      </c>
      <c r="J17" s="60">
        <v>4</v>
      </c>
      <c r="L17" s="60">
        <v>0</v>
      </c>
      <c r="M17" s="61">
        <v>44472</v>
      </c>
      <c r="O17" s="62" t="s">
        <v>331</v>
      </c>
      <c r="P17" s="60" t="s">
        <v>263</v>
      </c>
      <c r="Q17" s="62" t="s">
        <v>105</v>
      </c>
      <c r="R17" s="62" t="s">
        <v>353</v>
      </c>
      <c r="S17" s="63" t="s">
        <v>354</v>
      </c>
      <c r="T17" s="63" t="s">
        <v>355</v>
      </c>
      <c r="U17" s="64">
        <v>0</v>
      </c>
      <c r="V17" s="64">
        <v>0</v>
      </c>
      <c r="W17" s="64">
        <v>0</v>
      </c>
      <c r="X17" s="64">
        <v>0</v>
      </c>
      <c r="Y17" s="64">
        <v>0</v>
      </c>
      <c r="Z17" s="64">
        <v>0</v>
      </c>
      <c r="AD17" s="60">
        <v>0</v>
      </c>
      <c r="AG17" s="60">
        <v>0</v>
      </c>
      <c r="AJ17" s="60">
        <v>0</v>
      </c>
      <c r="AN17" s="60" t="s">
        <v>309</v>
      </c>
      <c r="AY17" s="99">
        <f>ROUNDDOWN((0.96*U17),0)</f>
        <v>0</v>
      </c>
      <c r="AZ17" s="99">
        <f>ROUNDDOWN(AY17+(AY17*MASTER!$A$2/100),0)</f>
        <v>0</v>
      </c>
      <c r="BA17" s="60" t="s">
        <v>356</v>
      </c>
      <c r="BC17" s="64">
        <v>0</v>
      </c>
      <c r="BG17" s="64">
        <v>0</v>
      </c>
      <c r="BK17" s="64">
        <v>0</v>
      </c>
      <c r="BS17" s="64">
        <v>0</v>
      </c>
      <c r="BV17" s="65">
        <v>0</v>
      </c>
      <c r="BW17" s="65">
        <v>0</v>
      </c>
      <c r="BX17" s="65">
        <v>44472</v>
      </c>
      <c r="BY17" s="65">
        <v>0</v>
      </c>
      <c r="BZ17" s="81" t="s">
        <v>309</v>
      </c>
    </row>
    <row r="18" spans="1:89" x14ac:dyDescent="0.15">
      <c r="A18" s="60">
        <v>2</v>
      </c>
      <c r="C18" s="61" t="s">
        <v>309</v>
      </c>
      <c r="D18" s="61">
        <v>44473</v>
      </c>
      <c r="E18" s="61">
        <v>44473</v>
      </c>
      <c r="F18" s="61" t="s">
        <v>309</v>
      </c>
      <c r="G18" s="61">
        <v>44473</v>
      </c>
      <c r="H18" s="61" t="s">
        <v>309</v>
      </c>
      <c r="I18" s="60" t="s">
        <v>766</v>
      </c>
      <c r="J18" s="60">
        <v>2</v>
      </c>
      <c r="L18" s="60">
        <v>0</v>
      </c>
      <c r="M18" s="61">
        <v>44473</v>
      </c>
      <c r="O18" s="62" t="s">
        <v>331</v>
      </c>
      <c r="P18" s="60" t="s">
        <v>6</v>
      </c>
      <c r="Q18" s="62" t="s">
        <v>105</v>
      </c>
      <c r="R18" s="62" t="s">
        <v>362</v>
      </c>
      <c r="S18" s="63" t="s">
        <v>363</v>
      </c>
      <c r="T18" s="63" t="s">
        <v>364</v>
      </c>
      <c r="U18" s="64">
        <v>35000</v>
      </c>
      <c r="V18" s="64">
        <v>38500</v>
      </c>
      <c r="W18" s="64">
        <v>35000</v>
      </c>
      <c r="X18" s="64">
        <v>38500</v>
      </c>
      <c r="Z18" s="64">
        <v>0</v>
      </c>
      <c r="AA18" s="61">
        <v>44471</v>
      </c>
      <c r="AB18" s="61">
        <v>44471</v>
      </c>
      <c r="AD18" s="60">
        <v>0</v>
      </c>
      <c r="AG18" s="60">
        <v>0</v>
      </c>
      <c r="AJ18" s="60">
        <v>0</v>
      </c>
      <c r="AN18" s="60" t="s">
        <v>309</v>
      </c>
      <c r="AY18" s="99">
        <v>33600</v>
      </c>
      <c r="AZ18" s="99">
        <f>ROUNDDOWN(AY18+(AY18*MASTER!$A$2/100),0)</f>
        <v>36960</v>
      </c>
      <c r="BA18" s="60" t="s">
        <v>582</v>
      </c>
      <c r="BB18" s="64">
        <v>33000</v>
      </c>
      <c r="BC18" s="64">
        <v>36300</v>
      </c>
      <c r="BD18" s="60" t="s">
        <v>182</v>
      </c>
      <c r="BG18" s="64">
        <v>0</v>
      </c>
      <c r="BK18" s="64">
        <v>0</v>
      </c>
      <c r="BS18" s="64">
        <v>0</v>
      </c>
      <c r="BV18" s="65">
        <v>38500</v>
      </c>
      <c r="BW18" s="65">
        <v>36300</v>
      </c>
      <c r="BX18" s="65">
        <v>44473</v>
      </c>
      <c r="BY18" s="65">
        <v>2200</v>
      </c>
      <c r="BZ18" s="81">
        <v>5.7142857142857144</v>
      </c>
      <c r="CD18" s="63" t="s">
        <v>1271</v>
      </c>
    </row>
    <row r="19" spans="1:89" x14ac:dyDescent="0.15">
      <c r="A19" s="60">
        <v>1</v>
      </c>
      <c r="B19" s="61">
        <v>44487</v>
      </c>
      <c r="C19" s="61">
        <v>44489</v>
      </c>
      <c r="F19" s="61" t="s">
        <v>309</v>
      </c>
      <c r="H19" s="61" t="s">
        <v>309</v>
      </c>
      <c r="J19" s="60">
        <v>2</v>
      </c>
      <c r="L19" s="60">
        <v>0</v>
      </c>
      <c r="M19" s="61">
        <v>44473</v>
      </c>
      <c r="O19" s="62" t="s">
        <v>331</v>
      </c>
      <c r="P19" s="60" t="s">
        <v>26</v>
      </c>
      <c r="Q19" s="62" t="s">
        <v>105</v>
      </c>
      <c r="R19" s="62" t="s">
        <v>358</v>
      </c>
      <c r="S19" s="63" t="s">
        <v>326</v>
      </c>
      <c r="T19" s="63" t="s">
        <v>357</v>
      </c>
      <c r="U19" s="64">
        <v>64000</v>
      </c>
      <c r="V19" s="64">
        <v>70400</v>
      </c>
      <c r="W19" s="64">
        <v>64000</v>
      </c>
      <c r="X19" s="64">
        <v>70400</v>
      </c>
      <c r="Y19" s="64">
        <v>0</v>
      </c>
      <c r="Z19" s="64">
        <v>0</v>
      </c>
      <c r="AA19" s="61">
        <v>44469</v>
      </c>
      <c r="AB19" s="61">
        <v>44474</v>
      </c>
      <c r="AD19" s="60">
        <v>0</v>
      </c>
      <c r="AG19" s="60">
        <v>0</v>
      </c>
      <c r="AJ19" s="60">
        <v>0</v>
      </c>
      <c r="AQ19" s="60" t="s">
        <v>365</v>
      </c>
      <c r="AR19" s="61">
        <v>44474</v>
      </c>
      <c r="AS19" s="60">
        <v>6001942672</v>
      </c>
      <c r="AT19" s="61">
        <v>44474</v>
      </c>
      <c r="AU19" s="60" t="s">
        <v>372</v>
      </c>
      <c r="AV19" s="61">
        <v>44489</v>
      </c>
      <c r="AW19" s="91">
        <v>44500</v>
      </c>
      <c r="AX19" s="91">
        <v>44520</v>
      </c>
      <c r="AY19" s="107">
        <v>64000</v>
      </c>
      <c r="AZ19" s="107">
        <f>ROUNDDOWN(AY19+(AY19*MASTER!$A$2/100),0)</f>
        <v>70400</v>
      </c>
      <c r="BC19" s="64">
        <v>0</v>
      </c>
      <c r="BG19" s="64">
        <v>0</v>
      </c>
      <c r="BK19" s="64">
        <v>0</v>
      </c>
      <c r="BS19" s="64">
        <v>0</v>
      </c>
      <c r="BV19" s="65">
        <v>70400</v>
      </c>
      <c r="BW19" s="65">
        <v>0</v>
      </c>
      <c r="BX19" s="65">
        <v>44473</v>
      </c>
      <c r="BY19" s="65">
        <v>70400</v>
      </c>
      <c r="BZ19" s="81">
        <v>100</v>
      </c>
    </row>
    <row r="20" spans="1:89" x14ac:dyDescent="0.15">
      <c r="A20" s="60">
        <v>2</v>
      </c>
      <c r="B20" s="61">
        <v>44518</v>
      </c>
      <c r="C20" s="61">
        <v>44527</v>
      </c>
      <c r="D20" s="61">
        <v>44545</v>
      </c>
      <c r="E20" s="61">
        <v>44530</v>
      </c>
      <c r="F20" s="61">
        <v>44534</v>
      </c>
      <c r="G20" s="61">
        <v>44529</v>
      </c>
      <c r="H20" s="61">
        <v>44530</v>
      </c>
      <c r="I20" s="60" t="s">
        <v>511</v>
      </c>
      <c r="J20" s="60">
        <v>1</v>
      </c>
      <c r="L20" s="60">
        <v>0</v>
      </c>
      <c r="M20" s="61">
        <v>44473</v>
      </c>
      <c r="O20" s="62" t="s">
        <v>331</v>
      </c>
      <c r="P20" s="60" t="s">
        <v>26</v>
      </c>
      <c r="Q20" s="62" t="s">
        <v>105</v>
      </c>
      <c r="R20" s="62" t="s">
        <v>360</v>
      </c>
      <c r="S20" s="63" t="s">
        <v>361</v>
      </c>
      <c r="T20" s="63" t="s">
        <v>359</v>
      </c>
      <c r="U20" s="64">
        <v>575000</v>
      </c>
      <c r="V20" s="64">
        <v>632500</v>
      </c>
      <c r="W20" s="64">
        <v>563000</v>
      </c>
      <c r="X20" s="64">
        <v>619300</v>
      </c>
      <c r="Y20" s="64">
        <v>12000</v>
      </c>
      <c r="Z20" s="64">
        <v>13200</v>
      </c>
      <c r="AA20" s="61">
        <v>44523</v>
      </c>
      <c r="AB20" s="61">
        <v>44527</v>
      </c>
      <c r="AC20" s="61">
        <v>44527</v>
      </c>
      <c r="AD20" s="60">
        <v>0</v>
      </c>
      <c r="AG20" s="60">
        <v>0</v>
      </c>
      <c r="AJ20" s="60">
        <v>0</v>
      </c>
      <c r="AM20" s="60" t="s">
        <v>273</v>
      </c>
      <c r="AN20" s="60" t="s">
        <v>906</v>
      </c>
      <c r="AQ20" s="60" t="s">
        <v>640</v>
      </c>
      <c r="AR20" s="61">
        <v>44501</v>
      </c>
      <c r="AS20" s="60">
        <v>6001952452</v>
      </c>
      <c r="AT20" s="61">
        <v>44501</v>
      </c>
      <c r="AU20" s="60" t="s">
        <v>644</v>
      </c>
      <c r="AV20" s="61">
        <v>44527</v>
      </c>
      <c r="AW20" s="91">
        <v>44530</v>
      </c>
      <c r="AX20" s="91">
        <v>44550</v>
      </c>
      <c r="AY20" s="99">
        <v>552000</v>
      </c>
      <c r="AZ20" s="99">
        <f>ROUNDDOWN(AY20+(AY20*MASTER!$A$2/100),0)</f>
        <v>607200</v>
      </c>
      <c r="BA20" s="60" t="s">
        <v>314</v>
      </c>
      <c r="BB20" s="64">
        <v>412000</v>
      </c>
      <c r="BC20" s="64">
        <v>453200</v>
      </c>
      <c r="BD20" s="60" t="s">
        <v>183</v>
      </c>
      <c r="BG20" s="64">
        <v>0</v>
      </c>
      <c r="BI20" s="60" t="s">
        <v>748</v>
      </c>
      <c r="BJ20" s="64">
        <v>7800</v>
      </c>
      <c r="BK20" s="64">
        <v>8580</v>
      </c>
      <c r="BL20" s="60" t="s">
        <v>183</v>
      </c>
      <c r="BS20" s="64">
        <v>0</v>
      </c>
      <c r="BV20" s="65">
        <v>619300</v>
      </c>
      <c r="BW20" s="65">
        <v>461780</v>
      </c>
      <c r="BX20" s="65">
        <v>44473</v>
      </c>
      <c r="BY20" s="65">
        <v>157520</v>
      </c>
      <c r="BZ20" s="81">
        <v>25.435168738898756</v>
      </c>
    </row>
    <row r="21" spans="1:89" x14ac:dyDescent="0.15">
      <c r="A21" s="60">
        <v>2</v>
      </c>
      <c r="B21" s="61">
        <v>44536</v>
      </c>
      <c r="C21" s="61">
        <v>44537</v>
      </c>
      <c r="D21" s="61">
        <v>44537</v>
      </c>
      <c r="F21" s="61">
        <v>44544</v>
      </c>
      <c r="G21" s="61">
        <v>44537</v>
      </c>
      <c r="H21" s="61">
        <v>44540</v>
      </c>
      <c r="I21" s="60" t="s">
        <v>774</v>
      </c>
      <c r="J21" s="60">
        <v>2</v>
      </c>
      <c r="L21" s="60">
        <v>0</v>
      </c>
      <c r="M21" s="61">
        <v>44474</v>
      </c>
      <c r="O21" s="62" t="s">
        <v>331</v>
      </c>
      <c r="P21" s="60" t="s">
        <v>26</v>
      </c>
      <c r="Q21" s="62" t="s">
        <v>105</v>
      </c>
      <c r="R21" s="62" t="s">
        <v>907</v>
      </c>
      <c r="S21" s="63" t="s">
        <v>577</v>
      </c>
      <c r="T21" s="63" t="s">
        <v>908</v>
      </c>
      <c r="U21" s="64">
        <v>367000</v>
      </c>
      <c r="V21" s="64">
        <v>403700</v>
      </c>
      <c r="W21" s="64">
        <v>367000</v>
      </c>
      <c r="X21" s="64">
        <v>403700</v>
      </c>
      <c r="Z21" s="64">
        <v>0</v>
      </c>
      <c r="AA21" s="61">
        <v>44536</v>
      </c>
      <c r="AB21" s="61">
        <v>44537</v>
      </c>
      <c r="AC21" s="61">
        <v>44537</v>
      </c>
      <c r="AD21" s="60">
        <v>0</v>
      </c>
      <c r="AG21" s="60">
        <v>0</v>
      </c>
      <c r="AJ21" s="60">
        <v>0</v>
      </c>
      <c r="AN21" s="60" t="s">
        <v>309</v>
      </c>
      <c r="AQ21" s="60" t="s">
        <v>474</v>
      </c>
      <c r="AR21" s="61">
        <v>44487</v>
      </c>
      <c r="AS21" s="60">
        <v>6001947592</v>
      </c>
      <c r="AT21" s="61">
        <v>44488</v>
      </c>
      <c r="AU21" s="60" t="s">
        <v>495</v>
      </c>
      <c r="AV21" s="155">
        <v>44537</v>
      </c>
      <c r="AW21" s="91">
        <v>44561</v>
      </c>
      <c r="AX21" s="91">
        <v>44581</v>
      </c>
      <c r="AY21" s="99">
        <v>352320</v>
      </c>
      <c r="AZ21" s="99">
        <f>ROUNDDOWN(AY21+(AY21*MASTER!$A$2/100),0)</f>
        <v>387552</v>
      </c>
      <c r="BA21" s="60" t="s">
        <v>613</v>
      </c>
      <c r="BB21" s="64">
        <v>144000</v>
      </c>
      <c r="BC21" s="64">
        <v>158400</v>
      </c>
      <c r="BD21" s="60" t="s">
        <v>184</v>
      </c>
      <c r="BG21" s="64">
        <v>0</v>
      </c>
      <c r="BK21" s="64">
        <v>0</v>
      </c>
      <c r="BS21" s="64">
        <v>0</v>
      </c>
      <c r="BV21" s="65">
        <v>403700</v>
      </c>
      <c r="BW21" s="65">
        <v>158400</v>
      </c>
      <c r="BX21" s="65">
        <v>44474</v>
      </c>
      <c r="BY21" s="65">
        <v>245300</v>
      </c>
      <c r="BZ21" s="81">
        <v>60.762942779291549</v>
      </c>
    </row>
    <row r="22" spans="1:89" s="152" customFormat="1" x14ac:dyDescent="0.15">
      <c r="A22" s="142">
        <v>3</v>
      </c>
      <c r="B22" s="143"/>
      <c r="C22" s="143" t="s">
        <v>309</v>
      </c>
      <c r="D22" s="143"/>
      <c r="E22" s="143"/>
      <c r="F22" s="143" t="s">
        <v>309</v>
      </c>
      <c r="G22" s="143">
        <v>44474</v>
      </c>
      <c r="H22" s="143" t="s">
        <v>309</v>
      </c>
      <c r="I22" s="142"/>
      <c r="J22" s="142">
        <v>2</v>
      </c>
      <c r="K22" s="143"/>
      <c r="L22" s="142">
        <v>0</v>
      </c>
      <c r="M22" s="143">
        <v>44474</v>
      </c>
      <c r="N22" s="143"/>
      <c r="O22" s="144" t="s">
        <v>331</v>
      </c>
      <c r="P22" s="142" t="s">
        <v>6</v>
      </c>
      <c r="Q22" s="144" t="s">
        <v>105</v>
      </c>
      <c r="R22" s="144" t="s">
        <v>366</v>
      </c>
      <c r="S22" s="145" t="s">
        <v>367</v>
      </c>
      <c r="T22" s="145" t="s">
        <v>368</v>
      </c>
      <c r="U22" s="146">
        <v>3000</v>
      </c>
      <c r="V22" s="146">
        <v>3300</v>
      </c>
      <c r="W22" s="146">
        <v>3000</v>
      </c>
      <c r="X22" s="146">
        <v>3300</v>
      </c>
      <c r="Y22" s="146">
        <v>0</v>
      </c>
      <c r="Z22" s="146">
        <v>0</v>
      </c>
      <c r="AA22" s="143">
        <v>44473</v>
      </c>
      <c r="AB22" s="143"/>
      <c r="AC22" s="143"/>
      <c r="AD22" s="142">
        <v>0</v>
      </c>
      <c r="AE22" s="142"/>
      <c r="AF22" s="142"/>
      <c r="AG22" s="142">
        <v>0</v>
      </c>
      <c r="AH22" s="142"/>
      <c r="AI22" s="142"/>
      <c r="AJ22" s="142">
        <v>0</v>
      </c>
      <c r="AK22" s="142"/>
      <c r="AL22" s="142"/>
      <c r="AM22" s="142"/>
      <c r="AN22" s="142"/>
      <c r="AO22" s="143"/>
      <c r="AP22" s="142"/>
      <c r="AQ22" s="142"/>
      <c r="AR22" s="143"/>
      <c r="AS22" s="142"/>
      <c r="AT22" s="143"/>
      <c r="AU22" s="142"/>
      <c r="AV22" s="143"/>
      <c r="AW22" s="147"/>
      <c r="AX22" s="147"/>
      <c r="AY22" s="148">
        <v>2880</v>
      </c>
      <c r="AZ22" s="148">
        <f>ROUNDDOWN(AY22+(AY22*MASTER!$A$2/100),0)</f>
        <v>3168</v>
      </c>
      <c r="BA22" s="142"/>
      <c r="BB22" s="146"/>
      <c r="BC22" s="146">
        <v>0</v>
      </c>
      <c r="BD22" s="142"/>
      <c r="BE22" s="142"/>
      <c r="BF22" s="146"/>
      <c r="BG22" s="146">
        <v>0</v>
      </c>
      <c r="BH22" s="142"/>
      <c r="BI22" s="142"/>
      <c r="BJ22" s="146"/>
      <c r="BK22" s="146">
        <v>0</v>
      </c>
      <c r="BL22" s="142"/>
      <c r="BM22" s="146"/>
      <c r="BN22" s="146"/>
      <c r="BO22" s="146"/>
      <c r="BP22" s="146"/>
      <c r="BQ22" s="146"/>
      <c r="BR22" s="146"/>
      <c r="BS22" s="146">
        <v>0</v>
      </c>
      <c r="BT22" s="149"/>
      <c r="BU22" s="149"/>
      <c r="BV22" s="150">
        <v>3300</v>
      </c>
      <c r="BW22" s="150">
        <v>0</v>
      </c>
      <c r="BX22" s="150">
        <v>44474</v>
      </c>
      <c r="BY22" s="150">
        <v>3300</v>
      </c>
      <c r="BZ22" s="151">
        <v>100</v>
      </c>
      <c r="CA22" s="142"/>
      <c r="CB22" s="142"/>
      <c r="CC22" s="142"/>
      <c r="CD22" s="145" t="s">
        <v>1176</v>
      </c>
      <c r="CE22" s="143"/>
      <c r="CF22" s="143"/>
      <c r="CG22" s="143"/>
      <c r="CH22" s="143"/>
      <c r="CI22" s="143"/>
      <c r="CJ22" s="143"/>
      <c r="CK22" s="146"/>
    </row>
    <row r="23" spans="1:89" x14ac:dyDescent="0.15">
      <c r="A23" s="60">
        <v>1</v>
      </c>
      <c r="B23" s="61">
        <v>44480</v>
      </c>
      <c r="C23" s="61">
        <v>44477</v>
      </c>
      <c r="F23" s="61" t="s">
        <v>309</v>
      </c>
      <c r="H23" s="61" t="s">
        <v>309</v>
      </c>
      <c r="J23" s="60">
        <v>2</v>
      </c>
      <c r="L23" s="60">
        <v>0</v>
      </c>
      <c r="M23" s="61">
        <v>44474</v>
      </c>
      <c r="O23" s="62" t="s">
        <v>331</v>
      </c>
      <c r="P23" s="60" t="s">
        <v>26</v>
      </c>
      <c r="Q23" s="62" t="s">
        <v>105</v>
      </c>
      <c r="R23" s="62" t="s">
        <v>413</v>
      </c>
      <c r="S23" s="63" t="s">
        <v>414</v>
      </c>
      <c r="T23" s="63" t="s">
        <v>415</v>
      </c>
      <c r="U23" s="64">
        <v>39000</v>
      </c>
      <c r="V23" s="64">
        <v>42900</v>
      </c>
      <c r="W23" s="64">
        <v>39000</v>
      </c>
      <c r="X23" s="64">
        <v>42900</v>
      </c>
      <c r="Z23" s="64">
        <v>0</v>
      </c>
      <c r="AA23" s="61">
        <v>44469</v>
      </c>
      <c r="AB23" s="61">
        <v>44470</v>
      </c>
      <c r="AD23" s="60">
        <v>0</v>
      </c>
      <c r="AG23" s="60">
        <v>0</v>
      </c>
      <c r="AJ23" s="60">
        <v>0</v>
      </c>
      <c r="AN23" s="60" t="s">
        <v>309</v>
      </c>
      <c r="AQ23" s="60" t="s">
        <v>375</v>
      </c>
      <c r="AR23" s="61">
        <v>44475</v>
      </c>
      <c r="AS23" s="60">
        <v>6001943244</v>
      </c>
      <c r="AT23" s="61">
        <v>44477</v>
      </c>
      <c r="AU23" s="60" t="s">
        <v>394</v>
      </c>
      <c r="AV23" s="61">
        <v>44477</v>
      </c>
      <c r="AW23" s="91">
        <v>44500</v>
      </c>
      <c r="AX23" s="91">
        <v>44520</v>
      </c>
      <c r="AY23" s="107">
        <v>39000</v>
      </c>
      <c r="AZ23" s="107">
        <f>ROUNDDOWN(AY23+(AY23*MASTER!$A$2/100),0)</f>
        <v>42900</v>
      </c>
      <c r="BC23" s="64">
        <v>0</v>
      </c>
      <c r="BG23" s="64">
        <v>0</v>
      </c>
      <c r="BK23" s="64">
        <v>0</v>
      </c>
      <c r="BS23" s="64">
        <v>0</v>
      </c>
      <c r="BV23" s="65">
        <v>42900</v>
      </c>
      <c r="BW23" s="65">
        <v>0</v>
      </c>
      <c r="BX23" s="65">
        <v>44474</v>
      </c>
      <c r="BY23" s="65">
        <v>42900</v>
      </c>
      <c r="BZ23" s="81">
        <v>100</v>
      </c>
    </row>
    <row r="24" spans="1:89" x14ac:dyDescent="0.15">
      <c r="A24" s="60">
        <v>2</v>
      </c>
      <c r="B24" s="61">
        <v>44505</v>
      </c>
      <c r="C24" s="61">
        <v>44508</v>
      </c>
      <c r="D24" s="61">
        <v>44533</v>
      </c>
      <c r="E24" s="61">
        <v>44511</v>
      </c>
      <c r="F24" s="61">
        <v>44516</v>
      </c>
      <c r="G24" s="61">
        <v>44512</v>
      </c>
      <c r="H24" s="61">
        <v>44512</v>
      </c>
      <c r="I24" s="60" t="s">
        <v>612</v>
      </c>
      <c r="J24" s="60">
        <v>1</v>
      </c>
      <c r="L24" s="60">
        <v>0</v>
      </c>
      <c r="M24" s="61">
        <v>44474</v>
      </c>
      <c r="O24" s="62" t="s">
        <v>331</v>
      </c>
      <c r="P24" s="60" t="s">
        <v>26</v>
      </c>
      <c r="Q24" s="62" t="s">
        <v>105</v>
      </c>
      <c r="R24" s="62" t="s">
        <v>684</v>
      </c>
      <c r="S24" s="63" t="s">
        <v>685</v>
      </c>
      <c r="T24" s="63" t="s">
        <v>686</v>
      </c>
      <c r="U24" s="64">
        <v>170500</v>
      </c>
      <c r="V24" s="64">
        <v>187550</v>
      </c>
      <c r="W24" s="64">
        <v>78000</v>
      </c>
      <c r="X24" s="64">
        <v>85800</v>
      </c>
      <c r="Y24" s="64">
        <v>92500</v>
      </c>
      <c r="Z24" s="64">
        <v>101750</v>
      </c>
      <c r="AA24" s="61">
        <v>44507</v>
      </c>
      <c r="AB24" s="61">
        <v>44509</v>
      </c>
      <c r="AC24" s="61">
        <v>44509</v>
      </c>
      <c r="AD24" s="60">
        <v>0</v>
      </c>
      <c r="AG24" s="60">
        <v>0</v>
      </c>
      <c r="AJ24" s="60">
        <v>0</v>
      </c>
      <c r="AM24" s="60" t="s">
        <v>273</v>
      </c>
      <c r="AN24" s="60" t="s">
        <v>687</v>
      </c>
      <c r="AQ24" s="60" t="s">
        <v>444</v>
      </c>
      <c r="AR24" s="61">
        <v>44484</v>
      </c>
      <c r="AS24" s="60">
        <v>6001946905</v>
      </c>
      <c r="AT24" s="61">
        <v>44484</v>
      </c>
      <c r="AU24" s="60" t="s">
        <v>446</v>
      </c>
      <c r="AV24" s="61">
        <v>44508</v>
      </c>
      <c r="AW24" s="91">
        <v>44530</v>
      </c>
      <c r="AX24" s="91">
        <v>44550</v>
      </c>
      <c r="AY24" s="99">
        <v>163680</v>
      </c>
      <c r="AZ24" s="99">
        <f>ROUNDDOWN(AY24+(AY24*MASTER!$A$2/100),0)</f>
        <v>180048</v>
      </c>
      <c r="BA24" s="60" t="s">
        <v>317</v>
      </c>
      <c r="BB24" s="64">
        <v>35000</v>
      </c>
      <c r="BC24" s="64">
        <v>38500</v>
      </c>
      <c r="BD24" s="60" t="s">
        <v>183</v>
      </c>
      <c r="BG24" s="64">
        <v>0</v>
      </c>
      <c r="BI24" s="60" t="s">
        <v>267</v>
      </c>
      <c r="BJ24" s="64">
        <v>60125</v>
      </c>
      <c r="BK24" s="64">
        <v>66137.5</v>
      </c>
      <c r="BL24" s="60" t="s">
        <v>493</v>
      </c>
      <c r="BS24" s="64">
        <v>0</v>
      </c>
      <c r="BV24" s="65">
        <v>85800</v>
      </c>
      <c r="BW24" s="65">
        <v>104637.5</v>
      </c>
      <c r="BX24" s="65">
        <v>44474</v>
      </c>
      <c r="BY24" s="65">
        <v>-18837.5</v>
      </c>
      <c r="BZ24" s="81">
        <v>-21.955128205128204</v>
      </c>
    </row>
    <row r="25" spans="1:89" x14ac:dyDescent="0.15">
      <c r="A25" s="60">
        <v>2</v>
      </c>
      <c r="B25" s="61">
        <v>44481</v>
      </c>
      <c r="C25" s="61">
        <v>44482</v>
      </c>
      <c r="D25" s="61">
        <v>44474</v>
      </c>
      <c r="E25" s="61">
        <v>44474</v>
      </c>
      <c r="F25" s="61" t="s">
        <v>309</v>
      </c>
      <c r="G25" s="61">
        <v>44474</v>
      </c>
      <c r="H25" s="61" t="s">
        <v>309</v>
      </c>
      <c r="I25" s="60" t="s">
        <v>494</v>
      </c>
      <c r="J25" s="60">
        <v>2</v>
      </c>
      <c r="L25" s="60">
        <v>0</v>
      </c>
      <c r="M25" s="61">
        <v>44474</v>
      </c>
      <c r="O25" s="62" t="s">
        <v>331</v>
      </c>
      <c r="P25" s="60" t="s">
        <v>6</v>
      </c>
      <c r="Q25" s="62" t="s">
        <v>105</v>
      </c>
      <c r="R25" s="62" t="s">
        <v>370</v>
      </c>
      <c r="S25" s="63" t="s">
        <v>371</v>
      </c>
      <c r="T25" s="63" t="s">
        <v>364</v>
      </c>
      <c r="U25" s="64">
        <v>35000</v>
      </c>
      <c r="V25" s="64">
        <v>38500</v>
      </c>
      <c r="W25" s="64">
        <v>35000</v>
      </c>
      <c r="X25" s="64">
        <v>38500</v>
      </c>
      <c r="Z25" s="64">
        <v>0</v>
      </c>
      <c r="AA25" s="61">
        <v>44473</v>
      </c>
      <c r="AB25" s="61">
        <v>44473</v>
      </c>
      <c r="AD25" s="60">
        <v>0</v>
      </c>
      <c r="AG25" s="60">
        <v>0</v>
      </c>
      <c r="AJ25" s="60">
        <v>0</v>
      </c>
      <c r="AN25" s="60" t="s">
        <v>309</v>
      </c>
      <c r="AQ25" s="60" t="s">
        <v>399</v>
      </c>
      <c r="AR25" s="61">
        <v>44480</v>
      </c>
      <c r="AS25" s="60">
        <v>6001944937</v>
      </c>
      <c r="AT25" s="61">
        <v>44480</v>
      </c>
      <c r="AU25" s="60" t="s">
        <v>407</v>
      </c>
      <c r="AV25" s="61">
        <v>44482</v>
      </c>
      <c r="AW25" s="91">
        <v>44500</v>
      </c>
      <c r="AX25" s="91">
        <v>44520</v>
      </c>
      <c r="AY25" s="99">
        <v>33600</v>
      </c>
      <c r="AZ25" s="99">
        <f>ROUNDDOWN(AY25+(AY25*MASTER!$A$2/100),0)</f>
        <v>36960</v>
      </c>
      <c r="BA25" s="60" t="s">
        <v>492</v>
      </c>
      <c r="BB25" s="64">
        <v>21000</v>
      </c>
      <c r="BC25" s="64">
        <v>23100</v>
      </c>
      <c r="BD25" s="60" t="s">
        <v>182</v>
      </c>
      <c r="BG25" s="64">
        <v>0</v>
      </c>
      <c r="BK25" s="64">
        <v>0</v>
      </c>
      <c r="BS25" s="64">
        <v>0</v>
      </c>
      <c r="BV25" s="65">
        <v>38500</v>
      </c>
      <c r="BW25" s="65">
        <v>23100</v>
      </c>
      <c r="BX25" s="65">
        <v>44474</v>
      </c>
      <c r="BY25" s="65">
        <v>15400</v>
      </c>
      <c r="BZ25" s="81">
        <v>40</v>
      </c>
    </row>
    <row r="26" spans="1:89" x14ac:dyDescent="0.15">
      <c r="A26" s="60">
        <v>1</v>
      </c>
      <c r="B26" s="61">
        <v>44525</v>
      </c>
      <c r="C26" s="61">
        <v>44526</v>
      </c>
      <c r="F26" s="61" t="s">
        <v>309</v>
      </c>
      <c r="H26" s="61" t="s">
        <v>309</v>
      </c>
      <c r="J26" s="60">
        <v>3</v>
      </c>
      <c r="L26" s="60">
        <v>0</v>
      </c>
      <c r="M26" s="61">
        <v>44474</v>
      </c>
      <c r="O26" s="62" t="s">
        <v>331</v>
      </c>
      <c r="P26" s="60" t="s">
        <v>6</v>
      </c>
      <c r="Q26" s="62" t="s">
        <v>105</v>
      </c>
      <c r="R26" s="62" t="s">
        <v>966</v>
      </c>
      <c r="S26" s="63" t="s">
        <v>426</v>
      </c>
      <c r="T26" s="63" t="s">
        <v>463</v>
      </c>
      <c r="U26" s="64">
        <v>9000</v>
      </c>
      <c r="V26" s="64">
        <v>9900</v>
      </c>
      <c r="X26" s="64">
        <v>0</v>
      </c>
      <c r="Y26" s="64">
        <v>9000</v>
      </c>
      <c r="Z26" s="64">
        <v>9900</v>
      </c>
      <c r="AA26" s="61">
        <v>44473</v>
      </c>
      <c r="AD26" s="60">
        <v>0</v>
      </c>
      <c r="AG26" s="60">
        <v>0</v>
      </c>
      <c r="AJ26" s="60">
        <v>0</v>
      </c>
      <c r="AN26" s="60" t="s">
        <v>309</v>
      </c>
      <c r="AQ26" s="60" t="s">
        <v>802</v>
      </c>
      <c r="AR26" s="61">
        <v>44512</v>
      </c>
      <c r="AS26" s="60">
        <v>6001957224</v>
      </c>
      <c r="AT26" s="61">
        <v>44512</v>
      </c>
      <c r="AU26" s="60" t="s">
        <v>819</v>
      </c>
      <c r="AV26" s="61">
        <v>44526</v>
      </c>
      <c r="AW26" s="91">
        <v>44530</v>
      </c>
      <c r="AX26" s="91">
        <v>44550</v>
      </c>
      <c r="AY26" s="99">
        <v>8640</v>
      </c>
      <c r="AZ26" s="99">
        <f>ROUNDDOWN(AY26+(AY26*MASTER!$A$2/100),0)</f>
        <v>9504</v>
      </c>
      <c r="BC26" s="64">
        <v>0</v>
      </c>
      <c r="BG26" s="64">
        <v>0</v>
      </c>
      <c r="BK26" s="64">
        <v>0</v>
      </c>
      <c r="BS26" s="64">
        <v>0</v>
      </c>
      <c r="BV26" s="65">
        <v>0</v>
      </c>
      <c r="BW26" s="65">
        <v>0</v>
      </c>
      <c r="BX26" s="65">
        <v>44474</v>
      </c>
      <c r="BY26" s="65">
        <v>0</v>
      </c>
      <c r="BZ26" s="81" t="s">
        <v>309</v>
      </c>
    </row>
    <row r="27" spans="1:89" x14ac:dyDescent="0.15">
      <c r="A27" s="60">
        <v>1</v>
      </c>
      <c r="B27" s="61">
        <v>44484</v>
      </c>
      <c r="C27" s="61">
        <v>44484</v>
      </c>
      <c r="F27" s="61" t="s">
        <v>309</v>
      </c>
      <c r="G27" s="61">
        <v>44480</v>
      </c>
      <c r="H27" s="61" t="s">
        <v>309</v>
      </c>
      <c r="J27" s="60">
        <v>2</v>
      </c>
      <c r="L27" s="60">
        <v>0</v>
      </c>
      <c r="M27" s="61">
        <v>44474</v>
      </c>
      <c r="O27" s="62" t="s">
        <v>331</v>
      </c>
      <c r="P27" s="60" t="s">
        <v>6</v>
      </c>
      <c r="Q27" s="62" t="s">
        <v>105</v>
      </c>
      <c r="R27" s="62" t="s">
        <v>400</v>
      </c>
      <c r="S27" s="63" t="s">
        <v>401</v>
      </c>
      <c r="T27" s="63" t="s">
        <v>364</v>
      </c>
      <c r="U27" s="64">
        <v>51000</v>
      </c>
      <c r="V27" s="64">
        <v>56100</v>
      </c>
      <c r="W27" s="64">
        <v>51000</v>
      </c>
      <c r="X27" s="64">
        <v>56100</v>
      </c>
      <c r="Z27" s="64">
        <v>0</v>
      </c>
      <c r="AA27" s="61">
        <v>44480</v>
      </c>
      <c r="AB27" s="61">
        <v>44480</v>
      </c>
      <c r="AD27" s="60">
        <v>0</v>
      </c>
      <c r="AG27" s="60">
        <v>0</v>
      </c>
      <c r="AJ27" s="60">
        <v>0</v>
      </c>
      <c r="AN27" s="60" t="s">
        <v>309</v>
      </c>
      <c r="AQ27" s="60" t="s">
        <v>434</v>
      </c>
      <c r="AR27" s="61">
        <v>44483</v>
      </c>
      <c r="AS27" s="60">
        <v>6001946417</v>
      </c>
      <c r="AT27" s="61">
        <v>44483</v>
      </c>
      <c r="AU27" s="60" t="s">
        <v>436</v>
      </c>
      <c r="AV27" s="61">
        <v>44484</v>
      </c>
      <c r="AW27" s="91">
        <v>44500</v>
      </c>
      <c r="AX27" s="91">
        <v>44520</v>
      </c>
      <c r="AY27" s="99">
        <v>48960</v>
      </c>
      <c r="AZ27" s="99">
        <f>ROUNDDOWN(AY27+(AY27*MASTER!$A$2/100),0)</f>
        <v>53856</v>
      </c>
      <c r="BA27" s="60" t="s">
        <v>538</v>
      </c>
      <c r="BB27" s="64">
        <v>23000</v>
      </c>
      <c r="BC27" s="64">
        <v>25300</v>
      </c>
      <c r="BD27" s="60" t="s">
        <v>433</v>
      </c>
      <c r="BG27" s="64">
        <v>0</v>
      </c>
      <c r="BK27" s="64">
        <v>0</v>
      </c>
      <c r="BS27" s="64">
        <v>0</v>
      </c>
      <c r="BV27" s="65">
        <v>56100</v>
      </c>
      <c r="BW27" s="65">
        <v>25300</v>
      </c>
      <c r="BX27" s="65">
        <v>44474</v>
      </c>
      <c r="BY27" s="65">
        <v>30800</v>
      </c>
      <c r="BZ27" s="81">
        <v>54.901960784313729</v>
      </c>
    </row>
    <row r="28" spans="1:89" x14ac:dyDescent="0.15">
      <c r="A28" s="60">
        <v>1</v>
      </c>
      <c r="B28" s="61">
        <v>44489</v>
      </c>
      <c r="C28" s="61">
        <v>44489</v>
      </c>
      <c r="F28" s="61" t="s">
        <v>309</v>
      </c>
      <c r="G28" s="61">
        <v>44475</v>
      </c>
      <c r="H28" s="61" t="s">
        <v>309</v>
      </c>
      <c r="J28" s="60">
        <v>2</v>
      </c>
      <c r="L28" s="60">
        <v>0</v>
      </c>
      <c r="M28" s="61">
        <v>44474</v>
      </c>
      <c r="O28" s="62" t="s">
        <v>331</v>
      </c>
      <c r="P28" s="60" t="s">
        <v>6</v>
      </c>
      <c r="Q28" s="62" t="s">
        <v>105</v>
      </c>
      <c r="R28" s="62" t="s">
        <v>378</v>
      </c>
      <c r="S28" s="63" t="s">
        <v>379</v>
      </c>
      <c r="T28" s="63" t="s">
        <v>364</v>
      </c>
      <c r="U28" s="64">
        <v>35000</v>
      </c>
      <c r="V28" s="64">
        <v>38500</v>
      </c>
      <c r="W28" s="64">
        <v>35000</v>
      </c>
      <c r="X28" s="64">
        <v>38500</v>
      </c>
      <c r="Z28" s="64">
        <v>0</v>
      </c>
      <c r="AA28" s="61">
        <v>44471</v>
      </c>
      <c r="AD28" s="60">
        <v>0</v>
      </c>
      <c r="AG28" s="60">
        <v>0</v>
      </c>
      <c r="AJ28" s="60">
        <v>0</v>
      </c>
      <c r="AN28" s="60" t="s">
        <v>309</v>
      </c>
      <c r="AQ28" s="60" t="s">
        <v>478</v>
      </c>
      <c r="AR28" s="61">
        <v>44487</v>
      </c>
      <c r="AS28" s="60">
        <v>6001947592</v>
      </c>
      <c r="AT28" s="61">
        <v>44488</v>
      </c>
      <c r="AU28" s="60" t="s">
        <v>495</v>
      </c>
      <c r="AV28" s="61">
        <v>44489</v>
      </c>
      <c r="AW28" s="91">
        <v>44500</v>
      </c>
      <c r="AX28" s="91">
        <v>44520</v>
      </c>
      <c r="AY28" s="99">
        <v>33600</v>
      </c>
      <c r="AZ28" s="99">
        <f>ROUNDDOWN(AY28+(AY28*MASTER!$A$2/100),0)</f>
        <v>36960</v>
      </c>
      <c r="BC28" s="64">
        <v>0</v>
      </c>
      <c r="BG28" s="64">
        <v>0</v>
      </c>
      <c r="BK28" s="64">
        <v>0</v>
      </c>
      <c r="BS28" s="64">
        <v>0</v>
      </c>
      <c r="BV28" s="65">
        <v>38500</v>
      </c>
      <c r="BW28" s="65">
        <v>0</v>
      </c>
      <c r="BX28" s="65">
        <v>44474</v>
      </c>
      <c r="BY28" s="65">
        <v>38500</v>
      </c>
      <c r="BZ28" s="81">
        <v>100</v>
      </c>
    </row>
    <row r="29" spans="1:89" x14ac:dyDescent="0.15">
      <c r="A29" s="60">
        <v>1</v>
      </c>
      <c r="B29" s="61">
        <v>44481</v>
      </c>
      <c r="C29" s="61">
        <v>44500</v>
      </c>
      <c r="F29" s="61" t="s">
        <v>309</v>
      </c>
      <c r="H29" s="61" t="s">
        <v>309</v>
      </c>
      <c r="J29" s="60">
        <v>2</v>
      </c>
      <c r="L29" s="60">
        <v>0</v>
      </c>
      <c r="M29" s="61">
        <v>44475</v>
      </c>
      <c r="O29" s="62" t="s">
        <v>331</v>
      </c>
      <c r="P29" s="60" t="s">
        <v>26</v>
      </c>
      <c r="Q29" s="62" t="s">
        <v>105</v>
      </c>
      <c r="R29" s="62" t="s">
        <v>419</v>
      </c>
      <c r="S29" s="63" t="s">
        <v>326</v>
      </c>
      <c r="T29" s="63" t="s">
        <v>420</v>
      </c>
      <c r="U29" s="64">
        <v>42000</v>
      </c>
      <c r="V29" s="64">
        <v>46200</v>
      </c>
      <c r="W29" s="64">
        <v>42000</v>
      </c>
      <c r="X29" s="64">
        <v>46200</v>
      </c>
      <c r="Z29" s="64">
        <v>0</v>
      </c>
      <c r="AA29" s="61">
        <v>44446</v>
      </c>
      <c r="AB29" s="61">
        <v>44477</v>
      </c>
      <c r="AD29" s="60">
        <v>0</v>
      </c>
      <c r="AG29" s="60">
        <v>0</v>
      </c>
      <c r="AJ29" s="60">
        <v>0</v>
      </c>
      <c r="AN29" s="60" t="s">
        <v>309</v>
      </c>
      <c r="AQ29" s="60" t="s">
        <v>398</v>
      </c>
      <c r="AR29" s="61">
        <v>44480</v>
      </c>
      <c r="AS29" s="60">
        <v>6001944937</v>
      </c>
      <c r="AT29" s="61">
        <v>44480</v>
      </c>
      <c r="AU29" s="60" t="s">
        <v>407</v>
      </c>
      <c r="AV29" s="61">
        <v>44500</v>
      </c>
      <c r="AW29" s="91">
        <v>44500</v>
      </c>
      <c r="AX29" s="91">
        <v>44520</v>
      </c>
      <c r="AY29" s="107">
        <v>42000</v>
      </c>
      <c r="AZ29" s="107">
        <f>ROUNDDOWN(AY29+(AY29*MASTER!$A$2/100),0)</f>
        <v>46200</v>
      </c>
      <c r="BC29" s="64">
        <v>0</v>
      </c>
      <c r="BG29" s="64">
        <v>0</v>
      </c>
      <c r="BK29" s="64">
        <v>0</v>
      </c>
      <c r="BS29" s="64">
        <v>0</v>
      </c>
      <c r="BV29" s="65">
        <v>46200</v>
      </c>
      <c r="BW29" s="65">
        <v>0</v>
      </c>
      <c r="BX29" s="65">
        <v>44475</v>
      </c>
      <c r="BY29" s="65">
        <v>46200</v>
      </c>
      <c r="BZ29" s="81">
        <v>100</v>
      </c>
    </row>
    <row r="30" spans="1:89" x14ac:dyDescent="0.15">
      <c r="A30" s="60">
        <v>1</v>
      </c>
      <c r="B30" s="61">
        <v>44481</v>
      </c>
      <c r="C30" s="61">
        <v>44500</v>
      </c>
      <c r="F30" s="61" t="s">
        <v>309</v>
      </c>
      <c r="H30" s="61" t="s">
        <v>309</v>
      </c>
      <c r="J30" s="60">
        <v>2</v>
      </c>
      <c r="L30" s="60">
        <v>0</v>
      </c>
      <c r="M30" s="61">
        <v>44475</v>
      </c>
      <c r="O30" s="62" t="s">
        <v>331</v>
      </c>
      <c r="P30" s="60" t="s">
        <v>26</v>
      </c>
      <c r="Q30" s="62" t="s">
        <v>105</v>
      </c>
      <c r="R30" s="62" t="s">
        <v>421</v>
      </c>
      <c r="S30" s="63" t="s">
        <v>326</v>
      </c>
      <c r="T30" s="63" t="s">
        <v>422</v>
      </c>
      <c r="U30" s="64">
        <v>42000</v>
      </c>
      <c r="V30" s="64">
        <v>46200</v>
      </c>
      <c r="W30" s="64">
        <v>42000</v>
      </c>
      <c r="X30" s="64">
        <v>46200</v>
      </c>
      <c r="Z30" s="64">
        <v>0</v>
      </c>
      <c r="AA30" s="61">
        <v>44446</v>
      </c>
      <c r="AB30" s="61">
        <v>44477</v>
      </c>
      <c r="AD30" s="60">
        <v>0</v>
      </c>
      <c r="AG30" s="60">
        <v>0</v>
      </c>
      <c r="AJ30" s="60">
        <v>0</v>
      </c>
      <c r="AN30" s="60" t="s">
        <v>309</v>
      </c>
      <c r="AQ30" s="60" t="s">
        <v>375</v>
      </c>
      <c r="AR30" s="61">
        <v>44480</v>
      </c>
      <c r="AS30" s="60">
        <v>6001944937</v>
      </c>
      <c r="AT30" s="61">
        <v>44480</v>
      </c>
      <c r="AU30" s="60" t="s">
        <v>407</v>
      </c>
      <c r="AV30" s="61">
        <v>44500</v>
      </c>
      <c r="AW30" s="91">
        <v>44500</v>
      </c>
      <c r="AX30" s="91">
        <v>44520</v>
      </c>
      <c r="AY30" s="107">
        <v>42000</v>
      </c>
      <c r="AZ30" s="107">
        <f>ROUNDDOWN(AY30+(AY30*MASTER!$A$2/100),0)</f>
        <v>46200</v>
      </c>
      <c r="BC30" s="64">
        <v>0</v>
      </c>
      <c r="BG30" s="64">
        <v>0</v>
      </c>
      <c r="BK30" s="64">
        <v>0</v>
      </c>
      <c r="BS30" s="64">
        <v>0</v>
      </c>
      <c r="BV30" s="65">
        <v>46200</v>
      </c>
      <c r="BW30" s="65">
        <v>0</v>
      </c>
      <c r="BX30" s="65">
        <v>44475</v>
      </c>
      <c r="BY30" s="65">
        <v>46200</v>
      </c>
      <c r="BZ30" s="81">
        <v>100</v>
      </c>
    </row>
    <row r="31" spans="1:89" x14ac:dyDescent="0.15">
      <c r="A31" s="60">
        <v>1</v>
      </c>
      <c r="B31" s="61">
        <v>44481</v>
      </c>
      <c r="C31" s="61">
        <v>44500</v>
      </c>
      <c r="F31" s="61" t="s">
        <v>309</v>
      </c>
      <c r="H31" s="61" t="s">
        <v>309</v>
      </c>
      <c r="J31" s="60">
        <v>2</v>
      </c>
      <c r="L31" s="60">
        <v>0</v>
      </c>
      <c r="M31" s="61">
        <v>44475</v>
      </c>
      <c r="O31" s="62" t="s">
        <v>331</v>
      </c>
      <c r="P31" s="60" t="s">
        <v>26</v>
      </c>
      <c r="Q31" s="62" t="s">
        <v>105</v>
      </c>
      <c r="R31" s="62" t="s">
        <v>423</v>
      </c>
      <c r="S31" s="63" t="s">
        <v>326</v>
      </c>
      <c r="T31" s="63" t="s">
        <v>424</v>
      </c>
      <c r="U31" s="64">
        <v>42000</v>
      </c>
      <c r="V31" s="64">
        <v>46200</v>
      </c>
      <c r="W31" s="64">
        <v>42000</v>
      </c>
      <c r="X31" s="64">
        <v>46200</v>
      </c>
      <c r="Z31" s="64">
        <v>0</v>
      </c>
      <c r="AA31" s="61">
        <v>44446</v>
      </c>
      <c r="AB31" s="61">
        <v>44477</v>
      </c>
      <c r="AD31" s="60">
        <v>0</v>
      </c>
      <c r="AG31" s="60">
        <v>0</v>
      </c>
      <c r="AJ31" s="60">
        <v>0</v>
      </c>
      <c r="AN31" s="60" t="s">
        <v>309</v>
      </c>
      <c r="AQ31" s="60" t="s">
        <v>397</v>
      </c>
      <c r="AR31" s="61">
        <v>44480</v>
      </c>
      <c r="AS31" s="60">
        <v>6001944937</v>
      </c>
      <c r="AT31" s="61">
        <v>44480</v>
      </c>
      <c r="AU31" s="60" t="s">
        <v>407</v>
      </c>
      <c r="AV31" s="61">
        <v>44500</v>
      </c>
      <c r="AW31" s="91">
        <v>44500</v>
      </c>
      <c r="AX31" s="91">
        <v>44520</v>
      </c>
      <c r="AY31" s="107">
        <v>42000</v>
      </c>
      <c r="AZ31" s="107">
        <f>ROUNDDOWN(AY31+(AY31*MASTER!$A$2/100),0)</f>
        <v>46200</v>
      </c>
      <c r="BC31" s="64">
        <v>0</v>
      </c>
      <c r="BG31" s="64">
        <v>0</v>
      </c>
      <c r="BK31" s="64">
        <v>0</v>
      </c>
      <c r="BS31" s="64">
        <v>0</v>
      </c>
      <c r="BV31" s="65">
        <v>46200</v>
      </c>
      <c r="BW31" s="65">
        <v>0</v>
      </c>
      <c r="BX31" s="65">
        <v>44475</v>
      </c>
      <c r="BY31" s="65">
        <v>46200</v>
      </c>
      <c r="BZ31" s="81">
        <v>100</v>
      </c>
    </row>
    <row r="32" spans="1:89" x14ac:dyDescent="0.15">
      <c r="A32" s="60">
        <v>1</v>
      </c>
      <c r="B32" s="61">
        <v>44481</v>
      </c>
      <c r="C32" s="61">
        <v>44500</v>
      </c>
      <c r="F32" s="61" t="s">
        <v>309</v>
      </c>
      <c r="H32" s="61" t="s">
        <v>309</v>
      </c>
      <c r="J32" s="60">
        <v>2</v>
      </c>
      <c r="L32" s="60">
        <v>0</v>
      </c>
      <c r="M32" s="61">
        <v>44475</v>
      </c>
      <c r="O32" s="62" t="s">
        <v>331</v>
      </c>
      <c r="P32" s="60" t="s">
        <v>26</v>
      </c>
      <c r="Q32" s="62" t="s">
        <v>105</v>
      </c>
      <c r="R32" s="62" t="s">
        <v>376</v>
      </c>
      <c r="S32" s="63" t="s">
        <v>326</v>
      </c>
      <c r="T32" s="63" t="s">
        <v>377</v>
      </c>
      <c r="U32" s="64">
        <v>42000</v>
      </c>
      <c r="V32" s="64">
        <v>46200</v>
      </c>
      <c r="W32" s="64">
        <v>42000</v>
      </c>
      <c r="X32" s="64">
        <v>46200</v>
      </c>
      <c r="Z32" s="64">
        <v>0</v>
      </c>
      <c r="AA32" s="61">
        <v>44446</v>
      </c>
      <c r="AB32" s="61">
        <v>44477</v>
      </c>
      <c r="AD32" s="60">
        <v>0</v>
      </c>
      <c r="AG32" s="60">
        <v>0</v>
      </c>
      <c r="AJ32" s="60">
        <v>0</v>
      </c>
      <c r="AN32" s="60" t="s">
        <v>309</v>
      </c>
      <c r="AQ32" s="60" t="s">
        <v>396</v>
      </c>
      <c r="AR32" s="61">
        <v>44480</v>
      </c>
      <c r="AS32" s="60">
        <v>6001944937</v>
      </c>
      <c r="AT32" s="61">
        <v>44480</v>
      </c>
      <c r="AU32" s="60" t="s">
        <v>407</v>
      </c>
      <c r="AV32" s="61">
        <v>44500</v>
      </c>
      <c r="AW32" s="91">
        <v>44500</v>
      </c>
      <c r="AX32" s="91">
        <v>44520</v>
      </c>
      <c r="AY32" s="107">
        <v>42000</v>
      </c>
      <c r="AZ32" s="107">
        <f>ROUNDDOWN(AY32+(AY32*MASTER!$A$2/100),0)</f>
        <v>46200</v>
      </c>
      <c r="BC32" s="64">
        <v>0</v>
      </c>
      <c r="BG32" s="64">
        <v>0</v>
      </c>
      <c r="BK32" s="64">
        <v>0</v>
      </c>
      <c r="BS32" s="64">
        <v>0</v>
      </c>
      <c r="BV32" s="65">
        <v>46200</v>
      </c>
      <c r="BW32" s="65">
        <v>0</v>
      </c>
      <c r="BX32" s="65">
        <v>44475</v>
      </c>
      <c r="BY32" s="65">
        <v>46200</v>
      </c>
      <c r="BZ32" s="81">
        <v>100</v>
      </c>
    </row>
    <row r="33" spans="1:89" x14ac:dyDescent="0.15">
      <c r="A33" s="60">
        <v>2</v>
      </c>
      <c r="B33" s="61">
        <v>44490</v>
      </c>
      <c r="C33" s="61">
        <v>44496</v>
      </c>
      <c r="D33" s="61">
        <v>44515</v>
      </c>
      <c r="E33" s="61">
        <v>44510</v>
      </c>
      <c r="F33" s="61">
        <v>44503</v>
      </c>
      <c r="G33" s="61">
        <v>44496</v>
      </c>
      <c r="H33" s="61">
        <v>44499</v>
      </c>
      <c r="I33" s="60" t="s">
        <v>612</v>
      </c>
      <c r="J33" s="60">
        <v>1</v>
      </c>
      <c r="L33" s="60">
        <v>0</v>
      </c>
      <c r="M33" s="61">
        <v>44475</v>
      </c>
      <c r="O33" s="62" t="s">
        <v>331</v>
      </c>
      <c r="P33" s="60" t="s">
        <v>26</v>
      </c>
      <c r="Q33" s="62" t="s">
        <v>105</v>
      </c>
      <c r="R33" s="62" t="s">
        <v>496</v>
      </c>
      <c r="S33" s="63" t="s">
        <v>497</v>
      </c>
      <c r="T33" s="63" t="s">
        <v>498</v>
      </c>
      <c r="U33" s="64">
        <v>50000</v>
      </c>
      <c r="V33" s="64">
        <v>55000</v>
      </c>
      <c r="W33" s="64">
        <v>47000</v>
      </c>
      <c r="X33" s="64">
        <v>51700</v>
      </c>
      <c r="Y33" s="64">
        <v>3000</v>
      </c>
      <c r="Z33" s="64">
        <v>3300</v>
      </c>
      <c r="AA33" s="61">
        <v>44495</v>
      </c>
      <c r="AB33" s="61">
        <v>44496</v>
      </c>
      <c r="AC33" s="61">
        <v>44496</v>
      </c>
      <c r="AD33" s="60">
        <v>0</v>
      </c>
      <c r="AG33" s="60">
        <v>0</v>
      </c>
      <c r="AJ33" s="60">
        <v>0</v>
      </c>
      <c r="AM33" s="60" t="s">
        <v>273</v>
      </c>
      <c r="AN33" s="60" t="s">
        <v>499</v>
      </c>
      <c r="AQ33" s="60" t="s">
        <v>506</v>
      </c>
      <c r="AR33" s="61">
        <v>44489</v>
      </c>
      <c r="AS33" s="60">
        <v>6001948535</v>
      </c>
      <c r="AT33" s="61">
        <v>44489</v>
      </c>
      <c r="AU33" s="60" t="s">
        <v>507</v>
      </c>
      <c r="AV33" s="61">
        <v>44496</v>
      </c>
      <c r="AW33" s="91">
        <v>44500</v>
      </c>
      <c r="AX33" s="91">
        <v>44520</v>
      </c>
      <c r="AY33" s="99">
        <v>48000</v>
      </c>
      <c r="AZ33" s="99">
        <f>ROUNDDOWN(AY33+(AY33*MASTER!$A$2/100),0)</f>
        <v>52800</v>
      </c>
      <c r="BA33" s="60" t="s">
        <v>613</v>
      </c>
      <c r="BB33" s="64">
        <v>26000</v>
      </c>
      <c r="BC33" s="64">
        <v>28600</v>
      </c>
      <c r="BD33" s="60" t="s">
        <v>182</v>
      </c>
      <c r="BG33" s="64">
        <v>0</v>
      </c>
      <c r="BI33" s="60" t="s">
        <v>748</v>
      </c>
      <c r="BJ33" s="64">
        <v>1950</v>
      </c>
      <c r="BK33" s="64">
        <v>2145</v>
      </c>
      <c r="BL33" s="60" t="s">
        <v>182</v>
      </c>
      <c r="BS33" s="64">
        <v>0</v>
      </c>
      <c r="BV33" s="65">
        <v>51700</v>
      </c>
      <c r="BW33" s="65">
        <v>30745</v>
      </c>
      <c r="BX33" s="65">
        <v>44475</v>
      </c>
      <c r="BY33" s="65">
        <v>20955</v>
      </c>
      <c r="BZ33" s="81">
        <v>40.531914893617021</v>
      </c>
    </row>
    <row r="34" spans="1:89" x14ac:dyDescent="0.15">
      <c r="A34" s="60">
        <v>2</v>
      </c>
      <c r="B34" s="61">
        <v>44505</v>
      </c>
      <c r="C34" s="61">
        <v>44508</v>
      </c>
      <c r="D34" s="61">
        <v>44525</v>
      </c>
      <c r="E34" s="61">
        <v>44510</v>
      </c>
      <c r="F34" s="61">
        <v>44515</v>
      </c>
      <c r="G34" s="61">
        <v>44508</v>
      </c>
      <c r="H34" s="61">
        <v>44511</v>
      </c>
      <c r="I34" s="60" t="s">
        <v>511</v>
      </c>
      <c r="J34" s="60">
        <v>1</v>
      </c>
      <c r="L34" s="60">
        <v>0</v>
      </c>
      <c r="M34" s="61">
        <v>44475</v>
      </c>
      <c r="O34" s="62" t="s">
        <v>331</v>
      </c>
      <c r="P34" s="60" t="s">
        <v>26</v>
      </c>
      <c r="Q34" s="62" t="s">
        <v>105</v>
      </c>
      <c r="R34" s="62" t="s">
        <v>681</v>
      </c>
      <c r="S34" s="63" t="s">
        <v>557</v>
      </c>
      <c r="T34" s="63" t="s">
        <v>682</v>
      </c>
      <c r="U34" s="64">
        <v>202500</v>
      </c>
      <c r="V34" s="64">
        <v>222750</v>
      </c>
      <c r="W34" s="64">
        <v>110000</v>
      </c>
      <c r="X34" s="64">
        <v>121000</v>
      </c>
      <c r="Y34" s="64">
        <v>92500</v>
      </c>
      <c r="Z34" s="64">
        <v>101750</v>
      </c>
      <c r="AA34" s="61">
        <v>44507</v>
      </c>
      <c r="AB34" s="61">
        <v>44508</v>
      </c>
      <c r="AC34" s="61">
        <v>44508</v>
      </c>
      <c r="AD34" s="60">
        <v>0</v>
      </c>
      <c r="AG34" s="60">
        <v>0</v>
      </c>
      <c r="AJ34" s="60">
        <v>0</v>
      </c>
      <c r="AM34" s="60" t="s">
        <v>273</v>
      </c>
      <c r="AN34" s="60" t="s">
        <v>683</v>
      </c>
      <c r="AQ34" s="60" t="s">
        <v>535</v>
      </c>
      <c r="AR34" s="61">
        <v>44490</v>
      </c>
      <c r="AS34" s="60">
        <v>6001949190</v>
      </c>
      <c r="AT34" s="61">
        <v>44490</v>
      </c>
      <c r="AU34" s="60" t="s">
        <v>537</v>
      </c>
      <c r="AV34" s="61">
        <v>44508</v>
      </c>
      <c r="AW34" s="91">
        <v>44530</v>
      </c>
      <c r="AX34" s="91">
        <v>44550</v>
      </c>
      <c r="AY34" s="99">
        <v>194400</v>
      </c>
      <c r="AZ34" s="99">
        <f>ROUNDDOWN(AY34+(AY34*MASTER!$A$2/100),0)</f>
        <v>213840</v>
      </c>
      <c r="BA34" s="60" t="s">
        <v>780</v>
      </c>
      <c r="BB34" s="64">
        <v>23000</v>
      </c>
      <c r="BC34" s="64">
        <v>25300</v>
      </c>
      <c r="BD34" s="60" t="s">
        <v>183</v>
      </c>
      <c r="BG34" s="64">
        <v>0</v>
      </c>
      <c r="BI34" s="60" t="s">
        <v>267</v>
      </c>
      <c r="BJ34" s="64">
        <v>60125</v>
      </c>
      <c r="BK34" s="64">
        <v>66137.5</v>
      </c>
      <c r="BL34" s="60" t="s">
        <v>493</v>
      </c>
      <c r="BS34" s="64">
        <v>0</v>
      </c>
      <c r="BV34" s="65">
        <v>121000</v>
      </c>
      <c r="BW34" s="65">
        <v>91437.5</v>
      </c>
      <c r="BX34" s="65">
        <v>44475</v>
      </c>
      <c r="BY34" s="65">
        <v>29562.5</v>
      </c>
      <c r="BZ34" s="81">
        <v>24.431818181818183</v>
      </c>
    </row>
    <row r="35" spans="1:89" s="152" customFormat="1" x14ac:dyDescent="0.15">
      <c r="A35" s="142">
        <v>3</v>
      </c>
      <c r="B35" s="143"/>
      <c r="C35" s="143" t="s">
        <v>309</v>
      </c>
      <c r="D35" s="143"/>
      <c r="E35" s="143"/>
      <c r="F35" s="143" t="s">
        <v>309</v>
      </c>
      <c r="G35" s="143"/>
      <c r="H35" s="143" t="s">
        <v>309</v>
      </c>
      <c r="I35" s="142"/>
      <c r="J35" s="142">
        <v>2</v>
      </c>
      <c r="K35" s="143"/>
      <c r="L35" s="142">
        <v>0</v>
      </c>
      <c r="M35" s="143">
        <v>44475</v>
      </c>
      <c r="N35" s="143"/>
      <c r="O35" s="144" t="s">
        <v>331</v>
      </c>
      <c r="P35" s="142" t="s">
        <v>26</v>
      </c>
      <c r="Q35" s="144" t="s">
        <v>105</v>
      </c>
      <c r="R35" s="144" t="s">
        <v>1172</v>
      </c>
      <c r="S35" s="145" t="s">
        <v>1071</v>
      </c>
      <c r="T35" s="145" t="s">
        <v>1173</v>
      </c>
      <c r="U35" s="146">
        <v>86000</v>
      </c>
      <c r="V35" s="146">
        <v>94600</v>
      </c>
      <c r="W35" s="146">
        <v>86000</v>
      </c>
      <c r="X35" s="146">
        <v>94600</v>
      </c>
      <c r="Y35" s="146"/>
      <c r="Z35" s="146">
        <v>0</v>
      </c>
      <c r="AA35" s="143"/>
      <c r="AB35" s="143"/>
      <c r="AC35" s="143"/>
      <c r="AD35" s="142">
        <v>0</v>
      </c>
      <c r="AE35" s="142"/>
      <c r="AF35" s="142"/>
      <c r="AG35" s="142">
        <v>0</v>
      </c>
      <c r="AH35" s="142"/>
      <c r="AI35" s="142"/>
      <c r="AJ35" s="142">
        <v>0</v>
      </c>
      <c r="AK35" s="142"/>
      <c r="AL35" s="142"/>
      <c r="AM35" s="142" t="s">
        <v>273</v>
      </c>
      <c r="AN35" s="142" t="s">
        <v>1174</v>
      </c>
      <c r="AO35" s="143"/>
      <c r="AP35" s="142"/>
      <c r="AQ35" s="142"/>
      <c r="AR35" s="143"/>
      <c r="AS35" s="142"/>
      <c r="AT35" s="143"/>
      <c r="AU35" s="142"/>
      <c r="AV35" s="143"/>
      <c r="AW35" s="147"/>
      <c r="AX35" s="147"/>
      <c r="AY35" s="148">
        <v>82560</v>
      </c>
      <c r="AZ35" s="148">
        <f>ROUNDDOWN(AY35+(AY35*MASTER!$A$2/100),0)</f>
        <v>90816</v>
      </c>
      <c r="BA35" s="142"/>
      <c r="BB35" s="146"/>
      <c r="BC35" s="146">
        <v>0</v>
      </c>
      <c r="BD35" s="142"/>
      <c r="BE35" s="142"/>
      <c r="BF35" s="146"/>
      <c r="BG35" s="146">
        <v>0</v>
      </c>
      <c r="BH35" s="142"/>
      <c r="BI35" s="142"/>
      <c r="BJ35" s="146"/>
      <c r="BK35" s="146">
        <v>0</v>
      </c>
      <c r="BL35" s="142"/>
      <c r="BM35" s="146"/>
      <c r="BN35" s="146"/>
      <c r="BO35" s="146"/>
      <c r="BP35" s="146"/>
      <c r="BQ35" s="146"/>
      <c r="BR35" s="146"/>
      <c r="BS35" s="146">
        <v>0</v>
      </c>
      <c r="BT35" s="149"/>
      <c r="BU35" s="149"/>
      <c r="BV35" s="150">
        <v>94600</v>
      </c>
      <c r="BW35" s="150">
        <v>0</v>
      </c>
      <c r="BX35" s="150">
        <v>44475</v>
      </c>
      <c r="BY35" s="150">
        <v>94600</v>
      </c>
      <c r="BZ35" s="151">
        <v>100</v>
      </c>
      <c r="CA35" s="142"/>
      <c r="CB35" s="142"/>
      <c r="CC35" s="142"/>
      <c r="CD35" s="145" t="s">
        <v>1175</v>
      </c>
      <c r="CE35" s="143"/>
      <c r="CF35" s="143"/>
      <c r="CG35" s="143"/>
      <c r="CH35" s="143"/>
      <c r="CI35" s="143"/>
      <c r="CJ35" s="143"/>
      <c r="CK35" s="146"/>
    </row>
    <row r="36" spans="1:89" x14ac:dyDescent="0.15">
      <c r="A36" s="60">
        <v>1</v>
      </c>
      <c r="B36" s="61">
        <v>44482</v>
      </c>
      <c r="C36" s="61">
        <v>44494</v>
      </c>
      <c r="F36" s="61" t="s">
        <v>309</v>
      </c>
      <c r="H36" s="61" t="s">
        <v>309</v>
      </c>
      <c r="J36" s="60">
        <v>2</v>
      </c>
      <c r="L36" s="60">
        <v>0</v>
      </c>
      <c r="M36" s="61">
        <v>44475</v>
      </c>
      <c r="O36" s="62" t="s">
        <v>331</v>
      </c>
      <c r="P36" s="60" t="s">
        <v>26</v>
      </c>
      <c r="Q36" s="62" t="s">
        <v>105</v>
      </c>
      <c r="R36" s="62" t="s">
        <v>383</v>
      </c>
      <c r="S36" s="63" t="s">
        <v>384</v>
      </c>
      <c r="T36" s="63" t="s">
        <v>385</v>
      </c>
      <c r="U36" s="64">
        <v>33000</v>
      </c>
      <c r="V36" s="64">
        <v>36300</v>
      </c>
      <c r="W36" s="64">
        <v>33000</v>
      </c>
      <c r="X36" s="64">
        <v>36300</v>
      </c>
      <c r="Y36" s="64">
        <v>0</v>
      </c>
      <c r="Z36" s="64">
        <v>0</v>
      </c>
      <c r="AA36" s="61">
        <v>44447</v>
      </c>
      <c r="AB36" s="61" t="s">
        <v>389</v>
      </c>
      <c r="AD36" s="60">
        <v>0</v>
      </c>
      <c r="AG36" s="60">
        <v>0</v>
      </c>
      <c r="AJ36" s="60">
        <v>0</v>
      </c>
      <c r="AQ36" s="60" t="s">
        <v>380</v>
      </c>
      <c r="AR36" s="61">
        <v>44481</v>
      </c>
      <c r="AS36" s="60">
        <v>6001945528</v>
      </c>
      <c r="AT36" s="61">
        <v>44481</v>
      </c>
      <c r="AU36" s="60" t="s">
        <v>425</v>
      </c>
      <c r="AV36" s="61">
        <v>44494</v>
      </c>
      <c r="AW36" s="91">
        <v>44500</v>
      </c>
      <c r="AX36" s="91">
        <v>44520</v>
      </c>
      <c r="AY36" s="99">
        <v>31680</v>
      </c>
      <c r="AZ36" s="99">
        <f>ROUNDDOWN(AY36+(AY36*MASTER!$A$2/100),0)</f>
        <v>34848</v>
      </c>
      <c r="BC36" s="64">
        <v>0</v>
      </c>
      <c r="BG36" s="64">
        <v>0</v>
      </c>
      <c r="BK36" s="64">
        <v>0</v>
      </c>
      <c r="BS36" s="64">
        <v>0</v>
      </c>
      <c r="BV36" s="65">
        <v>36300</v>
      </c>
      <c r="BW36" s="65">
        <v>0</v>
      </c>
      <c r="BX36" s="65">
        <v>44475</v>
      </c>
      <c r="BY36" s="65">
        <v>36300</v>
      </c>
      <c r="BZ36" s="81">
        <v>100</v>
      </c>
      <c r="CD36" s="63" t="s">
        <v>428</v>
      </c>
    </row>
    <row r="37" spans="1:89" x14ac:dyDescent="0.15">
      <c r="A37" s="60">
        <v>1</v>
      </c>
      <c r="B37" s="61">
        <v>44482</v>
      </c>
      <c r="C37" s="61">
        <v>44494</v>
      </c>
      <c r="F37" s="61" t="s">
        <v>309</v>
      </c>
      <c r="H37" s="61" t="s">
        <v>309</v>
      </c>
      <c r="J37" s="60">
        <v>2</v>
      </c>
      <c r="L37" s="60">
        <v>0</v>
      </c>
      <c r="M37" s="61">
        <v>44475</v>
      </c>
      <c r="O37" s="62" t="s">
        <v>331</v>
      </c>
      <c r="P37" s="60" t="s">
        <v>26</v>
      </c>
      <c r="Q37" s="62" t="s">
        <v>105</v>
      </c>
      <c r="R37" s="62" t="s">
        <v>387</v>
      </c>
      <c r="S37" s="63" t="s">
        <v>388</v>
      </c>
      <c r="T37" s="63" t="s">
        <v>386</v>
      </c>
      <c r="U37" s="64">
        <v>21000</v>
      </c>
      <c r="V37" s="64">
        <v>23100</v>
      </c>
      <c r="W37" s="64">
        <v>21000</v>
      </c>
      <c r="X37" s="64">
        <v>23100</v>
      </c>
      <c r="Y37" s="64">
        <v>0</v>
      </c>
      <c r="Z37" s="64">
        <v>0</v>
      </c>
      <c r="AA37" s="61">
        <v>44473</v>
      </c>
      <c r="AB37" s="61" t="s">
        <v>389</v>
      </c>
      <c r="AD37" s="60">
        <v>0</v>
      </c>
      <c r="AG37" s="60">
        <v>0</v>
      </c>
      <c r="AJ37" s="60">
        <v>0</v>
      </c>
      <c r="AQ37" s="60" t="s">
        <v>380</v>
      </c>
      <c r="AR37" s="61">
        <v>44481</v>
      </c>
      <c r="AS37" s="60">
        <v>6001945528</v>
      </c>
      <c r="AT37" s="61">
        <v>44481</v>
      </c>
      <c r="AU37" s="60" t="s">
        <v>425</v>
      </c>
      <c r="AV37" s="61">
        <v>44494</v>
      </c>
      <c r="AW37" s="91">
        <v>44500</v>
      </c>
      <c r="AX37" s="91">
        <v>44520</v>
      </c>
      <c r="AY37" s="99">
        <v>20160</v>
      </c>
      <c r="AZ37" s="99">
        <f>ROUNDDOWN(AY37+(AY37*MASTER!$A$2/100),0)</f>
        <v>22176</v>
      </c>
      <c r="BC37" s="64">
        <v>0</v>
      </c>
      <c r="BG37" s="64">
        <v>0</v>
      </c>
      <c r="BK37" s="64">
        <v>0</v>
      </c>
      <c r="BS37" s="64">
        <v>0</v>
      </c>
      <c r="BV37" s="65">
        <v>23100</v>
      </c>
      <c r="BW37" s="65">
        <v>0</v>
      </c>
      <c r="BX37" s="65">
        <v>44475</v>
      </c>
      <c r="BY37" s="65">
        <v>23100</v>
      </c>
      <c r="BZ37" s="81">
        <v>100</v>
      </c>
      <c r="CD37" s="63" t="s">
        <v>428</v>
      </c>
    </row>
    <row r="38" spans="1:89" x14ac:dyDescent="0.15">
      <c r="A38" s="60">
        <v>2</v>
      </c>
      <c r="B38" s="61">
        <v>44505</v>
      </c>
      <c r="C38" s="61">
        <v>44510</v>
      </c>
      <c r="D38" s="61">
        <v>44535</v>
      </c>
      <c r="E38" s="61">
        <v>44516</v>
      </c>
      <c r="F38" s="61">
        <v>44517</v>
      </c>
      <c r="G38" s="61">
        <v>44511</v>
      </c>
      <c r="H38" s="61">
        <v>44513</v>
      </c>
      <c r="I38" s="60" t="s">
        <v>612</v>
      </c>
      <c r="J38" s="60">
        <v>1</v>
      </c>
      <c r="L38" s="60">
        <v>0</v>
      </c>
      <c r="M38" s="61">
        <v>44476</v>
      </c>
      <c r="O38" s="62" t="s">
        <v>331</v>
      </c>
      <c r="P38" s="60" t="s">
        <v>26</v>
      </c>
      <c r="Q38" s="62" t="s">
        <v>105</v>
      </c>
      <c r="R38" s="62" t="s">
        <v>390</v>
      </c>
      <c r="S38" s="63" t="s">
        <v>391</v>
      </c>
      <c r="T38" s="63" t="s">
        <v>392</v>
      </c>
      <c r="U38" s="64">
        <v>598270</v>
      </c>
      <c r="V38" s="64">
        <v>658097</v>
      </c>
      <c r="W38" s="64">
        <v>499570</v>
      </c>
      <c r="X38" s="64">
        <v>549527</v>
      </c>
      <c r="Y38" s="64">
        <v>98700</v>
      </c>
      <c r="Z38" s="64">
        <v>108570</v>
      </c>
      <c r="AA38" s="61">
        <v>44505</v>
      </c>
      <c r="AB38" s="61">
        <v>44510</v>
      </c>
      <c r="AC38" s="61">
        <v>44510</v>
      </c>
      <c r="AD38" s="60">
        <v>0</v>
      </c>
      <c r="AG38" s="60">
        <v>0</v>
      </c>
      <c r="AJ38" s="60">
        <v>0</v>
      </c>
      <c r="AM38" s="60" t="s">
        <v>273</v>
      </c>
      <c r="AN38" s="60" t="s">
        <v>393</v>
      </c>
      <c r="AQ38" s="60" t="s">
        <v>475</v>
      </c>
      <c r="AR38" s="61">
        <v>44487</v>
      </c>
      <c r="AS38" s="60">
        <v>6001947592</v>
      </c>
      <c r="AT38" s="61">
        <v>44488</v>
      </c>
      <c r="AU38" s="60" t="s">
        <v>495</v>
      </c>
      <c r="AV38" s="61">
        <v>44510</v>
      </c>
      <c r="AW38" s="91">
        <v>44530</v>
      </c>
      <c r="AX38" s="91">
        <v>44550</v>
      </c>
      <c r="AY38" s="99">
        <v>574339</v>
      </c>
      <c r="AZ38" s="99">
        <v>631773</v>
      </c>
      <c r="BA38" s="60" t="s">
        <v>613</v>
      </c>
      <c r="BB38" s="64">
        <v>178000</v>
      </c>
      <c r="BC38" s="64">
        <v>195800</v>
      </c>
      <c r="BD38" s="60" t="s">
        <v>183</v>
      </c>
      <c r="BG38" s="64">
        <v>0</v>
      </c>
      <c r="BI38" s="60" t="s">
        <v>748</v>
      </c>
      <c r="BJ38" s="64">
        <v>64155</v>
      </c>
      <c r="BK38" s="64">
        <v>70570.5</v>
      </c>
      <c r="BL38" s="60" t="s">
        <v>183</v>
      </c>
      <c r="BS38" s="64">
        <v>0</v>
      </c>
      <c r="BV38" s="65">
        <v>549527</v>
      </c>
      <c r="BW38" s="65">
        <v>266370.5</v>
      </c>
      <c r="BX38" s="65">
        <v>44476</v>
      </c>
      <c r="BY38" s="65">
        <v>283156.5</v>
      </c>
      <c r="BZ38" s="81">
        <v>51.527313489601056</v>
      </c>
    </row>
    <row r="39" spans="1:89" x14ac:dyDescent="0.15">
      <c r="A39" s="60">
        <v>2</v>
      </c>
      <c r="B39" s="61">
        <v>44494</v>
      </c>
      <c r="C39" s="61">
        <v>44499</v>
      </c>
      <c r="D39" s="61">
        <v>44515</v>
      </c>
      <c r="E39" s="61">
        <v>44501</v>
      </c>
      <c r="F39" s="61">
        <v>44506</v>
      </c>
      <c r="G39" s="61">
        <v>44501</v>
      </c>
      <c r="H39" s="61">
        <v>44502</v>
      </c>
      <c r="I39" s="60" t="s">
        <v>511</v>
      </c>
      <c r="J39" s="60">
        <v>1</v>
      </c>
      <c r="L39" s="60">
        <v>0</v>
      </c>
      <c r="M39" s="61">
        <v>44476</v>
      </c>
      <c r="O39" s="62" t="s">
        <v>331</v>
      </c>
      <c r="P39" s="60" t="s">
        <v>26</v>
      </c>
      <c r="Q39" s="62" t="s">
        <v>105</v>
      </c>
      <c r="R39" s="62" t="s">
        <v>562</v>
      </c>
      <c r="S39" s="63" t="s">
        <v>563</v>
      </c>
      <c r="T39" s="63" t="s">
        <v>564</v>
      </c>
      <c r="U39" s="64">
        <v>179000</v>
      </c>
      <c r="V39" s="64">
        <v>196900</v>
      </c>
      <c r="W39" s="64">
        <v>159000</v>
      </c>
      <c r="X39" s="64">
        <v>174900</v>
      </c>
      <c r="Y39" s="64">
        <v>20000</v>
      </c>
      <c r="Z39" s="64">
        <v>22000</v>
      </c>
      <c r="AA39" s="61">
        <v>44497</v>
      </c>
      <c r="AB39" s="61">
        <v>44499</v>
      </c>
      <c r="AC39" s="61">
        <v>44499</v>
      </c>
      <c r="AD39" s="60">
        <v>0</v>
      </c>
      <c r="AG39" s="60">
        <v>0</v>
      </c>
      <c r="AJ39" s="60">
        <v>0</v>
      </c>
      <c r="AM39" s="60" t="s">
        <v>273</v>
      </c>
      <c r="AN39" s="60" t="s">
        <v>565</v>
      </c>
      <c r="AQ39" s="60" t="s">
        <v>536</v>
      </c>
      <c r="AR39" s="61">
        <v>44490</v>
      </c>
      <c r="AS39" s="60">
        <v>6001949190</v>
      </c>
      <c r="AT39" s="61">
        <v>44490</v>
      </c>
      <c r="AU39" s="60" t="s">
        <v>537</v>
      </c>
      <c r="AV39" s="61">
        <v>44499</v>
      </c>
      <c r="AW39" s="91">
        <v>44500</v>
      </c>
      <c r="AX39" s="91">
        <v>44520</v>
      </c>
      <c r="AY39" s="99">
        <v>171840</v>
      </c>
      <c r="AZ39" s="99">
        <f>ROUNDDOWN(AY39+(AY39*MASTER!$A$2/100),0)</f>
        <v>189024</v>
      </c>
      <c r="BA39" s="60" t="s">
        <v>613</v>
      </c>
      <c r="BB39" s="64">
        <v>67330</v>
      </c>
      <c r="BC39" s="64">
        <v>74063</v>
      </c>
      <c r="BD39" s="60" t="s">
        <v>182</v>
      </c>
      <c r="BG39" s="64">
        <v>0</v>
      </c>
      <c r="BI39" s="60" t="s">
        <v>748</v>
      </c>
      <c r="BJ39" s="64">
        <v>13000</v>
      </c>
      <c r="BK39" s="64">
        <v>14300</v>
      </c>
      <c r="BL39" s="60" t="s">
        <v>182</v>
      </c>
      <c r="BS39" s="64">
        <v>0</v>
      </c>
      <c r="BV39" s="65">
        <v>174900</v>
      </c>
      <c r="BW39" s="65">
        <v>88363</v>
      </c>
      <c r="BX39" s="65">
        <v>44476</v>
      </c>
      <c r="BY39" s="65">
        <v>86537</v>
      </c>
      <c r="BZ39" s="81">
        <v>49.477987421383645</v>
      </c>
    </row>
    <row r="40" spans="1:89" x14ac:dyDescent="0.15">
      <c r="A40" s="60">
        <v>1</v>
      </c>
      <c r="B40" s="61">
        <v>44489</v>
      </c>
      <c r="C40" s="61">
        <v>44494</v>
      </c>
      <c r="F40" s="61" t="s">
        <v>309</v>
      </c>
      <c r="G40" s="61">
        <v>44489</v>
      </c>
      <c r="H40" s="61" t="s">
        <v>309</v>
      </c>
      <c r="J40" s="60">
        <v>2</v>
      </c>
      <c r="L40" s="60">
        <v>0</v>
      </c>
      <c r="M40" s="61">
        <v>44477</v>
      </c>
      <c r="O40" s="62" t="s">
        <v>331</v>
      </c>
      <c r="P40" s="60" t="s">
        <v>6</v>
      </c>
      <c r="Q40" s="62" t="s">
        <v>105</v>
      </c>
      <c r="R40" s="62" t="s">
        <v>516</v>
      </c>
      <c r="S40" s="63" t="s">
        <v>517</v>
      </c>
      <c r="T40" s="63" t="s">
        <v>364</v>
      </c>
      <c r="U40" s="64">
        <v>51000</v>
      </c>
      <c r="V40" s="64">
        <v>56100</v>
      </c>
      <c r="W40" s="64">
        <v>51000</v>
      </c>
      <c r="X40" s="64">
        <v>56100</v>
      </c>
      <c r="Z40" s="64">
        <v>0</v>
      </c>
      <c r="AA40" s="61">
        <v>44488</v>
      </c>
      <c r="AB40" s="61">
        <v>44488</v>
      </c>
      <c r="AD40" s="60">
        <v>0</v>
      </c>
      <c r="AG40" s="60">
        <v>0</v>
      </c>
      <c r="AJ40" s="60">
        <v>0</v>
      </c>
      <c r="AN40" s="60" t="s">
        <v>309</v>
      </c>
      <c r="AQ40" s="60" t="s">
        <v>477</v>
      </c>
      <c r="AR40" s="61">
        <v>44487</v>
      </c>
      <c r="AS40" s="60">
        <v>6001947592</v>
      </c>
      <c r="AT40" s="61">
        <v>44488</v>
      </c>
      <c r="AU40" s="60" t="s">
        <v>495</v>
      </c>
      <c r="AV40" s="61">
        <v>44494</v>
      </c>
      <c r="AW40" s="91">
        <v>44500</v>
      </c>
      <c r="AX40" s="91">
        <v>44520</v>
      </c>
      <c r="AY40" s="99">
        <v>48960</v>
      </c>
      <c r="AZ40" s="99">
        <f>ROUNDDOWN(AY40+(AY40*MASTER!$A$2/100),0)</f>
        <v>53856</v>
      </c>
      <c r="BA40" s="60" t="s">
        <v>317</v>
      </c>
      <c r="BB40" s="64">
        <v>24000</v>
      </c>
      <c r="BC40" s="64">
        <v>26400</v>
      </c>
      <c r="BD40" s="60" t="s">
        <v>182</v>
      </c>
      <c r="BG40" s="64">
        <v>0</v>
      </c>
      <c r="BK40" s="64">
        <v>0</v>
      </c>
      <c r="BS40" s="64">
        <v>0</v>
      </c>
      <c r="BV40" s="65">
        <v>56100</v>
      </c>
      <c r="BW40" s="65">
        <v>26400</v>
      </c>
      <c r="BX40" s="65">
        <v>44477</v>
      </c>
      <c r="BY40" s="65">
        <v>29700</v>
      </c>
      <c r="BZ40" s="81">
        <v>52.941176470588239</v>
      </c>
    </row>
    <row r="41" spans="1:89" x14ac:dyDescent="0.15">
      <c r="A41" s="60">
        <v>1</v>
      </c>
      <c r="B41" s="61">
        <v>44623</v>
      </c>
      <c r="C41" s="61">
        <v>44630</v>
      </c>
      <c r="D41" s="61">
        <v>44627</v>
      </c>
      <c r="F41" s="61">
        <v>44631</v>
      </c>
      <c r="G41" s="61">
        <v>44627</v>
      </c>
      <c r="H41" s="61">
        <v>44627</v>
      </c>
      <c r="J41" s="60">
        <v>2</v>
      </c>
      <c r="L41" s="60">
        <v>0</v>
      </c>
      <c r="M41" s="61">
        <v>44477</v>
      </c>
      <c r="O41" s="62" t="s">
        <v>331</v>
      </c>
      <c r="P41" s="60" t="s">
        <v>26</v>
      </c>
      <c r="Q41" s="62" t="s">
        <v>105</v>
      </c>
      <c r="R41" s="62" t="s">
        <v>2584</v>
      </c>
      <c r="S41" s="63" t="s">
        <v>497</v>
      </c>
      <c r="T41" s="63" t="s">
        <v>908</v>
      </c>
      <c r="U41" s="64">
        <v>456000</v>
      </c>
      <c r="V41" s="64">
        <v>501600</v>
      </c>
      <c r="W41" s="64">
        <v>456000</v>
      </c>
      <c r="X41" s="64">
        <v>501600</v>
      </c>
      <c r="Z41" s="64">
        <v>0</v>
      </c>
      <c r="AA41" s="61">
        <v>44615</v>
      </c>
      <c r="AB41" s="61">
        <v>44624</v>
      </c>
      <c r="AC41" s="61">
        <v>44624</v>
      </c>
      <c r="AD41" s="60">
        <v>0</v>
      </c>
      <c r="AG41" s="60">
        <v>0</v>
      </c>
      <c r="AJ41" s="60">
        <v>0</v>
      </c>
      <c r="AM41" s="60" t="s">
        <v>273</v>
      </c>
      <c r="AN41" s="60" t="s">
        <v>2585</v>
      </c>
      <c r="AQ41" s="60" t="s">
        <v>1293</v>
      </c>
      <c r="AR41" s="61">
        <v>44544</v>
      </c>
      <c r="AS41" s="60">
        <v>6001969885</v>
      </c>
      <c r="AT41" s="61">
        <v>44545</v>
      </c>
      <c r="AU41" s="60" t="s">
        <v>1300</v>
      </c>
      <c r="AV41" s="155">
        <v>44630</v>
      </c>
      <c r="AW41" s="91">
        <v>44651</v>
      </c>
      <c r="AX41" s="91">
        <v>44671</v>
      </c>
      <c r="AY41" s="99">
        <v>437760</v>
      </c>
      <c r="AZ41" s="99">
        <f>ROUNDDOWN(AY41+(AY41*MASTER!$A$2/100),0)</f>
        <v>481536</v>
      </c>
      <c r="BA41" s="60" t="s">
        <v>613</v>
      </c>
      <c r="BB41" s="64">
        <v>140000</v>
      </c>
      <c r="BC41" s="64">
        <v>154000</v>
      </c>
      <c r="BD41" s="60" t="s">
        <v>2107</v>
      </c>
      <c r="BG41" s="64">
        <v>0</v>
      </c>
      <c r="BK41" s="64">
        <v>0</v>
      </c>
      <c r="BS41" s="64">
        <v>0</v>
      </c>
      <c r="BV41" s="65">
        <v>501600</v>
      </c>
      <c r="BW41" s="65">
        <v>154000</v>
      </c>
      <c r="BX41" s="65">
        <v>44477</v>
      </c>
      <c r="BY41" s="65">
        <v>347600</v>
      </c>
      <c r="BZ41" s="81">
        <v>69.298245614035096</v>
      </c>
    </row>
    <row r="42" spans="1:89" s="152" customFormat="1" x14ac:dyDescent="0.15">
      <c r="A42" s="142">
        <v>3</v>
      </c>
      <c r="B42" s="143"/>
      <c r="C42" s="143" t="s">
        <v>309</v>
      </c>
      <c r="D42" s="143"/>
      <c r="E42" s="143"/>
      <c r="F42" s="143" t="s">
        <v>309</v>
      </c>
      <c r="G42" s="143"/>
      <c r="H42" s="143" t="s">
        <v>309</v>
      </c>
      <c r="I42" s="142"/>
      <c r="J42" s="142">
        <v>2</v>
      </c>
      <c r="K42" s="143"/>
      <c r="L42" s="142">
        <v>0</v>
      </c>
      <c r="M42" s="143">
        <v>44480</v>
      </c>
      <c r="N42" s="143"/>
      <c r="O42" s="144" t="s">
        <v>331</v>
      </c>
      <c r="P42" s="142" t="s">
        <v>6</v>
      </c>
      <c r="Q42" s="144" t="s">
        <v>105</v>
      </c>
      <c r="R42" s="144" t="s">
        <v>402</v>
      </c>
      <c r="S42" s="145" t="s">
        <v>371</v>
      </c>
      <c r="T42" s="145" t="s">
        <v>364</v>
      </c>
      <c r="U42" s="146">
        <v>35000</v>
      </c>
      <c r="V42" s="146">
        <v>38500</v>
      </c>
      <c r="W42" s="146">
        <v>35000</v>
      </c>
      <c r="X42" s="146">
        <v>38500</v>
      </c>
      <c r="Y42" s="146">
        <v>0</v>
      </c>
      <c r="Z42" s="146">
        <v>0</v>
      </c>
      <c r="AA42" s="143"/>
      <c r="AB42" s="143"/>
      <c r="AC42" s="143"/>
      <c r="AD42" s="142">
        <v>0</v>
      </c>
      <c r="AE42" s="142"/>
      <c r="AF42" s="142"/>
      <c r="AG42" s="142">
        <v>0</v>
      </c>
      <c r="AH42" s="142"/>
      <c r="AI42" s="142"/>
      <c r="AJ42" s="142">
        <v>0</v>
      </c>
      <c r="AK42" s="142"/>
      <c r="AL42" s="142"/>
      <c r="AM42" s="142"/>
      <c r="AN42" s="142"/>
      <c r="AO42" s="143"/>
      <c r="AP42" s="142"/>
      <c r="AQ42" s="142"/>
      <c r="AR42" s="143"/>
      <c r="AS42" s="142"/>
      <c r="AT42" s="143"/>
      <c r="AU42" s="142"/>
      <c r="AV42" s="143"/>
      <c r="AW42" s="147"/>
      <c r="AX42" s="147"/>
      <c r="AY42" s="148">
        <v>33600</v>
      </c>
      <c r="AZ42" s="148">
        <f>ROUNDDOWN(AY42+(AY42*MASTER!$A$2/100),0)</f>
        <v>36960</v>
      </c>
      <c r="BA42" s="142"/>
      <c r="BB42" s="146"/>
      <c r="BC42" s="146">
        <v>0</v>
      </c>
      <c r="BD42" s="142"/>
      <c r="BE42" s="142"/>
      <c r="BF42" s="146"/>
      <c r="BG42" s="146">
        <v>0</v>
      </c>
      <c r="BH42" s="142"/>
      <c r="BI42" s="142"/>
      <c r="BJ42" s="146"/>
      <c r="BK42" s="146">
        <v>0</v>
      </c>
      <c r="BL42" s="142"/>
      <c r="BM42" s="146"/>
      <c r="BN42" s="146"/>
      <c r="BO42" s="146"/>
      <c r="BP42" s="146"/>
      <c r="BQ42" s="146"/>
      <c r="BR42" s="146"/>
      <c r="BS42" s="146">
        <v>0</v>
      </c>
      <c r="BT42" s="149"/>
      <c r="BU42" s="149"/>
      <c r="BV42" s="150">
        <v>38500</v>
      </c>
      <c r="BW42" s="150">
        <v>0</v>
      </c>
      <c r="BX42" s="150">
        <v>44480</v>
      </c>
      <c r="BY42" s="150">
        <v>38500</v>
      </c>
      <c r="BZ42" s="151">
        <v>100</v>
      </c>
      <c r="CA42" s="142"/>
      <c r="CB42" s="142"/>
      <c r="CC42" s="142"/>
      <c r="CD42" s="145" t="s">
        <v>558</v>
      </c>
      <c r="CE42" s="143"/>
      <c r="CF42" s="143"/>
      <c r="CG42" s="143"/>
      <c r="CH42" s="143"/>
      <c r="CI42" s="143"/>
      <c r="CJ42" s="143"/>
      <c r="CK42" s="146"/>
    </row>
    <row r="43" spans="1:89" x14ac:dyDescent="0.15">
      <c r="A43" s="60">
        <v>1</v>
      </c>
      <c r="B43" s="61">
        <v>44487</v>
      </c>
      <c r="C43" s="61">
        <v>44489</v>
      </c>
      <c r="F43" s="61" t="s">
        <v>309</v>
      </c>
      <c r="G43" s="61">
        <v>44487</v>
      </c>
      <c r="H43" s="61" t="s">
        <v>309</v>
      </c>
      <c r="J43" s="60">
        <v>2</v>
      </c>
      <c r="L43" s="60">
        <v>0</v>
      </c>
      <c r="M43" s="61">
        <v>44480</v>
      </c>
      <c r="O43" s="62" t="s">
        <v>331</v>
      </c>
      <c r="P43" s="60" t="s">
        <v>6</v>
      </c>
      <c r="Q43" s="62" t="s">
        <v>105</v>
      </c>
      <c r="R43" s="62" t="s">
        <v>404</v>
      </c>
      <c r="S43" s="63" t="s">
        <v>403</v>
      </c>
      <c r="T43" s="63" t="s">
        <v>364</v>
      </c>
      <c r="U43" s="64">
        <v>35000</v>
      </c>
      <c r="V43" s="64">
        <v>38500</v>
      </c>
      <c r="W43" s="64">
        <v>35000</v>
      </c>
      <c r="X43" s="64">
        <v>38500</v>
      </c>
      <c r="Y43" s="64">
        <v>0</v>
      </c>
      <c r="Z43" s="64">
        <v>0</v>
      </c>
      <c r="AA43" s="61">
        <v>44484</v>
      </c>
      <c r="AB43" s="61">
        <v>44484</v>
      </c>
      <c r="AD43" s="60">
        <v>0</v>
      </c>
      <c r="AG43" s="60">
        <v>0</v>
      </c>
      <c r="AJ43" s="60">
        <v>0</v>
      </c>
      <c r="AQ43" s="60" t="s">
        <v>445</v>
      </c>
      <c r="AR43" s="61">
        <v>44484</v>
      </c>
      <c r="AS43" s="60">
        <v>6001946905</v>
      </c>
      <c r="AT43" s="61">
        <v>44484</v>
      </c>
      <c r="AU43" s="60" t="s">
        <v>446</v>
      </c>
      <c r="AV43" s="61">
        <v>44489</v>
      </c>
      <c r="AW43" s="91">
        <v>44500</v>
      </c>
      <c r="AX43" s="91">
        <v>44520</v>
      </c>
      <c r="AY43" s="99">
        <v>33600</v>
      </c>
      <c r="AZ43" s="99">
        <f>ROUNDDOWN(AY43+(AY43*MASTER!$A$2/100),0)</f>
        <v>36960</v>
      </c>
      <c r="BA43" s="60" t="s">
        <v>317</v>
      </c>
      <c r="BB43" s="64">
        <v>40000</v>
      </c>
      <c r="BC43" s="64">
        <v>44000</v>
      </c>
      <c r="BD43" s="60" t="s">
        <v>182</v>
      </c>
      <c r="BG43" s="64">
        <v>0</v>
      </c>
      <c r="BK43" s="64">
        <v>0</v>
      </c>
      <c r="BS43" s="64">
        <v>0</v>
      </c>
      <c r="BV43" s="65">
        <v>38500</v>
      </c>
      <c r="BW43" s="65">
        <v>44000</v>
      </c>
      <c r="BX43" s="65">
        <v>44480</v>
      </c>
      <c r="BY43" s="65">
        <v>-5500</v>
      </c>
      <c r="BZ43" s="81">
        <v>-14.285714285714285</v>
      </c>
    </row>
    <row r="44" spans="1:89" x14ac:dyDescent="0.15">
      <c r="A44" s="60">
        <v>2</v>
      </c>
      <c r="B44" s="61">
        <v>44489</v>
      </c>
      <c r="C44" s="61">
        <v>44489</v>
      </c>
      <c r="D44" s="61">
        <v>44484</v>
      </c>
      <c r="E44" s="61">
        <v>44484</v>
      </c>
      <c r="F44" s="61" t="s">
        <v>309</v>
      </c>
      <c r="G44" s="61">
        <v>44484</v>
      </c>
      <c r="H44" s="61" t="s">
        <v>309</v>
      </c>
      <c r="I44" s="60" t="s">
        <v>494</v>
      </c>
      <c r="J44" s="60">
        <v>2</v>
      </c>
      <c r="L44" s="60">
        <v>0</v>
      </c>
      <c r="M44" s="61">
        <v>44480</v>
      </c>
      <c r="O44" s="62" t="s">
        <v>331</v>
      </c>
      <c r="P44" s="60" t="s">
        <v>6</v>
      </c>
      <c r="Q44" s="62" t="s">
        <v>105</v>
      </c>
      <c r="R44" s="62" t="s">
        <v>405</v>
      </c>
      <c r="S44" s="63" t="s">
        <v>406</v>
      </c>
      <c r="T44" s="63" t="s">
        <v>364</v>
      </c>
      <c r="U44" s="64">
        <v>35000</v>
      </c>
      <c r="V44" s="64">
        <v>38500</v>
      </c>
      <c r="W44" s="64">
        <v>35000</v>
      </c>
      <c r="X44" s="64">
        <v>38500</v>
      </c>
      <c r="Y44" s="64">
        <v>0</v>
      </c>
      <c r="Z44" s="64">
        <v>0</v>
      </c>
      <c r="AA44" s="61">
        <v>44483</v>
      </c>
      <c r="AB44" s="61">
        <v>44483</v>
      </c>
      <c r="AD44" s="60">
        <v>0</v>
      </c>
      <c r="AG44" s="60">
        <v>0</v>
      </c>
      <c r="AJ44" s="60">
        <v>0</v>
      </c>
      <c r="AQ44" s="60" t="s">
        <v>476</v>
      </c>
      <c r="AR44" s="61">
        <v>44487</v>
      </c>
      <c r="AS44" s="60">
        <v>6001947592</v>
      </c>
      <c r="AT44" s="61">
        <v>44488</v>
      </c>
      <c r="AU44" s="60" t="s">
        <v>495</v>
      </c>
      <c r="AV44" s="61">
        <v>44489</v>
      </c>
      <c r="AW44" s="91">
        <v>44500</v>
      </c>
      <c r="AX44" s="91">
        <v>44520</v>
      </c>
      <c r="AY44" s="99">
        <v>33600</v>
      </c>
      <c r="AZ44" s="99">
        <f>ROUNDDOWN(AY44+(AY44*MASTER!$A$2/100),0)</f>
        <v>36960</v>
      </c>
      <c r="BA44" s="60" t="s">
        <v>582</v>
      </c>
      <c r="BB44" s="64">
        <v>35000</v>
      </c>
      <c r="BC44" s="64">
        <v>38500</v>
      </c>
      <c r="BD44" s="60" t="s">
        <v>182</v>
      </c>
      <c r="BG44" s="64">
        <v>0</v>
      </c>
      <c r="BK44" s="64">
        <v>0</v>
      </c>
      <c r="BS44" s="64">
        <v>0</v>
      </c>
      <c r="BV44" s="65">
        <v>38500</v>
      </c>
      <c r="BW44" s="65">
        <v>38500</v>
      </c>
      <c r="BX44" s="65">
        <v>44480</v>
      </c>
      <c r="BY44" s="65">
        <v>0</v>
      </c>
      <c r="BZ44" s="81">
        <v>0</v>
      </c>
    </row>
    <row r="45" spans="1:89" x14ac:dyDescent="0.15">
      <c r="A45" s="60">
        <v>2</v>
      </c>
      <c r="B45" s="61">
        <v>44505</v>
      </c>
      <c r="C45" s="61">
        <v>44511</v>
      </c>
      <c r="D45" s="61">
        <v>44533</v>
      </c>
      <c r="E45" s="61">
        <v>44516</v>
      </c>
      <c r="F45" s="61">
        <v>44518</v>
      </c>
      <c r="G45" s="61">
        <v>44511</v>
      </c>
      <c r="H45" s="61">
        <v>44514</v>
      </c>
      <c r="I45" s="60" t="s">
        <v>612</v>
      </c>
      <c r="J45" s="60">
        <v>1</v>
      </c>
      <c r="L45" s="60">
        <v>0</v>
      </c>
      <c r="M45" s="61">
        <v>44481</v>
      </c>
      <c r="O45" s="62" t="s">
        <v>331</v>
      </c>
      <c r="P45" s="60" t="s">
        <v>26</v>
      </c>
      <c r="Q45" s="62" t="s">
        <v>105</v>
      </c>
      <c r="R45" s="62" t="s">
        <v>408</v>
      </c>
      <c r="S45" s="63" t="s">
        <v>409</v>
      </c>
      <c r="T45" s="63" t="s">
        <v>410</v>
      </c>
      <c r="U45" s="64">
        <v>235500</v>
      </c>
      <c r="V45" s="64">
        <v>259050</v>
      </c>
      <c r="W45" s="64">
        <v>118000</v>
      </c>
      <c r="X45" s="64">
        <v>129800</v>
      </c>
      <c r="Y45" s="64">
        <v>117500</v>
      </c>
      <c r="Z45" s="64">
        <v>129250</v>
      </c>
      <c r="AA45" s="61">
        <v>44510</v>
      </c>
      <c r="AB45" s="61">
        <v>44511</v>
      </c>
      <c r="AC45" s="61">
        <v>44511</v>
      </c>
      <c r="AD45" s="60">
        <v>0</v>
      </c>
      <c r="AG45" s="60">
        <v>0</v>
      </c>
      <c r="AJ45" s="60">
        <v>0</v>
      </c>
      <c r="AM45" s="60" t="s">
        <v>273</v>
      </c>
      <c r="AN45" s="60" t="s">
        <v>411</v>
      </c>
      <c r="AQ45" s="60" t="s">
        <v>547</v>
      </c>
      <c r="AR45" s="61">
        <v>44491</v>
      </c>
      <c r="AS45" s="60">
        <v>6001949524</v>
      </c>
      <c r="AT45" s="61">
        <v>44491</v>
      </c>
      <c r="AU45" s="60" t="s">
        <v>555</v>
      </c>
      <c r="AV45" s="61">
        <v>44511</v>
      </c>
      <c r="AW45" s="91">
        <v>44530</v>
      </c>
      <c r="AX45" s="91">
        <v>44550</v>
      </c>
      <c r="AY45" s="99">
        <v>226080</v>
      </c>
      <c r="AZ45" s="99">
        <f>ROUNDDOWN(AY45+(AY45*MASTER!$A$2/100),0)</f>
        <v>248688</v>
      </c>
      <c r="BA45" s="60" t="s">
        <v>317</v>
      </c>
      <c r="BB45" s="64">
        <v>32000</v>
      </c>
      <c r="BC45" s="64">
        <v>35200</v>
      </c>
      <c r="BD45" s="60" t="s">
        <v>183</v>
      </c>
      <c r="BG45" s="64">
        <v>0</v>
      </c>
      <c r="BI45" s="60" t="s">
        <v>267</v>
      </c>
      <c r="BJ45" s="64">
        <v>76375</v>
      </c>
      <c r="BK45" s="64">
        <v>84012.5</v>
      </c>
      <c r="BL45" s="60" t="s">
        <v>493</v>
      </c>
      <c r="BS45" s="64">
        <v>0</v>
      </c>
      <c r="BV45" s="65">
        <v>129800</v>
      </c>
      <c r="BW45" s="65">
        <v>119212.5</v>
      </c>
      <c r="BX45" s="65">
        <v>44481</v>
      </c>
      <c r="BY45" s="65">
        <v>10587.5</v>
      </c>
      <c r="BZ45" s="81">
        <v>8.1567796610169498</v>
      </c>
    </row>
    <row r="46" spans="1:89" s="152" customFormat="1" x14ac:dyDescent="0.15">
      <c r="A46" s="142">
        <v>3</v>
      </c>
      <c r="B46" s="143"/>
      <c r="C46" s="143" t="s">
        <v>309</v>
      </c>
      <c r="D46" s="143"/>
      <c r="E46" s="143"/>
      <c r="F46" s="143" t="s">
        <v>309</v>
      </c>
      <c r="G46" s="143"/>
      <c r="H46" s="143" t="s">
        <v>309</v>
      </c>
      <c r="I46" s="142"/>
      <c r="J46" s="142">
        <v>1</v>
      </c>
      <c r="K46" s="143"/>
      <c r="L46" s="142">
        <v>0</v>
      </c>
      <c r="M46" s="143">
        <v>44481</v>
      </c>
      <c r="N46" s="143"/>
      <c r="O46" s="144" t="s">
        <v>331</v>
      </c>
      <c r="P46" s="142" t="s">
        <v>26</v>
      </c>
      <c r="Q46" s="144" t="s">
        <v>105</v>
      </c>
      <c r="R46" s="144" t="s">
        <v>910</v>
      </c>
      <c r="S46" s="145" t="s">
        <v>732</v>
      </c>
      <c r="T46" s="145" t="s">
        <v>911</v>
      </c>
      <c r="U46" s="146">
        <v>59000</v>
      </c>
      <c r="V46" s="146">
        <v>64900</v>
      </c>
      <c r="W46" s="146">
        <v>47000</v>
      </c>
      <c r="X46" s="146">
        <v>51700</v>
      </c>
      <c r="Y46" s="146">
        <v>12000</v>
      </c>
      <c r="Z46" s="146">
        <v>13200</v>
      </c>
      <c r="AA46" s="143">
        <v>44535</v>
      </c>
      <c r="AB46" s="143">
        <v>44537</v>
      </c>
      <c r="AC46" s="143"/>
      <c r="AD46" s="142">
        <v>0</v>
      </c>
      <c r="AE46" s="142"/>
      <c r="AF46" s="142"/>
      <c r="AG46" s="142">
        <v>0</v>
      </c>
      <c r="AH46" s="142"/>
      <c r="AI46" s="142"/>
      <c r="AJ46" s="142">
        <v>0</v>
      </c>
      <c r="AK46" s="142"/>
      <c r="AL46" s="142"/>
      <c r="AM46" s="142" t="s">
        <v>273</v>
      </c>
      <c r="AN46" s="142" t="s">
        <v>912</v>
      </c>
      <c r="AO46" s="143"/>
      <c r="AP46" s="142"/>
      <c r="AQ46" s="142"/>
      <c r="AR46" s="143"/>
      <c r="AS46" s="142"/>
      <c r="AT46" s="143"/>
      <c r="AU46" s="142"/>
      <c r="AV46" s="143"/>
      <c r="AW46" s="147"/>
      <c r="AX46" s="147"/>
      <c r="AY46" s="148">
        <v>56640</v>
      </c>
      <c r="AZ46" s="148">
        <f>ROUNDDOWN(AY46+(AY46*MASTER!$A$2/100),0)</f>
        <v>62304</v>
      </c>
      <c r="BA46" s="142"/>
      <c r="BB46" s="146"/>
      <c r="BC46" s="146">
        <v>0</v>
      </c>
      <c r="BD46" s="142"/>
      <c r="BE46" s="142"/>
      <c r="BF46" s="146"/>
      <c r="BG46" s="146">
        <v>0</v>
      </c>
      <c r="BH46" s="142"/>
      <c r="BI46" s="142"/>
      <c r="BJ46" s="146"/>
      <c r="BK46" s="146">
        <v>0</v>
      </c>
      <c r="BL46" s="142"/>
      <c r="BM46" s="146"/>
      <c r="BN46" s="146"/>
      <c r="BO46" s="146"/>
      <c r="BP46" s="146"/>
      <c r="BQ46" s="146"/>
      <c r="BR46" s="146"/>
      <c r="BS46" s="146">
        <v>0</v>
      </c>
      <c r="BT46" s="149"/>
      <c r="BU46" s="149"/>
      <c r="BV46" s="150">
        <v>51700</v>
      </c>
      <c r="BW46" s="150">
        <v>0</v>
      </c>
      <c r="BX46" s="150">
        <v>44481</v>
      </c>
      <c r="BY46" s="150">
        <v>51700</v>
      </c>
      <c r="BZ46" s="151">
        <v>100</v>
      </c>
      <c r="CA46" s="142"/>
      <c r="CB46" s="142"/>
      <c r="CC46" s="142"/>
      <c r="CD46" s="145" t="s">
        <v>913</v>
      </c>
      <c r="CE46" s="143"/>
      <c r="CF46" s="143"/>
      <c r="CG46" s="143"/>
      <c r="CH46" s="143"/>
      <c r="CI46" s="143"/>
      <c r="CJ46" s="143"/>
      <c r="CK46" s="146"/>
    </row>
    <row r="47" spans="1:89" x14ac:dyDescent="0.15">
      <c r="A47" s="60">
        <v>2</v>
      </c>
      <c r="B47" s="61">
        <v>44489</v>
      </c>
      <c r="C47" s="61">
        <v>44491</v>
      </c>
      <c r="D47" s="61">
        <v>44487</v>
      </c>
      <c r="E47" s="61">
        <v>44487</v>
      </c>
      <c r="F47" s="61" t="s">
        <v>309</v>
      </c>
      <c r="G47" s="61">
        <v>44487</v>
      </c>
      <c r="H47" s="61" t="s">
        <v>309</v>
      </c>
      <c r="I47" s="60" t="s">
        <v>766</v>
      </c>
      <c r="J47" s="60">
        <v>2</v>
      </c>
      <c r="L47" s="60">
        <v>0</v>
      </c>
      <c r="M47" s="61">
        <v>44481</v>
      </c>
      <c r="O47" s="62" t="s">
        <v>331</v>
      </c>
      <c r="P47" s="60" t="s">
        <v>6</v>
      </c>
      <c r="Q47" s="62" t="s">
        <v>105</v>
      </c>
      <c r="R47" s="62" t="s">
        <v>483</v>
      </c>
      <c r="S47" s="63" t="s">
        <v>484</v>
      </c>
      <c r="T47" s="63" t="s">
        <v>364</v>
      </c>
      <c r="U47" s="64">
        <v>70000</v>
      </c>
      <c r="V47" s="64">
        <v>77000</v>
      </c>
      <c r="W47" s="64">
        <v>70000</v>
      </c>
      <c r="X47" s="64">
        <v>77000</v>
      </c>
      <c r="Z47" s="64">
        <v>0</v>
      </c>
      <c r="AA47" s="61">
        <v>44484</v>
      </c>
      <c r="AB47" s="61">
        <v>44485</v>
      </c>
      <c r="AD47" s="60">
        <v>0</v>
      </c>
      <c r="AG47" s="60">
        <v>0</v>
      </c>
      <c r="AJ47" s="60">
        <v>0</v>
      </c>
      <c r="AN47" s="60" t="s">
        <v>309</v>
      </c>
      <c r="AQ47" s="60" t="s">
        <v>480</v>
      </c>
      <c r="AR47" s="61">
        <v>44487</v>
      </c>
      <c r="AS47" s="60">
        <v>6001947592</v>
      </c>
      <c r="AT47" s="61">
        <v>44488</v>
      </c>
      <c r="AU47" s="60" t="s">
        <v>495</v>
      </c>
      <c r="AV47" s="61">
        <v>44491</v>
      </c>
      <c r="AW47" s="91">
        <v>44500</v>
      </c>
      <c r="AX47" s="91">
        <v>44520</v>
      </c>
      <c r="AY47" s="99">
        <v>67200</v>
      </c>
      <c r="AZ47" s="99">
        <f>ROUNDDOWN(AY47+(AY47*MASTER!$A$2/100),0)</f>
        <v>73920</v>
      </c>
      <c r="BA47" s="60" t="s">
        <v>314</v>
      </c>
      <c r="BB47" s="64">
        <v>68000</v>
      </c>
      <c r="BC47" s="64">
        <v>74800</v>
      </c>
      <c r="BD47" s="60" t="s">
        <v>182</v>
      </c>
      <c r="BG47" s="64">
        <v>0</v>
      </c>
      <c r="BK47" s="64">
        <v>0</v>
      </c>
      <c r="BS47" s="64">
        <v>0</v>
      </c>
      <c r="BV47" s="65">
        <v>77000</v>
      </c>
      <c r="BW47" s="65">
        <v>74800</v>
      </c>
      <c r="BX47" s="65">
        <v>44481</v>
      </c>
      <c r="BY47" s="65">
        <v>2200</v>
      </c>
      <c r="BZ47" s="81">
        <v>2.8571428571428572</v>
      </c>
    </row>
    <row r="48" spans="1:89" x14ac:dyDescent="0.15">
      <c r="A48" s="60">
        <v>2</v>
      </c>
      <c r="B48" s="61">
        <v>44530</v>
      </c>
      <c r="C48" s="61">
        <v>44540</v>
      </c>
      <c r="D48" s="61">
        <v>44574</v>
      </c>
      <c r="E48" s="61">
        <v>44543</v>
      </c>
      <c r="F48" s="61">
        <v>44547</v>
      </c>
      <c r="G48" s="61">
        <v>44543</v>
      </c>
      <c r="H48" s="61">
        <v>44543</v>
      </c>
      <c r="I48" s="60" t="s">
        <v>511</v>
      </c>
      <c r="J48" s="60">
        <v>1</v>
      </c>
      <c r="K48" s="61">
        <v>44498</v>
      </c>
      <c r="L48" s="60" t="s">
        <v>529</v>
      </c>
      <c r="M48" s="61">
        <v>44481</v>
      </c>
      <c r="O48" s="62" t="s">
        <v>331</v>
      </c>
      <c r="P48" s="60" t="s">
        <v>26</v>
      </c>
      <c r="Q48" s="62" t="s">
        <v>105</v>
      </c>
      <c r="R48" s="62" t="s">
        <v>609</v>
      </c>
      <c r="S48" s="63" t="s">
        <v>513</v>
      </c>
      <c r="T48" s="63" t="s">
        <v>610</v>
      </c>
      <c r="U48" s="64">
        <v>720840</v>
      </c>
      <c r="V48" s="64">
        <v>792924</v>
      </c>
      <c r="W48" s="64">
        <v>597140</v>
      </c>
      <c r="X48" s="64">
        <v>656854</v>
      </c>
      <c r="Y48" s="64">
        <v>123700</v>
      </c>
      <c r="Z48" s="64">
        <v>136070</v>
      </c>
      <c r="AA48" s="61">
        <v>44532</v>
      </c>
      <c r="AB48" s="61">
        <v>44540</v>
      </c>
      <c r="AC48" s="61">
        <v>44540</v>
      </c>
      <c r="AD48" s="60">
        <v>0</v>
      </c>
      <c r="AG48" s="60">
        <v>0</v>
      </c>
      <c r="AJ48" s="60">
        <v>0</v>
      </c>
      <c r="AM48" s="60" t="s">
        <v>273</v>
      </c>
      <c r="AN48" s="60" t="s">
        <v>611</v>
      </c>
      <c r="AQ48" s="60" t="s">
        <v>940</v>
      </c>
      <c r="AR48" s="61">
        <v>44525</v>
      </c>
      <c r="AS48" s="60">
        <v>6001962042</v>
      </c>
      <c r="AT48" s="61">
        <v>44525</v>
      </c>
      <c r="AU48" s="60" t="s">
        <v>941</v>
      </c>
      <c r="AV48" s="61">
        <v>44540</v>
      </c>
      <c r="AW48" s="91">
        <v>44561</v>
      </c>
      <c r="AX48" s="91">
        <v>44581</v>
      </c>
      <c r="AY48" s="99">
        <v>692006</v>
      </c>
      <c r="AZ48" s="99">
        <v>761207</v>
      </c>
      <c r="BA48" s="60" t="s">
        <v>314</v>
      </c>
      <c r="BB48" s="64">
        <v>352000</v>
      </c>
      <c r="BC48" s="64">
        <v>387200</v>
      </c>
      <c r="BD48" s="60" t="s">
        <v>184</v>
      </c>
      <c r="BG48" s="64">
        <v>0</v>
      </c>
      <c r="BI48" s="60" t="s">
        <v>748</v>
      </c>
      <c r="BJ48" s="64">
        <v>80405</v>
      </c>
      <c r="BK48" s="64">
        <v>88445.5</v>
      </c>
      <c r="BL48" s="60" t="s">
        <v>184</v>
      </c>
      <c r="BS48" s="64">
        <v>0</v>
      </c>
      <c r="BV48" s="65">
        <v>656854</v>
      </c>
      <c r="BW48" s="65">
        <v>475645.5</v>
      </c>
      <c r="BX48" s="65">
        <v>0</v>
      </c>
      <c r="BY48" s="65">
        <v>44498</v>
      </c>
      <c r="BZ48" s="81">
        <v>27.587332953746191</v>
      </c>
    </row>
    <row r="49" spans="1:89" x14ac:dyDescent="0.15">
      <c r="A49" s="60">
        <v>2</v>
      </c>
      <c r="B49" s="61">
        <v>44602</v>
      </c>
      <c r="C49" s="61">
        <v>44620</v>
      </c>
      <c r="D49" s="61">
        <v>44624</v>
      </c>
      <c r="E49" s="61">
        <v>44637</v>
      </c>
      <c r="F49" s="61" t="s">
        <v>309</v>
      </c>
      <c r="G49" s="61">
        <v>44613</v>
      </c>
      <c r="H49" s="61" t="s">
        <v>309</v>
      </c>
      <c r="I49" s="60" t="s">
        <v>612</v>
      </c>
      <c r="J49" s="60">
        <v>2</v>
      </c>
      <c r="L49" s="60">
        <v>0</v>
      </c>
      <c r="M49" s="61">
        <v>44481</v>
      </c>
      <c r="O49" s="62" t="s">
        <v>331</v>
      </c>
      <c r="P49" s="60" t="s">
        <v>26</v>
      </c>
      <c r="Q49" s="62" t="s">
        <v>105</v>
      </c>
      <c r="R49" s="62" t="s">
        <v>1923</v>
      </c>
      <c r="S49" s="63" t="s">
        <v>1326</v>
      </c>
      <c r="T49" s="63" t="s">
        <v>656</v>
      </c>
      <c r="U49" s="64">
        <v>49500</v>
      </c>
      <c r="V49" s="64">
        <v>54450</v>
      </c>
      <c r="W49" s="64">
        <v>49500</v>
      </c>
      <c r="X49" s="64">
        <v>54450</v>
      </c>
      <c r="Z49" s="64">
        <v>0</v>
      </c>
      <c r="AA49" s="61">
        <v>44608</v>
      </c>
      <c r="AB49" s="61">
        <v>44608</v>
      </c>
      <c r="AD49" s="60">
        <v>0</v>
      </c>
      <c r="AG49" s="60">
        <v>0</v>
      </c>
      <c r="AJ49" s="60">
        <v>0</v>
      </c>
      <c r="AN49" s="60" t="s">
        <v>309</v>
      </c>
      <c r="AQ49" s="60" t="s">
        <v>593</v>
      </c>
      <c r="AR49" s="61">
        <v>44496</v>
      </c>
      <c r="AS49" s="60">
        <v>6001951161</v>
      </c>
      <c r="AT49" s="61">
        <v>44496</v>
      </c>
      <c r="AU49" s="60" t="s">
        <v>594</v>
      </c>
      <c r="AV49" s="61">
        <v>44620</v>
      </c>
      <c r="AW49" s="91">
        <v>44620</v>
      </c>
      <c r="AX49" s="91">
        <v>44640</v>
      </c>
      <c r="AY49" s="99">
        <v>47520</v>
      </c>
      <c r="AZ49" s="99">
        <f>ROUNDDOWN(AY49+(AY49*MASTER!$A$2/100),0)</f>
        <v>52272</v>
      </c>
      <c r="BA49" s="60" t="s">
        <v>317</v>
      </c>
      <c r="BB49" s="64">
        <v>33000</v>
      </c>
      <c r="BC49" s="64">
        <v>36300</v>
      </c>
      <c r="BD49" s="60" t="s">
        <v>2044</v>
      </c>
      <c r="BG49" s="64">
        <v>0</v>
      </c>
      <c r="BK49" s="64">
        <v>0</v>
      </c>
      <c r="BS49" s="64">
        <v>0</v>
      </c>
      <c r="BV49" s="65">
        <v>54450</v>
      </c>
      <c r="BW49" s="65">
        <v>36300</v>
      </c>
      <c r="BX49" s="65">
        <v>44481</v>
      </c>
      <c r="BY49" s="65">
        <v>18150</v>
      </c>
      <c r="BZ49" s="81">
        <v>33.333333333333329</v>
      </c>
      <c r="CD49" s="63" t="s">
        <v>2283</v>
      </c>
    </row>
    <row r="50" spans="1:89" x14ac:dyDescent="0.15">
      <c r="A50" s="60">
        <v>2</v>
      </c>
      <c r="B50" s="61">
        <v>44494</v>
      </c>
      <c r="C50" s="61">
        <v>44496</v>
      </c>
      <c r="D50" s="61">
        <v>44491</v>
      </c>
      <c r="E50" s="61">
        <v>44491</v>
      </c>
      <c r="F50" s="61" t="s">
        <v>309</v>
      </c>
      <c r="G50" s="61">
        <v>44491</v>
      </c>
      <c r="H50" s="61" t="s">
        <v>309</v>
      </c>
      <c r="I50" s="60" t="s">
        <v>494</v>
      </c>
      <c r="J50" s="60">
        <v>2</v>
      </c>
      <c r="L50" s="60">
        <v>0</v>
      </c>
      <c r="M50" s="61">
        <v>44482</v>
      </c>
      <c r="O50" s="62" t="s">
        <v>331</v>
      </c>
      <c r="P50" s="60" t="s">
        <v>6</v>
      </c>
      <c r="Q50" s="62" t="s">
        <v>105</v>
      </c>
      <c r="R50" s="62" t="s">
        <v>553</v>
      </c>
      <c r="S50" s="63" t="s">
        <v>554</v>
      </c>
      <c r="T50" s="63" t="s">
        <v>364</v>
      </c>
      <c r="U50" s="64">
        <v>51000</v>
      </c>
      <c r="V50" s="64">
        <v>56100</v>
      </c>
      <c r="W50" s="64">
        <v>51000</v>
      </c>
      <c r="X50" s="64">
        <v>56100</v>
      </c>
      <c r="Z50" s="64">
        <v>0</v>
      </c>
      <c r="AA50" s="61">
        <v>44489</v>
      </c>
      <c r="AB50" s="61">
        <v>44489</v>
      </c>
      <c r="AD50" s="60">
        <v>0</v>
      </c>
      <c r="AG50" s="60">
        <v>0</v>
      </c>
      <c r="AJ50" s="60">
        <v>0</v>
      </c>
      <c r="AN50" s="60" t="s">
        <v>309</v>
      </c>
      <c r="AQ50" s="60" t="s">
        <v>541</v>
      </c>
      <c r="AR50" s="61">
        <v>44491</v>
      </c>
      <c r="AS50" s="60">
        <v>6001949524</v>
      </c>
      <c r="AT50" s="61">
        <v>44491</v>
      </c>
      <c r="AU50" s="60" t="s">
        <v>555</v>
      </c>
      <c r="AV50" s="61">
        <v>44496</v>
      </c>
      <c r="AW50" s="91">
        <v>44500</v>
      </c>
      <c r="AX50" s="91">
        <v>44520</v>
      </c>
      <c r="AY50" s="99">
        <v>48960</v>
      </c>
      <c r="AZ50" s="99">
        <f>ROUNDDOWN(AY50+(AY50*MASTER!$A$2/100),0)</f>
        <v>53856</v>
      </c>
      <c r="BA50" s="60" t="s">
        <v>674</v>
      </c>
      <c r="BB50" s="64">
        <v>23480</v>
      </c>
      <c r="BC50" s="64">
        <v>25828</v>
      </c>
      <c r="BD50" s="60" t="s">
        <v>433</v>
      </c>
      <c r="BG50" s="64">
        <v>0</v>
      </c>
      <c r="BK50" s="64">
        <v>0</v>
      </c>
      <c r="BS50" s="64">
        <v>0</v>
      </c>
      <c r="BV50" s="65">
        <v>56100</v>
      </c>
      <c r="BW50" s="65">
        <v>25828</v>
      </c>
      <c r="BX50" s="65">
        <v>44482</v>
      </c>
      <c r="BY50" s="65">
        <v>30272</v>
      </c>
      <c r="BZ50" s="81">
        <v>53.960784313725483</v>
      </c>
    </row>
    <row r="51" spans="1:89" x14ac:dyDescent="0.15">
      <c r="A51" s="60">
        <v>1</v>
      </c>
      <c r="B51" s="61">
        <v>44574</v>
      </c>
      <c r="C51" s="61">
        <v>44575</v>
      </c>
      <c r="F51" s="61" t="s">
        <v>309</v>
      </c>
      <c r="H51" s="61" t="s">
        <v>309</v>
      </c>
      <c r="J51" s="60">
        <v>3</v>
      </c>
      <c r="L51" s="60">
        <v>0</v>
      </c>
      <c r="M51" s="61">
        <v>44482</v>
      </c>
      <c r="O51" s="62" t="s">
        <v>331</v>
      </c>
      <c r="P51" s="60" t="s">
        <v>6</v>
      </c>
      <c r="Q51" s="62" t="s">
        <v>105</v>
      </c>
      <c r="R51" s="62" t="s">
        <v>427</v>
      </c>
      <c r="S51" s="63" t="s">
        <v>426</v>
      </c>
      <c r="T51" s="63" t="s">
        <v>364</v>
      </c>
      <c r="U51" s="64">
        <v>18000</v>
      </c>
      <c r="V51" s="64">
        <v>19800</v>
      </c>
      <c r="W51" s="64">
        <v>0</v>
      </c>
      <c r="X51" s="64">
        <v>0</v>
      </c>
      <c r="Y51" s="64">
        <v>18000</v>
      </c>
      <c r="Z51" s="64">
        <v>19800</v>
      </c>
      <c r="AA51" s="61">
        <v>44449</v>
      </c>
      <c r="AB51" s="61">
        <v>44482</v>
      </c>
      <c r="AD51" s="60">
        <v>0</v>
      </c>
      <c r="AG51" s="60">
        <v>0</v>
      </c>
      <c r="AJ51" s="60">
        <v>0</v>
      </c>
      <c r="AQ51" s="60" t="s">
        <v>1729</v>
      </c>
      <c r="AR51" s="61">
        <v>44573</v>
      </c>
      <c r="AS51" s="60">
        <v>6001979263</v>
      </c>
      <c r="AT51" s="61">
        <v>44574</v>
      </c>
      <c r="AU51" s="60" t="s">
        <v>1751</v>
      </c>
      <c r="AV51" s="61">
        <v>44575</v>
      </c>
      <c r="AW51" s="91">
        <v>44592</v>
      </c>
      <c r="AX51" s="91">
        <v>44612</v>
      </c>
      <c r="AY51" s="99">
        <v>17280</v>
      </c>
      <c r="AZ51" s="99">
        <f>ROUNDDOWN(AY51+(AY51*MASTER!$A$2/100),0)</f>
        <v>19008</v>
      </c>
      <c r="BC51" s="64">
        <v>0</v>
      </c>
      <c r="BG51" s="64">
        <v>0</v>
      </c>
      <c r="BK51" s="64">
        <v>0</v>
      </c>
      <c r="BS51" s="64">
        <v>0</v>
      </c>
      <c r="BV51" s="65">
        <v>0</v>
      </c>
      <c r="BW51" s="65">
        <v>0</v>
      </c>
      <c r="BX51" s="65">
        <v>44482</v>
      </c>
      <c r="BY51" s="65">
        <v>0</v>
      </c>
      <c r="BZ51" s="81" t="s">
        <v>309</v>
      </c>
    </row>
    <row r="52" spans="1:89" s="152" customFormat="1" x14ac:dyDescent="0.15">
      <c r="A52" s="142">
        <v>3</v>
      </c>
      <c r="B52" s="143"/>
      <c r="C52" s="143" t="s">
        <v>309</v>
      </c>
      <c r="D52" s="143"/>
      <c r="E52" s="143"/>
      <c r="F52" s="143" t="s">
        <v>309</v>
      </c>
      <c r="G52" s="143"/>
      <c r="H52" s="143" t="s">
        <v>309</v>
      </c>
      <c r="I52" s="142"/>
      <c r="J52" s="142">
        <v>2</v>
      </c>
      <c r="K52" s="143"/>
      <c r="L52" s="142">
        <v>0</v>
      </c>
      <c r="M52" s="143">
        <v>44482</v>
      </c>
      <c r="N52" s="143"/>
      <c r="O52" s="144" t="s">
        <v>331</v>
      </c>
      <c r="P52" s="142" t="s">
        <v>26</v>
      </c>
      <c r="Q52" s="144" t="s">
        <v>105</v>
      </c>
      <c r="R52" s="144" t="s">
        <v>1282</v>
      </c>
      <c r="S52" s="145" t="s">
        <v>732</v>
      </c>
      <c r="T52" s="145" t="s">
        <v>1283</v>
      </c>
      <c r="U52" s="146">
        <v>97500</v>
      </c>
      <c r="V52" s="146">
        <v>107250</v>
      </c>
      <c r="W52" s="146">
        <v>97500</v>
      </c>
      <c r="X52" s="146">
        <v>107250</v>
      </c>
      <c r="Y52" s="146"/>
      <c r="Z52" s="146">
        <v>0</v>
      </c>
      <c r="AA52" s="143">
        <v>44535</v>
      </c>
      <c r="AB52" s="143">
        <v>44537</v>
      </c>
      <c r="AC52" s="143"/>
      <c r="AD52" s="142">
        <v>0</v>
      </c>
      <c r="AE52" s="142"/>
      <c r="AF52" s="142"/>
      <c r="AG52" s="142">
        <v>0</v>
      </c>
      <c r="AH52" s="142"/>
      <c r="AI52" s="142"/>
      <c r="AJ52" s="142">
        <v>0</v>
      </c>
      <c r="AK52" s="142"/>
      <c r="AL52" s="142"/>
      <c r="AM52" s="142" t="s">
        <v>1284</v>
      </c>
      <c r="AN52" s="142" t="s">
        <v>1285</v>
      </c>
      <c r="AO52" s="143"/>
      <c r="AP52" s="142"/>
      <c r="AQ52" s="142"/>
      <c r="AR52" s="143"/>
      <c r="AS52" s="142"/>
      <c r="AT52" s="143"/>
      <c r="AU52" s="142"/>
      <c r="AV52" s="143"/>
      <c r="AW52" s="147"/>
      <c r="AX52" s="147"/>
      <c r="AY52" s="148">
        <v>93600</v>
      </c>
      <c r="AZ52" s="148">
        <f>ROUNDDOWN(AY52+(AY52*MASTER!$A$2/100),0)</f>
        <v>102960</v>
      </c>
      <c r="BA52" s="142"/>
      <c r="BB52" s="146"/>
      <c r="BC52" s="146">
        <v>0</v>
      </c>
      <c r="BD52" s="142"/>
      <c r="BE52" s="142"/>
      <c r="BF52" s="146"/>
      <c r="BG52" s="146">
        <v>0</v>
      </c>
      <c r="BH52" s="142"/>
      <c r="BI52" s="142"/>
      <c r="BJ52" s="146"/>
      <c r="BK52" s="146">
        <v>0</v>
      </c>
      <c r="BL52" s="142"/>
      <c r="BM52" s="146"/>
      <c r="BN52" s="146"/>
      <c r="BO52" s="146"/>
      <c r="BP52" s="146"/>
      <c r="BQ52" s="146"/>
      <c r="BR52" s="146"/>
      <c r="BS52" s="146">
        <v>0</v>
      </c>
      <c r="BT52" s="149"/>
      <c r="BU52" s="149"/>
      <c r="BV52" s="150">
        <v>107250</v>
      </c>
      <c r="BW52" s="150">
        <v>0</v>
      </c>
      <c r="BX52" s="150">
        <v>44482</v>
      </c>
      <c r="BY52" s="150">
        <v>107250</v>
      </c>
      <c r="BZ52" s="151">
        <v>100</v>
      </c>
      <c r="CA52" s="142"/>
      <c r="CB52" s="142"/>
      <c r="CC52" s="142"/>
      <c r="CD52" s="145" t="s">
        <v>913</v>
      </c>
      <c r="CE52" s="143"/>
      <c r="CF52" s="143"/>
      <c r="CG52" s="143"/>
      <c r="CH52" s="143"/>
      <c r="CI52" s="143"/>
      <c r="CJ52" s="143"/>
      <c r="CK52" s="146"/>
    </row>
    <row r="53" spans="1:89" x14ac:dyDescent="0.15">
      <c r="A53" s="60">
        <v>1</v>
      </c>
      <c r="C53" s="61" t="s">
        <v>309</v>
      </c>
      <c r="F53" s="61" t="s">
        <v>309</v>
      </c>
      <c r="H53" s="61" t="s">
        <v>309</v>
      </c>
      <c r="J53" s="60">
        <v>4</v>
      </c>
      <c r="L53" s="60">
        <v>0</v>
      </c>
      <c r="M53" s="61">
        <v>44482</v>
      </c>
      <c r="O53" s="62" t="s">
        <v>335</v>
      </c>
      <c r="P53" s="60" t="s">
        <v>430</v>
      </c>
      <c r="Q53" s="62" t="s">
        <v>336</v>
      </c>
      <c r="R53" s="62" t="s">
        <v>429</v>
      </c>
      <c r="S53" s="63" t="s">
        <v>431</v>
      </c>
      <c r="T53" s="63" t="s">
        <v>432</v>
      </c>
      <c r="U53" s="64">
        <v>0</v>
      </c>
      <c r="V53" s="64">
        <v>0</v>
      </c>
      <c r="W53" s="64">
        <v>0</v>
      </c>
      <c r="X53" s="64">
        <v>0</v>
      </c>
      <c r="Y53" s="64">
        <v>0</v>
      </c>
      <c r="Z53" s="64">
        <v>0</v>
      </c>
      <c r="AD53" s="60">
        <v>0</v>
      </c>
      <c r="AG53" s="60">
        <v>0</v>
      </c>
      <c r="AJ53" s="60">
        <v>0</v>
      </c>
      <c r="AN53" s="60" t="s">
        <v>309</v>
      </c>
      <c r="AY53" s="99">
        <f>ROUNDDOWN((0.96*U53),0)</f>
        <v>0</v>
      </c>
      <c r="AZ53" s="99">
        <f>ROUNDDOWN(AY53+(AY53*MASTER!$A$2/100),0)</f>
        <v>0</v>
      </c>
      <c r="BA53" s="60" t="s">
        <v>266</v>
      </c>
      <c r="BB53" s="64">
        <v>57500</v>
      </c>
      <c r="BC53" s="64">
        <v>63250</v>
      </c>
      <c r="BD53" s="60" t="s">
        <v>433</v>
      </c>
      <c r="BG53" s="64">
        <v>0</v>
      </c>
      <c r="BK53" s="64">
        <v>0</v>
      </c>
      <c r="BS53" s="64">
        <v>0</v>
      </c>
      <c r="BV53" s="65">
        <v>0</v>
      </c>
      <c r="BW53" s="65">
        <v>63250</v>
      </c>
      <c r="BX53" s="65">
        <v>44482</v>
      </c>
      <c r="BY53" s="65">
        <v>-63250</v>
      </c>
      <c r="BZ53" s="81" t="s">
        <v>309</v>
      </c>
    </row>
    <row r="54" spans="1:89" x14ac:dyDescent="0.15">
      <c r="A54" s="60">
        <v>2</v>
      </c>
      <c r="B54" s="61">
        <v>44502</v>
      </c>
      <c r="C54" s="61">
        <v>44505</v>
      </c>
      <c r="D54" s="61">
        <v>44491</v>
      </c>
      <c r="E54" s="61">
        <v>44491</v>
      </c>
      <c r="F54" s="61" t="s">
        <v>309</v>
      </c>
      <c r="G54" s="61">
        <v>44491</v>
      </c>
      <c r="H54" s="61" t="s">
        <v>309</v>
      </c>
      <c r="I54" s="60" t="s">
        <v>766</v>
      </c>
      <c r="J54" s="60">
        <v>2</v>
      </c>
      <c r="L54" s="60">
        <v>0</v>
      </c>
      <c r="M54" s="61">
        <v>44482</v>
      </c>
      <c r="O54" s="62" t="s">
        <v>331</v>
      </c>
      <c r="P54" s="60" t="s">
        <v>6</v>
      </c>
      <c r="Q54" s="62" t="s">
        <v>105</v>
      </c>
      <c r="R54" s="62" t="s">
        <v>549</v>
      </c>
      <c r="S54" s="63" t="s">
        <v>550</v>
      </c>
      <c r="T54" s="63" t="s">
        <v>364</v>
      </c>
      <c r="U54" s="64">
        <v>35000</v>
      </c>
      <c r="V54" s="64">
        <v>38500</v>
      </c>
      <c r="W54" s="64">
        <v>35000</v>
      </c>
      <c r="X54" s="64">
        <v>38500</v>
      </c>
      <c r="Z54" s="64">
        <v>0</v>
      </c>
      <c r="AA54" s="61">
        <v>44490</v>
      </c>
      <c r="AB54" s="61">
        <v>44490</v>
      </c>
      <c r="AD54" s="60">
        <v>0</v>
      </c>
      <c r="AG54" s="60">
        <v>0</v>
      </c>
      <c r="AJ54" s="60">
        <v>0</v>
      </c>
      <c r="AN54" s="60" t="s">
        <v>309</v>
      </c>
      <c r="AQ54" s="60" t="s">
        <v>639</v>
      </c>
      <c r="AR54" s="61">
        <v>44501</v>
      </c>
      <c r="AS54" s="60">
        <v>6001952452</v>
      </c>
      <c r="AT54" s="61">
        <v>44501</v>
      </c>
      <c r="AU54" s="60" t="s">
        <v>644</v>
      </c>
      <c r="AV54" s="61">
        <v>44505</v>
      </c>
      <c r="AW54" s="91">
        <v>44530</v>
      </c>
      <c r="AX54" s="91">
        <v>44550</v>
      </c>
      <c r="AY54" s="99">
        <v>33600</v>
      </c>
      <c r="AZ54" s="99">
        <f>ROUNDDOWN(AY54+(AY54*MASTER!$A$2/100),0)</f>
        <v>36960</v>
      </c>
      <c r="BA54" s="60" t="s">
        <v>613</v>
      </c>
      <c r="BB54" s="64">
        <v>21000</v>
      </c>
      <c r="BC54" s="64">
        <v>23100</v>
      </c>
      <c r="BD54" s="60" t="s">
        <v>182</v>
      </c>
      <c r="BG54" s="64">
        <v>0</v>
      </c>
      <c r="BK54" s="64">
        <v>0</v>
      </c>
      <c r="BS54" s="64">
        <v>0</v>
      </c>
      <c r="BV54" s="65">
        <v>38500</v>
      </c>
      <c r="BW54" s="65">
        <v>23100</v>
      </c>
      <c r="BX54" s="65">
        <v>44482</v>
      </c>
      <c r="BY54" s="65">
        <v>15400</v>
      </c>
      <c r="BZ54" s="81">
        <v>40</v>
      </c>
    </row>
    <row r="55" spans="1:89" x14ac:dyDescent="0.15">
      <c r="A55" s="60">
        <v>2</v>
      </c>
      <c r="B55" s="61">
        <v>44508</v>
      </c>
      <c r="C55" s="61">
        <v>44508</v>
      </c>
      <c r="D55" s="61">
        <v>44533</v>
      </c>
      <c r="E55" s="61">
        <v>44511</v>
      </c>
      <c r="F55" s="61">
        <v>44515</v>
      </c>
      <c r="G55" s="61">
        <v>44508</v>
      </c>
      <c r="H55" s="61">
        <v>44511</v>
      </c>
      <c r="I55" s="60" t="s">
        <v>612</v>
      </c>
      <c r="J55" s="60">
        <v>1</v>
      </c>
      <c r="L55" s="60">
        <v>0</v>
      </c>
      <c r="M55" s="61">
        <v>44483</v>
      </c>
      <c r="O55" s="62" t="s">
        <v>331</v>
      </c>
      <c r="P55" s="60" t="s">
        <v>26</v>
      </c>
      <c r="Q55" s="62" t="s">
        <v>105</v>
      </c>
      <c r="R55" s="62" t="s">
        <v>720</v>
      </c>
      <c r="S55" s="63" t="s">
        <v>714</v>
      </c>
      <c r="T55" s="63" t="s">
        <v>721</v>
      </c>
      <c r="U55" s="64">
        <v>194500</v>
      </c>
      <c r="V55" s="64">
        <v>213950</v>
      </c>
      <c r="W55" s="64">
        <v>102000</v>
      </c>
      <c r="X55" s="64">
        <v>112200</v>
      </c>
      <c r="Y55" s="64">
        <v>92500</v>
      </c>
      <c r="Z55" s="64">
        <v>101750</v>
      </c>
      <c r="AA55" s="61">
        <v>44507</v>
      </c>
      <c r="AB55" s="61">
        <v>44508</v>
      </c>
      <c r="AC55" s="61">
        <v>44508</v>
      </c>
      <c r="AD55" s="60">
        <v>0</v>
      </c>
      <c r="AG55" s="60">
        <v>0</v>
      </c>
      <c r="AJ55" s="60">
        <v>0</v>
      </c>
      <c r="AM55" s="60" t="s">
        <v>273</v>
      </c>
      <c r="AN55" s="60" t="s">
        <v>722</v>
      </c>
      <c r="AQ55" s="60" t="s">
        <v>678</v>
      </c>
      <c r="AR55" s="61">
        <v>44505</v>
      </c>
      <c r="AS55" s="60">
        <v>6001954510</v>
      </c>
      <c r="AT55" s="61">
        <v>44505</v>
      </c>
      <c r="AU55" s="60" t="s">
        <v>724</v>
      </c>
      <c r="AV55" s="61">
        <v>44508</v>
      </c>
      <c r="AW55" s="91">
        <v>44530</v>
      </c>
      <c r="AX55" s="91">
        <v>44550</v>
      </c>
      <c r="AY55" s="99">
        <v>186720</v>
      </c>
      <c r="AZ55" s="99">
        <f>ROUNDDOWN(AY55+(AY55*MASTER!$A$2/100),0)</f>
        <v>205392</v>
      </c>
      <c r="BA55" s="60" t="s">
        <v>317</v>
      </c>
      <c r="BB55" s="64">
        <v>34000</v>
      </c>
      <c r="BC55" s="64">
        <v>37400</v>
      </c>
      <c r="BD55" s="60" t="s">
        <v>183</v>
      </c>
      <c r="BG55" s="64">
        <v>0</v>
      </c>
      <c r="BI55" s="60" t="s">
        <v>267</v>
      </c>
      <c r="BJ55" s="64">
        <v>60125</v>
      </c>
      <c r="BK55" s="64">
        <v>66137.5</v>
      </c>
      <c r="BL55" s="60" t="s">
        <v>493</v>
      </c>
      <c r="BS55" s="64">
        <v>0</v>
      </c>
      <c r="BV55" s="65">
        <v>112200</v>
      </c>
      <c r="BW55" s="65">
        <v>103537.5</v>
      </c>
      <c r="BX55" s="65">
        <v>44483</v>
      </c>
      <c r="BY55" s="65">
        <v>8662.5</v>
      </c>
      <c r="BZ55" s="81">
        <v>7.7205882352941178</v>
      </c>
    </row>
    <row r="56" spans="1:89" x14ac:dyDescent="0.15">
      <c r="A56" s="60">
        <v>2</v>
      </c>
      <c r="B56" s="61">
        <v>44497</v>
      </c>
      <c r="C56" s="61">
        <v>44497</v>
      </c>
      <c r="D56" s="61" t="s">
        <v>764</v>
      </c>
      <c r="E56" s="61">
        <v>44510</v>
      </c>
      <c r="F56" s="61">
        <v>44504</v>
      </c>
      <c r="G56" s="61">
        <v>44497</v>
      </c>
      <c r="H56" s="61">
        <v>44500</v>
      </c>
      <c r="I56" s="60" t="s">
        <v>612</v>
      </c>
      <c r="J56" s="60">
        <v>1</v>
      </c>
      <c r="L56" s="60">
        <v>0</v>
      </c>
      <c r="M56" s="61">
        <v>44483</v>
      </c>
      <c r="O56" s="62" t="s">
        <v>331</v>
      </c>
      <c r="P56" s="60" t="s">
        <v>26</v>
      </c>
      <c r="Q56" s="62" t="s">
        <v>105</v>
      </c>
      <c r="R56" s="62" t="s">
        <v>596</v>
      </c>
      <c r="S56" s="63" t="s">
        <v>597</v>
      </c>
      <c r="T56" s="63" t="s">
        <v>598</v>
      </c>
      <c r="U56" s="64">
        <v>23900</v>
      </c>
      <c r="V56" s="64">
        <v>26290</v>
      </c>
      <c r="W56" s="64">
        <v>14700</v>
      </c>
      <c r="X56" s="64">
        <v>16170</v>
      </c>
      <c r="Y56" s="64">
        <v>9200</v>
      </c>
      <c r="Z56" s="64">
        <v>10120</v>
      </c>
      <c r="AA56" s="61">
        <v>44496</v>
      </c>
      <c r="AB56" s="61">
        <v>44497</v>
      </c>
      <c r="AC56" s="61">
        <v>44497</v>
      </c>
      <c r="AD56" s="60">
        <v>0</v>
      </c>
      <c r="AG56" s="60">
        <v>0</v>
      </c>
      <c r="AJ56" s="60">
        <v>0</v>
      </c>
      <c r="AM56" s="60" t="s">
        <v>273</v>
      </c>
      <c r="AN56" s="60" t="s">
        <v>599</v>
      </c>
      <c r="AQ56" s="60" t="s">
        <v>581</v>
      </c>
      <c r="AR56" s="61">
        <v>44495</v>
      </c>
      <c r="AS56" s="60">
        <v>6001950584</v>
      </c>
      <c r="AT56" s="61">
        <v>44495</v>
      </c>
      <c r="AU56" s="60" t="s">
        <v>587</v>
      </c>
      <c r="AV56" s="61">
        <v>44497</v>
      </c>
      <c r="AW56" s="91">
        <v>44500</v>
      </c>
      <c r="AX56" s="91">
        <v>44520</v>
      </c>
      <c r="AY56" s="99">
        <v>22944</v>
      </c>
      <c r="AZ56" s="99">
        <f>ROUNDDOWN(AY56+(AY56*MASTER!$A$2/100),0)</f>
        <v>25238</v>
      </c>
      <c r="BA56" s="60" t="s">
        <v>765</v>
      </c>
      <c r="BC56" s="64">
        <v>0</v>
      </c>
      <c r="BG56" s="64">
        <v>0</v>
      </c>
      <c r="BI56" s="60" t="s">
        <v>748</v>
      </c>
      <c r="BJ56" s="64">
        <v>5980</v>
      </c>
      <c r="BK56" s="64">
        <v>6578</v>
      </c>
      <c r="BL56" s="60" t="s">
        <v>182</v>
      </c>
      <c r="BS56" s="64">
        <v>0</v>
      </c>
      <c r="BV56" s="65">
        <v>16170</v>
      </c>
      <c r="BW56" s="65">
        <v>6578</v>
      </c>
      <c r="BX56" s="65">
        <v>44483</v>
      </c>
      <c r="BY56" s="65">
        <v>9592</v>
      </c>
      <c r="BZ56" s="81">
        <v>59.319727891156461</v>
      </c>
    </row>
    <row r="57" spans="1:89" x14ac:dyDescent="0.15">
      <c r="A57" s="60">
        <v>2</v>
      </c>
      <c r="B57" s="61">
        <v>44505</v>
      </c>
      <c r="C57" s="61">
        <v>44511</v>
      </c>
      <c r="D57" s="61" t="s">
        <v>764</v>
      </c>
      <c r="E57" s="61">
        <v>44517</v>
      </c>
      <c r="F57" s="61">
        <v>44518</v>
      </c>
      <c r="G57" s="61">
        <v>44512</v>
      </c>
      <c r="H57" s="61">
        <v>44514</v>
      </c>
      <c r="I57" s="60" t="s">
        <v>612</v>
      </c>
      <c r="J57" s="60">
        <v>1</v>
      </c>
      <c r="L57" s="60">
        <v>0</v>
      </c>
      <c r="M57" s="61">
        <v>44483</v>
      </c>
      <c r="O57" s="62" t="s">
        <v>331</v>
      </c>
      <c r="P57" s="60" t="s">
        <v>26</v>
      </c>
      <c r="Q57" s="62" t="s">
        <v>105</v>
      </c>
      <c r="R57" s="62" t="s">
        <v>500</v>
      </c>
      <c r="S57" s="63" t="s">
        <v>501</v>
      </c>
      <c r="T57" s="63" t="s">
        <v>502</v>
      </c>
      <c r="U57" s="64">
        <v>23900</v>
      </c>
      <c r="V57" s="64">
        <v>26290</v>
      </c>
      <c r="W57" s="64">
        <v>14700</v>
      </c>
      <c r="X57" s="64">
        <v>16170</v>
      </c>
      <c r="Y57" s="64">
        <v>9200</v>
      </c>
      <c r="Z57" s="64">
        <v>10120</v>
      </c>
      <c r="AA57" s="61">
        <v>44509</v>
      </c>
      <c r="AB57" s="61">
        <v>44511</v>
      </c>
      <c r="AC57" s="61">
        <v>44511</v>
      </c>
      <c r="AD57" s="60">
        <v>0</v>
      </c>
      <c r="AG57" s="60">
        <v>0</v>
      </c>
      <c r="AJ57" s="60">
        <v>0</v>
      </c>
      <c r="AM57" s="60" t="s">
        <v>273</v>
      </c>
      <c r="AN57" s="60" t="s">
        <v>503</v>
      </c>
      <c r="AQ57" s="60" t="s">
        <v>505</v>
      </c>
      <c r="AR57" s="61">
        <v>44489</v>
      </c>
      <c r="AS57" s="60">
        <v>6001948535</v>
      </c>
      <c r="AT57" s="61">
        <v>44489</v>
      </c>
      <c r="AU57" s="60" t="s">
        <v>507</v>
      </c>
      <c r="AV57" s="61">
        <v>44511</v>
      </c>
      <c r="AW57" s="91">
        <v>44530</v>
      </c>
      <c r="AX57" s="91">
        <v>44550</v>
      </c>
      <c r="AY57" s="99">
        <v>22944</v>
      </c>
      <c r="AZ57" s="99">
        <f>ROUNDDOWN(AY57+(AY57*MASTER!$A$2/100),0)</f>
        <v>25238</v>
      </c>
      <c r="BA57" s="60" t="s">
        <v>765</v>
      </c>
      <c r="BC57" s="64">
        <v>0</v>
      </c>
      <c r="BG57" s="64">
        <v>0</v>
      </c>
      <c r="BI57" s="60" t="s">
        <v>267</v>
      </c>
      <c r="BJ57" s="64">
        <v>5980</v>
      </c>
      <c r="BK57" s="64">
        <v>6578</v>
      </c>
      <c r="BL57" s="60" t="s">
        <v>493</v>
      </c>
      <c r="BS57" s="64">
        <v>0</v>
      </c>
      <c r="BV57" s="65">
        <v>16170</v>
      </c>
      <c r="BW57" s="65">
        <v>6578</v>
      </c>
      <c r="BX57" s="65">
        <v>44483</v>
      </c>
      <c r="BY57" s="65">
        <v>9592</v>
      </c>
      <c r="BZ57" s="81">
        <v>59.319727891156461</v>
      </c>
    </row>
    <row r="58" spans="1:89" x14ac:dyDescent="0.15">
      <c r="A58" s="60">
        <v>2</v>
      </c>
      <c r="B58" s="61">
        <v>44515</v>
      </c>
      <c r="C58" s="61">
        <v>44522</v>
      </c>
      <c r="D58" s="61" t="s">
        <v>764</v>
      </c>
      <c r="E58" s="61">
        <v>44526</v>
      </c>
      <c r="F58" s="61">
        <v>44529</v>
      </c>
      <c r="G58" s="61">
        <v>44522</v>
      </c>
      <c r="H58" s="61">
        <v>44525</v>
      </c>
      <c r="I58" s="60" t="s">
        <v>612</v>
      </c>
      <c r="J58" s="60">
        <v>1</v>
      </c>
      <c r="L58" s="60">
        <v>0</v>
      </c>
      <c r="M58" s="61">
        <v>44483</v>
      </c>
      <c r="O58" s="62" t="s">
        <v>331</v>
      </c>
      <c r="P58" s="60" t="s">
        <v>26</v>
      </c>
      <c r="Q58" s="62" t="s">
        <v>105</v>
      </c>
      <c r="R58" s="62" t="s">
        <v>822</v>
      </c>
      <c r="S58" s="63" t="s">
        <v>823</v>
      </c>
      <c r="T58" s="63" t="s">
        <v>502</v>
      </c>
      <c r="U58" s="64">
        <v>23900</v>
      </c>
      <c r="V58" s="64">
        <v>26290</v>
      </c>
      <c r="W58" s="64">
        <v>14700</v>
      </c>
      <c r="X58" s="64">
        <v>16170</v>
      </c>
      <c r="Y58" s="64">
        <v>9200</v>
      </c>
      <c r="Z58" s="64">
        <v>10120</v>
      </c>
      <c r="AA58" s="61">
        <v>44521</v>
      </c>
      <c r="AB58" s="61">
        <v>44522</v>
      </c>
      <c r="AC58" s="61">
        <v>44522</v>
      </c>
      <c r="AD58" s="60">
        <v>0</v>
      </c>
      <c r="AG58" s="60">
        <v>0</v>
      </c>
      <c r="AJ58" s="60">
        <v>0</v>
      </c>
      <c r="AM58" s="60" t="s">
        <v>273</v>
      </c>
      <c r="AN58" s="60" t="s">
        <v>824</v>
      </c>
      <c r="AQ58" s="60" t="s">
        <v>546</v>
      </c>
      <c r="AR58" s="61">
        <v>44491</v>
      </c>
      <c r="AS58" s="60">
        <v>6001949524</v>
      </c>
      <c r="AT58" s="61">
        <v>44491</v>
      </c>
      <c r="AU58" s="60" t="s">
        <v>555</v>
      </c>
      <c r="AV58" s="61">
        <v>44522</v>
      </c>
      <c r="AW58" s="91">
        <v>44530</v>
      </c>
      <c r="AX58" s="91">
        <v>44550</v>
      </c>
      <c r="AY58" s="99">
        <v>22944</v>
      </c>
      <c r="AZ58" s="99">
        <f>ROUNDDOWN(AY58+(AY58*MASTER!$A$2/100),0)</f>
        <v>25238</v>
      </c>
      <c r="BA58" s="60" t="s">
        <v>765</v>
      </c>
      <c r="BC58" s="64">
        <v>0</v>
      </c>
      <c r="BG58" s="64">
        <v>0</v>
      </c>
      <c r="BI58" s="60" t="s">
        <v>267</v>
      </c>
      <c r="BJ58" s="64">
        <v>5980</v>
      </c>
      <c r="BK58" s="64">
        <v>6578</v>
      </c>
      <c r="BL58" s="60" t="s">
        <v>493</v>
      </c>
      <c r="BS58" s="64">
        <v>0</v>
      </c>
      <c r="BV58" s="65">
        <v>16170</v>
      </c>
      <c r="BW58" s="65">
        <v>6578</v>
      </c>
      <c r="BX58" s="65">
        <v>44483</v>
      </c>
      <c r="BY58" s="65">
        <v>9592</v>
      </c>
      <c r="BZ58" s="81">
        <v>59.319727891156461</v>
      </c>
    </row>
    <row r="59" spans="1:89" s="152" customFormat="1" x14ac:dyDescent="0.15">
      <c r="A59" s="142">
        <v>3</v>
      </c>
      <c r="B59" s="143"/>
      <c r="C59" s="143" t="s">
        <v>309</v>
      </c>
      <c r="D59" s="143"/>
      <c r="E59" s="143"/>
      <c r="F59" s="143" t="s">
        <v>309</v>
      </c>
      <c r="G59" s="143"/>
      <c r="H59" s="143" t="s">
        <v>309</v>
      </c>
      <c r="I59" s="142"/>
      <c r="J59" s="142">
        <v>1</v>
      </c>
      <c r="K59" s="143"/>
      <c r="L59" s="142">
        <v>0</v>
      </c>
      <c r="M59" s="143">
        <v>44483</v>
      </c>
      <c r="N59" s="143"/>
      <c r="O59" s="144" t="s">
        <v>331</v>
      </c>
      <c r="P59" s="142" t="s">
        <v>26</v>
      </c>
      <c r="Q59" s="144" t="s">
        <v>105</v>
      </c>
      <c r="R59" s="144" t="s">
        <v>924</v>
      </c>
      <c r="S59" s="145" t="s">
        <v>515</v>
      </c>
      <c r="T59" s="145" t="s">
        <v>925</v>
      </c>
      <c r="U59" s="146">
        <v>59200</v>
      </c>
      <c r="V59" s="146">
        <v>65120</v>
      </c>
      <c r="W59" s="146">
        <v>47000</v>
      </c>
      <c r="X59" s="146">
        <v>51700</v>
      </c>
      <c r="Y59" s="146">
        <v>12200</v>
      </c>
      <c r="Z59" s="146">
        <v>13420</v>
      </c>
      <c r="AA59" s="143">
        <v>44536</v>
      </c>
      <c r="AB59" s="143">
        <v>44537</v>
      </c>
      <c r="AC59" s="143"/>
      <c r="AD59" s="142">
        <v>0</v>
      </c>
      <c r="AE59" s="142"/>
      <c r="AF59" s="142"/>
      <c r="AG59" s="142">
        <v>0</v>
      </c>
      <c r="AH59" s="142"/>
      <c r="AI59" s="142"/>
      <c r="AJ59" s="142">
        <v>0</v>
      </c>
      <c r="AK59" s="142"/>
      <c r="AL59" s="142"/>
      <c r="AM59" s="142" t="s">
        <v>273</v>
      </c>
      <c r="AN59" s="142" t="s">
        <v>926</v>
      </c>
      <c r="AO59" s="143"/>
      <c r="AP59" s="142"/>
      <c r="AQ59" s="142"/>
      <c r="AR59" s="143"/>
      <c r="AS59" s="142"/>
      <c r="AT59" s="143"/>
      <c r="AU59" s="142"/>
      <c r="AV59" s="143"/>
      <c r="AW59" s="147"/>
      <c r="AX59" s="147"/>
      <c r="AY59" s="148">
        <v>56832</v>
      </c>
      <c r="AZ59" s="148">
        <f>ROUNDDOWN(AY59+(AY59*MASTER!$A$2/100),0)</f>
        <v>62515</v>
      </c>
      <c r="BA59" s="142"/>
      <c r="BB59" s="146"/>
      <c r="BC59" s="146">
        <v>0</v>
      </c>
      <c r="BD59" s="142"/>
      <c r="BE59" s="142"/>
      <c r="BF59" s="146"/>
      <c r="BG59" s="146">
        <v>0</v>
      </c>
      <c r="BH59" s="142"/>
      <c r="BI59" s="142"/>
      <c r="BJ59" s="146"/>
      <c r="BK59" s="146">
        <v>0</v>
      </c>
      <c r="BL59" s="142"/>
      <c r="BM59" s="146"/>
      <c r="BN59" s="146"/>
      <c r="BO59" s="146"/>
      <c r="BP59" s="146"/>
      <c r="BQ59" s="146"/>
      <c r="BR59" s="146"/>
      <c r="BS59" s="146">
        <v>0</v>
      </c>
      <c r="BT59" s="149"/>
      <c r="BU59" s="149"/>
      <c r="BV59" s="150">
        <v>51700</v>
      </c>
      <c r="BW59" s="150">
        <v>0</v>
      </c>
      <c r="BX59" s="150">
        <v>44483</v>
      </c>
      <c r="BY59" s="150">
        <v>51700</v>
      </c>
      <c r="BZ59" s="151">
        <v>100</v>
      </c>
      <c r="CA59" s="142"/>
      <c r="CB59" s="142"/>
      <c r="CC59" s="142"/>
      <c r="CD59" s="145" t="s">
        <v>927</v>
      </c>
      <c r="CE59" s="143"/>
      <c r="CF59" s="143"/>
      <c r="CG59" s="143"/>
      <c r="CH59" s="143"/>
      <c r="CI59" s="143"/>
      <c r="CJ59" s="143"/>
      <c r="CK59" s="146"/>
    </row>
    <row r="60" spans="1:89" x14ac:dyDescent="0.15">
      <c r="A60" s="60">
        <v>2</v>
      </c>
      <c r="B60" s="61">
        <v>44530</v>
      </c>
      <c r="C60" s="61">
        <v>44532</v>
      </c>
      <c r="D60" s="61">
        <v>44574</v>
      </c>
      <c r="E60" s="61">
        <v>44533</v>
      </c>
      <c r="F60" s="61">
        <v>44540</v>
      </c>
      <c r="G60" s="61">
        <v>44533</v>
      </c>
      <c r="H60" s="61">
        <v>44536</v>
      </c>
      <c r="I60" s="60" t="s">
        <v>511</v>
      </c>
      <c r="J60" s="60">
        <v>1</v>
      </c>
      <c r="L60" s="60">
        <v>0</v>
      </c>
      <c r="M60" s="61">
        <v>44483</v>
      </c>
      <c r="O60" s="62" t="s">
        <v>331</v>
      </c>
      <c r="P60" s="60" t="s">
        <v>26</v>
      </c>
      <c r="Q60" s="62" t="s">
        <v>105</v>
      </c>
      <c r="R60" s="62" t="s">
        <v>1041</v>
      </c>
      <c r="S60" s="63" t="s">
        <v>1042</v>
      </c>
      <c r="T60" s="63" t="s">
        <v>1043</v>
      </c>
      <c r="U60" s="64">
        <v>59200</v>
      </c>
      <c r="V60" s="64">
        <v>65120</v>
      </c>
      <c r="W60" s="64">
        <v>47000</v>
      </c>
      <c r="X60" s="64">
        <v>51700</v>
      </c>
      <c r="Y60" s="64">
        <v>12200</v>
      </c>
      <c r="Z60" s="64">
        <v>13420</v>
      </c>
      <c r="AA60" s="61">
        <v>44528</v>
      </c>
      <c r="AB60" s="61">
        <v>44533</v>
      </c>
      <c r="AC60" s="61">
        <v>44533</v>
      </c>
      <c r="AD60" s="60">
        <v>0</v>
      </c>
      <c r="AG60" s="60">
        <v>0</v>
      </c>
      <c r="AJ60" s="60">
        <v>0</v>
      </c>
      <c r="AM60" s="60" t="s">
        <v>273</v>
      </c>
      <c r="AN60" s="60" t="s">
        <v>1044</v>
      </c>
      <c r="AQ60" s="60" t="s">
        <v>734</v>
      </c>
      <c r="AR60" s="61">
        <v>44508</v>
      </c>
      <c r="AS60" s="60">
        <v>6001955415</v>
      </c>
      <c r="AT60" s="61">
        <v>44508</v>
      </c>
      <c r="AU60" s="60" t="s">
        <v>739</v>
      </c>
      <c r="AV60" s="61">
        <v>44532</v>
      </c>
      <c r="AW60" s="91">
        <v>44561</v>
      </c>
      <c r="AX60" s="91">
        <v>44581</v>
      </c>
      <c r="AY60" s="99">
        <v>56832</v>
      </c>
      <c r="AZ60" s="99">
        <f>ROUNDDOWN(AY60+(AY60*MASTER!$A$2/100),0)</f>
        <v>62515</v>
      </c>
      <c r="BA60" s="60" t="s">
        <v>314</v>
      </c>
      <c r="BB60" s="64">
        <v>78000</v>
      </c>
      <c r="BC60" s="64">
        <v>85800</v>
      </c>
      <c r="BD60" s="60" t="s">
        <v>184</v>
      </c>
      <c r="BG60" s="64">
        <v>0</v>
      </c>
      <c r="BI60" s="60" t="s">
        <v>748</v>
      </c>
      <c r="BJ60" s="64">
        <v>7930</v>
      </c>
      <c r="BK60" s="64">
        <v>8723</v>
      </c>
      <c r="BL60" s="60" t="s">
        <v>184</v>
      </c>
      <c r="BS60" s="64">
        <v>0</v>
      </c>
      <c r="BV60" s="65">
        <v>51700</v>
      </c>
      <c r="BW60" s="65">
        <v>94523</v>
      </c>
      <c r="BX60" s="65">
        <v>44483</v>
      </c>
      <c r="BY60" s="65">
        <v>-42823</v>
      </c>
      <c r="BZ60" s="81">
        <v>-82.829787234042556</v>
      </c>
    </row>
    <row r="61" spans="1:89" x14ac:dyDescent="0.15">
      <c r="A61" s="60">
        <v>1</v>
      </c>
      <c r="B61" s="61">
        <v>44508</v>
      </c>
      <c r="C61" s="61">
        <v>44526</v>
      </c>
      <c r="F61" s="61" t="s">
        <v>309</v>
      </c>
      <c r="H61" s="61" t="s">
        <v>309</v>
      </c>
      <c r="J61" s="60">
        <v>2</v>
      </c>
      <c r="L61" s="60">
        <v>0</v>
      </c>
      <c r="M61" s="61">
        <v>44483</v>
      </c>
      <c r="O61" s="62" t="s">
        <v>331</v>
      </c>
      <c r="P61" s="60" t="s">
        <v>263</v>
      </c>
      <c r="Q61" s="62" t="s">
        <v>105</v>
      </c>
      <c r="R61" s="62" t="s">
        <v>438</v>
      </c>
      <c r="S61" s="63" t="s">
        <v>439</v>
      </c>
      <c r="T61" s="63" t="s">
        <v>437</v>
      </c>
      <c r="U61" s="64">
        <v>3000</v>
      </c>
      <c r="V61" s="64">
        <v>3300</v>
      </c>
      <c r="W61" s="64">
        <v>3000</v>
      </c>
      <c r="X61" s="64">
        <v>3300</v>
      </c>
      <c r="Y61" s="64">
        <v>0</v>
      </c>
      <c r="Z61" s="64">
        <v>0</v>
      </c>
      <c r="AD61" s="60">
        <v>0</v>
      </c>
      <c r="AG61" s="60">
        <v>0</v>
      </c>
      <c r="AJ61" s="60">
        <v>0</v>
      </c>
      <c r="AQ61" s="60" t="s">
        <v>479</v>
      </c>
      <c r="AR61" s="61">
        <v>44487</v>
      </c>
      <c r="AS61" s="60">
        <v>6001947592</v>
      </c>
      <c r="AT61" s="61">
        <v>44488</v>
      </c>
      <c r="AU61" s="60" t="s">
        <v>495</v>
      </c>
      <c r="AV61" s="61">
        <v>44526</v>
      </c>
      <c r="AW61" s="91">
        <v>44530</v>
      </c>
      <c r="AX61" s="91">
        <v>44550</v>
      </c>
      <c r="AY61" s="99">
        <v>2880</v>
      </c>
      <c r="AZ61" s="99">
        <f>ROUNDDOWN(AY61+(AY61*MASTER!$A$2/100),0)</f>
        <v>3168</v>
      </c>
      <c r="BC61" s="64">
        <v>0</v>
      </c>
      <c r="BG61" s="64">
        <v>0</v>
      </c>
      <c r="BK61" s="64">
        <v>0</v>
      </c>
      <c r="BS61" s="64">
        <v>0</v>
      </c>
      <c r="BV61" s="65">
        <v>3300</v>
      </c>
      <c r="BW61" s="65">
        <v>0</v>
      </c>
      <c r="BX61" s="65">
        <v>44483</v>
      </c>
      <c r="BY61" s="65">
        <v>3300</v>
      </c>
      <c r="BZ61" s="81">
        <v>100</v>
      </c>
    </row>
    <row r="62" spans="1:89" s="152" customFormat="1" x14ac:dyDescent="0.15">
      <c r="A62" s="142">
        <v>3</v>
      </c>
      <c r="B62" s="143"/>
      <c r="C62" s="143" t="s">
        <v>309</v>
      </c>
      <c r="D62" s="143"/>
      <c r="E62" s="143"/>
      <c r="F62" s="143" t="s">
        <v>309</v>
      </c>
      <c r="G62" s="143"/>
      <c r="H62" s="143" t="s">
        <v>309</v>
      </c>
      <c r="I62" s="142"/>
      <c r="J62" s="142">
        <v>2</v>
      </c>
      <c r="K62" s="143"/>
      <c r="L62" s="142">
        <v>0</v>
      </c>
      <c r="M62" s="143">
        <v>44483</v>
      </c>
      <c r="N62" s="143"/>
      <c r="O62" s="144" t="s">
        <v>331</v>
      </c>
      <c r="P62" s="142" t="s">
        <v>6</v>
      </c>
      <c r="Q62" s="144" t="s">
        <v>105</v>
      </c>
      <c r="R62" s="144" t="s">
        <v>1355</v>
      </c>
      <c r="S62" s="145" t="s">
        <v>702</v>
      </c>
      <c r="T62" s="145" t="s">
        <v>364</v>
      </c>
      <c r="U62" s="146">
        <v>35000</v>
      </c>
      <c r="V62" s="146">
        <v>38500</v>
      </c>
      <c r="W62" s="146">
        <v>35000</v>
      </c>
      <c r="X62" s="146">
        <v>38500</v>
      </c>
      <c r="Y62" s="146"/>
      <c r="Z62" s="146">
        <v>0</v>
      </c>
      <c r="AA62" s="143"/>
      <c r="AB62" s="143"/>
      <c r="AC62" s="143"/>
      <c r="AD62" s="142">
        <v>0</v>
      </c>
      <c r="AE62" s="142"/>
      <c r="AF62" s="142"/>
      <c r="AG62" s="142">
        <v>0</v>
      </c>
      <c r="AH62" s="142"/>
      <c r="AI62" s="142"/>
      <c r="AJ62" s="142">
        <v>0</v>
      </c>
      <c r="AK62" s="142"/>
      <c r="AL62" s="142"/>
      <c r="AM62" s="142"/>
      <c r="AN62" s="142" t="s">
        <v>309</v>
      </c>
      <c r="AO62" s="143"/>
      <c r="AP62" s="142"/>
      <c r="AQ62" s="142"/>
      <c r="AR62" s="143"/>
      <c r="AS62" s="142"/>
      <c r="AT62" s="143"/>
      <c r="AU62" s="142"/>
      <c r="AV62" s="143"/>
      <c r="AW62" s="147"/>
      <c r="AX62" s="147"/>
      <c r="AY62" s="148">
        <v>33600</v>
      </c>
      <c r="AZ62" s="148">
        <f>ROUNDDOWN(AY62+(AY62*MASTER!$A$2/100),0)</f>
        <v>36960</v>
      </c>
      <c r="BA62" s="142"/>
      <c r="BB62" s="146"/>
      <c r="BC62" s="146">
        <v>0</v>
      </c>
      <c r="BD62" s="142"/>
      <c r="BE62" s="142"/>
      <c r="BF62" s="146"/>
      <c r="BG62" s="146">
        <v>0</v>
      </c>
      <c r="BH62" s="142"/>
      <c r="BI62" s="142"/>
      <c r="BJ62" s="146"/>
      <c r="BK62" s="146">
        <v>0</v>
      </c>
      <c r="BL62" s="142"/>
      <c r="BM62" s="146"/>
      <c r="BN62" s="146"/>
      <c r="BO62" s="146"/>
      <c r="BP62" s="146"/>
      <c r="BQ62" s="146"/>
      <c r="BR62" s="146"/>
      <c r="BS62" s="146">
        <v>0</v>
      </c>
      <c r="BT62" s="149"/>
      <c r="BU62" s="149"/>
      <c r="BV62" s="150">
        <v>38500</v>
      </c>
      <c r="BW62" s="150">
        <v>0</v>
      </c>
      <c r="BX62" s="150">
        <v>44483</v>
      </c>
      <c r="BY62" s="150">
        <v>38500</v>
      </c>
      <c r="BZ62" s="151">
        <v>100</v>
      </c>
      <c r="CA62" s="142"/>
      <c r="CB62" s="142"/>
      <c r="CC62" s="142"/>
      <c r="CD62" s="145" t="s">
        <v>1965</v>
      </c>
      <c r="CE62" s="143"/>
      <c r="CF62" s="143"/>
      <c r="CG62" s="143"/>
      <c r="CH62" s="143"/>
      <c r="CI62" s="143"/>
      <c r="CJ62" s="143"/>
      <c r="CK62" s="146"/>
    </row>
    <row r="63" spans="1:89" x14ac:dyDescent="0.15">
      <c r="A63" s="60">
        <v>1</v>
      </c>
      <c r="B63" s="61">
        <v>44494</v>
      </c>
      <c r="C63" s="61">
        <v>44500</v>
      </c>
      <c r="F63" s="61" t="s">
        <v>309</v>
      </c>
      <c r="H63" s="61" t="s">
        <v>309</v>
      </c>
      <c r="J63" s="60">
        <v>2</v>
      </c>
      <c r="L63" s="60">
        <v>0</v>
      </c>
      <c r="M63" s="61">
        <v>44484</v>
      </c>
      <c r="O63" s="62" t="s">
        <v>331</v>
      </c>
      <c r="P63" s="60" t="s">
        <v>26</v>
      </c>
      <c r="Q63" s="62" t="s">
        <v>105</v>
      </c>
      <c r="R63" s="62" t="s">
        <v>566</v>
      </c>
      <c r="S63" s="63" t="s">
        <v>567</v>
      </c>
      <c r="T63" s="63" t="s">
        <v>568</v>
      </c>
      <c r="U63" s="64">
        <v>37500</v>
      </c>
      <c r="V63" s="64">
        <v>41250</v>
      </c>
      <c r="W63" s="64">
        <v>37500</v>
      </c>
      <c r="X63" s="64">
        <v>41250</v>
      </c>
      <c r="Z63" s="64">
        <v>0</v>
      </c>
      <c r="AD63" s="60">
        <v>0</v>
      </c>
      <c r="AG63" s="60">
        <v>0</v>
      </c>
      <c r="AJ63" s="60">
        <v>0</v>
      </c>
      <c r="AN63" s="60" t="s">
        <v>309</v>
      </c>
      <c r="AQ63" s="60" t="s">
        <v>397</v>
      </c>
      <c r="AR63" s="61">
        <v>44491</v>
      </c>
      <c r="AS63" s="60">
        <v>6001949524</v>
      </c>
      <c r="AT63" s="61">
        <v>44491</v>
      </c>
      <c r="AU63" s="60" t="s">
        <v>555</v>
      </c>
      <c r="AV63" s="61">
        <v>44500</v>
      </c>
      <c r="AW63" s="91">
        <v>44500</v>
      </c>
      <c r="AX63" s="91">
        <v>44520</v>
      </c>
      <c r="AY63" s="107">
        <v>37500</v>
      </c>
      <c r="AZ63" s="107">
        <f>ROUNDDOWN(AY63+(AY63*MASTER!$A$2/100),0)</f>
        <v>41250</v>
      </c>
      <c r="BC63" s="64">
        <v>0</v>
      </c>
      <c r="BG63" s="64">
        <v>0</v>
      </c>
      <c r="BK63" s="64">
        <v>0</v>
      </c>
      <c r="BS63" s="64">
        <v>0</v>
      </c>
      <c r="BV63" s="65">
        <v>41250</v>
      </c>
      <c r="BW63" s="65">
        <v>0</v>
      </c>
      <c r="BX63" s="65">
        <v>44484</v>
      </c>
      <c r="BY63" s="65">
        <v>41250</v>
      </c>
      <c r="BZ63" s="81">
        <v>100</v>
      </c>
    </row>
    <row r="64" spans="1:89" x14ac:dyDescent="0.15">
      <c r="A64" s="60">
        <v>1</v>
      </c>
      <c r="B64" s="61">
        <v>44494</v>
      </c>
      <c r="C64" s="61">
        <v>44500</v>
      </c>
      <c r="F64" s="61" t="s">
        <v>309</v>
      </c>
      <c r="H64" s="61" t="s">
        <v>309</v>
      </c>
      <c r="J64" s="60">
        <v>2</v>
      </c>
      <c r="L64" s="60">
        <v>0</v>
      </c>
      <c r="M64" s="61">
        <v>44484</v>
      </c>
      <c r="O64" s="62" t="s">
        <v>331</v>
      </c>
      <c r="P64" s="60" t="s">
        <v>26</v>
      </c>
      <c r="Q64" s="62" t="s">
        <v>105</v>
      </c>
      <c r="R64" s="62" t="s">
        <v>569</v>
      </c>
      <c r="S64" s="63" t="s">
        <v>426</v>
      </c>
      <c r="T64" s="63" t="s">
        <v>568</v>
      </c>
      <c r="U64" s="64">
        <v>31500</v>
      </c>
      <c r="V64" s="64">
        <v>34650</v>
      </c>
      <c r="W64" s="64">
        <v>31500</v>
      </c>
      <c r="X64" s="64">
        <v>34650</v>
      </c>
      <c r="Z64" s="64">
        <v>0</v>
      </c>
      <c r="AD64" s="60">
        <v>0</v>
      </c>
      <c r="AG64" s="60">
        <v>0</v>
      </c>
      <c r="AJ64" s="60">
        <v>0</v>
      </c>
      <c r="AN64" s="60" t="s">
        <v>309</v>
      </c>
      <c r="AQ64" s="60" t="s">
        <v>544</v>
      </c>
      <c r="AR64" s="61">
        <v>44491</v>
      </c>
      <c r="AS64" s="60">
        <v>6001949524</v>
      </c>
      <c r="AT64" s="61">
        <v>44491</v>
      </c>
      <c r="AU64" s="60" t="s">
        <v>555</v>
      </c>
      <c r="AV64" s="61">
        <v>44500</v>
      </c>
      <c r="AW64" s="91">
        <v>44500</v>
      </c>
      <c r="AX64" s="91">
        <v>44520</v>
      </c>
      <c r="AY64" s="107">
        <v>31500</v>
      </c>
      <c r="AZ64" s="107">
        <f>ROUNDDOWN(AY64+(AY64*MASTER!$A$2/100),0)</f>
        <v>34650</v>
      </c>
      <c r="BC64" s="64">
        <v>0</v>
      </c>
      <c r="BG64" s="64">
        <v>0</v>
      </c>
      <c r="BK64" s="64">
        <v>0</v>
      </c>
      <c r="BS64" s="64">
        <v>0</v>
      </c>
      <c r="BV64" s="65">
        <v>34650</v>
      </c>
      <c r="BW64" s="65">
        <v>0</v>
      </c>
      <c r="BX64" s="65">
        <v>44484</v>
      </c>
      <c r="BY64" s="65">
        <v>34650</v>
      </c>
      <c r="BZ64" s="81">
        <v>100</v>
      </c>
    </row>
    <row r="65" spans="1:82" x14ac:dyDescent="0.15">
      <c r="A65" s="60">
        <v>1</v>
      </c>
      <c r="B65" s="61">
        <v>44494</v>
      </c>
      <c r="C65" s="61">
        <v>44500</v>
      </c>
      <c r="F65" s="61" t="s">
        <v>309</v>
      </c>
      <c r="H65" s="61" t="s">
        <v>309</v>
      </c>
      <c r="J65" s="60">
        <v>2</v>
      </c>
      <c r="L65" s="60">
        <v>0</v>
      </c>
      <c r="M65" s="61">
        <v>44484</v>
      </c>
      <c r="O65" s="62" t="s">
        <v>331</v>
      </c>
      <c r="P65" s="60" t="s">
        <v>26</v>
      </c>
      <c r="Q65" s="62" t="s">
        <v>105</v>
      </c>
      <c r="R65" s="62" t="s">
        <v>570</v>
      </c>
      <c r="S65" s="63" t="s">
        <v>550</v>
      </c>
      <c r="T65" s="63" t="s">
        <v>568</v>
      </c>
      <c r="U65" s="64">
        <v>31500</v>
      </c>
      <c r="V65" s="64">
        <v>34650</v>
      </c>
      <c r="W65" s="64">
        <v>31500</v>
      </c>
      <c r="X65" s="64">
        <v>34650</v>
      </c>
      <c r="Z65" s="64">
        <v>0</v>
      </c>
      <c r="AD65" s="60">
        <v>0</v>
      </c>
      <c r="AG65" s="60">
        <v>0</v>
      </c>
      <c r="AJ65" s="60">
        <v>0</v>
      </c>
      <c r="AN65" s="60" t="s">
        <v>309</v>
      </c>
      <c r="AQ65" s="60" t="s">
        <v>543</v>
      </c>
      <c r="AR65" s="61">
        <v>44491</v>
      </c>
      <c r="AS65" s="60">
        <v>6001949524</v>
      </c>
      <c r="AT65" s="61">
        <v>44491</v>
      </c>
      <c r="AU65" s="60" t="s">
        <v>555</v>
      </c>
      <c r="AV65" s="61">
        <v>44500</v>
      </c>
      <c r="AW65" s="91">
        <v>44500</v>
      </c>
      <c r="AX65" s="91">
        <v>44520</v>
      </c>
      <c r="AY65" s="107">
        <v>31500</v>
      </c>
      <c r="AZ65" s="107">
        <f>ROUNDDOWN(AY65+(AY65*MASTER!$A$2/100),0)</f>
        <v>34650</v>
      </c>
      <c r="BC65" s="64">
        <v>0</v>
      </c>
      <c r="BG65" s="64">
        <v>0</v>
      </c>
      <c r="BK65" s="64">
        <v>0</v>
      </c>
      <c r="BS65" s="64">
        <v>0</v>
      </c>
      <c r="BV65" s="65">
        <v>34650</v>
      </c>
      <c r="BW65" s="65">
        <v>0</v>
      </c>
      <c r="BX65" s="65">
        <v>44484</v>
      </c>
      <c r="BY65" s="65">
        <v>34650</v>
      </c>
      <c r="BZ65" s="81">
        <v>100</v>
      </c>
    </row>
    <row r="66" spans="1:82" x14ac:dyDescent="0.15">
      <c r="A66" s="60">
        <v>1</v>
      </c>
      <c r="B66" s="61">
        <v>44494</v>
      </c>
      <c r="C66" s="61">
        <v>44500</v>
      </c>
      <c r="F66" s="61" t="s">
        <v>309</v>
      </c>
      <c r="H66" s="61" t="s">
        <v>309</v>
      </c>
      <c r="J66" s="60">
        <v>2</v>
      </c>
      <c r="L66" s="60">
        <v>0</v>
      </c>
      <c r="M66" s="61">
        <v>44484</v>
      </c>
      <c r="O66" s="62" t="s">
        <v>331</v>
      </c>
      <c r="P66" s="60" t="s">
        <v>26</v>
      </c>
      <c r="Q66" s="62" t="s">
        <v>105</v>
      </c>
      <c r="R66" s="62" t="s">
        <v>571</v>
      </c>
      <c r="S66" s="63" t="s">
        <v>540</v>
      </c>
      <c r="T66" s="63" t="s">
        <v>568</v>
      </c>
      <c r="U66" s="64">
        <v>37500</v>
      </c>
      <c r="V66" s="64">
        <v>41250</v>
      </c>
      <c r="W66" s="64">
        <v>37500</v>
      </c>
      <c r="X66" s="64">
        <v>41250</v>
      </c>
      <c r="Z66" s="64">
        <v>0</v>
      </c>
      <c r="AD66" s="60">
        <v>0</v>
      </c>
      <c r="AG66" s="60">
        <v>0</v>
      </c>
      <c r="AJ66" s="60">
        <v>0</v>
      </c>
      <c r="AN66" s="60" t="s">
        <v>309</v>
      </c>
      <c r="AQ66" s="60" t="s">
        <v>545</v>
      </c>
      <c r="AR66" s="61">
        <v>44491</v>
      </c>
      <c r="AS66" s="60">
        <v>6001949524</v>
      </c>
      <c r="AT66" s="61">
        <v>44491</v>
      </c>
      <c r="AU66" s="60" t="s">
        <v>555</v>
      </c>
      <c r="AV66" s="61">
        <v>44500</v>
      </c>
      <c r="AW66" s="91">
        <v>44500</v>
      </c>
      <c r="AX66" s="91">
        <v>44520</v>
      </c>
      <c r="AY66" s="107">
        <v>37500</v>
      </c>
      <c r="AZ66" s="107">
        <f>ROUNDDOWN(AY66+(AY66*MASTER!$A$2/100),0)</f>
        <v>41250</v>
      </c>
      <c r="BC66" s="64">
        <v>0</v>
      </c>
      <c r="BG66" s="64">
        <v>0</v>
      </c>
      <c r="BK66" s="64">
        <v>0</v>
      </c>
      <c r="BS66" s="64">
        <v>0</v>
      </c>
      <c r="BV66" s="65">
        <v>41250</v>
      </c>
      <c r="BW66" s="65">
        <v>0</v>
      </c>
      <c r="BX66" s="65">
        <v>44484</v>
      </c>
      <c r="BY66" s="65">
        <v>41250</v>
      </c>
      <c r="BZ66" s="81">
        <v>100</v>
      </c>
    </row>
    <row r="67" spans="1:82" x14ac:dyDescent="0.15">
      <c r="A67" s="60">
        <v>1</v>
      </c>
      <c r="B67" s="61">
        <v>44494</v>
      </c>
      <c r="C67" s="61">
        <v>44500</v>
      </c>
      <c r="F67" s="61" t="s">
        <v>309</v>
      </c>
      <c r="H67" s="61" t="s">
        <v>309</v>
      </c>
      <c r="J67" s="60">
        <v>2</v>
      </c>
      <c r="L67" s="60">
        <v>0</v>
      </c>
      <c r="M67" s="61">
        <v>44484</v>
      </c>
      <c r="O67" s="62" t="s">
        <v>331</v>
      </c>
      <c r="P67" s="60" t="s">
        <v>26</v>
      </c>
      <c r="Q67" s="62" t="s">
        <v>105</v>
      </c>
      <c r="R67" s="62" t="s">
        <v>572</v>
      </c>
      <c r="S67" s="63" t="s">
        <v>391</v>
      </c>
      <c r="T67" s="63" t="s">
        <v>568</v>
      </c>
      <c r="U67" s="64">
        <v>42500</v>
      </c>
      <c r="V67" s="64">
        <v>46750</v>
      </c>
      <c r="W67" s="64">
        <v>42500</v>
      </c>
      <c r="X67" s="64">
        <v>46750</v>
      </c>
      <c r="Z67" s="64">
        <v>0</v>
      </c>
      <c r="AD67" s="60">
        <v>0</v>
      </c>
      <c r="AG67" s="60">
        <v>0</v>
      </c>
      <c r="AJ67" s="60">
        <v>0</v>
      </c>
      <c r="AN67" s="60" t="s">
        <v>309</v>
      </c>
      <c r="AQ67" s="60" t="s">
        <v>375</v>
      </c>
      <c r="AR67" s="61">
        <v>44491</v>
      </c>
      <c r="AS67" s="60">
        <v>6001949524</v>
      </c>
      <c r="AT67" s="61">
        <v>44491</v>
      </c>
      <c r="AU67" s="60" t="s">
        <v>555</v>
      </c>
      <c r="AV67" s="61">
        <v>44500</v>
      </c>
      <c r="AW67" s="91">
        <v>44500</v>
      </c>
      <c r="AX67" s="91">
        <v>44520</v>
      </c>
      <c r="AY67" s="107">
        <v>42500</v>
      </c>
      <c r="AZ67" s="107">
        <f>ROUNDDOWN(AY67+(AY67*MASTER!$A$2/100),0)</f>
        <v>46750</v>
      </c>
      <c r="BC67" s="64">
        <v>0</v>
      </c>
      <c r="BG67" s="64">
        <v>0</v>
      </c>
      <c r="BK67" s="64">
        <v>0</v>
      </c>
      <c r="BS67" s="64">
        <v>0</v>
      </c>
      <c r="BV67" s="65">
        <v>46750</v>
      </c>
      <c r="BW67" s="65">
        <v>0</v>
      </c>
      <c r="BX67" s="65">
        <v>44484</v>
      </c>
      <c r="BY67" s="65">
        <v>46750</v>
      </c>
      <c r="BZ67" s="81">
        <v>100</v>
      </c>
    </row>
    <row r="68" spans="1:82" x14ac:dyDescent="0.15">
      <c r="A68" s="60">
        <v>1</v>
      </c>
      <c r="B68" s="61">
        <v>44494</v>
      </c>
      <c r="C68" s="61">
        <v>44500</v>
      </c>
      <c r="F68" s="61" t="s">
        <v>309</v>
      </c>
      <c r="H68" s="61" t="s">
        <v>309</v>
      </c>
      <c r="J68" s="60">
        <v>2</v>
      </c>
      <c r="L68" s="60">
        <v>0</v>
      </c>
      <c r="M68" s="61">
        <v>44484</v>
      </c>
      <c r="O68" s="62" t="s">
        <v>331</v>
      </c>
      <c r="P68" s="60" t="s">
        <v>26</v>
      </c>
      <c r="Q68" s="62" t="s">
        <v>105</v>
      </c>
      <c r="R68" s="62" t="s">
        <v>573</v>
      </c>
      <c r="S68" s="63" t="s">
        <v>574</v>
      </c>
      <c r="T68" s="63" t="s">
        <v>568</v>
      </c>
      <c r="U68" s="64">
        <v>37500</v>
      </c>
      <c r="V68" s="64">
        <v>41250</v>
      </c>
      <c r="W68" s="64">
        <v>37500</v>
      </c>
      <c r="X68" s="64">
        <v>41250</v>
      </c>
      <c r="Z68" s="64">
        <v>0</v>
      </c>
      <c r="AD68" s="60">
        <v>0</v>
      </c>
      <c r="AG68" s="60">
        <v>0</v>
      </c>
      <c r="AJ68" s="60">
        <v>0</v>
      </c>
      <c r="AN68" s="60" t="s">
        <v>309</v>
      </c>
      <c r="AQ68" s="60" t="s">
        <v>542</v>
      </c>
      <c r="AR68" s="61">
        <v>44491</v>
      </c>
      <c r="AS68" s="60">
        <v>6001949524</v>
      </c>
      <c r="AT68" s="61">
        <v>44491</v>
      </c>
      <c r="AU68" s="60" t="s">
        <v>555</v>
      </c>
      <c r="AV68" s="61">
        <v>44500</v>
      </c>
      <c r="AW68" s="91">
        <v>44500</v>
      </c>
      <c r="AX68" s="91">
        <v>44520</v>
      </c>
      <c r="AY68" s="107">
        <v>37500</v>
      </c>
      <c r="AZ68" s="107">
        <f>ROUNDDOWN(AY68+(AY68*MASTER!$A$2/100),0)</f>
        <v>41250</v>
      </c>
      <c r="BC68" s="64">
        <v>0</v>
      </c>
      <c r="BG68" s="64">
        <v>0</v>
      </c>
      <c r="BK68" s="64">
        <v>0</v>
      </c>
      <c r="BS68" s="64">
        <v>0</v>
      </c>
      <c r="BV68" s="65">
        <v>41250</v>
      </c>
      <c r="BW68" s="65">
        <v>0</v>
      </c>
      <c r="BX68" s="65">
        <v>44484</v>
      </c>
      <c r="BY68" s="65">
        <v>41250</v>
      </c>
      <c r="BZ68" s="81">
        <v>100</v>
      </c>
    </row>
    <row r="69" spans="1:82" x14ac:dyDescent="0.15">
      <c r="A69" s="60">
        <v>1</v>
      </c>
      <c r="B69" s="61">
        <v>44494</v>
      </c>
      <c r="C69" s="61">
        <v>44500</v>
      </c>
      <c r="F69" s="61" t="s">
        <v>309</v>
      </c>
      <c r="H69" s="61" t="s">
        <v>309</v>
      </c>
      <c r="J69" s="60">
        <v>2</v>
      </c>
      <c r="L69" s="60">
        <v>0</v>
      </c>
      <c r="M69" s="61">
        <v>44484</v>
      </c>
      <c r="O69" s="62" t="s">
        <v>331</v>
      </c>
      <c r="P69" s="60" t="s">
        <v>26</v>
      </c>
      <c r="Q69" s="62" t="s">
        <v>105</v>
      </c>
      <c r="R69" s="62" t="s">
        <v>575</v>
      </c>
      <c r="S69" s="63" t="s">
        <v>447</v>
      </c>
      <c r="T69" s="63" t="s">
        <v>568</v>
      </c>
      <c r="U69" s="64">
        <v>31500</v>
      </c>
      <c r="V69" s="64">
        <v>34650</v>
      </c>
      <c r="W69" s="64">
        <v>31500</v>
      </c>
      <c r="X69" s="64">
        <v>34650</v>
      </c>
      <c r="Z69" s="64">
        <v>0</v>
      </c>
      <c r="AD69" s="60">
        <v>0</v>
      </c>
      <c r="AG69" s="60">
        <v>0</v>
      </c>
      <c r="AJ69" s="60">
        <v>0</v>
      </c>
      <c r="AN69" s="60" t="s">
        <v>309</v>
      </c>
      <c r="AQ69" s="60" t="s">
        <v>396</v>
      </c>
      <c r="AR69" s="61">
        <v>44491</v>
      </c>
      <c r="AS69" s="60">
        <v>6001949524</v>
      </c>
      <c r="AT69" s="61">
        <v>44491</v>
      </c>
      <c r="AU69" s="60" t="s">
        <v>555</v>
      </c>
      <c r="AV69" s="61">
        <v>44500</v>
      </c>
      <c r="AW69" s="91">
        <v>44500</v>
      </c>
      <c r="AX69" s="91">
        <v>44520</v>
      </c>
      <c r="AY69" s="107">
        <v>31500</v>
      </c>
      <c r="AZ69" s="107">
        <f>ROUNDDOWN(AY69+(AY69*MASTER!$A$2/100),0)</f>
        <v>34650</v>
      </c>
      <c r="BC69" s="64">
        <v>0</v>
      </c>
      <c r="BG69" s="64">
        <v>0</v>
      </c>
      <c r="BK69" s="64">
        <v>0</v>
      </c>
      <c r="BS69" s="64">
        <v>0</v>
      </c>
      <c r="BV69" s="65">
        <v>34650</v>
      </c>
      <c r="BW69" s="65">
        <v>0</v>
      </c>
      <c r="BX69" s="65">
        <v>44484</v>
      </c>
      <c r="BY69" s="65">
        <v>34650</v>
      </c>
      <c r="BZ69" s="81">
        <v>100</v>
      </c>
    </row>
    <row r="70" spans="1:82" x14ac:dyDescent="0.15">
      <c r="A70" s="60">
        <v>1</v>
      </c>
      <c r="B70" s="61">
        <v>44494</v>
      </c>
      <c r="C70" s="61">
        <v>44500</v>
      </c>
      <c r="F70" s="61" t="s">
        <v>309</v>
      </c>
      <c r="H70" s="61" t="s">
        <v>309</v>
      </c>
      <c r="J70" s="60">
        <v>2</v>
      </c>
      <c r="L70" s="60">
        <v>0</v>
      </c>
      <c r="M70" s="61">
        <v>44484</v>
      </c>
      <c r="O70" s="62" t="s">
        <v>331</v>
      </c>
      <c r="P70" s="60" t="s">
        <v>26</v>
      </c>
      <c r="Q70" s="62" t="s">
        <v>105</v>
      </c>
      <c r="R70" s="62" t="s">
        <v>576</v>
      </c>
      <c r="S70" s="63" t="s">
        <v>577</v>
      </c>
      <c r="T70" s="63" t="s">
        <v>568</v>
      </c>
      <c r="U70" s="64">
        <v>31500</v>
      </c>
      <c r="V70" s="64">
        <v>34650</v>
      </c>
      <c r="W70" s="64">
        <v>31500</v>
      </c>
      <c r="X70" s="64">
        <v>34650</v>
      </c>
      <c r="Z70" s="64">
        <v>0</v>
      </c>
      <c r="AD70" s="60">
        <v>0</v>
      </c>
      <c r="AG70" s="60">
        <v>0</v>
      </c>
      <c r="AJ70" s="60">
        <v>0</v>
      </c>
      <c r="AN70" s="60" t="s">
        <v>309</v>
      </c>
      <c r="AQ70" s="60" t="s">
        <v>398</v>
      </c>
      <c r="AR70" s="61">
        <v>44491</v>
      </c>
      <c r="AS70" s="60">
        <v>6001949524</v>
      </c>
      <c r="AT70" s="61">
        <v>44491</v>
      </c>
      <c r="AU70" s="60" t="s">
        <v>555</v>
      </c>
      <c r="AV70" s="61">
        <v>44500</v>
      </c>
      <c r="AW70" s="91">
        <v>44500</v>
      </c>
      <c r="AX70" s="91">
        <v>44520</v>
      </c>
      <c r="AY70" s="107">
        <v>31500</v>
      </c>
      <c r="AZ70" s="107">
        <f>ROUNDDOWN(AY70+(AY70*MASTER!$A$2/100),0)</f>
        <v>34650</v>
      </c>
      <c r="BC70" s="64">
        <v>0</v>
      </c>
      <c r="BG70" s="64">
        <v>0</v>
      </c>
      <c r="BK70" s="64">
        <v>0</v>
      </c>
      <c r="BS70" s="64">
        <v>0</v>
      </c>
      <c r="BV70" s="65">
        <v>34650</v>
      </c>
      <c r="BW70" s="65">
        <v>0</v>
      </c>
      <c r="BX70" s="65">
        <v>44484</v>
      </c>
      <c r="BY70" s="65">
        <v>34650</v>
      </c>
      <c r="BZ70" s="81">
        <v>100</v>
      </c>
    </row>
    <row r="71" spans="1:82" x14ac:dyDescent="0.15">
      <c r="A71" s="60">
        <v>2</v>
      </c>
      <c r="B71" s="61">
        <v>44530</v>
      </c>
      <c r="C71" s="61">
        <v>44537</v>
      </c>
      <c r="D71" s="61">
        <v>44574</v>
      </c>
      <c r="E71" s="61">
        <v>44540</v>
      </c>
      <c r="F71" s="61">
        <v>44544</v>
      </c>
      <c r="G71" s="61">
        <v>44538</v>
      </c>
      <c r="H71" s="61">
        <v>44540</v>
      </c>
      <c r="I71" s="60" t="s">
        <v>511</v>
      </c>
      <c r="J71" s="60">
        <v>1</v>
      </c>
      <c r="K71" s="61">
        <v>44498</v>
      </c>
      <c r="L71" s="60" t="s">
        <v>529</v>
      </c>
      <c r="M71" s="61">
        <v>44484</v>
      </c>
      <c r="O71" s="62" t="s">
        <v>331</v>
      </c>
      <c r="P71" s="60" t="s">
        <v>26</v>
      </c>
      <c r="Q71" s="62" t="s">
        <v>105</v>
      </c>
      <c r="R71" s="62" t="s">
        <v>605</v>
      </c>
      <c r="S71" s="63" t="s">
        <v>606</v>
      </c>
      <c r="T71" s="63" t="s">
        <v>607</v>
      </c>
      <c r="U71" s="64">
        <v>583270</v>
      </c>
      <c r="V71" s="64">
        <v>641597</v>
      </c>
      <c r="W71" s="64">
        <v>484570</v>
      </c>
      <c r="X71" s="64">
        <v>533027</v>
      </c>
      <c r="Y71" s="64">
        <v>98700</v>
      </c>
      <c r="Z71" s="64">
        <v>108570</v>
      </c>
      <c r="AA71" s="61">
        <v>44528</v>
      </c>
      <c r="AB71" s="61">
        <v>44537</v>
      </c>
      <c r="AC71" s="61">
        <v>44537</v>
      </c>
      <c r="AD71" s="60">
        <v>0</v>
      </c>
      <c r="AG71" s="60">
        <v>0</v>
      </c>
      <c r="AJ71" s="60">
        <v>0</v>
      </c>
      <c r="AM71" s="60" t="s">
        <v>273</v>
      </c>
      <c r="AN71" s="60" t="s">
        <v>608</v>
      </c>
      <c r="AQ71" s="60" t="s">
        <v>939</v>
      </c>
      <c r="AR71" s="61">
        <v>44525</v>
      </c>
      <c r="AS71" s="60">
        <v>6001962042</v>
      </c>
      <c r="AT71" s="61">
        <v>44525</v>
      </c>
      <c r="AU71" s="60" t="s">
        <v>941</v>
      </c>
      <c r="AV71" s="61">
        <v>44537</v>
      </c>
      <c r="AW71" s="91">
        <v>44561</v>
      </c>
      <c r="AX71" s="91">
        <v>44581</v>
      </c>
      <c r="AY71" s="99">
        <v>559939</v>
      </c>
      <c r="AZ71" s="99">
        <v>615933</v>
      </c>
      <c r="BA71" s="60" t="s">
        <v>314</v>
      </c>
      <c r="BB71" s="64">
        <v>222000</v>
      </c>
      <c r="BC71" s="64">
        <v>244200</v>
      </c>
      <c r="BD71" s="60" t="s">
        <v>184</v>
      </c>
      <c r="BG71" s="64">
        <v>0</v>
      </c>
      <c r="BI71" s="60" t="s">
        <v>748</v>
      </c>
      <c r="BJ71" s="64">
        <v>64155</v>
      </c>
      <c r="BK71" s="64">
        <v>70570.5</v>
      </c>
      <c r="BL71" s="60" t="s">
        <v>184</v>
      </c>
      <c r="BS71" s="64">
        <v>0</v>
      </c>
      <c r="BV71" s="65">
        <v>533027</v>
      </c>
      <c r="BW71" s="65">
        <v>314770.5</v>
      </c>
      <c r="BX71" s="65">
        <v>0</v>
      </c>
      <c r="BY71" s="65">
        <v>44498</v>
      </c>
      <c r="BZ71" s="81">
        <v>40.946612460532016</v>
      </c>
    </row>
    <row r="72" spans="1:82" x14ac:dyDescent="0.15">
      <c r="A72" s="60">
        <v>2</v>
      </c>
      <c r="B72" s="61">
        <v>44536</v>
      </c>
      <c r="C72" s="61">
        <v>44540</v>
      </c>
      <c r="D72" s="61">
        <v>44568</v>
      </c>
      <c r="E72" s="61">
        <v>44550</v>
      </c>
      <c r="F72" s="61">
        <v>44547</v>
      </c>
      <c r="G72" s="61">
        <v>44543</v>
      </c>
      <c r="H72" s="61">
        <v>44543</v>
      </c>
      <c r="I72" s="60" t="s">
        <v>612</v>
      </c>
      <c r="J72" s="60">
        <v>1</v>
      </c>
      <c r="L72" s="60">
        <v>0</v>
      </c>
      <c r="M72" s="61">
        <v>44484</v>
      </c>
      <c r="O72" s="62" t="s">
        <v>331</v>
      </c>
      <c r="P72" s="60" t="s">
        <v>26</v>
      </c>
      <c r="Q72" s="62" t="s">
        <v>105</v>
      </c>
      <c r="R72" s="62" t="s">
        <v>914</v>
      </c>
      <c r="S72" s="63" t="s">
        <v>915</v>
      </c>
      <c r="T72" s="63" t="s">
        <v>916</v>
      </c>
      <c r="U72" s="64">
        <v>604700</v>
      </c>
      <c r="V72" s="64">
        <v>665170</v>
      </c>
      <c r="W72" s="64">
        <v>531000</v>
      </c>
      <c r="X72" s="64">
        <v>584100</v>
      </c>
      <c r="Y72" s="64">
        <v>73700</v>
      </c>
      <c r="Z72" s="64">
        <v>81070</v>
      </c>
      <c r="AA72" s="61">
        <v>44537</v>
      </c>
      <c r="AB72" s="61">
        <v>44540</v>
      </c>
      <c r="AC72" s="61">
        <v>44540</v>
      </c>
      <c r="AD72" s="60">
        <v>0</v>
      </c>
      <c r="AG72" s="60">
        <v>0</v>
      </c>
      <c r="AJ72" s="60">
        <v>0</v>
      </c>
      <c r="AM72" s="60" t="s">
        <v>273</v>
      </c>
      <c r="AN72" s="60" t="s">
        <v>917</v>
      </c>
      <c r="AQ72" s="60" t="s">
        <v>918</v>
      </c>
      <c r="AR72" s="61">
        <v>44522</v>
      </c>
      <c r="AS72" s="60">
        <v>6001960981</v>
      </c>
      <c r="AT72" s="61">
        <v>44524</v>
      </c>
      <c r="AU72" s="60" t="s">
        <v>930</v>
      </c>
      <c r="AV72" s="61">
        <v>44540</v>
      </c>
      <c r="AW72" s="91">
        <v>44561</v>
      </c>
      <c r="AX72" s="91">
        <v>44581</v>
      </c>
      <c r="AY72" s="99">
        <v>580512</v>
      </c>
      <c r="AZ72" s="99">
        <f>ROUNDDOWN(AY72+(AY72*MASTER!$A$2/100),0)</f>
        <v>638563</v>
      </c>
      <c r="BA72" s="60" t="s">
        <v>582</v>
      </c>
      <c r="BB72" s="64">
        <v>322300</v>
      </c>
      <c r="BC72" s="64">
        <v>354530</v>
      </c>
      <c r="BD72" s="60" t="s">
        <v>184</v>
      </c>
      <c r="BG72" s="64">
        <v>0</v>
      </c>
      <c r="BI72" s="60" t="s">
        <v>748</v>
      </c>
      <c r="BJ72" s="64">
        <v>47905</v>
      </c>
      <c r="BK72" s="64">
        <v>52695.5</v>
      </c>
      <c r="BL72" s="60" t="s">
        <v>184</v>
      </c>
      <c r="BS72" s="64">
        <v>0</v>
      </c>
      <c r="BV72" s="65">
        <v>584100</v>
      </c>
      <c r="BW72" s="65">
        <v>407225.5</v>
      </c>
      <c r="BX72" s="65">
        <v>44484</v>
      </c>
      <c r="BY72" s="65">
        <v>176874.5</v>
      </c>
      <c r="BZ72" s="81">
        <v>30.281544256120529</v>
      </c>
    </row>
    <row r="73" spans="1:82" x14ac:dyDescent="0.15">
      <c r="A73" s="60">
        <v>2</v>
      </c>
      <c r="B73" s="61">
        <v>44490</v>
      </c>
      <c r="C73" s="61">
        <v>44498</v>
      </c>
      <c r="D73" s="61">
        <v>44510</v>
      </c>
      <c r="E73" s="61">
        <v>44496</v>
      </c>
      <c r="F73" s="61">
        <v>44503</v>
      </c>
      <c r="G73" s="61">
        <v>44496</v>
      </c>
      <c r="H73" s="61">
        <v>44499</v>
      </c>
      <c r="I73" s="60" t="s">
        <v>511</v>
      </c>
      <c r="J73" s="60">
        <v>1</v>
      </c>
      <c r="L73" s="60">
        <v>0</v>
      </c>
      <c r="M73" s="61">
        <v>44484</v>
      </c>
      <c r="O73" s="62" t="s">
        <v>331</v>
      </c>
      <c r="P73" s="60" t="s">
        <v>26</v>
      </c>
      <c r="Q73" s="62" t="s">
        <v>105</v>
      </c>
      <c r="R73" s="62" t="s">
        <v>448</v>
      </c>
      <c r="S73" s="63" t="s">
        <v>447</v>
      </c>
      <c r="T73" s="63" t="s">
        <v>340</v>
      </c>
      <c r="U73" s="64">
        <v>84000</v>
      </c>
      <c r="V73" s="64">
        <v>92400</v>
      </c>
      <c r="W73" s="64">
        <v>68000</v>
      </c>
      <c r="X73" s="64">
        <v>74800</v>
      </c>
      <c r="Y73" s="64">
        <v>16000</v>
      </c>
      <c r="Z73" s="64">
        <v>17600</v>
      </c>
      <c r="AA73" s="61">
        <v>44495</v>
      </c>
      <c r="AB73" s="61">
        <v>44496</v>
      </c>
      <c r="AC73" s="61">
        <v>44496</v>
      </c>
      <c r="AD73" s="60">
        <v>0</v>
      </c>
      <c r="AG73" s="60">
        <v>0</v>
      </c>
      <c r="AJ73" s="60">
        <v>0</v>
      </c>
      <c r="AQ73" s="60" t="s">
        <v>504</v>
      </c>
      <c r="AR73" s="61">
        <v>44489</v>
      </c>
      <c r="AS73" s="60">
        <v>6001948535</v>
      </c>
      <c r="AT73" s="61">
        <v>44489</v>
      </c>
      <c r="AU73" s="60" t="s">
        <v>507</v>
      </c>
      <c r="AV73" s="61">
        <v>44498</v>
      </c>
      <c r="AW73" s="91">
        <v>44500</v>
      </c>
      <c r="AX73" s="91">
        <v>44520</v>
      </c>
      <c r="AY73" s="99">
        <v>80640</v>
      </c>
      <c r="AZ73" s="99">
        <f>ROUNDDOWN(AY73+(AY73*MASTER!$A$2/100),0)</f>
        <v>88704</v>
      </c>
      <c r="BA73" s="60" t="s">
        <v>314</v>
      </c>
      <c r="BB73" s="64">
        <v>21000</v>
      </c>
      <c r="BC73" s="64">
        <v>23100</v>
      </c>
      <c r="BD73" s="60" t="s">
        <v>182</v>
      </c>
      <c r="BG73" s="64">
        <v>0</v>
      </c>
      <c r="BK73" s="64">
        <v>0</v>
      </c>
      <c r="BS73" s="64">
        <v>0</v>
      </c>
      <c r="BV73" s="65">
        <v>74800</v>
      </c>
      <c r="BW73" s="65">
        <v>23100</v>
      </c>
      <c r="BX73" s="65">
        <v>44484</v>
      </c>
      <c r="BY73" s="65">
        <v>51700</v>
      </c>
      <c r="BZ73" s="81">
        <v>69.117647058823522</v>
      </c>
    </row>
    <row r="74" spans="1:82" x14ac:dyDescent="0.15">
      <c r="A74" s="60">
        <v>2</v>
      </c>
      <c r="B74" s="61">
        <v>44490</v>
      </c>
      <c r="C74" s="61">
        <v>44498</v>
      </c>
      <c r="D74" s="61">
        <v>44510</v>
      </c>
      <c r="E74" s="61">
        <v>44498</v>
      </c>
      <c r="F74" s="61">
        <v>44502</v>
      </c>
      <c r="G74" s="61">
        <v>44494</v>
      </c>
      <c r="H74" s="61">
        <v>44498</v>
      </c>
      <c r="I74" s="60" t="s">
        <v>612</v>
      </c>
      <c r="J74" s="60">
        <v>1</v>
      </c>
      <c r="L74" s="60">
        <v>0</v>
      </c>
      <c r="M74" s="61">
        <v>44487</v>
      </c>
      <c r="O74" s="62" t="s">
        <v>331</v>
      </c>
      <c r="P74" s="60" t="s">
        <v>26</v>
      </c>
      <c r="Q74" s="62" t="s">
        <v>105</v>
      </c>
      <c r="R74" s="62" t="s">
        <v>524</v>
      </c>
      <c r="S74" s="63" t="s">
        <v>449</v>
      </c>
      <c r="T74" s="63" t="s">
        <v>340</v>
      </c>
      <c r="U74" s="64">
        <v>84000</v>
      </c>
      <c r="V74" s="64">
        <v>92400</v>
      </c>
      <c r="W74" s="64">
        <v>68000</v>
      </c>
      <c r="X74" s="64">
        <v>74800</v>
      </c>
      <c r="Y74" s="64">
        <v>16000</v>
      </c>
      <c r="Z74" s="64">
        <v>17600</v>
      </c>
      <c r="AA74" s="61">
        <v>44494</v>
      </c>
      <c r="AB74" s="61">
        <v>44495</v>
      </c>
      <c r="AC74" s="61">
        <v>44495</v>
      </c>
      <c r="AD74" s="60">
        <v>0</v>
      </c>
      <c r="AG74" s="60">
        <v>0</v>
      </c>
      <c r="AJ74" s="60">
        <v>0</v>
      </c>
      <c r="AQ74" s="60" t="s">
        <v>458</v>
      </c>
      <c r="AR74" s="61">
        <v>44489</v>
      </c>
      <c r="AS74" s="60">
        <v>6001948535</v>
      </c>
      <c r="AT74" s="61">
        <v>44489</v>
      </c>
      <c r="AU74" s="60" t="s">
        <v>507</v>
      </c>
      <c r="AV74" s="61">
        <v>44498</v>
      </c>
      <c r="AW74" s="91">
        <v>44500</v>
      </c>
      <c r="AX74" s="91">
        <v>44520</v>
      </c>
      <c r="AY74" s="99">
        <v>80640</v>
      </c>
      <c r="AZ74" s="99">
        <f>ROUNDDOWN(AY74+(AY74*MASTER!$A$2/100),0)</f>
        <v>88704</v>
      </c>
      <c r="BA74" s="60" t="s">
        <v>317</v>
      </c>
      <c r="BB74" s="64">
        <v>27000</v>
      </c>
      <c r="BC74" s="64">
        <v>29700</v>
      </c>
      <c r="BD74" s="60" t="s">
        <v>182</v>
      </c>
      <c r="BG74" s="64">
        <v>0</v>
      </c>
      <c r="BK74" s="64">
        <v>0</v>
      </c>
      <c r="BS74" s="64">
        <v>0</v>
      </c>
      <c r="BV74" s="65">
        <v>74800</v>
      </c>
      <c r="BW74" s="65">
        <v>29700</v>
      </c>
      <c r="BX74" s="65">
        <v>44487</v>
      </c>
      <c r="BY74" s="65">
        <v>45100</v>
      </c>
      <c r="BZ74" s="81">
        <v>60.294117647058819</v>
      </c>
    </row>
    <row r="75" spans="1:82" x14ac:dyDescent="0.15">
      <c r="A75" s="60">
        <v>2</v>
      </c>
      <c r="B75" s="61">
        <v>44490</v>
      </c>
      <c r="C75" s="61">
        <v>44498</v>
      </c>
      <c r="D75" s="61">
        <v>44510</v>
      </c>
      <c r="E75" s="61">
        <v>44498</v>
      </c>
      <c r="F75" s="61">
        <v>44502</v>
      </c>
      <c r="G75" s="61">
        <v>44494</v>
      </c>
      <c r="H75" s="61">
        <v>44498</v>
      </c>
      <c r="I75" s="60" t="s">
        <v>612</v>
      </c>
      <c r="J75" s="60">
        <v>1</v>
      </c>
      <c r="L75" s="60">
        <v>0</v>
      </c>
      <c r="M75" s="61">
        <v>44487</v>
      </c>
      <c r="O75" s="62" t="s">
        <v>331</v>
      </c>
      <c r="P75" s="60" t="s">
        <v>26</v>
      </c>
      <c r="Q75" s="62" t="s">
        <v>105</v>
      </c>
      <c r="R75" s="62" t="s">
        <v>525</v>
      </c>
      <c r="S75" s="63" t="s">
        <v>450</v>
      </c>
      <c r="T75" s="63" t="s">
        <v>340</v>
      </c>
      <c r="U75" s="64">
        <v>84000</v>
      </c>
      <c r="V75" s="64">
        <v>92400</v>
      </c>
      <c r="W75" s="64">
        <v>68000</v>
      </c>
      <c r="X75" s="64">
        <v>74800</v>
      </c>
      <c r="Y75" s="64">
        <v>16000</v>
      </c>
      <c r="Z75" s="64">
        <v>17600</v>
      </c>
      <c r="AA75" s="61">
        <v>44494</v>
      </c>
      <c r="AB75" s="61">
        <v>44495</v>
      </c>
      <c r="AC75" s="61">
        <v>44495</v>
      </c>
      <c r="AD75" s="60">
        <v>0</v>
      </c>
      <c r="AG75" s="60">
        <v>0</v>
      </c>
      <c r="AJ75" s="60">
        <v>0</v>
      </c>
      <c r="AQ75" s="60" t="s">
        <v>458</v>
      </c>
      <c r="AR75" s="61">
        <v>44489</v>
      </c>
      <c r="AS75" s="60">
        <v>6001948535</v>
      </c>
      <c r="AT75" s="61">
        <v>44489</v>
      </c>
      <c r="AU75" s="60" t="s">
        <v>507</v>
      </c>
      <c r="AV75" s="61">
        <v>44498</v>
      </c>
      <c r="AW75" s="91">
        <v>44500</v>
      </c>
      <c r="AX75" s="91">
        <v>44520</v>
      </c>
      <c r="AY75" s="99">
        <v>80640</v>
      </c>
      <c r="AZ75" s="99">
        <f>ROUNDDOWN(AY75+(AY75*MASTER!$A$2/100),0)</f>
        <v>88704</v>
      </c>
      <c r="BA75" s="60" t="s">
        <v>317</v>
      </c>
      <c r="BB75" s="64">
        <v>23000</v>
      </c>
      <c r="BC75" s="64">
        <v>25300</v>
      </c>
      <c r="BD75" s="60" t="s">
        <v>182</v>
      </c>
      <c r="BG75" s="64">
        <v>0</v>
      </c>
      <c r="BK75" s="64">
        <v>0</v>
      </c>
      <c r="BS75" s="64">
        <v>0</v>
      </c>
      <c r="BV75" s="65">
        <v>74800</v>
      </c>
      <c r="BW75" s="65">
        <v>25300</v>
      </c>
      <c r="BX75" s="65">
        <v>44487</v>
      </c>
      <c r="BY75" s="65">
        <v>49500</v>
      </c>
      <c r="BZ75" s="81">
        <v>66.17647058823529</v>
      </c>
    </row>
    <row r="76" spans="1:82" x14ac:dyDescent="0.15">
      <c r="A76" s="60">
        <v>2</v>
      </c>
      <c r="B76" s="61">
        <v>44490</v>
      </c>
      <c r="C76" s="61">
        <v>44498</v>
      </c>
      <c r="D76" s="61">
        <v>44510</v>
      </c>
      <c r="E76" s="61">
        <v>44498</v>
      </c>
      <c r="F76" s="61">
        <v>44502</v>
      </c>
      <c r="G76" s="61">
        <v>44494</v>
      </c>
      <c r="H76" s="61">
        <v>44498</v>
      </c>
      <c r="I76" s="60" t="s">
        <v>612</v>
      </c>
      <c r="J76" s="60">
        <v>1</v>
      </c>
      <c r="L76" s="60">
        <v>0</v>
      </c>
      <c r="M76" s="61">
        <v>44487</v>
      </c>
      <c r="O76" s="62" t="s">
        <v>331</v>
      </c>
      <c r="P76" s="60" t="s">
        <v>26</v>
      </c>
      <c r="Q76" s="62" t="s">
        <v>105</v>
      </c>
      <c r="R76" s="62" t="s">
        <v>526</v>
      </c>
      <c r="S76" s="63" t="s">
        <v>451</v>
      </c>
      <c r="T76" s="63" t="s">
        <v>340</v>
      </c>
      <c r="U76" s="64">
        <v>84000</v>
      </c>
      <c r="V76" s="64">
        <v>92400</v>
      </c>
      <c r="W76" s="64">
        <v>68000</v>
      </c>
      <c r="X76" s="64">
        <v>74800</v>
      </c>
      <c r="Y76" s="64">
        <v>16000</v>
      </c>
      <c r="Z76" s="64">
        <v>17600</v>
      </c>
      <c r="AA76" s="61">
        <v>44494</v>
      </c>
      <c r="AB76" s="61">
        <v>44495</v>
      </c>
      <c r="AC76" s="61">
        <v>44495</v>
      </c>
      <c r="AD76" s="60">
        <v>0</v>
      </c>
      <c r="AG76" s="60">
        <v>0</v>
      </c>
      <c r="AJ76" s="60">
        <v>0</v>
      </c>
      <c r="AQ76" s="60" t="s">
        <v>458</v>
      </c>
      <c r="AR76" s="61">
        <v>44489</v>
      </c>
      <c r="AS76" s="60">
        <v>6001948535</v>
      </c>
      <c r="AT76" s="61">
        <v>44489</v>
      </c>
      <c r="AU76" s="60" t="s">
        <v>507</v>
      </c>
      <c r="AV76" s="61">
        <v>44498</v>
      </c>
      <c r="AW76" s="91">
        <v>44500</v>
      </c>
      <c r="AX76" s="91">
        <v>44520</v>
      </c>
      <c r="AY76" s="99">
        <v>80640</v>
      </c>
      <c r="AZ76" s="99">
        <f>ROUNDDOWN(AY76+(AY76*MASTER!$A$2/100),0)</f>
        <v>88704</v>
      </c>
      <c r="BA76" s="60" t="s">
        <v>317</v>
      </c>
      <c r="BB76" s="64">
        <v>27000</v>
      </c>
      <c r="BC76" s="64">
        <v>29700</v>
      </c>
      <c r="BD76" s="60" t="s">
        <v>182</v>
      </c>
      <c r="BG76" s="64">
        <v>0</v>
      </c>
      <c r="BK76" s="64">
        <v>0</v>
      </c>
      <c r="BS76" s="64">
        <v>0</v>
      </c>
      <c r="BV76" s="65">
        <v>74800</v>
      </c>
      <c r="BW76" s="65">
        <v>29700</v>
      </c>
      <c r="BX76" s="65">
        <v>44487</v>
      </c>
      <c r="BY76" s="65">
        <v>45100</v>
      </c>
      <c r="BZ76" s="81">
        <v>60.294117647058819</v>
      </c>
    </row>
    <row r="77" spans="1:82" x14ac:dyDescent="0.15">
      <c r="A77" s="60">
        <v>2</v>
      </c>
      <c r="B77" s="61">
        <v>44490</v>
      </c>
      <c r="C77" s="61">
        <v>44498</v>
      </c>
      <c r="D77" s="61">
        <v>44510</v>
      </c>
      <c r="E77" s="61">
        <v>44510</v>
      </c>
      <c r="F77" s="61">
        <v>44503</v>
      </c>
      <c r="G77" s="61">
        <v>44496</v>
      </c>
      <c r="H77" s="61">
        <v>44499</v>
      </c>
      <c r="I77" s="60" t="s">
        <v>612</v>
      </c>
      <c r="J77" s="60">
        <v>1</v>
      </c>
      <c r="L77" s="60">
        <v>0</v>
      </c>
      <c r="M77" s="61">
        <v>44487</v>
      </c>
      <c r="O77" s="62" t="s">
        <v>331</v>
      </c>
      <c r="P77" s="60" t="s">
        <v>26</v>
      </c>
      <c r="Q77" s="62" t="s">
        <v>105</v>
      </c>
      <c r="R77" s="62" t="s">
        <v>527</v>
      </c>
      <c r="S77" s="63" t="s">
        <v>452</v>
      </c>
      <c r="T77" s="63" t="s">
        <v>340</v>
      </c>
      <c r="U77" s="64">
        <v>84000</v>
      </c>
      <c r="V77" s="64">
        <v>92400</v>
      </c>
      <c r="W77" s="64">
        <v>68000</v>
      </c>
      <c r="X77" s="64">
        <v>74800</v>
      </c>
      <c r="Y77" s="64">
        <v>16000</v>
      </c>
      <c r="Z77" s="64">
        <v>17600</v>
      </c>
      <c r="AA77" s="61">
        <v>44495</v>
      </c>
      <c r="AB77" s="61">
        <v>44496</v>
      </c>
      <c r="AC77" s="61">
        <v>44496</v>
      </c>
      <c r="AD77" s="60">
        <v>0</v>
      </c>
      <c r="AG77" s="60">
        <v>0</v>
      </c>
      <c r="AJ77" s="60">
        <v>0</v>
      </c>
      <c r="AQ77" s="60" t="s">
        <v>458</v>
      </c>
      <c r="AR77" s="61">
        <v>44489</v>
      </c>
      <c r="AS77" s="60">
        <v>6001948535</v>
      </c>
      <c r="AT77" s="61">
        <v>44489</v>
      </c>
      <c r="AU77" s="60" t="s">
        <v>507</v>
      </c>
      <c r="AV77" s="61">
        <v>44498</v>
      </c>
      <c r="AW77" s="91">
        <v>44500</v>
      </c>
      <c r="AX77" s="91">
        <v>44520</v>
      </c>
      <c r="AY77" s="99">
        <v>80640</v>
      </c>
      <c r="AZ77" s="99">
        <f>ROUNDDOWN(AY77+(AY77*MASTER!$A$2/100),0)</f>
        <v>88704</v>
      </c>
      <c r="BA77" s="60" t="s">
        <v>317</v>
      </c>
      <c r="BB77" s="64">
        <v>21000</v>
      </c>
      <c r="BC77" s="64">
        <v>23100</v>
      </c>
      <c r="BD77" s="60" t="s">
        <v>182</v>
      </c>
      <c r="BG77" s="64">
        <v>0</v>
      </c>
      <c r="BK77" s="64">
        <v>0</v>
      </c>
      <c r="BS77" s="64">
        <v>0</v>
      </c>
      <c r="BV77" s="65">
        <v>74800</v>
      </c>
      <c r="BW77" s="65">
        <v>23100</v>
      </c>
      <c r="BX77" s="65">
        <v>44487</v>
      </c>
      <c r="BY77" s="65">
        <v>51700</v>
      </c>
      <c r="BZ77" s="81">
        <v>69.117647058823522</v>
      </c>
    </row>
    <row r="78" spans="1:82" x14ac:dyDescent="0.15">
      <c r="A78" s="60">
        <v>2</v>
      </c>
      <c r="B78" s="61">
        <v>44490</v>
      </c>
      <c r="C78" s="61">
        <v>44498</v>
      </c>
      <c r="D78" s="61">
        <v>44510</v>
      </c>
      <c r="E78" s="61">
        <v>44510</v>
      </c>
      <c r="F78" s="61">
        <v>44503</v>
      </c>
      <c r="G78" s="61">
        <v>44496</v>
      </c>
      <c r="H78" s="61">
        <v>44499</v>
      </c>
      <c r="I78" s="60" t="s">
        <v>612</v>
      </c>
      <c r="J78" s="60">
        <v>1</v>
      </c>
      <c r="L78" s="60">
        <v>0</v>
      </c>
      <c r="M78" s="61">
        <v>44487</v>
      </c>
      <c r="O78" s="62" t="s">
        <v>331</v>
      </c>
      <c r="P78" s="60" t="s">
        <v>26</v>
      </c>
      <c r="Q78" s="62" t="s">
        <v>105</v>
      </c>
      <c r="R78" s="62" t="s">
        <v>528</v>
      </c>
      <c r="S78" s="63" t="s">
        <v>453</v>
      </c>
      <c r="T78" s="63" t="s">
        <v>340</v>
      </c>
      <c r="U78" s="64">
        <v>84000</v>
      </c>
      <c r="V78" s="64">
        <v>92400</v>
      </c>
      <c r="W78" s="64">
        <v>68000</v>
      </c>
      <c r="X78" s="64">
        <v>74800</v>
      </c>
      <c r="Y78" s="64">
        <v>16000</v>
      </c>
      <c r="Z78" s="64">
        <v>17600</v>
      </c>
      <c r="AA78" s="61">
        <v>44495</v>
      </c>
      <c r="AB78" s="61">
        <v>44496</v>
      </c>
      <c r="AC78" s="61">
        <v>44496</v>
      </c>
      <c r="AD78" s="60">
        <v>0</v>
      </c>
      <c r="AG78" s="60">
        <v>0</v>
      </c>
      <c r="AJ78" s="60">
        <v>0</v>
      </c>
      <c r="AQ78" s="60" t="s">
        <v>458</v>
      </c>
      <c r="AR78" s="61">
        <v>44489</v>
      </c>
      <c r="AS78" s="60">
        <v>6001948535</v>
      </c>
      <c r="AT78" s="61">
        <v>44489</v>
      </c>
      <c r="AU78" s="60" t="s">
        <v>507</v>
      </c>
      <c r="AV78" s="61">
        <v>44498</v>
      </c>
      <c r="AW78" s="91">
        <v>44500</v>
      </c>
      <c r="AX78" s="91">
        <v>44520</v>
      </c>
      <c r="AY78" s="99">
        <v>80640</v>
      </c>
      <c r="AZ78" s="99">
        <f>ROUNDDOWN(AY78+(AY78*MASTER!$A$2/100),0)</f>
        <v>88704</v>
      </c>
      <c r="BA78" s="60" t="s">
        <v>317</v>
      </c>
      <c r="BB78" s="64">
        <v>21000</v>
      </c>
      <c r="BC78" s="64">
        <v>23100</v>
      </c>
      <c r="BD78" s="60" t="s">
        <v>182</v>
      </c>
      <c r="BG78" s="64">
        <v>0</v>
      </c>
      <c r="BK78" s="64">
        <v>0</v>
      </c>
      <c r="BS78" s="64">
        <v>0</v>
      </c>
      <c r="BV78" s="65">
        <v>74800</v>
      </c>
      <c r="BW78" s="65">
        <v>23100</v>
      </c>
      <c r="BX78" s="65">
        <v>44487</v>
      </c>
      <c r="BY78" s="65">
        <v>51700</v>
      </c>
      <c r="BZ78" s="81">
        <v>69.117647058823522</v>
      </c>
    </row>
    <row r="79" spans="1:82" x14ac:dyDescent="0.15">
      <c r="A79" s="60">
        <v>2</v>
      </c>
      <c r="B79" s="61">
        <v>44490</v>
      </c>
      <c r="C79" s="61">
        <v>44498</v>
      </c>
      <c r="D79" s="61">
        <v>44510</v>
      </c>
      <c r="E79" s="61">
        <v>44510</v>
      </c>
      <c r="F79" s="61">
        <v>44503</v>
      </c>
      <c r="G79" s="61">
        <v>44496</v>
      </c>
      <c r="H79" s="61">
        <v>44499</v>
      </c>
      <c r="I79" s="60" t="s">
        <v>612</v>
      </c>
      <c r="J79" s="60">
        <v>1</v>
      </c>
      <c r="K79" s="61">
        <v>44487</v>
      </c>
      <c r="L79" s="60" t="s">
        <v>529</v>
      </c>
      <c r="M79" s="61">
        <v>44487</v>
      </c>
      <c r="O79" s="62" t="s">
        <v>331</v>
      </c>
      <c r="P79" s="60" t="s">
        <v>26</v>
      </c>
      <c r="Q79" s="62" t="s">
        <v>105</v>
      </c>
      <c r="R79" s="62" t="s">
        <v>459</v>
      </c>
      <c r="S79" s="63" t="s">
        <v>460</v>
      </c>
      <c r="T79" s="63" t="s">
        <v>340</v>
      </c>
      <c r="U79" s="64">
        <v>84000</v>
      </c>
      <c r="V79" s="64">
        <v>92400</v>
      </c>
      <c r="W79" s="64">
        <v>68000</v>
      </c>
      <c r="X79" s="64">
        <v>74800</v>
      </c>
      <c r="Y79" s="64">
        <v>16000</v>
      </c>
      <c r="Z79" s="64">
        <v>17600</v>
      </c>
      <c r="AA79" s="61">
        <v>44495</v>
      </c>
      <c r="AB79" s="61">
        <v>44496</v>
      </c>
      <c r="AC79" s="61">
        <v>44496</v>
      </c>
      <c r="AD79" s="60">
        <v>0</v>
      </c>
      <c r="AG79" s="60">
        <v>0</v>
      </c>
      <c r="AJ79" s="60">
        <v>0</v>
      </c>
      <c r="AQ79" s="60" t="s">
        <v>458</v>
      </c>
      <c r="AR79" s="61">
        <v>44489</v>
      </c>
      <c r="AS79" s="60">
        <v>6001948535</v>
      </c>
      <c r="AT79" s="61">
        <v>44489</v>
      </c>
      <c r="AU79" s="60" t="s">
        <v>507</v>
      </c>
      <c r="AV79" s="61">
        <v>44498</v>
      </c>
      <c r="AW79" s="91">
        <v>44500</v>
      </c>
      <c r="AX79" s="91">
        <v>44520</v>
      </c>
      <c r="AY79" s="99">
        <v>80640</v>
      </c>
      <c r="AZ79" s="99">
        <f>ROUNDDOWN(AY79+(AY79*MASTER!$A$2/100),0)</f>
        <v>88704</v>
      </c>
      <c r="BA79" s="60" t="s">
        <v>317</v>
      </c>
      <c r="BB79" s="64">
        <v>21000</v>
      </c>
      <c r="BC79" s="64">
        <v>23100</v>
      </c>
      <c r="BD79" s="60" t="s">
        <v>182</v>
      </c>
      <c r="BG79" s="64">
        <v>0</v>
      </c>
      <c r="BK79" s="64">
        <v>0</v>
      </c>
      <c r="BS79" s="64">
        <v>0</v>
      </c>
      <c r="BV79" s="65">
        <v>74800</v>
      </c>
      <c r="BW79" s="65">
        <v>23100</v>
      </c>
      <c r="BX79" s="65">
        <v>0</v>
      </c>
      <c r="BY79" s="65">
        <v>44487</v>
      </c>
      <c r="BZ79" s="81">
        <v>69.117647058823522</v>
      </c>
      <c r="CD79" s="63" t="s">
        <v>530</v>
      </c>
    </row>
    <row r="80" spans="1:82" x14ac:dyDescent="0.15">
      <c r="A80" s="60">
        <v>2</v>
      </c>
      <c r="B80" s="61">
        <v>44490</v>
      </c>
      <c r="C80" s="61">
        <v>44498</v>
      </c>
      <c r="D80" s="61">
        <v>44510</v>
      </c>
      <c r="E80" s="61">
        <v>44510</v>
      </c>
      <c r="F80" s="61">
        <v>44504</v>
      </c>
      <c r="G80" s="61">
        <v>44496</v>
      </c>
      <c r="H80" s="61">
        <v>44500</v>
      </c>
      <c r="I80" s="60" t="s">
        <v>612</v>
      </c>
      <c r="J80" s="60">
        <v>1</v>
      </c>
      <c r="L80" s="60">
        <v>0</v>
      </c>
      <c r="M80" s="61">
        <v>44487</v>
      </c>
      <c r="O80" s="62" t="s">
        <v>331</v>
      </c>
      <c r="P80" s="60" t="s">
        <v>26</v>
      </c>
      <c r="Q80" s="62" t="s">
        <v>105</v>
      </c>
      <c r="R80" s="62" t="s">
        <v>531</v>
      </c>
      <c r="S80" s="63" t="s">
        <v>454</v>
      </c>
      <c r="T80" s="63" t="s">
        <v>340</v>
      </c>
      <c r="U80" s="64">
        <v>84000</v>
      </c>
      <c r="V80" s="64">
        <v>92400</v>
      </c>
      <c r="W80" s="64">
        <v>68000</v>
      </c>
      <c r="X80" s="64">
        <v>74800</v>
      </c>
      <c r="Y80" s="64">
        <v>16000</v>
      </c>
      <c r="Z80" s="64">
        <v>17600</v>
      </c>
      <c r="AA80" s="61">
        <v>44496</v>
      </c>
      <c r="AB80" s="61">
        <v>44497</v>
      </c>
      <c r="AC80" s="61">
        <v>44497</v>
      </c>
      <c r="AD80" s="60">
        <v>0</v>
      </c>
      <c r="AG80" s="60">
        <v>0</v>
      </c>
      <c r="AJ80" s="60">
        <v>0</v>
      </c>
      <c r="AQ80" s="60" t="s">
        <v>458</v>
      </c>
      <c r="AR80" s="61">
        <v>44489</v>
      </c>
      <c r="AS80" s="60">
        <v>6001948535</v>
      </c>
      <c r="AT80" s="61">
        <v>44489</v>
      </c>
      <c r="AU80" s="60" t="s">
        <v>507</v>
      </c>
      <c r="AV80" s="61">
        <v>44498</v>
      </c>
      <c r="AW80" s="91">
        <v>44500</v>
      </c>
      <c r="AX80" s="91">
        <v>44520</v>
      </c>
      <c r="AY80" s="99">
        <v>80640</v>
      </c>
      <c r="AZ80" s="99">
        <f>ROUNDDOWN(AY80+(AY80*MASTER!$A$2/100),0)</f>
        <v>88704</v>
      </c>
      <c r="BA80" s="60" t="s">
        <v>317</v>
      </c>
      <c r="BB80" s="64">
        <v>22000</v>
      </c>
      <c r="BC80" s="64">
        <v>24200</v>
      </c>
      <c r="BD80" s="60" t="s">
        <v>182</v>
      </c>
      <c r="BG80" s="64">
        <v>0</v>
      </c>
      <c r="BK80" s="64">
        <v>0</v>
      </c>
      <c r="BS80" s="64">
        <v>0</v>
      </c>
      <c r="BV80" s="65">
        <v>74800</v>
      </c>
      <c r="BW80" s="65">
        <v>24200</v>
      </c>
      <c r="BX80" s="65">
        <v>44487</v>
      </c>
      <c r="BY80" s="65">
        <v>50600</v>
      </c>
      <c r="BZ80" s="81">
        <v>67.64705882352942</v>
      </c>
    </row>
    <row r="81" spans="1:82" x14ac:dyDescent="0.15">
      <c r="A81" s="60">
        <v>2</v>
      </c>
      <c r="B81" s="61">
        <v>44490</v>
      </c>
      <c r="C81" s="61">
        <v>44498</v>
      </c>
      <c r="D81" s="61">
        <v>44510</v>
      </c>
      <c r="E81" s="61">
        <v>44510</v>
      </c>
      <c r="F81" s="61">
        <v>44504</v>
      </c>
      <c r="G81" s="61">
        <v>44496</v>
      </c>
      <c r="H81" s="61">
        <v>44500</v>
      </c>
      <c r="I81" s="60" t="s">
        <v>612</v>
      </c>
      <c r="J81" s="60">
        <v>1</v>
      </c>
      <c r="L81" s="60">
        <v>0</v>
      </c>
      <c r="M81" s="61">
        <v>44487</v>
      </c>
      <c r="O81" s="62" t="s">
        <v>331</v>
      </c>
      <c r="P81" s="60" t="s">
        <v>26</v>
      </c>
      <c r="Q81" s="62" t="s">
        <v>105</v>
      </c>
      <c r="R81" s="62" t="s">
        <v>532</v>
      </c>
      <c r="S81" s="63" t="s">
        <v>455</v>
      </c>
      <c r="T81" s="63" t="s">
        <v>340</v>
      </c>
      <c r="U81" s="64">
        <v>84000</v>
      </c>
      <c r="V81" s="64">
        <v>92400</v>
      </c>
      <c r="W81" s="64">
        <v>68000</v>
      </c>
      <c r="X81" s="64">
        <v>74800</v>
      </c>
      <c r="Y81" s="64">
        <v>16000</v>
      </c>
      <c r="Z81" s="64">
        <v>17600</v>
      </c>
      <c r="AA81" s="61">
        <v>44496</v>
      </c>
      <c r="AB81" s="61">
        <v>44497</v>
      </c>
      <c r="AC81" s="61">
        <v>44497</v>
      </c>
      <c r="AD81" s="60">
        <v>0</v>
      </c>
      <c r="AG81" s="60">
        <v>0</v>
      </c>
      <c r="AJ81" s="60">
        <v>0</v>
      </c>
      <c r="AQ81" s="60" t="s">
        <v>458</v>
      </c>
      <c r="AR81" s="61">
        <v>44489</v>
      </c>
      <c r="AS81" s="60">
        <v>6001948535</v>
      </c>
      <c r="AT81" s="61">
        <v>44489</v>
      </c>
      <c r="AU81" s="60" t="s">
        <v>507</v>
      </c>
      <c r="AV81" s="61">
        <v>44498</v>
      </c>
      <c r="AW81" s="91">
        <v>44500</v>
      </c>
      <c r="AX81" s="91">
        <v>44520</v>
      </c>
      <c r="AY81" s="99">
        <v>80640</v>
      </c>
      <c r="AZ81" s="99">
        <f>ROUNDDOWN(AY81+(AY81*MASTER!$A$2/100),0)</f>
        <v>88704</v>
      </c>
      <c r="BA81" s="60" t="s">
        <v>317</v>
      </c>
      <c r="BB81" s="64">
        <v>22000</v>
      </c>
      <c r="BC81" s="64">
        <v>24200</v>
      </c>
      <c r="BD81" s="60" t="s">
        <v>182</v>
      </c>
      <c r="BG81" s="64">
        <v>0</v>
      </c>
      <c r="BK81" s="64">
        <v>0</v>
      </c>
      <c r="BS81" s="64">
        <v>0</v>
      </c>
      <c r="BV81" s="65">
        <v>74800</v>
      </c>
      <c r="BW81" s="65">
        <v>24200</v>
      </c>
      <c r="BX81" s="65">
        <v>44487</v>
      </c>
      <c r="BY81" s="65">
        <v>50600</v>
      </c>
      <c r="BZ81" s="81">
        <v>67.64705882352942</v>
      </c>
    </row>
    <row r="82" spans="1:82" x14ac:dyDescent="0.15">
      <c r="A82" s="60">
        <v>2</v>
      </c>
      <c r="B82" s="61">
        <v>44490</v>
      </c>
      <c r="C82" s="61">
        <v>44498</v>
      </c>
      <c r="D82" s="61">
        <v>44510</v>
      </c>
      <c r="E82" s="61">
        <v>44510</v>
      </c>
      <c r="F82" s="61">
        <v>44504</v>
      </c>
      <c r="G82" s="61">
        <v>44496</v>
      </c>
      <c r="H82" s="61">
        <v>44500</v>
      </c>
      <c r="I82" s="60" t="s">
        <v>612</v>
      </c>
      <c r="J82" s="60">
        <v>1</v>
      </c>
      <c r="L82" s="60">
        <v>0</v>
      </c>
      <c r="M82" s="61">
        <v>44487</v>
      </c>
      <c r="O82" s="62" t="s">
        <v>331</v>
      </c>
      <c r="P82" s="60" t="s">
        <v>26</v>
      </c>
      <c r="Q82" s="62" t="s">
        <v>105</v>
      </c>
      <c r="R82" s="62" t="s">
        <v>533</v>
      </c>
      <c r="S82" s="63" t="s">
        <v>456</v>
      </c>
      <c r="T82" s="63" t="s">
        <v>340</v>
      </c>
      <c r="U82" s="64">
        <v>84000</v>
      </c>
      <c r="V82" s="64">
        <v>92400</v>
      </c>
      <c r="W82" s="64">
        <v>68000</v>
      </c>
      <c r="X82" s="64">
        <v>74800</v>
      </c>
      <c r="Y82" s="64">
        <v>16000</v>
      </c>
      <c r="Z82" s="64">
        <v>17600</v>
      </c>
      <c r="AA82" s="61">
        <v>44496</v>
      </c>
      <c r="AB82" s="61">
        <v>44497</v>
      </c>
      <c r="AC82" s="61">
        <v>44497</v>
      </c>
      <c r="AD82" s="60">
        <v>0</v>
      </c>
      <c r="AG82" s="60">
        <v>0</v>
      </c>
      <c r="AJ82" s="60">
        <v>0</v>
      </c>
      <c r="AQ82" s="60" t="s">
        <v>458</v>
      </c>
      <c r="AR82" s="61">
        <v>44489</v>
      </c>
      <c r="AS82" s="60">
        <v>6001948535</v>
      </c>
      <c r="AT82" s="61">
        <v>44489</v>
      </c>
      <c r="AU82" s="60" t="s">
        <v>507</v>
      </c>
      <c r="AV82" s="61">
        <v>44498</v>
      </c>
      <c r="AW82" s="91">
        <v>44500</v>
      </c>
      <c r="AX82" s="91">
        <v>44520</v>
      </c>
      <c r="AY82" s="99">
        <v>80640</v>
      </c>
      <c r="AZ82" s="99">
        <f>ROUNDDOWN(AY82+(AY82*MASTER!$A$2/100),0)</f>
        <v>88704</v>
      </c>
      <c r="BA82" s="60" t="s">
        <v>317</v>
      </c>
      <c r="BB82" s="64">
        <v>23000</v>
      </c>
      <c r="BC82" s="64">
        <v>25300</v>
      </c>
      <c r="BD82" s="60" t="s">
        <v>182</v>
      </c>
      <c r="BG82" s="64">
        <v>0</v>
      </c>
      <c r="BK82" s="64">
        <v>0</v>
      </c>
      <c r="BS82" s="64">
        <v>0</v>
      </c>
      <c r="BV82" s="65">
        <v>74800</v>
      </c>
      <c r="BW82" s="65">
        <v>25300</v>
      </c>
      <c r="BX82" s="65">
        <v>44487</v>
      </c>
      <c r="BY82" s="65">
        <v>49500</v>
      </c>
      <c r="BZ82" s="81">
        <v>66.17647058823529</v>
      </c>
    </row>
    <row r="83" spans="1:82" x14ac:dyDescent="0.15">
      <c r="A83" s="60">
        <v>2</v>
      </c>
      <c r="B83" s="61">
        <v>44490</v>
      </c>
      <c r="C83" s="61">
        <v>44498</v>
      </c>
      <c r="D83" s="61">
        <v>44510</v>
      </c>
      <c r="E83" s="61">
        <v>44510</v>
      </c>
      <c r="F83" s="61">
        <v>44504</v>
      </c>
      <c r="G83" s="61">
        <v>44496</v>
      </c>
      <c r="H83" s="61">
        <v>44500</v>
      </c>
      <c r="I83" s="60" t="s">
        <v>612</v>
      </c>
      <c r="J83" s="60">
        <v>1</v>
      </c>
      <c r="L83" s="60">
        <v>0</v>
      </c>
      <c r="M83" s="61">
        <v>44487</v>
      </c>
      <c r="O83" s="62" t="s">
        <v>331</v>
      </c>
      <c r="P83" s="60" t="s">
        <v>26</v>
      </c>
      <c r="Q83" s="62" t="s">
        <v>105</v>
      </c>
      <c r="R83" s="62" t="s">
        <v>534</v>
      </c>
      <c r="S83" s="63" t="s">
        <v>457</v>
      </c>
      <c r="T83" s="63" t="s">
        <v>340</v>
      </c>
      <c r="U83" s="64">
        <v>84000</v>
      </c>
      <c r="V83" s="64">
        <v>92400</v>
      </c>
      <c r="W83" s="64">
        <v>68000</v>
      </c>
      <c r="X83" s="64">
        <v>74800</v>
      </c>
      <c r="Y83" s="64">
        <v>16000</v>
      </c>
      <c r="Z83" s="64">
        <v>17600</v>
      </c>
      <c r="AA83" s="61">
        <v>44496</v>
      </c>
      <c r="AB83" s="61">
        <v>44497</v>
      </c>
      <c r="AC83" s="61">
        <v>44497</v>
      </c>
      <c r="AD83" s="60">
        <v>0</v>
      </c>
      <c r="AG83" s="60">
        <v>0</v>
      </c>
      <c r="AJ83" s="60">
        <v>0</v>
      </c>
      <c r="AQ83" s="60" t="s">
        <v>458</v>
      </c>
      <c r="AR83" s="61">
        <v>44489</v>
      </c>
      <c r="AS83" s="60">
        <v>6001948535</v>
      </c>
      <c r="AT83" s="61">
        <v>44489</v>
      </c>
      <c r="AU83" s="60" t="s">
        <v>507</v>
      </c>
      <c r="AV83" s="61">
        <v>44498</v>
      </c>
      <c r="AW83" s="91">
        <v>44500</v>
      </c>
      <c r="AX83" s="91">
        <v>44520</v>
      </c>
      <c r="AY83" s="99">
        <v>80640</v>
      </c>
      <c r="AZ83" s="99">
        <f>ROUNDDOWN(AY83+(AY83*MASTER!$A$2/100),0)</f>
        <v>88704</v>
      </c>
      <c r="BA83" s="60" t="s">
        <v>317</v>
      </c>
      <c r="BB83" s="64">
        <v>22000</v>
      </c>
      <c r="BC83" s="64">
        <v>24200</v>
      </c>
      <c r="BD83" s="60" t="s">
        <v>182</v>
      </c>
      <c r="BG83" s="64">
        <v>0</v>
      </c>
      <c r="BK83" s="64">
        <v>0</v>
      </c>
      <c r="BS83" s="64">
        <v>0</v>
      </c>
      <c r="BV83" s="65">
        <v>74800</v>
      </c>
      <c r="BW83" s="65">
        <v>24200</v>
      </c>
      <c r="BX83" s="65">
        <v>44487</v>
      </c>
      <c r="BY83" s="65">
        <v>50600</v>
      </c>
      <c r="BZ83" s="81">
        <v>67.64705882352942</v>
      </c>
    </row>
    <row r="84" spans="1:82" x14ac:dyDescent="0.15">
      <c r="A84" s="60">
        <v>2</v>
      </c>
      <c r="B84" s="61">
        <v>44501</v>
      </c>
      <c r="C84" s="61">
        <v>44505</v>
      </c>
      <c r="D84" s="61">
        <v>44488</v>
      </c>
      <c r="E84" s="61">
        <v>44488</v>
      </c>
      <c r="F84" s="61" t="s">
        <v>309</v>
      </c>
      <c r="G84" s="61">
        <v>44488</v>
      </c>
      <c r="H84" s="61" t="s">
        <v>309</v>
      </c>
      <c r="I84" s="60" t="s">
        <v>766</v>
      </c>
      <c r="J84" s="60">
        <v>2</v>
      </c>
      <c r="L84" s="60">
        <v>0</v>
      </c>
      <c r="M84" s="61">
        <v>44487</v>
      </c>
      <c r="O84" s="62" t="s">
        <v>331</v>
      </c>
      <c r="P84" s="60" t="s">
        <v>6</v>
      </c>
      <c r="Q84" s="62" t="s">
        <v>105</v>
      </c>
      <c r="R84" s="62" t="s">
        <v>481</v>
      </c>
      <c r="S84" s="63" t="s">
        <v>482</v>
      </c>
      <c r="T84" s="63" t="s">
        <v>364</v>
      </c>
      <c r="U84" s="64">
        <v>35000</v>
      </c>
      <c r="V84" s="64">
        <v>38500</v>
      </c>
      <c r="W84" s="64">
        <v>35000</v>
      </c>
      <c r="X84" s="64">
        <v>38500</v>
      </c>
      <c r="Z84" s="64">
        <v>0</v>
      </c>
      <c r="AA84" s="61">
        <v>44486</v>
      </c>
      <c r="AB84" s="61">
        <v>44486</v>
      </c>
      <c r="AD84" s="60">
        <v>0</v>
      </c>
      <c r="AG84" s="60">
        <v>0</v>
      </c>
      <c r="AJ84" s="60">
        <v>0</v>
      </c>
      <c r="AN84" s="60" t="s">
        <v>309</v>
      </c>
      <c r="AQ84" s="60" t="s">
        <v>591</v>
      </c>
      <c r="AR84" s="61">
        <v>44496</v>
      </c>
      <c r="AS84" s="60">
        <v>6001951161</v>
      </c>
      <c r="AT84" s="61">
        <v>44496</v>
      </c>
      <c r="AU84" s="60" t="s">
        <v>594</v>
      </c>
      <c r="AV84" s="61">
        <v>44505</v>
      </c>
      <c r="AW84" s="91">
        <v>44530</v>
      </c>
      <c r="AX84" s="91">
        <v>44550</v>
      </c>
      <c r="AY84" s="99">
        <v>33600</v>
      </c>
      <c r="AZ84" s="99">
        <f>ROUNDDOWN(AY84+(AY84*MASTER!$A$2/100),0)</f>
        <v>36960</v>
      </c>
      <c r="BA84" s="60" t="s">
        <v>314</v>
      </c>
      <c r="BB84" s="64">
        <v>28000</v>
      </c>
      <c r="BC84" s="64">
        <v>30800</v>
      </c>
      <c r="BD84" s="60" t="s">
        <v>182</v>
      </c>
      <c r="BG84" s="64">
        <v>0</v>
      </c>
      <c r="BK84" s="64">
        <v>0</v>
      </c>
      <c r="BS84" s="64">
        <v>0</v>
      </c>
      <c r="BV84" s="65">
        <v>38500</v>
      </c>
      <c r="BW84" s="65">
        <v>30800</v>
      </c>
      <c r="BX84" s="65">
        <v>44487</v>
      </c>
      <c r="BY84" s="65">
        <v>7700</v>
      </c>
      <c r="BZ84" s="81">
        <v>20</v>
      </c>
    </row>
    <row r="85" spans="1:82" x14ac:dyDescent="0.15">
      <c r="A85" s="60">
        <v>1</v>
      </c>
      <c r="B85" s="61">
        <v>44498</v>
      </c>
      <c r="C85" s="61">
        <v>44510</v>
      </c>
      <c r="F85" s="61" t="s">
        <v>309</v>
      </c>
      <c r="G85" s="61">
        <v>44504</v>
      </c>
      <c r="H85" s="61" t="s">
        <v>309</v>
      </c>
      <c r="J85" s="60">
        <v>2</v>
      </c>
      <c r="L85" s="60">
        <v>0</v>
      </c>
      <c r="M85" s="61">
        <v>44487</v>
      </c>
      <c r="O85" s="62" t="s">
        <v>331</v>
      </c>
      <c r="P85" s="60" t="s">
        <v>6</v>
      </c>
      <c r="Q85" s="62" t="s">
        <v>105</v>
      </c>
      <c r="R85" s="62" t="s">
        <v>578</v>
      </c>
      <c r="S85" s="63" t="s">
        <v>579</v>
      </c>
      <c r="T85" s="63" t="s">
        <v>364</v>
      </c>
      <c r="U85" s="64">
        <v>39000</v>
      </c>
      <c r="V85" s="64">
        <v>42900</v>
      </c>
      <c r="W85" s="64">
        <v>39000</v>
      </c>
      <c r="X85" s="64">
        <v>42900</v>
      </c>
      <c r="Y85" s="64">
        <v>0</v>
      </c>
      <c r="Z85" s="64">
        <v>0</v>
      </c>
      <c r="AA85" s="61">
        <v>44503</v>
      </c>
      <c r="AD85" s="60">
        <v>0</v>
      </c>
      <c r="AG85" s="60">
        <v>0</v>
      </c>
      <c r="AJ85" s="60">
        <v>0</v>
      </c>
      <c r="AN85" s="60" t="s">
        <v>309</v>
      </c>
      <c r="AQ85" s="60" t="s">
        <v>580</v>
      </c>
      <c r="AR85" s="61">
        <v>44494</v>
      </c>
      <c r="AS85" s="60">
        <v>6001950361</v>
      </c>
      <c r="AT85" s="61">
        <v>44495</v>
      </c>
      <c r="AU85" s="60" t="s">
        <v>586</v>
      </c>
      <c r="AV85" s="61">
        <v>44510</v>
      </c>
      <c r="AW85" s="91">
        <v>44500</v>
      </c>
      <c r="AX85" s="91">
        <v>44520</v>
      </c>
      <c r="AY85" s="99">
        <v>37440</v>
      </c>
      <c r="AZ85" s="99">
        <f>ROUNDDOWN(AY85+(AY85*MASTER!$A$2/100),0)</f>
        <v>41184</v>
      </c>
      <c r="BC85" s="64">
        <v>0</v>
      </c>
      <c r="BG85" s="64">
        <v>0</v>
      </c>
      <c r="BK85" s="64">
        <v>0</v>
      </c>
      <c r="BS85" s="64">
        <v>0</v>
      </c>
      <c r="BV85" s="65">
        <v>42900</v>
      </c>
      <c r="BW85" s="65">
        <v>0</v>
      </c>
      <c r="BX85" s="65">
        <v>44487</v>
      </c>
      <c r="BY85" s="65">
        <v>42900</v>
      </c>
      <c r="BZ85" s="81">
        <v>100</v>
      </c>
    </row>
    <row r="86" spans="1:82" x14ac:dyDescent="0.15">
      <c r="A86" s="60">
        <v>1</v>
      </c>
      <c r="B86" s="61">
        <v>44525</v>
      </c>
      <c r="C86" s="61">
        <v>44526</v>
      </c>
      <c r="F86" s="61" t="s">
        <v>309</v>
      </c>
      <c r="H86" s="61" t="s">
        <v>309</v>
      </c>
      <c r="J86" s="60">
        <v>3</v>
      </c>
      <c r="L86" s="60">
        <v>0</v>
      </c>
      <c r="M86" s="61">
        <v>44487</v>
      </c>
      <c r="O86" s="62" t="s">
        <v>331</v>
      </c>
      <c r="P86" s="60" t="s">
        <v>6</v>
      </c>
      <c r="Q86" s="62" t="s">
        <v>105</v>
      </c>
      <c r="R86" s="62" t="s">
        <v>461</v>
      </c>
      <c r="S86" s="63" t="s">
        <v>462</v>
      </c>
      <c r="T86" s="63" t="s">
        <v>463</v>
      </c>
      <c r="U86" s="64">
        <v>9000</v>
      </c>
      <c r="V86" s="64">
        <v>9900</v>
      </c>
      <c r="X86" s="64">
        <v>0</v>
      </c>
      <c r="Y86" s="64">
        <v>9000</v>
      </c>
      <c r="Z86" s="64">
        <v>9900</v>
      </c>
      <c r="AD86" s="60">
        <v>0</v>
      </c>
      <c r="AG86" s="60">
        <v>0</v>
      </c>
      <c r="AJ86" s="60">
        <v>0</v>
      </c>
      <c r="AQ86" s="60" t="s">
        <v>803</v>
      </c>
      <c r="AR86" s="61">
        <v>44512</v>
      </c>
      <c r="AS86" s="60">
        <v>6001957224</v>
      </c>
      <c r="AT86" s="61">
        <v>44512</v>
      </c>
      <c r="AU86" s="60" t="s">
        <v>819</v>
      </c>
      <c r="AV86" s="61">
        <v>44526</v>
      </c>
      <c r="AW86" s="91">
        <v>44530</v>
      </c>
      <c r="AX86" s="91">
        <v>44550</v>
      </c>
      <c r="AY86" s="99">
        <v>8640</v>
      </c>
      <c r="AZ86" s="99">
        <f>ROUNDDOWN(AY86+(AY86*MASTER!$A$2/100),0)</f>
        <v>9504</v>
      </c>
      <c r="BC86" s="64">
        <v>0</v>
      </c>
      <c r="BG86" s="64">
        <v>0</v>
      </c>
      <c r="BK86" s="64">
        <v>0</v>
      </c>
      <c r="BS86" s="64">
        <v>0</v>
      </c>
      <c r="BV86" s="65">
        <v>0</v>
      </c>
      <c r="BW86" s="65">
        <v>0</v>
      </c>
      <c r="BX86" s="65">
        <v>44487</v>
      </c>
      <c r="BY86" s="65">
        <v>0</v>
      </c>
      <c r="BZ86" s="81" t="s">
        <v>309</v>
      </c>
    </row>
    <row r="87" spans="1:82" x14ac:dyDescent="0.15">
      <c r="A87" s="60">
        <v>2</v>
      </c>
      <c r="B87" s="61">
        <v>44546</v>
      </c>
      <c r="C87" s="61">
        <v>44536</v>
      </c>
      <c r="D87" s="61">
        <v>44568</v>
      </c>
      <c r="E87" s="61">
        <v>44552</v>
      </c>
      <c r="F87" s="61">
        <v>44557</v>
      </c>
      <c r="G87" s="61">
        <v>44551</v>
      </c>
      <c r="H87" s="61">
        <v>44553</v>
      </c>
      <c r="I87" s="60" t="s">
        <v>612</v>
      </c>
      <c r="J87" s="60">
        <v>1</v>
      </c>
      <c r="L87" s="60">
        <v>0</v>
      </c>
      <c r="M87" s="61">
        <v>44487</v>
      </c>
      <c r="O87" s="62" t="s">
        <v>331</v>
      </c>
      <c r="P87" s="60" t="s">
        <v>26</v>
      </c>
      <c r="Q87" s="62" t="s">
        <v>105</v>
      </c>
      <c r="R87" s="62" t="s">
        <v>466</v>
      </c>
      <c r="S87" s="63" t="s">
        <v>464</v>
      </c>
      <c r="T87" s="63" t="s">
        <v>465</v>
      </c>
      <c r="U87" s="64">
        <v>377785</v>
      </c>
      <c r="V87" s="64">
        <v>415563.5</v>
      </c>
      <c r="W87" s="64">
        <v>310285</v>
      </c>
      <c r="X87" s="64">
        <v>341313.5</v>
      </c>
      <c r="Y87" s="64">
        <v>67500</v>
      </c>
      <c r="Z87" s="64">
        <v>74250</v>
      </c>
      <c r="AA87" s="61">
        <v>44549</v>
      </c>
      <c r="AB87" s="61">
        <v>44550</v>
      </c>
      <c r="AC87" s="61">
        <v>44550</v>
      </c>
      <c r="AD87" s="60">
        <v>0</v>
      </c>
      <c r="AG87" s="60">
        <v>0</v>
      </c>
      <c r="AJ87" s="60">
        <v>0</v>
      </c>
      <c r="AM87" s="60" t="s">
        <v>273</v>
      </c>
      <c r="AN87" s="60" t="s">
        <v>616</v>
      </c>
      <c r="AQ87" s="60" t="s">
        <v>615</v>
      </c>
      <c r="AR87" s="61">
        <v>44498</v>
      </c>
      <c r="AS87" s="60">
        <v>6001952234</v>
      </c>
      <c r="AT87" s="61">
        <v>44498</v>
      </c>
      <c r="AU87" s="60" t="s">
        <v>631</v>
      </c>
      <c r="AV87" s="61">
        <v>44536</v>
      </c>
      <c r="AW87" s="91">
        <v>44561</v>
      </c>
      <c r="AX87" s="91">
        <v>44581</v>
      </c>
      <c r="AY87" s="99">
        <v>362674</v>
      </c>
      <c r="AZ87" s="99">
        <f>ROUNDDOWN(AY87+(AY87*MASTER!$A$2/100),0)</f>
        <v>398941</v>
      </c>
      <c r="BA87" s="60" t="s">
        <v>319</v>
      </c>
      <c r="BB87" s="64">
        <v>90000</v>
      </c>
      <c r="BC87" s="64">
        <v>99000</v>
      </c>
      <c r="BD87" s="60" t="s">
        <v>184</v>
      </c>
      <c r="BG87" s="64">
        <v>0</v>
      </c>
      <c r="BI87" s="60" t="s">
        <v>748</v>
      </c>
      <c r="BJ87" s="64">
        <v>43875</v>
      </c>
      <c r="BK87" s="64">
        <v>48262.5</v>
      </c>
      <c r="BL87" s="60" t="s">
        <v>184</v>
      </c>
      <c r="BS87" s="64">
        <v>0</v>
      </c>
      <c r="BV87" s="65">
        <v>341313.5</v>
      </c>
      <c r="BW87" s="65">
        <v>147262.5</v>
      </c>
      <c r="BX87" s="65">
        <v>44487</v>
      </c>
      <c r="BY87" s="65">
        <v>194051</v>
      </c>
      <c r="BZ87" s="81">
        <v>56.854182445171375</v>
      </c>
    </row>
    <row r="88" spans="1:82" x14ac:dyDescent="0.15">
      <c r="A88" s="60">
        <v>2</v>
      </c>
      <c r="B88" s="61">
        <v>44572</v>
      </c>
      <c r="C88" s="61">
        <v>44575</v>
      </c>
      <c r="D88" s="61">
        <v>44604</v>
      </c>
      <c r="E88" s="61">
        <v>44581</v>
      </c>
      <c r="F88" s="61">
        <v>44582</v>
      </c>
      <c r="G88" s="61">
        <v>44578</v>
      </c>
      <c r="H88" s="61">
        <v>44578</v>
      </c>
      <c r="I88" s="60" t="s">
        <v>511</v>
      </c>
      <c r="J88" s="60">
        <v>1</v>
      </c>
      <c r="L88" s="60">
        <v>0</v>
      </c>
      <c r="M88" s="61">
        <v>44487</v>
      </c>
      <c r="O88" s="62" t="s">
        <v>331</v>
      </c>
      <c r="P88" s="60" t="s">
        <v>26</v>
      </c>
      <c r="Q88" s="62" t="s">
        <v>105</v>
      </c>
      <c r="R88" s="62" t="s">
        <v>470</v>
      </c>
      <c r="S88" s="63" t="s">
        <v>467</v>
      </c>
      <c r="T88" s="63" t="s">
        <v>469</v>
      </c>
      <c r="U88" s="64">
        <v>474785</v>
      </c>
      <c r="V88" s="64">
        <v>522263.5</v>
      </c>
      <c r="W88" s="64">
        <v>407285</v>
      </c>
      <c r="X88" s="64">
        <v>448013.5</v>
      </c>
      <c r="Y88" s="64">
        <v>67500</v>
      </c>
      <c r="Z88" s="64">
        <v>74250</v>
      </c>
      <c r="AA88" s="61">
        <v>44573</v>
      </c>
      <c r="AB88" s="61">
        <v>44575</v>
      </c>
      <c r="AC88" s="61">
        <v>44575</v>
      </c>
      <c r="AD88" s="60">
        <v>0</v>
      </c>
      <c r="AG88" s="60">
        <v>0</v>
      </c>
      <c r="AJ88" s="60">
        <v>0</v>
      </c>
      <c r="AM88" s="60" t="s">
        <v>273</v>
      </c>
      <c r="AN88" s="60" t="s">
        <v>471</v>
      </c>
      <c r="AQ88" s="60" t="s">
        <v>1076</v>
      </c>
      <c r="AR88" s="61">
        <v>44530</v>
      </c>
      <c r="AS88" s="60">
        <v>6001963654</v>
      </c>
      <c r="AT88" s="61">
        <v>44531</v>
      </c>
      <c r="AU88" s="60" t="s">
        <v>1086</v>
      </c>
      <c r="AV88" s="61">
        <v>44575</v>
      </c>
      <c r="AW88" s="91">
        <v>44592</v>
      </c>
      <c r="AX88" s="91">
        <v>44612</v>
      </c>
      <c r="AY88" s="99">
        <v>455794</v>
      </c>
      <c r="AZ88" s="99">
        <f>ROUNDDOWN(AY88+(AY88*MASTER!$A$2/100),0)</f>
        <v>501373</v>
      </c>
      <c r="BA88" s="60" t="s">
        <v>319</v>
      </c>
      <c r="BB88" s="64">
        <v>120100</v>
      </c>
      <c r="BC88" s="64">
        <v>132110</v>
      </c>
      <c r="BD88" s="60" t="s">
        <v>1614</v>
      </c>
      <c r="BG88" s="64">
        <v>0</v>
      </c>
      <c r="BI88" s="60" t="s">
        <v>748</v>
      </c>
      <c r="BJ88" s="64">
        <v>43875</v>
      </c>
      <c r="BK88" s="64">
        <v>48262.5</v>
      </c>
      <c r="BL88" s="60" t="s">
        <v>1614</v>
      </c>
      <c r="BS88" s="64">
        <v>0</v>
      </c>
      <c r="BV88" s="65">
        <v>448013.5</v>
      </c>
      <c r="BW88" s="65">
        <v>180372.5</v>
      </c>
      <c r="BX88" s="65">
        <v>44487</v>
      </c>
      <c r="BY88" s="65">
        <v>267641</v>
      </c>
      <c r="BZ88" s="81">
        <v>59.739494457198269</v>
      </c>
    </row>
    <row r="89" spans="1:82" x14ac:dyDescent="0.15">
      <c r="A89" s="60">
        <v>2</v>
      </c>
      <c r="B89" s="61">
        <v>44610</v>
      </c>
      <c r="C89" s="61">
        <v>44616</v>
      </c>
      <c r="D89" s="61">
        <v>44635</v>
      </c>
      <c r="E89" s="61">
        <v>44622</v>
      </c>
      <c r="F89" s="61">
        <v>44621</v>
      </c>
      <c r="G89" s="61">
        <v>44614</v>
      </c>
      <c r="H89" s="61">
        <v>44617</v>
      </c>
      <c r="I89" s="60" t="s">
        <v>511</v>
      </c>
      <c r="J89" s="60">
        <v>1</v>
      </c>
      <c r="L89" s="60">
        <v>0</v>
      </c>
      <c r="M89" s="61">
        <v>44487</v>
      </c>
      <c r="O89" s="62" t="s">
        <v>331</v>
      </c>
      <c r="P89" s="60" t="s">
        <v>26</v>
      </c>
      <c r="Q89" s="62" t="s">
        <v>105</v>
      </c>
      <c r="R89" s="62" t="s">
        <v>473</v>
      </c>
      <c r="S89" s="63" t="s">
        <v>468</v>
      </c>
      <c r="T89" s="63" t="s">
        <v>472</v>
      </c>
      <c r="U89" s="64">
        <v>50000</v>
      </c>
      <c r="V89" s="64">
        <v>55000</v>
      </c>
      <c r="W89" s="64">
        <v>47000</v>
      </c>
      <c r="X89" s="64">
        <v>51700</v>
      </c>
      <c r="Y89" s="64">
        <v>3000</v>
      </c>
      <c r="Z89" s="64">
        <v>3300</v>
      </c>
      <c r="AA89" s="61">
        <v>44612</v>
      </c>
      <c r="AB89" s="61">
        <v>44614</v>
      </c>
      <c r="AC89" s="61">
        <v>44614</v>
      </c>
      <c r="AD89" s="60">
        <v>0</v>
      </c>
      <c r="AG89" s="60">
        <v>0</v>
      </c>
      <c r="AJ89" s="60">
        <v>0</v>
      </c>
      <c r="AM89" s="60" t="s">
        <v>273</v>
      </c>
      <c r="AN89" s="60" t="s">
        <v>1012</v>
      </c>
      <c r="AQ89" s="60" t="s">
        <v>2418</v>
      </c>
      <c r="AR89" s="61">
        <v>44529</v>
      </c>
      <c r="AS89" s="60">
        <v>6001963225</v>
      </c>
      <c r="AT89" s="61">
        <v>44530</v>
      </c>
      <c r="AU89" s="60" t="s">
        <v>1077</v>
      </c>
      <c r="AV89" s="61">
        <v>44616</v>
      </c>
      <c r="AW89" s="91">
        <v>44620</v>
      </c>
      <c r="AX89" s="91">
        <v>44640</v>
      </c>
      <c r="AY89" s="99">
        <v>48000</v>
      </c>
      <c r="AZ89" s="99">
        <f>ROUNDDOWN(AY89+(AY89*MASTER!$A$2/100),0)</f>
        <v>52800</v>
      </c>
      <c r="BA89" s="60" t="s">
        <v>319</v>
      </c>
      <c r="BB89" s="64">
        <v>21000</v>
      </c>
      <c r="BC89" s="64">
        <v>23100</v>
      </c>
      <c r="BD89" s="60" t="s">
        <v>2044</v>
      </c>
      <c r="BG89" s="64">
        <v>0</v>
      </c>
      <c r="BK89" s="64">
        <v>0</v>
      </c>
      <c r="BS89" s="64">
        <v>0</v>
      </c>
      <c r="BV89" s="65">
        <v>51700</v>
      </c>
      <c r="BW89" s="65">
        <v>23100</v>
      </c>
      <c r="BX89" s="65">
        <v>44487</v>
      </c>
      <c r="BY89" s="65">
        <v>28600</v>
      </c>
      <c r="BZ89" s="81">
        <v>55.319148936170215</v>
      </c>
    </row>
    <row r="90" spans="1:82" x14ac:dyDescent="0.15">
      <c r="A90" s="60">
        <v>2</v>
      </c>
      <c r="B90" s="61">
        <v>44536</v>
      </c>
      <c r="C90" s="61">
        <v>44537</v>
      </c>
      <c r="D90" s="61" t="s">
        <v>764</v>
      </c>
      <c r="E90" s="61">
        <v>44543</v>
      </c>
      <c r="F90" s="61">
        <v>44544</v>
      </c>
      <c r="G90" s="61">
        <v>44537</v>
      </c>
      <c r="H90" s="61">
        <v>44540</v>
      </c>
      <c r="I90" s="60" t="s">
        <v>612</v>
      </c>
      <c r="J90" s="60">
        <v>1</v>
      </c>
      <c r="L90" s="60">
        <v>0</v>
      </c>
      <c r="M90" s="61">
        <v>44488</v>
      </c>
      <c r="O90" s="62" t="s">
        <v>331</v>
      </c>
      <c r="P90" s="60" t="s">
        <v>26</v>
      </c>
      <c r="Q90" s="62" t="s">
        <v>105</v>
      </c>
      <c r="R90" s="62" t="s">
        <v>1145</v>
      </c>
      <c r="S90" s="63" t="s">
        <v>577</v>
      </c>
      <c r="T90" s="63" t="s">
        <v>502</v>
      </c>
      <c r="U90" s="64">
        <v>23900</v>
      </c>
      <c r="V90" s="64">
        <v>26290</v>
      </c>
      <c r="W90" s="64">
        <v>14700</v>
      </c>
      <c r="X90" s="64">
        <v>16170</v>
      </c>
      <c r="Y90" s="64">
        <v>9200</v>
      </c>
      <c r="Z90" s="64">
        <v>10120</v>
      </c>
      <c r="AA90" s="61">
        <v>44535</v>
      </c>
      <c r="AB90" s="61">
        <v>44537</v>
      </c>
      <c r="AC90" s="61">
        <v>44537</v>
      </c>
      <c r="AD90" s="60">
        <v>0</v>
      </c>
      <c r="AG90" s="60">
        <v>0</v>
      </c>
      <c r="AJ90" s="60">
        <v>0</v>
      </c>
      <c r="AM90" s="60" t="s">
        <v>273</v>
      </c>
      <c r="AN90" s="60" t="s">
        <v>1146</v>
      </c>
      <c r="AQ90" s="60" t="s">
        <v>637</v>
      </c>
      <c r="AR90" s="61">
        <v>44501</v>
      </c>
      <c r="AS90" s="60">
        <v>6001952452</v>
      </c>
      <c r="AT90" s="61">
        <v>44501</v>
      </c>
      <c r="AU90" s="60" t="s">
        <v>644</v>
      </c>
      <c r="AV90" s="61">
        <v>44537</v>
      </c>
      <c r="AW90" s="91">
        <v>44561</v>
      </c>
      <c r="AX90" s="91">
        <v>44581</v>
      </c>
      <c r="AY90" s="99">
        <v>22944</v>
      </c>
      <c r="AZ90" s="99">
        <f>ROUNDDOWN(AY90+(AY90*MASTER!$A$2/100),0)</f>
        <v>25238</v>
      </c>
      <c r="BA90" s="60" t="s">
        <v>765</v>
      </c>
      <c r="BC90" s="64">
        <v>0</v>
      </c>
      <c r="BG90" s="64">
        <v>0</v>
      </c>
      <c r="BI90" s="60" t="s">
        <v>267</v>
      </c>
      <c r="BJ90" s="64">
        <v>5980</v>
      </c>
      <c r="BK90" s="64">
        <v>6578</v>
      </c>
      <c r="BL90" s="60" t="s">
        <v>1366</v>
      </c>
      <c r="BS90" s="64">
        <v>0</v>
      </c>
      <c r="BV90" s="65">
        <v>16170</v>
      </c>
      <c r="BW90" s="65">
        <v>6578</v>
      </c>
      <c r="BX90" s="65">
        <v>44488</v>
      </c>
      <c r="BY90" s="65">
        <v>9592</v>
      </c>
      <c r="BZ90" s="81">
        <v>59.319727891156461</v>
      </c>
    </row>
    <row r="91" spans="1:82" x14ac:dyDescent="0.15">
      <c r="A91" s="60">
        <v>2</v>
      </c>
      <c r="B91" s="61">
        <v>44532</v>
      </c>
      <c r="C91" s="61">
        <v>44536</v>
      </c>
      <c r="D91" s="61" t="s">
        <v>764</v>
      </c>
      <c r="E91" s="61">
        <v>44543</v>
      </c>
      <c r="F91" s="61">
        <v>44544</v>
      </c>
      <c r="G91" s="61">
        <v>44537</v>
      </c>
      <c r="H91" s="61">
        <v>44540</v>
      </c>
      <c r="I91" s="60" t="s">
        <v>612</v>
      </c>
      <c r="J91" s="60">
        <v>1</v>
      </c>
      <c r="L91" s="60">
        <v>0</v>
      </c>
      <c r="M91" s="61">
        <v>44488</v>
      </c>
      <c r="O91" s="62" t="s">
        <v>331</v>
      </c>
      <c r="P91" s="60" t="s">
        <v>26</v>
      </c>
      <c r="Q91" s="62" t="s">
        <v>105</v>
      </c>
      <c r="R91" s="62" t="s">
        <v>1090</v>
      </c>
      <c r="S91" s="63" t="s">
        <v>719</v>
      </c>
      <c r="T91" s="63" t="s">
        <v>502</v>
      </c>
      <c r="U91" s="64">
        <v>23900</v>
      </c>
      <c r="V91" s="64">
        <v>26290</v>
      </c>
      <c r="W91" s="64">
        <v>14700</v>
      </c>
      <c r="X91" s="64">
        <v>16170</v>
      </c>
      <c r="Y91" s="64">
        <v>9200</v>
      </c>
      <c r="Z91" s="64">
        <v>10120</v>
      </c>
      <c r="AA91" s="61">
        <v>44535</v>
      </c>
      <c r="AB91" s="61">
        <v>44537</v>
      </c>
      <c r="AC91" s="61">
        <v>44537</v>
      </c>
      <c r="AD91" s="60">
        <v>0</v>
      </c>
      <c r="AG91" s="60">
        <v>0</v>
      </c>
      <c r="AJ91" s="60">
        <v>0</v>
      </c>
      <c r="AM91" s="60" t="s">
        <v>273</v>
      </c>
      <c r="AN91" s="60" t="s">
        <v>1091</v>
      </c>
      <c r="AQ91" s="60" t="s">
        <v>638</v>
      </c>
      <c r="AR91" s="61">
        <v>44501</v>
      </c>
      <c r="AS91" s="60">
        <v>6001952452</v>
      </c>
      <c r="AT91" s="61">
        <v>44501</v>
      </c>
      <c r="AU91" s="60" t="s">
        <v>644</v>
      </c>
      <c r="AV91" s="61">
        <v>44536</v>
      </c>
      <c r="AW91" s="91">
        <v>44561</v>
      </c>
      <c r="AX91" s="91">
        <v>44581</v>
      </c>
      <c r="AY91" s="99">
        <v>22944</v>
      </c>
      <c r="AZ91" s="99">
        <f>ROUNDDOWN(AY91+(AY91*MASTER!$A$2/100),0)</f>
        <v>25238</v>
      </c>
      <c r="BA91" s="60" t="s">
        <v>765</v>
      </c>
      <c r="BC91" s="64">
        <v>0</v>
      </c>
      <c r="BG91" s="64">
        <v>0</v>
      </c>
      <c r="BI91" s="60" t="s">
        <v>267</v>
      </c>
      <c r="BJ91" s="64">
        <v>5980</v>
      </c>
      <c r="BK91" s="64">
        <v>6578</v>
      </c>
      <c r="BL91" s="60" t="s">
        <v>1366</v>
      </c>
      <c r="BS91" s="64">
        <v>0</v>
      </c>
      <c r="BV91" s="65">
        <v>16170</v>
      </c>
      <c r="BW91" s="65">
        <v>6578</v>
      </c>
      <c r="BX91" s="65">
        <v>44488</v>
      </c>
      <c r="BY91" s="65">
        <v>9592</v>
      </c>
      <c r="BZ91" s="81">
        <v>59.319727891156461</v>
      </c>
    </row>
    <row r="92" spans="1:82" x14ac:dyDescent="0.15">
      <c r="A92" s="60">
        <v>2</v>
      </c>
      <c r="B92" s="61">
        <v>44546</v>
      </c>
      <c r="C92" s="61">
        <v>44551</v>
      </c>
      <c r="D92" s="61" t="s">
        <v>764</v>
      </c>
      <c r="E92" s="61">
        <v>44552</v>
      </c>
      <c r="F92" s="61">
        <v>44558</v>
      </c>
      <c r="G92" s="61">
        <v>44552</v>
      </c>
      <c r="H92" s="61">
        <v>44554</v>
      </c>
      <c r="I92" s="60" t="s">
        <v>612</v>
      </c>
      <c r="J92" s="60">
        <v>1</v>
      </c>
      <c r="L92" s="60">
        <v>0</v>
      </c>
      <c r="M92" s="61">
        <v>44488</v>
      </c>
      <c r="O92" s="62" t="s">
        <v>331</v>
      </c>
      <c r="P92" s="60" t="s">
        <v>26</v>
      </c>
      <c r="Q92" s="62" t="s">
        <v>105</v>
      </c>
      <c r="R92" s="62" t="s">
        <v>559</v>
      </c>
      <c r="S92" s="63" t="s">
        <v>560</v>
      </c>
      <c r="T92" s="63" t="s">
        <v>502</v>
      </c>
      <c r="U92" s="64">
        <v>23900</v>
      </c>
      <c r="V92" s="64">
        <v>26290</v>
      </c>
      <c r="W92" s="64">
        <v>14700</v>
      </c>
      <c r="X92" s="64">
        <v>16170</v>
      </c>
      <c r="Y92" s="64">
        <v>9200</v>
      </c>
      <c r="Z92" s="64">
        <v>10120</v>
      </c>
      <c r="AA92" s="61">
        <v>44550</v>
      </c>
      <c r="AB92" s="61">
        <v>44551</v>
      </c>
      <c r="AC92" s="61">
        <v>44551</v>
      </c>
      <c r="AD92" s="60">
        <v>0</v>
      </c>
      <c r="AG92" s="60">
        <v>0</v>
      </c>
      <c r="AJ92" s="60">
        <v>0</v>
      </c>
      <c r="AM92" s="60" t="s">
        <v>273</v>
      </c>
      <c r="AN92" s="60" t="s">
        <v>561</v>
      </c>
      <c r="AQ92" s="60" t="s">
        <v>769</v>
      </c>
      <c r="AR92" s="61">
        <v>44510</v>
      </c>
      <c r="AS92" s="60">
        <v>6001956389</v>
      </c>
      <c r="AT92" s="61">
        <v>44510</v>
      </c>
      <c r="AU92" s="60" t="s">
        <v>777</v>
      </c>
      <c r="AV92" s="61">
        <v>44551</v>
      </c>
      <c r="AW92" s="91">
        <v>44561</v>
      </c>
      <c r="AX92" s="91">
        <v>44581</v>
      </c>
      <c r="AY92" s="99">
        <v>22944</v>
      </c>
      <c r="AZ92" s="99">
        <f>ROUNDDOWN(AY92+(AY92*MASTER!$A$2/100),0)</f>
        <v>25238</v>
      </c>
      <c r="BA92" s="60" t="s">
        <v>765</v>
      </c>
      <c r="BC92" s="64">
        <v>0</v>
      </c>
      <c r="BG92" s="64">
        <v>0</v>
      </c>
      <c r="BI92" s="60" t="s">
        <v>267</v>
      </c>
      <c r="BJ92" s="64">
        <v>5980</v>
      </c>
      <c r="BK92" s="64">
        <v>6578</v>
      </c>
      <c r="BL92" s="60" t="s">
        <v>1366</v>
      </c>
      <c r="BS92" s="64">
        <v>0</v>
      </c>
      <c r="BV92" s="65">
        <v>16170</v>
      </c>
      <c r="BW92" s="65">
        <v>6578</v>
      </c>
      <c r="BX92" s="65">
        <v>44488</v>
      </c>
      <c r="BY92" s="65">
        <v>9592</v>
      </c>
      <c r="BZ92" s="81">
        <v>59.319727891156461</v>
      </c>
      <c r="CD92" s="63" t="s">
        <v>1310</v>
      </c>
    </row>
    <row r="93" spans="1:82" x14ac:dyDescent="0.15">
      <c r="A93" s="60">
        <v>2</v>
      </c>
      <c r="B93" s="61">
        <v>44532</v>
      </c>
      <c r="C93" s="61">
        <v>44536</v>
      </c>
      <c r="D93" s="61" t="s">
        <v>764</v>
      </c>
      <c r="E93" s="61">
        <v>44543</v>
      </c>
      <c r="F93" s="61">
        <v>44543</v>
      </c>
      <c r="G93" s="61">
        <v>44537</v>
      </c>
      <c r="H93" s="61">
        <v>44539</v>
      </c>
      <c r="I93" s="60" t="s">
        <v>612</v>
      </c>
      <c r="J93" s="60">
        <v>1</v>
      </c>
      <c r="L93" s="60">
        <v>0</v>
      </c>
      <c r="M93" s="61">
        <v>44488</v>
      </c>
      <c r="O93" s="62" t="s">
        <v>331</v>
      </c>
      <c r="P93" s="60" t="s">
        <v>26</v>
      </c>
      <c r="Q93" s="62" t="s">
        <v>105</v>
      </c>
      <c r="R93" s="62" t="s">
        <v>1092</v>
      </c>
      <c r="S93" s="63" t="s">
        <v>361</v>
      </c>
      <c r="T93" s="63" t="s">
        <v>1093</v>
      </c>
      <c r="U93" s="64">
        <v>23900</v>
      </c>
      <c r="V93" s="64">
        <v>26290</v>
      </c>
      <c r="W93" s="64">
        <v>14700</v>
      </c>
      <c r="X93" s="64">
        <v>16170</v>
      </c>
      <c r="Y93" s="64">
        <v>9200</v>
      </c>
      <c r="Z93" s="64">
        <v>10120</v>
      </c>
      <c r="AA93" s="61">
        <v>44535</v>
      </c>
      <c r="AB93" s="61">
        <v>44536</v>
      </c>
      <c r="AC93" s="61">
        <v>44536</v>
      </c>
      <c r="AD93" s="60">
        <v>0</v>
      </c>
      <c r="AG93" s="60">
        <v>0</v>
      </c>
      <c r="AJ93" s="60">
        <v>0</v>
      </c>
      <c r="AM93" s="60" t="s">
        <v>273</v>
      </c>
      <c r="AN93" s="60" t="s">
        <v>1094</v>
      </c>
      <c r="AQ93" s="60" t="s">
        <v>679</v>
      </c>
      <c r="AR93" s="61">
        <v>44505</v>
      </c>
      <c r="AS93" s="60">
        <v>6001954510</v>
      </c>
      <c r="AT93" s="61">
        <v>44505</v>
      </c>
      <c r="AU93" s="60" t="s">
        <v>724</v>
      </c>
      <c r="AV93" s="61">
        <v>44536</v>
      </c>
      <c r="AW93" s="91">
        <v>44561</v>
      </c>
      <c r="AX93" s="91">
        <v>44581</v>
      </c>
      <c r="AY93" s="99">
        <v>22944</v>
      </c>
      <c r="AZ93" s="99">
        <f>ROUNDDOWN(AY93+(AY93*MASTER!$A$2/100),0)</f>
        <v>25238</v>
      </c>
      <c r="BA93" s="60" t="s">
        <v>765</v>
      </c>
      <c r="BC93" s="64">
        <v>0</v>
      </c>
      <c r="BG93" s="64">
        <v>0</v>
      </c>
      <c r="BI93" s="60" t="s">
        <v>267</v>
      </c>
      <c r="BJ93" s="64">
        <v>5980</v>
      </c>
      <c r="BK93" s="64">
        <v>6578</v>
      </c>
      <c r="BL93" s="60" t="s">
        <v>1366</v>
      </c>
      <c r="BS93" s="64">
        <v>0</v>
      </c>
      <c r="BV93" s="65">
        <v>16170</v>
      </c>
      <c r="BW93" s="65">
        <v>6578</v>
      </c>
      <c r="BX93" s="65">
        <v>44488</v>
      </c>
      <c r="BY93" s="65">
        <v>9592</v>
      </c>
      <c r="BZ93" s="81">
        <v>59.319727891156461</v>
      </c>
    </row>
    <row r="94" spans="1:82" x14ac:dyDescent="0.15">
      <c r="A94" s="60">
        <v>2</v>
      </c>
      <c r="B94" s="61">
        <v>44551</v>
      </c>
      <c r="C94" s="61">
        <v>44554</v>
      </c>
      <c r="E94" s="61">
        <v>44558</v>
      </c>
      <c r="F94" s="61">
        <v>44561</v>
      </c>
      <c r="G94" s="61">
        <v>44558</v>
      </c>
      <c r="H94" s="61">
        <v>44557</v>
      </c>
      <c r="I94" s="60" t="s">
        <v>511</v>
      </c>
      <c r="J94" s="60">
        <v>1</v>
      </c>
      <c r="L94" s="60">
        <v>0</v>
      </c>
      <c r="M94" s="61">
        <v>44488</v>
      </c>
      <c r="O94" s="62" t="s">
        <v>331</v>
      </c>
      <c r="P94" s="60" t="s">
        <v>26</v>
      </c>
      <c r="Q94" s="62" t="s">
        <v>105</v>
      </c>
      <c r="R94" s="62" t="s">
        <v>1374</v>
      </c>
      <c r="S94" s="63" t="s">
        <v>447</v>
      </c>
      <c r="T94" s="63" t="s">
        <v>502</v>
      </c>
      <c r="U94" s="64">
        <v>23900</v>
      </c>
      <c r="V94" s="64">
        <v>26290</v>
      </c>
      <c r="W94" s="64">
        <v>14700</v>
      </c>
      <c r="X94" s="64">
        <v>16170</v>
      </c>
      <c r="Y94" s="64">
        <v>9200</v>
      </c>
      <c r="Z94" s="64">
        <v>10120</v>
      </c>
      <c r="AA94" s="61">
        <v>44552</v>
      </c>
      <c r="AB94" s="61">
        <v>44554</v>
      </c>
      <c r="AC94" s="61">
        <v>44554</v>
      </c>
      <c r="AD94" s="60">
        <v>0</v>
      </c>
      <c r="AG94" s="60">
        <v>0</v>
      </c>
      <c r="AJ94" s="60">
        <v>0</v>
      </c>
      <c r="AM94" s="60" t="s">
        <v>273</v>
      </c>
      <c r="AN94" s="60" t="s">
        <v>1375</v>
      </c>
      <c r="AQ94" s="60" t="s">
        <v>808</v>
      </c>
      <c r="AR94" s="61">
        <v>44512</v>
      </c>
      <c r="AS94" s="60">
        <v>6001957224</v>
      </c>
      <c r="AT94" s="61">
        <v>44512</v>
      </c>
      <c r="AU94" s="60" t="s">
        <v>819</v>
      </c>
      <c r="AV94" s="61">
        <v>44554</v>
      </c>
      <c r="AW94" s="91">
        <v>44561</v>
      </c>
      <c r="AX94" s="91">
        <v>44581</v>
      </c>
      <c r="AY94" s="99">
        <v>22944</v>
      </c>
      <c r="AZ94" s="99">
        <f>ROUNDDOWN(AY94+(AY94*MASTER!$A$2/100),0)</f>
        <v>25238</v>
      </c>
      <c r="BA94" s="60" t="s">
        <v>765</v>
      </c>
      <c r="BC94" s="64">
        <v>0</v>
      </c>
      <c r="BG94" s="64">
        <v>0</v>
      </c>
      <c r="BI94" s="60" t="s">
        <v>267</v>
      </c>
      <c r="BJ94" s="64">
        <v>5980</v>
      </c>
      <c r="BK94" s="64">
        <v>6578</v>
      </c>
      <c r="BL94" s="60" t="s">
        <v>1366</v>
      </c>
      <c r="BS94" s="64">
        <v>0</v>
      </c>
      <c r="BV94" s="65">
        <v>16170</v>
      </c>
      <c r="BW94" s="65">
        <v>6578</v>
      </c>
      <c r="BX94" s="65">
        <v>44488</v>
      </c>
      <c r="BY94" s="65">
        <v>9592</v>
      </c>
      <c r="BZ94" s="81">
        <v>59.319727891156461</v>
      </c>
    </row>
    <row r="95" spans="1:82" x14ac:dyDescent="0.15">
      <c r="A95" s="60">
        <v>2</v>
      </c>
      <c r="B95" s="61">
        <v>44494</v>
      </c>
      <c r="C95" s="61">
        <v>44496</v>
      </c>
      <c r="D95" s="61">
        <v>44488</v>
      </c>
      <c r="E95" s="61">
        <v>44488</v>
      </c>
      <c r="F95" s="61" t="s">
        <v>309</v>
      </c>
      <c r="G95" s="61">
        <v>44488</v>
      </c>
      <c r="H95" s="61" t="s">
        <v>309</v>
      </c>
      <c r="I95" s="60" t="s">
        <v>494</v>
      </c>
      <c r="J95" s="60">
        <v>2</v>
      </c>
      <c r="L95" s="60">
        <v>0</v>
      </c>
      <c r="M95" s="61">
        <v>44488</v>
      </c>
      <c r="O95" s="62" t="s">
        <v>331</v>
      </c>
      <c r="P95" s="60" t="s">
        <v>6</v>
      </c>
      <c r="Q95" s="62" t="s">
        <v>105</v>
      </c>
      <c r="R95" s="62" t="s">
        <v>514</v>
      </c>
      <c r="S95" s="63" t="s">
        <v>515</v>
      </c>
      <c r="T95" s="63" t="s">
        <v>364</v>
      </c>
      <c r="U95" s="64">
        <v>35000</v>
      </c>
      <c r="V95" s="64">
        <v>38500</v>
      </c>
      <c r="W95" s="64">
        <v>35000</v>
      </c>
      <c r="X95" s="64">
        <v>38500</v>
      </c>
      <c r="Z95" s="64">
        <v>0</v>
      </c>
      <c r="AA95" s="61">
        <v>44488</v>
      </c>
      <c r="AB95" s="61">
        <v>44488</v>
      </c>
      <c r="AD95" s="60">
        <v>0</v>
      </c>
      <c r="AG95" s="60">
        <v>0</v>
      </c>
      <c r="AJ95" s="60">
        <v>0</v>
      </c>
      <c r="AN95" s="60" t="s">
        <v>309</v>
      </c>
      <c r="AQ95" s="60" t="s">
        <v>548</v>
      </c>
      <c r="AR95" s="61">
        <v>44491</v>
      </c>
      <c r="AS95" s="60">
        <v>6001949524</v>
      </c>
      <c r="AT95" s="61">
        <v>44491</v>
      </c>
      <c r="AU95" s="60" t="s">
        <v>555</v>
      </c>
      <c r="AV95" s="61">
        <v>44496</v>
      </c>
      <c r="AW95" s="91">
        <v>44500</v>
      </c>
      <c r="AX95" s="91">
        <v>44520</v>
      </c>
      <c r="AY95" s="99">
        <v>33600</v>
      </c>
      <c r="AZ95" s="99">
        <f>ROUNDDOWN(AY95+(AY95*MASTER!$A$2/100),0)</f>
        <v>36960</v>
      </c>
      <c r="BA95" s="60" t="s">
        <v>582</v>
      </c>
      <c r="BB95" s="64">
        <v>21000</v>
      </c>
      <c r="BC95" s="64">
        <v>23100</v>
      </c>
      <c r="BD95" s="60" t="s">
        <v>182</v>
      </c>
      <c r="BG95" s="64">
        <v>0</v>
      </c>
      <c r="BK95" s="64">
        <v>0</v>
      </c>
      <c r="BS95" s="64">
        <v>0</v>
      </c>
      <c r="BV95" s="65">
        <v>38500</v>
      </c>
      <c r="BW95" s="65">
        <v>23100</v>
      </c>
      <c r="BX95" s="65">
        <v>44488</v>
      </c>
      <c r="BY95" s="65">
        <v>15400</v>
      </c>
      <c r="BZ95" s="81">
        <v>40</v>
      </c>
    </row>
    <row r="96" spans="1:82" x14ac:dyDescent="0.15">
      <c r="A96" s="60">
        <v>2</v>
      </c>
      <c r="B96" s="61">
        <v>44509</v>
      </c>
      <c r="C96" s="61">
        <v>44509</v>
      </c>
      <c r="D96" s="61">
        <v>44547</v>
      </c>
      <c r="E96" s="61">
        <v>44529</v>
      </c>
      <c r="F96" s="61">
        <v>44509</v>
      </c>
      <c r="G96" s="61">
        <v>44502</v>
      </c>
      <c r="H96" s="61">
        <v>44505</v>
      </c>
      <c r="I96" s="60" t="s">
        <v>511</v>
      </c>
      <c r="J96" s="60">
        <v>1</v>
      </c>
      <c r="L96" s="60">
        <v>0</v>
      </c>
      <c r="M96" s="61">
        <v>44488</v>
      </c>
      <c r="O96" s="62" t="s">
        <v>331</v>
      </c>
      <c r="P96" s="60" t="s">
        <v>26</v>
      </c>
      <c r="Q96" s="62" t="s">
        <v>105</v>
      </c>
      <c r="R96" s="62" t="s">
        <v>486</v>
      </c>
      <c r="S96" s="63" t="s">
        <v>487</v>
      </c>
      <c r="T96" s="63" t="s">
        <v>485</v>
      </c>
      <c r="U96" s="64">
        <v>95000</v>
      </c>
      <c r="V96" s="64">
        <v>104500</v>
      </c>
      <c r="W96" s="64">
        <v>80000</v>
      </c>
      <c r="X96" s="64">
        <v>88000</v>
      </c>
      <c r="Y96" s="64">
        <v>15000</v>
      </c>
      <c r="Z96" s="64">
        <v>16500</v>
      </c>
      <c r="AA96" s="61">
        <v>44501</v>
      </c>
      <c r="AB96" s="61">
        <v>44502</v>
      </c>
      <c r="AC96" s="61">
        <v>44502</v>
      </c>
      <c r="AD96" s="60">
        <v>0</v>
      </c>
      <c r="AG96" s="60">
        <v>0</v>
      </c>
      <c r="AJ96" s="60">
        <v>0</v>
      </c>
      <c r="AQ96" s="60" t="s">
        <v>733</v>
      </c>
      <c r="AR96" s="61">
        <v>44508</v>
      </c>
      <c r="AS96" s="60">
        <v>6001955343</v>
      </c>
      <c r="AT96" s="61">
        <v>44508</v>
      </c>
      <c r="AU96" s="60" t="s">
        <v>738</v>
      </c>
      <c r="AV96" s="61">
        <v>44509</v>
      </c>
      <c r="AW96" s="91">
        <v>44530</v>
      </c>
      <c r="AX96" s="91">
        <v>44550</v>
      </c>
      <c r="AY96" s="99">
        <v>91200</v>
      </c>
      <c r="AZ96" s="99">
        <f>ROUNDDOWN(AY96+(AY96*MASTER!$A$2/100),0)</f>
        <v>100320</v>
      </c>
      <c r="BA96" s="60" t="s">
        <v>765</v>
      </c>
      <c r="BC96" s="64">
        <v>0</v>
      </c>
      <c r="BG96" s="64">
        <v>0</v>
      </c>
      <c r="BI96" s="60" t="s">
        <v>748</v>
      </c>
      <c r="BJ96" s="64">
        <v>9750</v>
      </c>
      <c r="BK96" s="64">
        <v>10725</v>
      </c>
      <c r="BL96" s="60" t="s">
        <v>183</v>
      </c>
      <c r="BS96" s="64">
        <v>0</v>
      </c>
      <c r="BV96" s="65">
        <v>88000</v>
      </c>
      <c r="BW96" s="65">
        <v>10725</v>
      </c>
      <c r="BX96" s="65">
        <v>44488</v>
      </c>
      <c r="BY96" s="65">
        <v>77275</v>
      </c>
      <c r="BZ96" s="81">
        <v>87.8125</v>
      </c>
    </row>
    <row r="97" spans="1:89" x14ac:dyDescent="0.15">
      <c r="A97" s="60">
        <v>2</v>
      </c>
      <c r="B97" s="61">
        <v>44505</v>
      </c>
      <c r="C97" s="61">
        <v>44509</v>
      </c>
      <c r="D97" s="61">
        <v>44533</v>
      </c>
      <c r="E97" s="61">
        <v>44511</v>
      </c>
      <c r="F97" s="61">
        <v>44516</v>
      </c>
      <c r="G97" s="61">
        <v>44509</v>
      </c>
      <c r="H97" s="61">
        <v>44512</v>
      </c>
      <c r="I97" s="60" t="s">
        <v>612</v>
      </c>
      <c r="J97" s="60">
        <v>1</v>
      </c>
      <c r="L97" s="60">
        <v>0</v>
      </c>
      <c r="M97" s="61">
        <v>44488</v>
      </c>
      <c r="O97" s="62" t="s">
        <v>331</v>
      </c>
      <c r="P97" s="60" t="s">
        <v>26</v>
      </c>
      <c r="Q97" s="62" t="s">
        <v>105</v>
      </c>
      <c r="R97" s="62" t="s">
        <v>688</v>
      </c>
      <c r="S97" s="63" t="s">
        <v>689</v>
      </c>
      <c r="T97" s="63" t="s">
        <v>690</v>
      </c>
      <c r="U97" s="64">
        <v>219500</v>
      </c>
      <c r="V97" s="64">
        <v>241450</v>
      </c>
      <c r="W97" s="64">
        <v>102000</v>
      </c>
      <c r="X97" s="64">
        <v>112200</v>
      </c>
      <c r="Y97" s="64">
        <v>117500</v>
      </c>
      <c r="Z97" s="64">
        <v>129250</v>
      </c>
      <c r="AA97" s="61">
        <v>44508</v>
      </c>
      <c r="AB97" s="61">
        <v>44509</v>
      </c>
      <c r="AC97" s="61">
        <v>44509</v>
      </c>
      <c r="AD97" s="60">
        <v>0</v>
      </c>
      <c r="AG97" s="60">
        <v>0</v>
      </c>
      <c r="AJ97" s="60">
        <v>0</v>
      </c>
      <c r="AM97" s="60" t="s">
        <v>273</v>
      </c>
      <c r="AN97" s="60" t="s">
        <v>691</v>
      </c>
      <c r="AQ97" s="60" t="s">
        <v>592</v>
      </c>
      <c r="AR97" s="61">
        <v>44496</v>
      </c>
      <c r="AS97" s="60">
        <v>6001951161</v>
      </c>
      <c r="AT97" s="61">
        <v>44496</v>
      </c>
      <c r="AU97" s="60" t="s">
        <v>594</v>
      </c>
      <c r="AV97" s="61">
        <v>44509</v>
      </c>
      <c r="AW97" s="91">
        <v>44530</v>
      </c>
      <c r="AX97" s="91">
        <v>44550</v>
      </c>
      <c r="AY97" s="99">
        <v>210720</v>
      </c>
      <c r="AZ97" s="99">
        <f>ROUNDDOWN(AY97+(AY97*MASTER!$A$2/100),0)</f>
        <v>231792</v>
      </c>
      <c r="BA97" s="60" t="s">
        <v>317</v>
      </c>
      <c r="BB97" s="64">
        <v>35000</v>
      </c>
      <c r="BC97" s="64">
        <v>38500</v>
      </c>
      <c r="BD97" s="60" t="s">
        <v>183</v>
      </c>
      <c r="BG97" s="64">
        <v>0</v>
      </c>
      <c r="BI97" s="60" t="s">
        <v>267</v>
      </c>
      <c r="BJ97" s="64">
        <v>76375</v>
      </c>
      <c r="BK97" s="64">
        <v>84012.5</v>
      </c>
      <c r="BL97" s="60" t="s">
        <v>493</v>
      </c>
      <c r="BS97" s="64">
        <v>0</v>
      </c>
      <c r="BV97" s="65">
        <v>112200</v>
      </c>
      <c r="BW97" s="65">
        <v>122512.5</v>
      </c>
      <c r="BX97" s="65">
        <v>44488</v>
      </c>
      <c r="BY97" s="65">
        <v>-10312.5</v>
      </c>
      <c r="BZ97" s="81">
        <v>-9.1911764705882355</v>
      </c>
    </row>
    <row r="98" spans="1:89" x14ac:dyDescent="0.15">
      <c r="A98" s="60">
        <v>1</v>
      </c>
      <c r="B98" s="61">
        <v>44489</v>
      </c>
      <c r="C98" s="61">
        <v>44498</v>
      </c>
      <c r="F98" s="61" t="s">
        <v>309</v>
      </c>
      <c r="H98" s="61" t="s">
        <v>309</v>
      </c>
      <c r="J98" s="60">
        <v>2</v>
      </c>
      <c r="L98" s="60">
        <v>0</v>
      </c>
      <c r="M98" s="61">
        <v>44488</v>
      </c>
      <c r="O98" s="62" t="s">
        <v>331</v>
      </c>
      <c r="P98" s="60" t="s">
        <v>77</v>
      </c>
      <c r="Q98" s="62" t="s">
        <v>105</v>
      </c>
      <c r="R98" s="62" t="s">
        <v>488</v>
      </c>
      <c r="S98" s="63" t="s">
        <v>489</v>
      </c>
      <c r="T98" s="63" t="s">
        <v>490</v>
      </c>
      <c r="U98" s="64">
        <v>9880</v>
      </c>
      <c r="V98" s="64">
        <v>10868</v>
      </c>
      <c r="W98" s="64">
        <v>9880</v>
      </c>
      <c r="X98" s="64">
        <v>10868</v>
      </c>
      <c r="Z98" s="64">
        <v>0</v>
      </c>
      <c r="AD98" s="60">
        <v>0</v>
      </c>
      <c r="AG98" s="60">
        <v>0</v>
      </c>
      <c r="AJ98" s="60">
        <v>0</v>
      </c>
      <c r="AQ98" s="60" t="s">
        <v>491</v>
      </c>
      <c r="AR98" s="61">
        <v>44488</v>
      </c>
      <c r="AS98" s="60">
        <v>6001948005</v>
      </c>
      <c r="AT98" s="61">
        <v>44488</v>
      </c>
      <c r="AU98" s="60" t="s">
        <v>523</v>
      </c>
      <c r="AV98" s="61">
        <v>44498</v>
      </c>
      <c r="AW98" s="91">
        <v>44500</v>
      </c>
      <c r="AX98" s="91">
        <v>44520</v>
      </c>
      <c r="AY98" s="107">
        <v>9880</v>
      </c>
      <c r="AZ98" s="107">
        <f>ROUNDDOWN(AY98+(AY98*MASTER!$A$2/100),0)</f>
        <v>10868</v>
      </c>
      <c r="BC98" s="64">
        <v>0</v>
      </c>
      <c r="BG98" s="64">
        <v>0</v>
      </c>
      <c r="BK98" s="64">
        <v>0</v>
      </c>
      <c r="BS98" s="64">
        <v>0</v>
      </c>
      <c r="BV98" s="65">
        <v>10868</v>
      </c>
      <c r="BW98" s="65">
        <v>0</v>
      </c>
      <c r="BX98" s="65">
        <v>44488</v>
      </c>
      <c r="BY98" s="65">
        <v>10868</v>
      </c>
      <c r="BZ98" s="81">
        <v>100</v>
      </c>
    </row>
    <row r="99" spans="1:89" x14ac:dyDescent="0.15">
      <c r="A99" s="60">
        <v>1</v>
      </c>
      <c r="B99" s="61">
        <v>44567</v>
      </c>
      <c r="C99" s="61">
        <v>44581</v>
      </c>
      <c r="F99" s="61" t="s">
        <v>309</v>
      </c>
      <c r="H99" s="61" t="s">
        <v>309</v>
      </c>
      <c r="J99" s="60">
        <v>3</v>
      </c>
      <c r="L99" s="60">
        <v>0</v>
      </c>
      <c r="M99" s="61">
        <v>44489</v>
      </c>
      <c r="O99" s="62" t="s">
        <v>331</v>
      </c>
      <c r="P99" s="60" t="s">
        <v>6</v>
      </c>
      <c r="Q99" s="62" t="s">
        <v>105</v>
      </c>
      <c r="R99" s="62" t="s">
        <v>551</v>
      </c>
      <c r="S99" s="63" t="s">
        <v>552</v>
      </c>
      <c r="T99" s="63" t="s">
        <v>463</v>
      </c>
      <c r="U99" s="64">
        <v>9000</v>
      </c>
      <c r="V99" s="64">
        <v>9900</v>
      </c>
      <c r="W99" s="64">
        <v>0</v>
      </c>
      <c r="X99" s="64">
        <v>0</v>
      </c>
      <c r="Y99" s="64">
        <v>9000</v>
      </c>
      <c r="Z99" s="64">
        <v>9900</v>
      </c>
      <c r="AD99" s="60">
        <v>0</v>
      </c>
      <c r="AG99" s="60">
        <v>0</v>
      </c>
      <c r="AJ99" s="60">
        <v>0</v>
      </c>
      <c r="AQ99" s="60" t="s">
        <v>1639</v>
      </c>
      <c r="AR99" s="61">
        <v>44529</v>
      </c>
      <c r="AS99" s="60">
        <v>6001963225</v>
      </c>
      <c r="AT99" s="61">
        <v>44530</v>
      </c>
      <c r="AU99" s="60" t="s">
        <v>1077</v>
      </c>
      <c r="AV99" s="61">
        <v>44581</v>
      </c>
      <c r="AW99" s="91">
        <v>44592</v>
      </c>
      <c r="AX99" s="91">
        <v>44612</v>
      </c>
      <c r="AY99" s="99">
        <v>8640</v>
      </c>
      <c r="AZ99" s="99">
        <f>ROUNDDOWN(AY99+(AY99*MASTER!$A$2/100),0)</f>
        <v>9504</v>
      </c>
      <c r="BC99" s="64">
        <v>0</v>
      </c>
      <c r="BG99" s="64">
        <v>0</v>
      </c>
      <c r="BK99" s="64">
        <v>0</v>
      </c>
      <c r="BS99" s="64">
        <v>0</v>
      </c>
      <c r="BV99" s="65">
        <v>0</v>
      </c>
      <c r="BW99" s="65">
        <v>0</v>
      </c>
      <c r="BX99" s="65">
        <v>44489</v>
      </c>
      <c r="BY99" s="65">
        <v>0</v>
      </c>
      <c r="BZ99" s="81" t="s">
        <v>309</v>
      </c>
    </row>
    <row r="100" spans="1:89" s="152" customFormat="1" x14ac:dyDescent="0.15">
      <c r="A100" s="142">
        <v>3</v>
      </c>
      <c r="B100" s="143"/>
      <c r="C100" s="143" t="s">
        <v>309</v>
      </c>
      <c r="D100" s="143"/>
      <c r="E100" s="143"/>
      <c r="F100" s="143" t="s">
        <v>309</v>
      </c>
      <c r="G100" s="143"/>
      <c r="H100" s="143" t="s">
        <v>309</v>
      </c>
      <c r="I100" s="142"/>
      <c r="J100" s="142">
        <v>2</v>
      </c>
      <c r="K100" s="143"/>
      <c r="L100" s="142">
        <v>0</v>
      </c>
      <c r="M100" s="143">
        <v>44490</v>
      </c>
      <c r="N100" s="143"/>
      <c r="O100" s="144" t="s">
        <v>331</v>
      </c>
      <c r="P100" s="142" t="s">
        <v>6</v>
      </c>
      <c r="Q100" s="144" t="s">
        <v>105</v>
      </c>
      <c r="R100" s="144" t="s">
        <v>963</v>
      </c>
      <c r="S100" s="145" t="s">
        <v>363</v>
      </c>
      <c r="T100" s="145" t="s">
        <v>964</v>
      </c>
      <c r="U100" s="146">
        <v>234000</v>
      </c>
      <c r="V100" s="146">
        <v>257400</v>
      </c>
      <c r="W100" s="146">
        <v>234000</v>
      </c>
      <c r="X100" s="146">
        <v>257400</v>
      </c>
      <c r="Y100" s="146"/>
      <c r="Z100" s="146">
        <v>0</v>
      </c>
      <c r="AA100" s="143"/>
      <c r="AB100" s="143"/>
      <c r="AC100" s="143"/>
      <c r="AD100" s="142">
        <v>0</v>
      </c>
      <c r="AE100" s="142"/>
      <c r="AF100" s="142"/>
      <c r="AG100" s="142">
        <v>0</v>
      </c>
      <c r="AH100" s="142"/>
      <c r="AI100" s="142"/>
      <c r="AJ100" s="142">
        <v>0</v>
      </c>
      <c r="AK100" s="142"/>
      <c r="AL100" s="142"/>
      <c r="AM100" s="142"/>
      <c r="AN100" s="142" t="s">
        <v>309</v>
      </c>
      <c r="AO100" s="143"/>
      <c r="AP100" s="142"/>
      <c r="AQ100" s="142"/>
      <c r="AR100" s="143"/>
      <c r="AS100" s="142"/>
      <c r="AT100" s="143"/>
      <c r="AU100" s="142"/>
      <c r="AV100" s="143"/>
      <c r="AW100" s="147"/>
      <c r="AX100" s="147"/>
      <c r="AY100" s="154">
        <v>234000</v>
      </c>
      <c r="AZ100" s="154">
        <f>ROUNDDOWN(AY100+(AY100*MASTER!$A$2/100),0)</f>
        <v>257400</v>
      </c>
      <c r="BA100" s="142"/>
      <c r="BB100" s="146"/>
      <c r="BC100" s="146">
        <v>0</v>
      </c>
      <c r="BD100" s="142"/>
      <c r="BE100" s="142"/>
      <c r="BF100" s="146"/>
      <c r="BG100" s="146">
        <v>0</v>
      </c>
      <c r="BH100" s="142"/>
      <c r="BI100" s="142"/>
      <c r="BJ100" s="146"/>
      <c r="BK100" s="146">
        <v>0</v>
      </c>
      <c r="BL100" s="142"/>
      <c r="BM100" s="146"/>
      <c r="BN100" s="146"/>
      <c r="BO100" s="146"/>
      <c r="BP100" s="146"/>
      <c r="BQ100" s="146"/>
      <c r="BR100" s="146"/>
      <c r="BS100" s="146">
        <v>0</v>
      </c>
      <c r="BT100" s="149"/>
      <c r="BU100" s="149"/>
      <c r="BV100" s="150">
        <v>257400</v>
      </c>
      <c r="BW100" s="150">
        <v>0</v>
      </c>
      <c r="BX100" s="150">
        <v>44490</v>
      </c>
      <c r="BY100" s="150">
        <v>257400</v>
      </c>
      <c r="BZ100" s="151">
        <v>100</v>
      </c>
      <c r="CA100" s="142"/>
      <c r="CB100" s="142"/>
      <c r="CC100" s="142"/>
      <c r="CD100" s="145" t="s">
        <v>965</v>
      </c>
      <c r="CE100" s="143"/>
      <c r="CF100" s="143"/>
      <c r="CG100" s="143"/>
      <c r="CH100" s="143"/>
      <c r="CI100" s="143"/>
      <c r="CJ100" s="143"/>
      <c r="CK100" s="146"/>
    </row>
    <row r="101" spans="1:89" x14ac:dyDescent="0.15">
      <c r="A101" s="60">
        <v>2</v>
      </c>
      <c r="B101" s="61">
        <v>44536</v>
      </c>
      <c r="C101" s="61">
        <v>44539</v>
      </c>
      <c r="D101" s="61">
        <v>44574</v>
      </c>
      <c r="E101" s="61">
        <v>44543</v>
      </c>
      <c r="F101" s="61">
        <v>44546</v>
      </c>
      <c r="G101" s="61">
        <v>44543</v>
      </c>
      <c r="H101" s="61">
        <v>44542</v>
      </c>
      <c r="I101" s="60" t="s">
        <v>511</v>
      </c>
      <c r="J101" s="60">
        <v>1</v>
      </c>
      <c r="L101" s="60">
        <v>0</v>
      </c>
      <c r="M101" s="61">
        <v>44490</v>
      </c>
      <c r="O101" s="62" t="s">
        <v>331</v>
      </c>
      <c r="P101" s="60" t="s">
        <v>26</v>
      </c>
      <c r="Q101" s="62" t="s">
        <v>105</v>
      </c>
      <c r="R101" s="62" t="s">
        <v>1050</v>
      </c>
      <c r="S101" s="63" t="s">
        <v>1051</v>
      </c>
      <c r="T101" s="63" t="s">
        <v>686</v>
      </c>
      <c r="U101" s="64">
        <v>165500</v>
      </c>
      <c r="V101" s="64">
        <v>182050</v>
      </c>
      <c r="W101" s="64">
        <v>102000</v>
      </c>
      <c r="X101" s="64">
        <v>112200</v>
      </c>
      <c r="Y101" s="64">
        <v>63500</v>
      </c>
      <c r="Z101" s="64">
        <v>69850</v>
      </c>
      <c r="AA101" s="61">
        <v>44537</v>
      </c>
      <c r="AB101" s="61">
        <v>44539</v>
      </c>
      <c r="AC101" s="61">
        <v>44539</v>
      </c>
      <c r="AD101" s="60">
        <v>0</v>
      </c>
      <c r="AG101" s="60">
        <v>0</v>
      </c>
      <c r="AJ101" s="60">
        <v>0</v>
      </c>
      <c r="AM101" s="60" t="s">
        <v>273</v>
      </c>
      <c r="AN101" s="60" t="s">
        <v>1052</v>
      </c>
      <c r="AQ101" s="60" t="s">
        <v>809</v>
      </c>
      <c r="AR101" s="61">
        <v>44512</v>
      </c>
      <c r="AS101" s="60">
        <v>6001957224</v>
      </c>
      <c r="AT101" s="61">
        <v>44512</v>
      </c>
      <c r="AU101" s="60" t="s">
        <v>819</v>
      </c>
      <c r="AV101" s="61">
        <v>44539</v>
      </c>
      <c r="AW101" s="91">
        <v>44561</v>
      </c>
      <c r="AX101" s="91">
        <v>44581</v>
      </c>
      <c r="AY101" s="99">
        <v>158880</v>
      </c>
      <c r="AZ101" s="99">
        <f>ROUNDDOWN(AY101+(AY101*MASTER!$A$2/100),0)</f>
        <v>174768</v>
      </c>
      <c r="BA101" s="60" t="s">
        <v>613</v>
      </c>
      <c r="BB101" s="64">
        <v>30000</v>
      </c>
      <c r="BC101" s="64">
        <v>33000</v>
      </c>
      <c r="BD101" s="60" t="s">
        <v>184</v>
      </c>
      <c r="BG101" s="64">
        <v>0</v>
      </c>
      <c r="BI101" s="60" t="s">
        <v>748</v>
      </c>
      <c r="BJ101" s="64">
        <v>41275</v>
      </c>
      <c r="BK101" s="64">
        <v>45402.5</v>
      </c>
      <c r="BL101" s="60" t="s">
        <v>184</v>
      </c>
      <c r="BS101" s="64">
        <v>0</v>
      </c>
      <c r="BV101" s="65">
        <v>112200</v>
      </c>
      <c r="BW101" s="65">
        <v>78402.5</v>
      </c>
      <c r="BX101" s="65">
        <v>44490</v>
      </c>
      <c r="BY101" s="65">
        <v>33797.5</v>
      </c>
      <c r="BZ101" s="81">
        <v>30.122549019607842</v>
      </c>
    </row>
    <row r="102" spans="1:89" x14ac:dyDescent="0.15">
      <c r="A102" s="60">
        <v>2</v>
      </c>
      <c r="B102" s="61">
        <v>44518</v>
      </c>
      <c r="C102" s="61">
        <v>44527</v>
      </c>
      <c r="D102" s="61">
        <v>44535</v>
      </c>
      <c r="E102" s="61">
        <v>44530</v>
      </c>
      <c r="F102" s="61">
        <v>44534</v>
      </c>
      <c r="G102" s="61">
        <v>44524</v>
      </c>
      <c r="H102" s="61">
        <v>44530</v>
      </c>
      <c r="I102" s="60" t="s">
        <v>511</v>
      </c>
      <c r="J102" s="60">
        <v>1</v>
      </c>
      <c r="L102" s="60">
        <v>0</v>
      </c>
      <c r="M102" s="61">
        <v>44490</v>
      </c>
      <c r="O102" s="62" t="s">
        <v>331</v>
      </c>
      <c r="P102" s="60" t="s">
        <v>26</v>
      </c>
      <c r="Q102" s="62" t="s">
        <v>105</v>
      </c>
      <c r="R102" s="62" t="s">
        <v>508</v>
      </c>
      <c r="S102" s="63" t="s">
        <v>509</v>
      </c>
      <c r="T102" s="63" t="s">
        <v>442</v>
      </c>
      <c r="U102" s="64">
        <v>285000</v>
      </c>
      <c r="V102" s="64">
        <v>313500</v>
      </c>
      <c r="W102" s="64">
        <v>273000</v>
      </c>
      <c r="X102" s="64">
        <v>300300</v>
      </c>
      <c r="Y102" s="64">
        <v>12000</v>
      </c>
      <c r="Z102" s="64">
        <v>13200</v>
      </c>
      <c r="AA102" s="61">
        <v>44522</v>
      </c>
      <c r="AB102" s="61">
        <v>44527</v>
      </c>
      <c r="AC102" s="61">
        <v>44527</v>
      </c>
      <c r="AD102" s="60">
        <v>0</v>
      </c>
      <c r="AG102" s="60">
        <v>0</v>
      </c>
      <c r="AJ102" s="60">
        <v>0</v>
      </c>
      <c r="AM102" s="60" t="s">
        <v>273</v>
      </c>
      <c r="AN102" s="60" t="s">
        <v>510</v>
      </c>
      <c r="AQ102" s="60" t="s">
        <v>810</v>
      </c>
      <c r="AR102" s="61">
        <v>44512</v>
      </c>
      <c r="AS102" s="60">
        <v>6001957224</v>
      </c>
      <c r="AT102" s="61">
        <v>44512</v>
      </c>
      <c r="AU102" s="60" t="s">
        <v>819</v>
      </c>
      <c r="AV102" s="61">
        <v>44527</v>
      </c>
      <c r="AW102" s="91">
        <v>44530</v>
      </c>
      <c r="AX102" s="91">
        <v>44550</v>
      </c>
      <c r="AY102" s="99">
        <v>273600</v>
      </c>
      <c r="AZ102" s="99">
        <f>ROUNDDOWN(AY102+(AY102*MASTER!$A$2/100),0)</f>
        <v>300960</v>
      </c>
      <c r="BA102" s="60" t="s">
        <v>613</v>
      </c>
      <c r="BB102" s="64">
        <v>31000</v>
      </c>
      <c r="BC102" s="64">
        <v>34100</v>
      </c>
      <c r="BD102" s="60" t="s">
        <v>183</v>
      </c>
      <c r="BG102" s="64">
        <v>0</v>
      </c>
      <c r="BI102" s="60" t="s">
        <v>748</v>
      </c>
      <c r="BJ102" s="64">
        <v>7800</v>
      </c>
      <c r="BK102" s="64">
        <v>8580</v>
      </c>
      <c r="BL102" s="60" t="s">
        <v>183</v>
      </c>
      <c r="BS102" s="64">
        <v>0</v>
      </c>
      <c r="BV102" s="65">
        <v>300300</v>
      </c>
      <c r="BW102" s="65">
        <v>42680</v>
      </c>
      <c r="BX102" s="65">
        <v>44490</v>
      </c>
      <c r="BY102" s="65">
        <v>257620</v>
      </c>
      <c r="BZ102" s="81">
        <v>85.787545787545781</v>
      </c>
    </row>
    <row r="103" spans="1:89" x14ac:dyDescent="0.15">
      <c r="A103" s="60">
        <v>2</v>
      </c>
      <c r="B103" s="61">
        <v>44530</v>
      </c>
      <c r="C103" s="61">
        <v>44536</v>
      </c>
      <c r="D103" s="61">
        <v>44574</v>
      </c>
      <c r="E103" s="61">
        <v>44537</v>
      </c>
      <c r="F103" s="61">
        <v>44543</v>
      </c>
      <c r="G103" s="61">
        <v>44537</v>
      </c>
      <c r="H103" s="61">
        <v>44539</v>
      </c>
      <c r="I103" s="60" t="s">
        <v>511</v>
      </c>
      <c r="J103" s="60">
        <v>1</v>
      </c>
      <c r="K103" s="61">
        <v>44515</v>
      </c>
      <c r="L103" s="60" t="s">
        <v>529</v>
      </c>
      <c r="M103" s="61">
        <v>44490</v>
      </c>
      <c r="O103" s="62" t="s">
        <v>331</v>
      </c>
      <c r="P103" s="60" t="s">
        <v>26</v>
      </c>
      <c r="Q103" s="62" t="s">
        <v>105</v>
      </c>
      <c r="R103" s="62" t="s">
        <v>820</v>
      </c>
      <c r="S103" s="63" t="s">
        <v>482</v>
      </c>
      <c r="T103" s="63" t="s">
        <v>607</v>
      </c>
      <c r="U103" s="64">
        <v>635270</v>
      </c>
      <c r="V103" s="64">
        <v>698797</v>
      </c>
      <c r="W103" s="64">
        <v>499570</v>
      </c>
      <c r="X103" s="64">
        <v>549527</v>
      </c>
      <c r="Y103" s="64">
        <v>135700</v>
      </c>
      <c r="Z103" s="64">
        <v>149270</v>
      </c>
      <c r="AA103" s="61">
        <v>44529</v>
      </c>
      <c r="AB103" s="61">
        <v>44536</v>
      </c>
      <c r="AC103" s="61">
        <v>44536</v>
      </c>
      <c r="AD103" s="60">
        <v>0</v>
      </c>
      <c r="AG103" s="60">
        <v>0</v>
      </c>
      <c r="AJ103" s="60">
        <v>0</v>
      </c>
      <c r="AM103" s="60" t="s">
        <v>273</v>
      </c>
      <c r="AN103" s="60" t="s">
        <v>821</v>
      </c>
      <c r="AQ103" s="60" t="s">
        <v>959</v>
      </c>
      <c r="AR103" s="61">
        <v>44526</v>
      </c>
      <c r="AS103" s="60">
        <v>6001962384</v>
      </c>
      <c r="AT103" s="61">
        <v>44529</v>
      </c>
      <c r="AU103" s="60" t="s">
        <v>995</v>
      </c>
      <c r="AV103" s="61">
        <v>44536</v>
      </c>
      <c r="AW103" s="91">
        <v>44561</v>
      </c>
      <c r="AX103" s="91">
        <v>44581</v>
      </c>
      <c r="AY103" s="99">
        <v>609859</v>
      </c>
      <c r="AZ103" s="99">
        <v>670845</v>
      </c>
      <c r="BA103" s="60" t="s">
        <v>314</v>
      </c>
      <c r="BB103" s="64">
        <v>237400</v>
      </c>
      <c r="BC103" s="64">
        <v>261140</v>
      </c>
      <c r="BD103" s="60" t="s">
        <v>184</v>
      </c>
      <c r="BG103" s="64">
        <v>0</v>
      </c>
      <c r="BI103" s="60" t="s">
        <v>748</v>
      </c>
      <c r="BJ103" s="64">
        <v>88205</v>
      </c>
      <c r="BK103" s="64">
        <v>97025.5</v>
      </c>
      <c r="BL103" s="60" t="s">
        <v>184</v>
      </c>
      <c r="BS103" s="64">
        <v>0</v>
      </c>
      <c r="BV103" s="65">
        <v>549527</v>
      </c>
      <c r="BW103" s="65">
        <v>358165.5</v>
      </c>
      <c r="BX103" s="65">
        <v>0</v>
      </c>
      <c r="BY103" s="65">
        <v>44515</v>
      </c>
      <c r="BZ103" s="81">
        <v>34.822947735052146</v>
      </c>
    </row>
    <row r="104" spans="1:89" x14ac:dyDescent="0.15">
      <c r="A104" s="60">
        <v>1</v>
      </c>
      <c r="B104" s="61">
        <v>44509</v>
      </c>
      <c r="C104" s="61">
        <v>44510</v>
      </c>
      <c r="F104" s="61" t="s">
        <v>309</v>
      </c>
      <c r="H104" s="61" t="s">
        <v>309</v>
      </c>
      <c r="J104" s="60">
        <v>2</v>
      </c>
      <c r="L104" s="60">
        <v>0</v>
      </c>
      <c r="M104" s="61">
        <v>44490</v>
      </c>
      <c r="O104" s="62" t="s">
        <v>331</v>
      </c>
      <c r="P104" s="60" t="s">
        <v>77</v>
      </c>
      <c r="Q104" s="62" t="s">
        <v>105</v>
      </c>
      <c r="R104" s="62" t="s">
        <v>512</v>
      </c>
      <c r="S104" s="63" t="s">
        <v>513</v>
      </c>
      <c r="T104" s="63" t="s">
        <v>518</v>
      </c>
      <c r="U104" s="64">
        <v>65000</v>
      </c>
      <c r="V104" s="64">
        <v>71500</v>
      </c>
      <c r="W104" s="64">
        <v>65000</v>
      </c>
      <c r="X104" s="64">
        <v>71500</v>
      </c>
      <c r="Y104" s="64">
        <v>0</v>
      </c>
      <c r="Z104" s="64">
        <v>0</v>
      </c>
      <c r="AA104" s="61">
        <v>44490</v>
      </c>
      <c r="AB104" s="61">
        <v>44491</v>
      </c>
      <c r="AD104" s="60">
        <v>0</v>
      </c>
      <c r="AG104" s="60">
        <v>0</v>
      </c>
      <c r="AJ104" s="60">
        <v>0</v>
      </c>
      <c r="AQ104" s="60" t="s">
        <v>735</v>
      </c>
      <c r="AR104" s="61">
        <v>44508</v>
      </c>
      <c r="AS104" s="60">
        <v>6001955415</v>
      </c>
      <c r="AT104" s="61">
        <v>44508</v>
      </c>
      <c r="AU104" s="60" t="s">
        <v>739</v>
      </c>
      <c r="AV104" s="61">
        <v>44510</v>
      </c>
      <c r="AW104" s="91">
        <v>44530</v>
      </c>
      <c r="AX104" s="91">
        <v>44550</v>
      </c>
      <c r="AY104" s="107">
        <v>65000</v>
      </c>
      <c r="AZ104" s="107">
        <f>ROUNDDOWN(AY104+(AY104*MASTER!$A$2/100),0)</f>
        <v>71500</v>
      </c>
      <c r="BC104" s="64">
        <v>0</v>
      </c>
      <c r="BG104" s="64">
        <v>0</v>
      </c>
      <c r="BK104" s="64">
        <v>0</v>
      </c>
      <c r="BS104" s="64">
        <v>0</v>
      </c>
      <c r="BV104" s="65">
        <v>71500</v>
      </c>
      <c r="BW104" s="65">
        <v>0</v>
      </c>
      <c r="BX104" s="65">
        <v>44490</v>
      </c>
      <c r="BY104" s="65">
        <v>71500</v>
      </c>
      <c r="BZ104" s="81">
        <v>100</v>
      </c>
    </row>
    <row r="105" spans="1:89" x14ac:dyDescent="0.15">
      <c r="A105" s="60">
        <v>2</v>
      </c>
      <c r="B105" s="61">
        <v>44551</v>
      </c>
      <c r="C105" s="61">
        <v>44555</v>
      </c>
      <c r="D105" s="61">
        <v>44574</v>
      </c>
      <c r="E105" s="61">
        <v>44558</v>
      </c>
      <c r="F105" s="61">
        <v>44562</v>
      </c>
      <c r="G105" s="61">
        <v>44557</v>
      </c>
      <c r="H105" s="61">
        <v>44558</v>
      </c>
      <c r="I105" s="60" t="s">
        <v>511</v>
      </c>
      <c r="J105" s="60">
        <v>1</v>
      </c>
      <c r="L105" s="60">
        <v>0</v>
      </c>
      <c r="M105" s="61">
        <v>44490</v>
      </c>
      <c r="O105" s="62" t="s">
        <v>331</v>
      </c>
      <c r="P105" s="60" t="s">
        <v>26</v>
      </c>
      <c r="Q105" s="62" t="s">
        <v>105</v>
      </c>
      <c r="R105" s="62" t="s">
        <v>519</v>
      </c>
      <c r="S105" s="63" t="s">
        <v>520</v>
      </c>
      <c r="T105" s="63" t="s">
        <v>521</v>
      </c>
      <c r="U105" s="64">
        <v>200700</v>
      </c>
      <c r="V105" s="64">
        <v>220770</v>
      </c>
      <c r="W105" s="64">
        <v>102000</v>
      </c>
      <c r="X105" s="64">
        <v>112200</v>
      </c>
      <c r="Y105" s="64">
        <v>98700</v>
      </c>
      <c r="Z105" s="64">
        <v>108570</v>
      </c>
      <c r="AA105" s="61">
        <v>44551</v>
      </c>
      <c r="AB105" s="61">
        <v>44555</v>
      </c>
      <c r="AC105" s="61">
        <v>44555</v>
      </c>
      <c r="AD105" s="60">
        <v>0</v>
      </c>
      <c r="AG105" s="60">
        <v>0</v>
      </c>
      <c r="AJ105" s="60">
        <v>0</v>
      </c>
      <c r="AM105" s="60" t="s">
        <v>273</v>
      </c>
      <c r="AN105" s="60" t="s">
        <v>522</v>
      </c>
      <c r="AQ105" s="60" t="s">
        <v>861</v>
      </c>
      <c r="AR105" s="61">
        <v>44516</v>
      </c>
      <c r="AS105" s="60">
        <v>6001958558</v>
      </c>
      <c r="AT105" s="61">
        <v>44517</v>
      </c>
      <c r="AU105" s="60" t="s">
        <v>878</v>
      </c>
      <c r="AV105" s="61">
        <v>44555</v>
      </c>
      <c r="AW105" s="91">
        <v>44561</v>
      </c>
      <c r="AX105" s="91">
        <v>44581</v>
      </c>
      <c r="AY105" s="99">
        <v>192672</v>
      </c>
      <c r="AZ105" s="99">
        <f>ROUNDDOWN(AY105+(AY105*MASTER!$A$2/100),0)</f>
        <v>211939</v>
      </c>
      <c r="BA105" s="60" t="s">
        <v>765</v>
      </c>
      <c r="BC105" s="64">
        <v>0</v>
      </c>
      <c r="BG105" s="64">
        <v>0</v>
      </c>
      <c r="BI105" s="60" t="s">
        <v>748</v>
      </c>
      <c r="BJ105" s="64">
        <v>64155</v>
      </c>
      <c r="BK105" s="64">
        <v>70570.5</v>
      </c>
      <c r="BL105" s="60" t="s">
        <v>184</v>
      </c>
      <c r="BS105" s="64">
        <v>0</v>
      </c>
      <c r="BV105" s="65">
        <v>112200</v>
      </c>
      <c r="BW105" s="65">
        <v>70570.5</v>
      </c>
      <c r="BX105" s="65">
        <v>44490</v>
      </c>
      <c r="BY105" s="65">
        <v>41629.5</v>
      </c>
      <c r="BZ105" s="81">
        <v>37.102941176470587</v>
      </c>
    </row>
    <row r="106" spans="1:89" x14ac:dyDescent="0.15">
      <c r="A106" s="60">
        <v>2</v>
      </c>
      <c r="B106" s="61">
        <v>44501</v>
      </c>
      <c r="C106" s="61">
        <v>44505</v>
      </c>
      <c r="D106" s="61">
        <v>44491</v>
      </c>
      <c r="E106" s="61">
        <v>44491</v>
      </c>
      <c r="F106" s="61" t="s">
        <v>309</v>
      </c>
      <c r="G106" s="61">
        <v>44491</v>
      </c>
      <c r="H106" s="61" t="s">
        <v>309</v>
      </c>
      <c r="I106" s="60" t="s">
        <v>766</v>
      </c>
      <c r="J106" s="60">
        <v>2</v>
      </c>
      <c r="L106" s="60">
        <v>0</v>
      </c>
      <c r="M106" s="61">
        <v>44491</v>
      </c>
      <c r="O106" s="62" t="s">
        <v>331</v>
      </c>
      <c r="P106" s="60" t="s">
        <v>6</v>
      </c>
      <c r="Q106" s="62" t="s">
        <v>105</v>
      </c>
      <c r="R106" s="62" t="s">
        <v>539</v>
      </c>
      <c r="S106" s="63" t="s">
        <v>540</v>
      </c>
      <c r="T106" s="63" t="s">
        <v>364</v>
      </c>
      <c r="U106" s="64">
        <v>35000</v>
      </c>
      <c r="V106" s="64">
        <v>38500</v>
      </c>
      <c r="W106" s="64">
        <v>35000</v>
      </c>
      <c r="X106" s="64">
        <v>38500</v>
      </c>
      <c r="Z106" s="64">
        <v>0</v>
      </c>
      <c r="AA106" s="61">
        <v>44491</v>
      </c>
      <c r="AB106" s="61">
        <v>44491</v>
      </c>
      <c r="AD106" s="60">
        <v>0</v>
      </c>
      <c r="AG106" s="60">
        <v>0</v>
      </c>
      <c r="AJ106" s="60">
        <v>0</v>
      </c>
      <c r="AN106" s="60" t="s">
        <v>309</v>
      </c>
      <c r="AQ106" s="60" t="s">
        <v>614</v>
      </c>
      <c r="AR106" s="61">
        <v>44498</v>
      </c>
      <c r="AS106" s="60">
        <v>6001952234</v>
      </c>
      <c r="AT106" s="61">
        <v>44498</v>
      </c>
      <c r="AU106" s="60" t="s">
        <v>631</v>
      </c>
      <c r="AV106" s="61">
        <v>44505</v>
      </c>
      <c r="AW106" s="91">
        <v>44530</v>
      </c>
      <c r="AX106" s="91">
        <v>44550</v>
      </c>
      <c r="AY106" s="99">
        <v>33600</v>
      </c>
      <c r="AZ106" s="99">
        <f>ROUNDDOWN(AY106+(AY106*MASTER!$A$2/100),0)</f>
        <v>36960</v>
      </c>
      <c r="BA106" s="60" t="s">
        <v>613</v>
      </c>
      <c r="BB106" s="64">
        <v>28000</v>
      </c>
      <c r="BC106" s="64">
        <v>30800</v>
      </c>
      <c r="BD106" s="60" t="s">
        <v>182</v>
      </c>
      <c r="BG106" s="64">
        <v>0</v>
      </c>
      <c r="BK106" s="64">
        <v>0</v>
      </c>
      <c r="BS106" s="64">
        <v>0</v>
      </c>
      <c r="BV106" s="65">
        <v>38500</v>
      </c>
      <c r="BW106" s="65">
        <v>30800</v>
      </c>
      <c r="BX106" s="65">
        <v>44491</v>
      </c>
      <c r="BY106" s="65">
        <v>7700</v>
      </c>
      <c r="BZ106" s="81">
        <v>20</v>
      </c>
    </row>
    <row r="107" spans="1:89" x14ac:dyDescent="0.15">
      <c r="A107" s="60">
        <v>2</v>
      </c>
      <c r="B107" s="61">
        <v>44532</v>
      </c>
      <c r="C107" s="61">
        <v>44536</v>
      </c>
      <c r="D107" s="61">
        <v>44568</v>
      </c>
      <c r="E107" s="61">
        <v>44537</v>
      </c>
      <c r="F107" s="61">
        <v>44543</v>
      </c>
      <c r="G107" s="61">
        <v>44537</v>
      </c>
      <c r="H107" s="61">
        <v>44539</v>
      </c>
      <c r="I107" s="60" t="s">
        <v>511</v>
      </c>
      <c r="J107" s="60">
        <v>1</v>
      </c>
      <c r="L107" s="60">
        <v>0</v>
      </c>
      <c r="M107" s="61">
        <v>44491</v>
      </c>
      <c r="O107" s="62" t="s">
        <v>331</v>
      </c>
      <c r="P107" s="60" t="s">
        <v>26</v>
      </c>
      <c r="Q107" s="62" t="s">
        <v>105</v>
      </c>
      <c r="R107" s="62" t="s">
        <v>1095</v>
      </c>
      <c r="S107" s="63" t="s">
        <v>1096</v>
      </c>
      <c r="T107" s="63" t="s">
        <v>925</v>
      </c>
      <c r="U107" s="64">
        <v>59200</v>
      </c>
      <c r="V107" s="64">
        <v>65120</v>
      </c>
      <c r="W107" s="64">
        <v>47000</v>
      </c>
      <c r="X107" s="64">
        <v>51700</v>
      </c>
      <c r="Y107" s="64">
        <v>12200</v>
      </c>
      <c r="Z107" s="64">
        <v>13420</v>
      </c>
      <c r="AA107" s="61">
        <v>44535</v>
      </c>
      <c r="AB107" s="61">
        <v>44536</v>
      </c>
      <c r="AC107" s="61">
        <v>44536</v>
      </c>
      <c r="AD107" s="60">
        <v>0</v>
      </c>
      <c r="AG107" s="60">
        <v>0</v>
      </c>
      <c r="AJ107" s="60">
        <v>0</v>
      </c>
      <c r="AM107" s="60" t="s">
        <v>273</v>
      </c>
      <c r="AN107" s="60" t="s">
        <v>1097</v>
      </c>
      <c r="AQ107" s="60" t="s">
        <v>876</v>
      </c>
      <c r="AR107" s="61">
        <v>44517</v>
      </c>
      <c r="AS107" s="60">
        <v>6001958882</v>
      </c>
      <c r="AT107" s="61">
        <v>44517</v>
      </c>
      <c r="AU107" s="60" t="s">
        <v>881</v>
      </c>
      <c r="AV107" s="61">
        <v>44536</v>
      </c>
      <c r="AW107" s="91">
        <v>44561</v>
      </c>
      <c r="AX107" s="91">
        <v>44581</v>
      </c>
      <c r="AY107" s="99">
        <v>56832</v>
      </c>
      <c r="AZ107" s="99">
        <f>ROUNDDOWN(AY107+(AY107*MASTER!$A$2/100),0)</f>
        <v>62515</v>
      </c>
      <c r="BA107" s="60" t="s">
        <v>319</v>
      </c>
      <c r="BB107" s="64">
        <v>21000</v>
      </c>
      <c r="BC107" s="64">
        <v>23100</v>
      </c>
      <c r="BD107" s="60" t="s">
        <v>184</v>
      </c>
      <c r="BG107" s="64">
        <v>0</v>
      </c>
      <c r="BI107" s="60" t="s">
        <v>748</v>
      </c>
      <c r="BJ107" s="64">
        <v>7930</v>
      </c>
      <c r="BK107" s="64">
        <v>8723</v>
      </c>
      <c r="BL107" s="60" t="s">
        <v>184</v>
      </c>
      <c r="BS107" s="64">
        <v>0</v>
      </c>
      <c r="BV107" s="65">
        <v>51700</v>
      </c>
      <c r="BW107" s="65">
        <v>31823</v>
      </c>
      <c r="BX107" s="65">
        <v>44491</v>
      </c>
      <c r="BY107" s="65">
        <v>19877</v>
      </c>
      <c r="BZ107" s="81">
        <v>38.446808510638299</v>
      </c>
    </row>
    <row r="108" spans="1:89" s="152" customFormat="1" x14ac:dyDescent="0.15">
      <c r="A108" s="142">
        <v>3</v>
      </c>
      <c r="B108" s="143"/>
      <c r="C108" s="143" t="s">
        <v>309</v>
      </c>
      <c r="D108" s="143"/>
      <c r="E108" s="143"/>
      <c r="F108" s="143" t="s">
        <v>309</v>
      </c>
      <c r="G108" s="143"/>
      <c r="H108" s="143" t="s">
        <v>309</v>
      </c>
      <c r="I108" s="142"/>
      <c r="J108" s="142">
        <v>3</v>
      </c>
      <c r="K108" s="143"/>
      <c r="L108" s="142">
        <v>0</v>
      </c>
      <c r="M108" s="143">
        <v>44491</v>
      </c>
      <c r="N108" s="143"/>
      <c r="O108" s="144" t="s">
        <v>331</v>
      </c>
      <c r="P108" s="142" t="s">
        <v>6</v>
      </c>
      <c r="Q108" s="144" t="s">
        <v>105</v>
      </c>
      <c r="R108" s="144" t="s">
        <v>588</v>
      </c>
      <c r="S108" s="145" t="s">
        <v>589</v>
      </c>
      <c r="T108" s="145" t="s">
        <v>463</v>
      </c>
      <c r="U108" s="146">
        <v>9000</v>
      </c>
      <c r="V108" s="146">
        <v>9900</v>
      </c>
      <c r="W108" s="146">
        <v>0</v>
      </c>
      <c r="X108" s="146">
        <v>0</v>
      </c>
      <c r="Y108" s="146">
        <v>9000</v>
      </c>
      <c r="Z108" s="146">
        <v>9900</v>
      </c>
      <c r="AA108" s="143"/>
      <c r="AB108" s="143"/>
      <c r="AC108" s="143"/>
      <c r="AD108" s="142">
        <v>0</v>
      </c>
      <c r="AE108" s="142"/>
      <c r="AF108" s="142"/>
      <c r="AG108" s="142">
        <v>0</v>
      </c>
      <c r="AH108" s="142"/>
      <c r="AI108" s="142"/>
      <c r="AJ108" s="142">
        <v>0</v>
      </c>
      <c r="AK108" s="142"/>
      <c r="AL108" s="142"/>
      <c r="AM108" s="142"/>
      <c r="AN108" s="142" t="s">
        <v>309</v>
      </c>
      <c r="AO108" s="143"/>
      <c r="AP108" s="142"/>
      <c r="AQ108" s="142"/>
      <c r="AR108" s="143"/>
      <c r="AS108" s="142"/>
      <c r="AT108" s="143"/>
      <c r="AU108" s="142"/>
      <c r="AV108" s="143"/>
      <c r="AW108" s="147"/>
      <c r="AX108" s="147"/>
      <c r="AY108" s="148">
        <v>8640</v>
      </c>
      <c r="AZ108" s="148">
        <f>ROUNDDOWN(AY108+(AY108*MASTER!$A$2/100),0)</f>
        <v>9504</v>
      </c>
      <c r="BA108" s="142"/>
      <c r="BB108" s="146"/>
      <c r="BC108" s="146">
        <v>0</v>
      </c>
      <c r="BD108" s="142"/>
      <c r="BE108" s="142"/>
      <c r="BF108" s="146"/>
      <c r="BG108" s="146">
        <v>0</v>
      </c>
      <c r="BH108" s="142"/>
      <c r="BI108" s="142"/>
      <c r="BJ108" s="146"/>
      <c r="BK108" s="146">
        <v>0</v>
      </c>
      <c r="BL108" s="142"/>
      <c r="BM108" s="146"/>
      <c r="BN108" s="146"/>
      <c r="BO108" s="146"/>
      <c r="BP108" s="146"/>
      <c r="BQ108" s="146"/>
      <c r="BR108" s="146"/>
      <c r="BS108" s="146">
        <v>0</v>
      </c>
      <c r="BT108" s="149"/>
      <c r="BU108" s="149"/>
      <c r="BV108" s="150">
        <v>0</v>
      </c>
      <c r="BW108" s="150">
        <v>0</v>
      </c>
      <c r="BX108" s="150">
        <v>44491</v>
      </c>
      <c r="BY108" s="150">
        <v>0</v>
      </c>
      <c r="BZ108" s="151" t="s">
        <v>309</v>
      </c>
      <c r="CA108" s="142"/>
      <c r="CB108" s="142"/>
      <c r="CC108" s="142"/>
      <c r="CD108" s="145" t="s">
        <v>590</v>
      </c>
      <c r="CE108" s="143"/>
      <c r="CF108" s="143"/>
      <c r="CG108" s="143"/>
      <c r="CH108" s="143"/>
      <c r="CI108" s="143"/>
      <c r="CJ108" s="143"/>
      <c r="CK108" s="146"/>
    </row>
    <row r="109" spans="1:89" x14ac:dyDescent="0.15">
      <c r="A109" s="60">
        <v>2</v>
      </c>
      <c r="B109" s="61">
        <v>44511</v>
      </c>
      <c r="C109" s="61">
        <v>44511</v>
      </c>
      <c r="D109" s="61">
        <v>44508</v>
      </c>
      <c r="E109" s="61">
        <v>44508</v>
      </c>
      <c r="F109" s="61" t="s">
        <v>309</v>
      </c>
      <c r="G109" s="61">
        <v>44508</v>
      </c>
      <c r="H109" s="61" t="s">
        <v>309</v>
      </c>
      <c r="I109" s="60" t="s">
        <v>494</v>
      </c>
      <c r="J109" s="60">
        <v>2</v>
      </c>
      <c r="L109" s="60">
        <v>0</v>
      </c>
      <c r="M109" s="61">
        <v>44494</v>
      </c>
      <c r="O109" s="62" t="s">
        <v>331</v>
      </c>
      <c r="P109" s="60" t="s">
        <v>6</v>
      </c>
      <c r="Q109" s="62" t="s">
        <v>105</v>
      </c>
      <c r="R109" s="62" t="s">
        <v>556</v>
      </c>
      <c r="S109" s="63" t="s">
        <v>557</v>
      </c>
      <c r="T109" s="63" t="s">
        <v>364</v>
      </c>
      <c r="U109" s="64">
        <v>35000</v>
      </c>
      <c r="V109" s="64">
        <v>38500</v>
      </c>
      <c r="W109" s="64">
        <v>35000</v>
      </c>
      <c r="X109" s="64">
        <v>38500</v>
      </c>
      <c r="Z109" s="64">
        <v>0</v>
      </c>
      <c r="AA109" s="61">
        <v>44507</v>
      </c>
      <c r="AB109" s="61">
        <v>44507</v>
      </c>
      <c r="AD109" s="60">
        <v>0</v>
      </c>
      <c r="AG109" s="60">
        <v>0</v>
      </c>
      <c r="AJ109" s="60">
        <v>0</v>
      </c>
      <c r="AN109" s="60" t="s">
        <v>309</v>
      </c>
      <c r="AQ109" s="60" t="s">
        <v>750</v>
      </c>
      <c r="AR109" s="61">
        <v>44509</v>
      </c>
      <c r="AS109" s="60">
        <v>6001955849</v>
      </c>
      <c r="AT109" s="61">
        <v>44510</v>
      </c>
      <c r="AU109" s="60" t="s">
        <v>775</v>
      </c>
      <c r="AV109" s="61">
        <v>44511</v>
      </c>
      <c r="AW109" s="91">
        <v>44530</v>
      </c>
      <c r="AX109" s="91">
        <v>44550</v>
      </c>
      <c r="AY109" s="99">
        <v>33600</v>
      </c>
      <c r="AZ109" s="99">
        <f>ROUNDDOWN(AY109+(AY109*MASTER!$A$2/100),0)</f>
        <v>36960</v>
      </c>
      <c r="BA109" s="60" t="s">
        <v>799</v>
      </c>
      <c r="BB109" s="64">
        <v>21000</v>
      </c>
      <c r="BC109" s="64">
        <v>23100</v>
      </c>
      <c r="BD109" s="60" t="s">
        <v>493</v>
      </c>
      <c r="BG109" s="64">
        <v>0</v>
      </c>
      <c r="BK109" s="64">
        <v>0</v>
      </c>
      <c r="BS109" s="64">
        <v>0</v>
      </c>
      <c r="BV109" s="65">
        <v>38500</v>
      </c>
      <c r="BW109" s="65">
        <v>23100</v>
      </c>
      <c r="BX109" s="65">
        <v>44494</v>
      </c>
      <c r="BY109" s="65">
        <v>15400</v>
      </c>
      <c r="BZ109" s="81">
        <v>40</v>
      </c>
    </row>
    <row r="110" spans="1:89" x14ac:dyDescent="0.15">
      <c r="A110" s="60">
        <v>2</v>
      </c>
      <c r="B110" s="61">
        <v>44501</v>
      </c>
      <c r="C110" s="61">
        <v>44512</v>
      </c>
      <c r="D110" s="61">
        <v>44535</v>
      </c>
      <c r="E110" s="61">
        <v>44515</v>
      </c>
      <c r="F110" s="61">
        <v>44519</v>
      </c>
      <c r="G110" s="61">
        <v>44512</v>
      </c>
      <c r="H110" s="61">
        <v>44515</v>
      </c>
      <c r="I110" s="60" t="s">
        <v>511</v>
      </c>
      <c r="J110" s="60">
        <v>1</v>
      </c>
      <c r="L110" s="60">
        <v>0</v>
      </c>
      <c r="M110" s="61">
        <v>44495</v>
      </c>
      <c r="O110" s="62" t="s">
        <v>331</v>
      </c>
      <c r="P110" s="60" t="s">
        <v>26</v>
      </c>
      <c r="Q110" s="62" t="s">
        <v>105</v>
      </c>
      <c r="R110" s="62" t="s">
        <v>585</v>
      </c>
      <c r="S110" s="63" t="s">
        <v>583</v>
      </c>
      <c r="T110" s="63" t="s">
        <v>584</v>
      </c>
      <c r="U110" s="64">
        <v>323450</v>
      </c>
      <c r="V110" s="64">
        <v>355795</v>
      </c>
      <c r="W110" s="64">
        <v>227450</v>
      </c>
      <c r="X110" s="64">
        <v>250195</v>
      </c>
      <c r="Y110" s="64">
        <v>96000</v>
      </c>
      <c r="Z110" s="64">
        <v>105600</v>
      </c>
      <c r="AA110" s="61">
        <v>44511</v>
      </c>
      <c r="AB110" s="61">
        <v>44512</v>
      </c>
      <c r="AC110" s="61">
        <v>44512</v>
      </c>
      <c r="AD110" s="60">
        <v>0</v>
      </c>
      <c r="AG110" s="60">
        <v>0</v>
      </c>
      <c r="AJ110" s="60">
        <v>0</v>
      </c>
      <c r="AN110" s="60" t="s">
        <v>595</v>
      </c>
      <c r="AQ110" s="60" t="s">
        <v>859</v>
      </c>
      <c r="AR110" s="61">
        <v>44496</v>
      </c>
      <c r="AS110" s="60">
        <v>6001951389</v>
      </c>
      <c r="AT110" s="61">
        <v>44497</v>
      </c>
      <c r="AU110" s="60" t="s">
        <v>600</v>
      </c>
      <c r="AV110" s="61">
        <v>44512</v>
      </c>
      <c r="AW110" s="91">
        <v>44530</v>
      </c>
      <c r="AX110" s="91">
        <v>44550</v>
      </c>
      <c r="AY110" s="107">
        <v>323450</v>
      </c>
      <c r="AZ110" s="107">
        <f>ROUNDDOWN(AY110+(AY110*MASTER!$A$2/100),0)</f>
        <v>355795</v>
      </c>
      <c r="BA110" s="60" t="s">
        <v>613</v>
      </c>
      <c r="BB110" s="64">
        <v>75000</v>
      </c>
      <c r="BC110" s="64">
        <v>82500</v>
      </c>
      <c r="BD110" s="60" t="s">
        <v>183</v>
      </c>
      <c r="BG110" s="64">
        <v>0</v>
      </c>
      <c r="BI110" s="60" t="s">
        <v>748</v>
      </c>
      <c r="BJ110" s="64">
        <v>62400</v>
      </c>
      <c r="BK110" s="64">
        <v>68640</v>
      </c>
      <c r="BL110" s="60" t="s">
        <v>183</v>
      </c>
      <c r="BS110" s="64">
        <v>0</v>
      </c>
      <c r="BV110" s="65">
        <v>250195</v>
      </c>
      <c r="BW110" s="65">
        <v>151140</v>
      </c>
      <c r="BX110" s="65">
        <v>44495</v>
      </c>
      <c r="BY110" s="65">
        <v>99055</v>
      </c>
      <c r="BZ110" s="81">
        <v>39.591118927236757</v>
      </c>
    </row>
    <row r="111" spans="1:89" x14ac:dyDescent="0.15">
      <c r="A111" s="60">
        <v>1</v>
      </c>
      <c r="B111" s="61">
        <v>44505</v>
      </c>
      <c r="C111" s="61">
        <v>44505</v>
      </c>
      <c r="F111" s="61" t="s">
        <v>309</v>
      </c>
      <c r="H111" s="61" t="s">
        <v>309</v>
      </c>
      <c r="J111" s="60">
        <v>2</v>
      </c>
      <c r="L111" s="60">
        <v>0</v>
      </c>
      <c r="M111" s="61">
        <v>44495</v>
      </c>
      <c r="O111" s="62" t="s">
        <v>331</v>
      </c>
      <c r="P111" s="60" t="s">
        <v>6</v>
      </c>
      <c r="Q111" s="62" t="s">
        <v>105</v>
      </c>
      <c r="R111" s="62" t="s">
        <v>629</v>
      </c>
      <c r="S111" s="63" t="s">
        <v>630</v>
      </c>
      <c r="T111" s="63" t="s">
        <v>364</v>
      </c>
      <c r="U111" s="64">
        <v>35000</v>
      </c>
      <c r="V111" s="64">
        <v>38500</v>
      </c>
      <c r="W111" s="64">
        <v>35000</v>
      </c>
      <c r="X111" s="64">
        <v>38500</v>
      </c>
      <c r="Z111" s="64">
        <v>0</v>
      </c>
      <c r="AA111" s="61">
        <v>44477</v>
      </c>
      <c r="AB111" s="61">
        <v>44477</v>
      </c>
      <c r="AD111" s="60">
        <v>0</v>
      </c>
      <c r="AG111" s="60">
        <v>0</v>
      </c>
      <c r="AJ111" s="60">
        <v>0</v>
      </c>
      <c r="AN111" s="60" t="s">
        <v>309</v>
      </c>
      <c r="AQ111" s="60" t="s">
        <v>648</v>
      </c>
      <c r="AR111" s="61">
        <v>44502</v>
      </c>
      <c r="AS111" s="60">
        <v>6001952876</v>
      </c>
      <c r="AT111" s="61">
        <v>44504</v>
      </c>
      <c r="AU111" s="60" t="s">
        <v>675</v>
      </c>
      <c r="AV111" s="61">
        <v>44505</v>
      </c>
      <c r="AW111" s="91">
        <v>44530</v>
      </c>
      <c r="AX111" s="91">
        <v>44550</v>
      </c>
      <c r="AY111" s="99">
        <v>33600</v>
      </c>
      <c r="AZ111" s="99">
        <f>ROUNDDOWN(AY111+(AY111*MASTER!$A$2/100),0)</f>
        <v>36960</v>
      </c>
      <c r="BA111" s="60" t="s">
        <v>613</v>
      </c>
      <c r="BB111" s="64">
        <v>21000</v>
      </c>
      <c r="BC111" s="64">
        <v>23100</v>
      </c>
      <c r="BD111" s="60" t="s">
        <v>182</v>
      </c>
      <c r="BG111" s="64">
        <v>0</v>
      </c>
      <c r="BK111" s="64">
        <v>0</v>
      </c>
      <c r="BS111" s="64">
        <v>0</v>
      </c>
      <c r="BV111" s="65">
        <v>38500</v>
      </c>
      <c r="BW111" s="65">
        <v>23100</v>
      </c>
      <c r="BX111" s="65">
        <v>44495</v>
      </c>
      <c r="BY111" s="65">
        <v>15400</v>
      </c>
      <c r="BZ111" s="81">
        <v>40</v>
      </c>
    </row>
    <row r="112" spans="1:89" x14ac:dyDescent="0.15">
      <c r="A112" s="60">
        <v>2</v>
      </c>
      <c r="B112" s="61">
        <v>44532</v>
      </c>
      <c r="C112" s="61">
        <v>44540</v>
      </c>
      <c r="D112" s="61">
        <v>44574</v>
      </c>
      <c r="E112" s="61">
        <v>44543</v>
      </c>
      <c r="F112" s="61">
        <v>44547</v>
      </c>
      <c r="G112" s="61">
        <v>44543</v>
      </c>
      <c r="H112" s="61">
        <v>44543</v>
      </c>
      <c r="I112" s="60" t="s">
        <v>511</v>
      </c>
      <c r="J112" s="60">
        <v>1</v>
      </c>
      <c r="L112" s="60">
        <v>0</v>
      </c>
      <c r="M112" s="61">
        <v>44495</v>
      </c>
      <c r="O112" s="62" t="s">
        <v>331</v>
      </c>
      <c r="P112" s="60" t="s">
        <v>26</v>
      </c>
      <c r="Q112" s="62" t="s">
        <v>105</v>
      </c>
      <c r="R112" s="62" t="s">
        <v>1112</v>
      </c>
      <c r="S112" s="63" t="s">
        <v>1113</v>
      </c>
      <c r="T112" s="63" t="s">
        <v>1114</v>
      </c>
      <c r="U112" s="64">
        <v>577070</v>
      </c>
      <c r="V112" s="64">
        <v>634777</v>
      </c>
      <c r="W112" s="64">
        <v>459570</v>
      </c>
      <c r="X112" s="64">
        <v>505527</v>
      </c>
      <c r="Y112" s="64">
        <v>117500</v>
      </c>
      <c r="Z112" s="64">
        <v>129250</v>
      </c>
      <c r="AA112" s="61">
        <v>44535</v>
      </c>
      <c r="AB112" s="61">
        <v>44540</v>
      </c>
      <c r="AC112" s="61">
        <v>44540</v>
      </c>
      <c r="AD112" s="60">
        <v>0</v>
      </c>
      <c r="AG112" s="60">
        <v>0</v>
      </c>
      <c r="AJ112" s="60">
        <v>0</v>
      </c>
      <c r="AM112" s="60" t="s">
        <v>273</v>
      </c>
      <c r="AN112" s="60" t="s">
        <v>1115</v>
      </c>
      <c r="AQ112" s="60" t="s">
        <v>768</v>
      </c>
      <c r="AR112" s="61">
        <v>44510</v>
      </c>
      <c r="AS112" s="60">
        <v>6001956389</v>
      </c>
      <c r="AT112" s="61">
        <v>44510</v>
      </c>
      <c r="AU112" s="60" t="s">
        <v>777</v>
      </c>
      <c r="AV112" s="61">
        <v>44540</v>
      </c>
      <c r="AW112" s="91">
        <v>44561</v>
      </c>
      <c r="AX112" s="91">
        <v>44581</v>
      </c>
      <c r="AY112" s="99">
        <v>553987</v>
      </c>
      <c r="AZ112" s="99">
        <v>609386</v>
      </c>
      <c r="BA112" s="60" t="s">
        <v>613</v>
      </c>
      <c r="BB112" s="64">
        <v>177500</v>
      </c>
      <c r="BC112" s="64">
        <v>195250</v>
      </c>
      <c r="BD112" s="60" t="s">
        <v>184</v>
      </c>
      <c r="BG112" s="64">
        <v>0</v>
      </c>
      <c r="BI112" s="60" t="s">
        <v>748</v>
      </c>
      <c r="BJ112" s="64">
        <v>76375</v>
      </c>
      <c r="BK112" s="64">
        <v>84012.5</v>
      </c>
      <c r="BL112" s="60" t="s">
        <v>184</v>
      </c>
      <c r="BS112" s="64">
        <v>0</v>
      </c>
      <c r="BV112" s="65">
        <v>505527</v>
      </c>
      <c r="BW112" s="65">
        <v>279262.5</v>
      </c>
      <c r="BX112" s="65">
        <v>44495</v>
      </c>
      <c r="BY112" s="65">
        <v>226264.5</v>
      </c>
      <c r="BZ112" s="81">
        <v>44.758143481950519</v>
      </c>
    </row>
    <row r="113" spans="1:89" s="152" customFormat="1" x14ac:dyDescent="0.15">
      <c r="A113" s="142">
        <v>3</v>
      </c>
      <c r="B113" s="143"/>
      <c r="C113" s="143" t="s">
        <v>309</v>
      </c>
      <c r="D113" s="143"/>
      <c r="E113" s="143"/>
      <c r="F113" s="143" t="s">
        <v>309</v>
      </c>
      <c r="G113" s="143"/>
      <c r="H113" s="143" t="s">
        <v>309</v>
      </c>
      <c r="I113" s="142"/>
      <c r="J113" s="142">
        <v>2</v>
      </c>
      <c r="K113" s="143"/>
      <c r="L113" s="142">
        <v>0</v>
      </c>
      <c r="M113" s="143">
        <v>44497</v>
      </c>
      <c r="N113" s="143"/>
      <c r="O113" s="144" t="s">
        <v>331</v>
      </c>
      <c r="P113" s="142" t="s">
        <v>26</v>
      </c>
      <c r="Q113" s="144" t="s">
        <v>105</v>
      </c>
      <c r="R113" s="144" t="s">
        <v>1789</v>
      </c>
      <c r="S113" s="145" t="s">
        <v>1790</v>
      </c>
      <c r="T113" s="145" t="s">
        <v>1791</v>
      </c>
      <c r="U113" s="146">
        <v>65000</v>
      </c>
      <c r="V113" s="146">
        <v>71500</v>
      </c>
      <c r="W113" s="146">
        <v>65000</v>
      </c>
      <c r="X113" s="146">
        <v>71500</v>
      </c>
      <c r="Y113" s="146">
        <v>0</v>
      </c>
      <c r="Z113" s="146">
        <v>0</v>
      </c>
      <c r="AA113" s="143">
        <v>44494</v>
      </c>
      <c r="AB113" s="143"/>
      <c r="AC113" s="143"/>
      <c r="AD113" s="142">
        <v>0</v>
      </c>
      <c r="AE113" s="142"/>
      <c r="AF113" s="142"/>
      <c r="AG113" s="142">
        <v>0</v>
      </c>
      <c r="AH113" s="142"/>
      <c r="AI113" s="142"/>
      <c r="AJ113" s="142">
        <v>0</v>
      </c>
      <c r="AK113" s="142"/>
      <c r="AL113" s="142"/>
      <c r="AM113" s="142"/>
      <c r="AN113" s="142" t="s">
        <v>309</v>
      </c>
      <c r="AO113" s="143"/>
      <c r="AP113" s="142"/>
      <c r="AQ113" s="142"/>
      <c r="AR113" s="143"/>
      <c r="AS113" s="142"/>
      <c r="AT113" s="143"/>
      <c r="AU113" s="142"/>
      <c r="AV113" s="143"/>
      <c r="AW113" s="147"/>
      <c r="AX113" s="147"/>
      <c r="AY113" s="154">
        <v>65000</v>
      </c>
      <c r="AZ113" s="154">
        <f>ROUNDDOWN(AY113+(AY113*MASTER!$A$2/100),0)</f>
        <v>71500</v>
      </c>
      <c r="BA113" s="142"/>
      <c r="BB113" s="146"/>
      <c r="BC113" s="146">
        <v>0</v>
      </c>
      <c r="BD113" s="142"/>
      <c r="BE113" s="142"/>
      <c r="BF113" s="146"/>
      <c r="BG113" s="146">
        <v>0</v>
      </c>
      <c r="BH113" s="142"/>
      <c r="BI113" s="142"/>
      <c r="BJ113" s="146"/>
      <c r="BK113" s="146">
        <v>0</v>
      </c>
      <c r="BL113" s="142"/>
      <c r="BM113" s="146"/>
      <c r="BN113" s="146"/>
      <c r="BO113" s="146"/>
      <c r="BP113" s="146"/>
      <c r="BQ113" s="146"/>
      <c r="BR113" s="146"/>
      <c r="BS113" s="146">
        <v>0</v>
      </c>
      <c r="BT113" s="149"/>
      <c r="BU113" s="149"/>
      <c r="BV113" s="150">
        <v>71500</v>
      </c>
      <c r="BW113" s="150">
        <v>0</v>
      </c>
      <c r="BX113" s="150">
        <v>44497</v>
      </c>
      <c r="BY113" s="150">
        <v>71500</v>
      </c>
      <c r="BZ113" s="151">
        <v>100</v>
      </c>
      <c r="CA113" s="142"/>
      <c r="CB113" s="142"/>
      <c r="CC113" s="142"/>
      <c r="CD113" s="145" t="s">
        <v>1815</v>
      </c>
      <c r="CE113" s="143"/>
      <c r="CF113" s="143"/>
      <c r="CG113" s="143"/>
      <c r="CH113" s="143"/>
      <c r="CI113" s="143"/>
      <c r="CJ113" s="143"/>
      <c r="CK113" s="146"/>
    </row>
    <row r="114" spans="1:89" x14ac:dyDescent="0.15">
      <c r="A114" s="60">
        <v>2</v>
      </c>
      <c r="C114" s="61" t="s">
        <v>309</v>
      </c>
      <c r="F114" s="61" t="s">
        <v>309</v>
      </c>
      <c r="H114" s="61" t="s">
        <v>309</v>
      </c>
      <c r="J114" s="60">
        <v>4</v>
      </c>
      <c r="L114" s="60">
        <v>0</v>
      </c>
      <c r="M114" s="61">
        <v>44497</v>
      </c>
      <c r="O114" s="62" t="s">
        <v>335</v>
      </c>
      <c r="P114" s="60" t="s">
        <v>430</v>
      </c>
      <c r="Q114" s="62" t="s">
        <v>336</v>
      </c>
      <c r="R114" s="62" t="s">
        <v>601</v>
      </c>
      <c r="S114" s="63" t="s">
        <v>602</v>
      </c>
      <c r="T114" s="63" t="s">
        <v>973</v>
      </c>
      <c r="U114" s="64">
        <v>0</v>
      </c>
      <c r="V114" s="64">
        <v>0</v>
      </c>
      <c r="W114" s="64">
        <v>0</v>
      </c>
      <c r="X114" s="64">
        <v>0</v>
      </c>
      <c r="Y114" s="64">
        <v>0</v>
      </c>
      <c r="Z114" s="64">
        <v>0</v>
      </c>
      <c r="AA114" s="61">
        <v>44470</v>
      </c>
      <c r="AB114" s="61">
        <v>44500</v>
      </c>
      <c r="AD114" s="60">
        <v>0</v>
      </c>
      <c r="AG114" s="60">
        <v>0</v>
      </c>
      <c r="AJ114" s="60">
        <v>0</v>
      </c>
      <c r="AN114" s="60" t="s">
        <v>309</v>
      </c>
      <c r="AY114" s="99">
        <f>ROUNDDOWN((0.96*U114),0)</f>
        <v>0</v>
      </c>
      <c r="AZ114" s="99">
        <f>ROUNDDOWN(AY114+(AY114*MASTER!$A$2/100),0)</f>
        <v>0</v>
      </c>
      <c r="BA114" s="60" t="s">
        <v>603</v>
      </c>
      <c r="BB114" s="64">
        <v>20000</v>
      </c>
      <c r="BC114" s="64">
        <v>22000</v>
      </c>
      <c r="BD114" s="60" t="s">
        <v>433</v>
      </c>
      <c r="BG114" s="64">
        <v>0</v>
      </c>
      <c r="BK114" s="64">
        <v>0</v>
      </c>
      <c r="BS114" s="64">
        <v>0</v>
      </c>
      <c r="BV114" s="65">
        <v>0</v>
      </c>
      <c r="BW114" s="65">
        <v>22000</v>
      </c>
      <c r="BX114" s="65">
        <v>44497</v>
      </c>
      <c r="BY114" s="65">
        <v>-22000</v>
      </c>
      <c r="BZ114" s="81" t="s">
        <v>309</v>
      </c>
    </row>
    <row r="115" spans="1:89" x14ac:dyDescent="0.15">
      <c r="A115" s="60">
        <v>1</v>
      </c>
      <c r="B115" s="61">
        <v>44511</v>
      </c>
      <c r="C115" s="61">
        <v>44530</v>
      </c>
      <c r="F115" s="61" t="s">
        <v>309</v>
      </c>
      <c r="H115" s="61" t="s">
        <v>309</v>
      </c>
      <c r="J115" s="60">
        <v>2</v>
      </c>
      <c r="L115" s="60">
        <v>0</v>
      </c>
      <c r="M115" s="61">
        <v>44497</v>
      </c>
      <c r="O115" s="62" t="s">
        <v>331</v>
      </c>
      <c r="P115" s="60" t="s">
        <v>6</v>
      </c>
      <c r="Q115" s="62" t="s">
        <v>105</v>
      </c>
      <c r="R115" s="62" t="s">
        <v>604</v>
      </c>
      <c r="S115" s="63" t="s">
        <v>384</v>
      </c>
      <c r="T115" s="63" t="s">
        <v>368</v>
      </c>
      <c r="U115" s="64">
        <v>3000</v>
      </c>
      <c r="V115" s="64">
        <v>3300</v>
      </c>
      <c r="W115" s="64">
        <v>3000</v>
      </c>
      <c r="X115" s="64">
        <v>3300</v>
      </c>
      <c r="Y115" s="64">
        <v>0</v>
      </c>
      <c r="Z115" s="64">
        <v>0</v>
      </c>
      <c r="AA115" s="61">
        <v>44497</v>
      </c>
      <c r="AD115" s="60">
        <v>0</v>
      </c>
      <c r="AG115" s="60">
        <v>0</v>
      </c>
      <c r="AJ115" s="60">
        <v>0</v>
      </c>
      <c r="AQ115" s="60" t="s">
        <v>771</v>
      </c>
      <c r="AR115" s="61">
        <v>44510</v>
      </c>
      <c r="AS115" s="60">
        <v>6001956389</v>
      </c>
      <c r="AT115" s="61">
        <v>44510</v>
      </c>
      <c r="AU115" s="60" t="s">
        <v>777</v>
      </c>
      <c r="AV115" s="61">
        <v>44530</v>
      </c>
      <c r="AW115" s="91">
        <v>44530</v>
      </c>
      <c r="AX115" s="91">
        <v>44550</v>
      </c>
      <c r="AY115" s="99">
        <v>2880</v>
      </c>
      <c r="AZ115" s="99">
        <f>ROUNDDOWN(AY115+(AY115*MASTER!$A$2/100),0)</f>
        <v>3168</v>
      </c>
      <c r="BC115" s="64">
        <v>0</v>
      </c>
      <c r="BG115" s="64">
        <v>0</v>
      </c>
      <c r="BK115" s="64">
        <v>0</v>
      </c>
      <c r="BS115" s="64">
        <v>0</v>
      </c>
      <c r="BV115" s="65">
        <v>3300</v>
      </c>
      <c r="BW115" s="65">
        <v>0</v>
      </c>
      <c r="BX115" s="65">
        <v>44497</v>
      </c>
      <c r="BY115" s="65">
        <v>3300</v>
      </c>
      <c r="BZ115" s="81">
        <v>100</v>
      </c>
    </row>
    <row r="116" spans="1:89" x14ac:dyDescent="0.15">
      <c r="A116" s="60">
        <v>2</v>
      </c>
      <c r="B116" s="61">
        <v>44505</v>
      </c>
      <c r="C116" s="61">
        <v>44530</v>
      </c>
      <c r="D116" s="61">
        <v>44545</v>
      </c>
      <c r="E116" s="61">
        <v>44529</v>
      </c>
      <c r="F116" s="61">
        <v>44526</v>
      </c>
      <c r="G116" s="61">
        <v>44519</v>
      </c>
      <c r="H116" s="61">
        <v>44522</v>
      </c>
      <c r="I116" s="60" t="s">
        <v>511</v>
      </c>
      <c r="J116" s="60">
        <v>1</v>
      </c>
      <c r="L116" s="60">
        <v>0</v>
      </c>
      <c r="M116" s="61">
        <v>44497</v>
      </c>
      <c r="O116" s="62" t="s">
        <v>331</v>
      </c>
      <c r="P116" s="60" t="s">
        <v>26</v>
      </c>
      <c r="Q116" s="62" t="s">
        <v>105</v>
      </c>
      <c r="R116" s="62" t="s">
        <v>695</v>
      </c>
      <c r="S116" s="63" t="s">
        <v>696</v>
      </c>
      <c r="T116" s="63" t="s">
        <v>340</v>
      </c>
      <c r="U116" s="64">
        <v>84000</v>
      </c>
      <c r="V116" s="64">
        <v>92400</v>
      </c>
      <c r="W116" s="64">
        <v>68000</v>
      </c>
      <c r="X116" s="64">
        <v>74800</v>
      </c>
      <c r="Y116" s="64">
        <v>16000</v>
      </c>
      <c r="Z116" s="64">
        <v>17600</v>
      </c>
      <c r="AA116" s="61">
        <v>44518</v>
      </c>
      <c r="AB116" s="61">
        <v>44519</v>
      </c>
      <c r="AC116" s="61">
        <v>44519</v>
      </c>
      <c r="AD116" s="60">
        <v>0</v>
      </c>
      <c r="AG116" s="60">
        <v>0</v>
      </c>
      <c r="AJ116" s="60">
        <v>0</v>
      </c>
      <c r="AQ116" s="60" t="s">
        <v>504</v>
      </c>
      <c r="AR116" s="61">
        <v>44502</v>
      </c>
      <c r="AS116" s="60">
        <v>6001952876</v>
      </c>
      <c r="AT116" s="61">
        <v>44504</v>
      </c>
      <c r="AU116" s="60" t="s">
        <v>675</v>
      </c>
      <c r="AV116" s="61">
        <v>44530</v>
      </c>
      <c r="AW116" s="91">
        <v>44530</v>
      </c>
      <c r="AX116" s="91">
        <v>44550</v>
      </c>
      <c r="AY116" s="99">
        <v>80640</v>
      </c>
      <c r="AZ116" s="99">
        <f>ROUNDDOWN(AY116+(AY116*MASTER!$A$2/100),0)</f>
        <v>88704</v>
      </c>
      <c r="BA116" s="60" t="s">
        <v>314</v>
      </c>
      <c r="BB116" s="64">
        <v>28000</v>
      </c>
      <c r="BC116" s="64">
        <v>30800</v>
      </c>
      <c r="BD116" s="60" t="s">
        <v>183</v>
      </c>
      <c r="BG116" s="64">
        <v>0</v>
      </c>
      <c r="BK116" s="64">
        <v>0</v>
      </c>
      <c r="BS116" s="64">
        <v>0</v>
      </c>
      <c r="BV116" s="65">
        <v>74800</v>
      </c>
      <c r="BW116" s="65">
        <v>30800</v>
      </c>
      <c r="BX116" s="65">
        <v>44497</v>
      </c>
      <c r="BY116" s="65">
        <v>44000</v>
      </c>
      <c r="BZ116" s="81">
        <v>58.82352941176471</v>
      </c>
    </row>
    <row r="117" spans="1:89" x14ac:dyDescent="0.15">
      <c r="A117" s="60">
        <v>2</v>
      </c>
      <c r="B117" s="61">
        <v>44505</v>
      </c>
      <c r="C117" s="61">
        <v>44530</v>
      </c>
      <c r="D117" s="61">
        <v>44545</v>
      </c>
      <c r="E117" s="61">
        <v>44529</v>
      </c>
      <c r="F117" s="61">
        <v>44526</v>
      </c>
      <c r="G117" s="61">
        <v>44519</v>
      </c>
      <c r="H117" s="61">
        <v>44522</v>
      </c>
      <c r="I117" s="60" t="s">
        <v>511</v>
      </c>
      <c r="J117" s="60">
        <v>1</v>
      </c>
      <c r="L117" s="60">
        <v>0</v>
      </c>
      <c r="M117" s="61">
        <v>44497</v>
      </c>
      <c r="O117" s="62" t="s">
        <v>331</v>
      </c>
      <c r="P117" s="60" t="s">
        <v>26</v>
      </c>
      <c r="Q117" s="62" t="s">
        <v>105</v>
      </c>
      <c r="R117" s="62" t="s">
        <v>697</v>
      </c>
      <c r="S117" s="63" t="s">
        <v>698</v>
      </c>
      <c r="T117" s="63" t="s">
        <v>340</v>
      </c>
      <c r="U117" s="64">
        <v>84000</v>
      </c>
      <c r="V117" s="64">
        <v>92400</v>
      </c>
      <c r="W117" s="64">
        <v>68000</v>
      </c>
      <c r="X117" s="64">
        <v>74800</v>
      </c>
      <c r="Y117" s="64">
        <v>16000</v>
      </c>
      <c r="Z117" s="64">
        <v>17600</v>
      </c>
      <c r="AA117" s="61">
        <v>44518</v>
      </c>
      <c r="AB117" s="61">
        <v>44519</v>
      </c>
      <c r="AC117" s="61">
        <v>44519</v>
      </c>
      <c r="AD117" s="60">
        <v>0</v>
      </c>
      <c r="AG117" s="60">
        <v>0</v>
      </c>
      <c r="AJ117" s="60">
        <v>0</v>
      </c>
      <c r="AQ117" s="60" t="s">
        <v>504</v>
      </c>
      <c r="AR117" s="61">
        <v>44502</v>
      </c>
      <c r="AS117" s="60">
        <v>6001952876</v>
      </c>
      <c r="AT117" s="61">
        <v>44504</v>
      </c>
      <c r="AU117" s="60" t="s">
        <v>675</v>
      </c>
      <c r="AV117" s="61">
        <v>44530</v>
      </c>
      <c r="AW117" s="91">
        <v>44530</v>
      </c>
      <c r="AX117" s="91">
        <v>44550</v>
      </c>
      <c r="AY117" s="99">
        <v>80640</v>
      </c>
      <c r="AZ117" s="99">
        <f>ROUNDDOWN(AY117+(AY117*MASTER!$A$2/100),0)</f>
        <v>88704</v>
      </c>
      <c r="BA117" s="60" t="s">
        <v>314</v>
      </c>
      <c r="BB117" s="64">
        <v>28000</v>
      </c>
      <c r="BC117" s="64">
        <v>30800</v>
      </c>
      <c r="BD117" s="60" t="s">
        <v>183</v>
      </c>
      <c r="BG117" s="64">
        <v>0</v>
      </c>
      <c r="BK117" s="64">
        <v>0</v>
      </c>
      <c r="BS117" s="64">
        <v>0</v>
      </c>
      <c r="BV117" s="65">
        <v>74800</v>
      </c>
      <c r="BW117" s="65">
        <v>30800</v>
      </c>
      <c r="BX117" s="65">
        <v>44497</v>
      </c>
      <c r="BY117" s="65">
        <v>44000</v>
      </c>
      <c r="BZ117" s="81">
        <v>58.82352941176471</v>
      </c>
    </row>
    <row r="118" spans="1:89" x14ac:dyDescent="0.15">
      <c r="A118" s="60">
        <v>2</v>
      </c>
      <c r="B118" s="61">
        <v>44505</v>
      </c>
      <c r="C118" s="61">
        <v>44530</v>
      </c>
      <c r="D118" s="61">
        <v>44535</v>
      </c>
      <c r="E118" s="61">
        <v>44529</v>
      </c>
      <c r="F118" s="61">
        <v>44526</v>
      </c>
      <c r="G118" s="61">
        <v>44518</v>
      </c>
      <c r="H118" s="61">
        <v>44522</v>
      </c>
      <c r="I118" s="60" t="s">
        <v>511</v>
      </c>
      <c r="J118" s="60">
        <v>1</v>
      </c>
      <c r="L118" s="60">
        <v>0</v>
      </c>
      <c r="M118" s="61">
        <v>44497</v>
      </c>
      <c r="O118" s="62" t="s">
        <v>331</v>
      </c>
      <c r="P118" s="60" t="s">
        <v>26</v>
      </c>
      <c r="Q118" s="62" t="s">
        <v>105</v>
      </c>
      <c r="R118" s="62" t="s">
        <v>699</v>
      </c>
      <c r="S118" s="63" t="s">
        <v>700</v>
      </c>
      <c r="T118" s="63" t="s">
        <v>340</v>
      </c>
      <c r="U118" s="64">
        <v>84000</v>
      </c>
      <c r="V118" s="64">
        <v>92400</v>
      </c>
      <c r="W118" s="64">
        <v>68000</v>
      </c>
      <c r="X118" s="64">
        <v>74800</v>
      </c>
      <c r="Y118" s="64">
        <v>16000</v>
      </c>
      <c r="Z118" s="64">
        <v>17600</v>
      </c>
      <c r="AA118" s="61">
        <v>44518</v>
      </c>
      <c r="AB118" s="61">
        <v>44519</v>
      </c>
      <c r="AC118" s="61">
        <v>44519</v>
      </c>
      <c r="AD118" s="60">
        <v>0</v>
      </c>
      <c r="AG118" s="60">
        <v>0</v>
      </c>
      <c r="AJ118" s="60">
        <v>0</v>
      </c>
      <c r="AQ118" s="60" t="s">
        <v>504</v>
      </c>
      <c r="AR118" s="61">
        <v>44502</v>
      </c>
      <c r="AS118" s="60">
        <v>6001952876</v>
      </c>
      <c r="AT118" s="61">
        <v>44504</v>
      </c>
      <c r="AU118" s="60" t="s">
        <v>675</v>
      </c>
      <c r="AV118" s="61">
        <v>44530</v>
      </c>
      <c r="AW118" s="91">
        <v>44530</v>
      </c>
      <c r="AX118" s="91">
        <v>44550</v>
      </c>
      <c r="AY118" s="99">
        <v>80640</v>
      </c>
      <c r="AZ118" s="99">
        <f>ROUNDDOWN(AY118+(AY118*MASTER!$A$2/100),0)</f>
        <v>88704</v>
      </c>
      <c r="BA118" s="60" t="s">
        <v>613</v>
      </c>
      <c r="BB118" s="64">
        <v>24000</v>
      </c>
      <c r="BC118" s="64">
        <v>26400</v>
      </c>
      <c r="BD118" s="60" t="s">
        <v>183</v>
      </c>
      <c r="BG118" s="64">
        <v>0</v>
      </c>
      <c r="BK118" s="64">
        <v>0</v>
      </c>
      <c r="BS118" s="64">
        <v>0</v>
      </c>
      <c r="BV118" s="65">
        <v>74800</v>
      </c>
      <c r="BW118" s="65">
        <v>26400</v>
      </c>
      <c r="BX118" s="65">
        <v>44497</v>
      </c>
      <c r="BY118" s="65">
        <v>48400</v>
      </c>
      <c r="BZ118" s="81">
        <v>64.705882352941174</v>
      </c>
    </row>
    <row r="119" spans="1:89" x14ac:dyDescent="0.15">
      <c r="A119" s="60">
        <v>2</v>
      </c>
      <c r="B119" s="61">
        <v>44505</v>
      </c>
      <c r="C119" s="61">
        <v>44530</v>
      </c>
      <c r="D119" s="61">
        <v>44535</v>
      </c>
      <c r="E119" s="61">
        <v>44529</v>
      </c>
      <c r="F119" s="61">
        <v>44526</v>
      </c>
      <c r="G119" s="61">
        <v>44519</v>
      </c>
      <c r="H119" s="61">
        <v>44522</v>
      </c>
      <c r="I119" s="60" t="s">
        <v>511</v>
      </c>
      <c r="J119" s="60">
        <v>1</v>
      </c>
      <c r="L119" s="60">
        <v>0</v>
      </c>
      <c r="M119" s="61">
        <v>44497</v>
      </c>
      <c r="O119" s="62" t="s">
        <v>331</v>
      </c>
      <c r="P119" s="60" t="s">
        <v>26</v>
      </c>
      <c r="Q119" s="62" t="s">
        <v>105</v>
      </c>
      <c r="R119" s="62" t="s">
        <v>839</v>
      </c>
      <c r="S119" s="63" t="s">
        <v>840</v>
      </c>
      <c r="T119" s="63" t="s">
        <v>340</v>
      </c>
      <c r="U119" s="64">
        <v>84000</v>
      </c>
      <c r="V119" s="64">
        <v>92400</v>
      </c>
      <c r="W119" s="64">
        <v>68000</v>
      </c>
      <c r="X119" s="64">
        <v>74800</v>
      </c>
      <c r="Y119" s="64">
        <v>16000</v>
      </c>
      <c r="Z119" s="64">
        <v>17600</v>
      </c>
      <c r="AA119" s="61">
        <v>44518</v>
      </c>
      <c r="AB119" s="61">
        <v>44519</v>
      </c>
      <c r="AC119" s="61">
        <v>44519</v>
      </c>
      <c r="AD119" s="60">
        <v>0</v>
      </c>
      <c r="AG119" s="60">
        <v>0</v>
      </c>
      <c r="AJ119" s="60">
        <v>0</v>
      </c>
      <c r="AQ119" s="60" t="s">
        <v>504</v>
      </c>
      <c r="AR119" s="61">
        <v>44502</v>
      </c>
      <c r="AS119" s="60">
        <v>6001952876</v>
      </c>
      <c r="AT119" s="61">
        <v>44504</v>
      </c>
      <c r="AU119" s="60" t="s">
        <v>675</v>
      </c>
      <c r="AV119" s="61">
        <v>44530</v>
      </c>
      <c r="AW119" s="91">
        <v>44530</v>
      </c>
      <c r="AX119" s="91">
        <v>44550</v>
      </c>
      <c r="AY119" s="99">
        <v>80640</v>
      </c>
      <c r="AZ119" s="99">
        <f>ROUNDDOWN(AY119+(AY119*MASTER!$A$2/100),0)</f>
        <v>88704</v>
      </c>
      <c r="BA119" s="60" t="s">
        <v>314</v>
      </c>
      <c r="BB119" s="64">
        <v>26000</v>
      </c>
      <c r="BC119" s="64">
        <v>28600</v>
      </c>
      <c r="BD119" s="60" t="s">
        <v>183</v>
      </c>
      <c r="BG119" s="64">
        <v>0</v>
      </c>
      <c r="BK119" s="64">
        <v>0</v>
      </c>
      <c r="BS119" s="64">
        <v>0</v>
      </c>
      <c r="BV119" s="65">
        <v>74800</v>
      </c>
      <c r="BW119" s="65">
        <v>28600</v>
      </c>
      <c r="BX119" s="65">
        <v>44497</v>
      </c>
      <c r="BY119" s="65">
        <v>46200</v>
      </c>
      <c r="BZ119" s="81">
        <v>61.764705882352942</v>
      </c>
    </row>
    <row r="120" spans="1:89" x14ac:dyDescent="0.15">
      <c r="A120" s="60">
        <v>2</v>
      </c>
      <c r="B120" s="61">
        <v>44505</v>
      </c>
      <c r="C120" s="61">
        <v>44530</v>
      </c>
      <c r="D120" s="61">
        <v>44535</v>
      </c>
      <c r="E120" s="61">
        <v>44529</v>
      </c>
      <c r="F120" s="61">
        <v>44527</v>
      </c>
      <c r="G120" s="61">
        <v>44524</v>
      </c>
      <c r="H120" s="61">
        <v>44523</v>
      </c>
      <c r="I120" s="60" t="s">
        <v>511</v>
      </c>
      <c r="J120" s="60">
        <v>1</v>
      </c>
      <c r="L120" s="60">
        <v>0</v>
      </c>
      <c r="M120" s="61">
        <v>44497</v>
      </c>
      <c r="O120" s="62" t="s">
        <v>331</v>
      </c>
      <c r="P120" s="60" t="s">
        <v>26</v>
      </c>
      <c r="Q120" s="62" t="s">
        <v>105</v>
      </c>
      <c r="R120" s="62" t="s">
        <v>716</v>
      </c>
      <c r="S120" s="63" t="s">
        <v>717</v>
      </c>
      <c r="T120" s="63" t="s">
        <v>340</v>
      </c>
      <c r="U120" s="64">
        <v>84000</v>
      </c>
      <c r="V120" s="64">
        <v>92400</v>
      </c>
      <c r="W120" s="64">
        <v>68000</v>
      </c>
      <c r="X120" s="64">
        <v>74800</v>
      </c>
      <c r="Y120" s="64">
        <v>16000</v>
      </c>
      <c r="Z120" s="64">
        <v>17600</v>
      </c>
      <c r="AA120" s="61">
        <v>44519</v>
      </c>
      <c r="AB120" s="61">
        <v>44520</v>
      </c>
      <c r="AC120" s="61">
        <v>44520</v>
      </c>
      <c r="AD120" s="60">
        <v>0</v>
      </c>
      <c r="AG120" s="60">
        <v>0</v>
      </c>
      <c r="AJ120" s="60">
        <v>0</v>
      </c>
      <c r="AQ120" s="60" t="s">
        <v>504</v>
      </c>
      <c r="AR120" s="61">
        <v>44502</v>
      </c>
      <c r="AS120" s="60">
        <v>6001952876</v>
      </c>
      <c r="AT120" s="61">
        <v>44504</v>
      </c>
      <c r="AU120" s="60" t="s">
        <v>675</v>
      </c>
      <c r="AV120" s="61">
        <v>44530</v>
      </c>
      <c r="AW120" s="91">
        <v>44530</v>
      </c>
      <c r="AX120" s="91">
        <v>44550</v>
      </c>
      <c r="AY120" s="99">
        <v>80640</v>
      </c>
      <c r="AZ120" s="99">
        <f>ROUNDDOWN(AY120+(AY120*MASTER!$A$2/100),0)</f>
        <v>88704</v>
      </c>
      <c r="BA120" s="60" t="s">
        <v>613</v>
      </c>
      <c r="BB120" s="64">
        <v>21000</v>
      </c>
      <c r="BC120" s="64">
        <v>23100</v>
      </c>
      <c r="BD120" s="60" t="s">
        <v>183</v>
      </c>
      <c r="BG120" s="64">
        <v>0</v>
      </c>
      <c r="BI120" s="60" t="s">
        <v>748</v>
      </c>
      <c r="BJ120" s="64">
        <v>10400</v>
      </c>
      <c r="BK120" s="64">
        <v>11440</v>
      </c>
      <c r="BL120" s="60" t="s">
        <v>183</v>
      </c>
      <c r="BS120" s="64">
        <v>0</v>
      </c>
      <c r="BV120" s="65">
        <v>74800</v>
      </c>
      <c r="BW120" s="65">
        <v>34540</v>
      </c>
      <c r="BX120" s="65">
        <v>44497</v>
      </c>
      <c r="BY120" s="65">
        <v>40260</v>
      </c>
      <c r="BZ120" s="81">
        <v>53.823529411764703</v>
      </c>
    </row>
    <row r="121" spans="1:89" x14ac:dyDescent="0.15">
      <c r="A121" s="60">
        <v>2</v>
      </c>
      <c r="B121" s="61">
        <v>44505</v>
      </c>
      <c r="C121" s="61">
        <v>44530</v>
      </c>
      <c r="D121" s="61">
        <v>44535</v>
      </c>
      <c r="E121" s="61">
        <v>44529</v>
      </c>
      <c r="F121" s="61">
        <v>44526</v>
      </c>
      <c r="G121" s="61">
        <v>44518</v>
      </c>
      <c r="H121" s="61">
        <v>44522</v>
      </c>
      <c r="I121" s="60" t="s">
        <v>511</v>
      </c>
      <c r="J121" s="60">
        <v>1</v>
      </c>
      <c r="L121" s="60">
        <v>0</v>
      </c>
      <c r="M121" s="61">
        <v>44497</v>
      </c>
      <c r="O121" s="62" t="s">
        <v>331</v>
      </c>
      <c r="P121" s="60" t="s">
        <v>26</v>
      </c>
      <c r="Q121" s="62" t="s">
        <v>105</v>
      </c>
      <c r="R121" s="62" t="s">
        <v>718</v>
      </c>
      <c r="S121" s="63" t="s">
        <v>719</v>
      </c>
      <c r="T121" s="63" t="s">
        <v>340</v>
      </c>
      <c r="U121" s="64">
        <v>84000</v>
      </c>
      <c r="V121" s="64">
        <v>92400</v>
      </c>
      <c r="W121" s="64">
        <v>68000</v>
      </c>
      <c r="X121" s="64">
        <v>74800</v>
      </c>
      <c r="Y121" s="64">
        <v>16000</v>
      </c>
      <c r="Z121" s="64">
        <v>17600</v>
      </c>
      <c r="AA121" s="61">
        <v>44518</v>
      </c>
      <c r="AB121" s="61">
        <v>44519</v>
      </c>
      <c r="AC121" s="61">
        <v>44519</v>
      </c>
      <c r="AD121" s="60">
        <v>0</v>
      </c>
      <c r="AG121" s="60">
        <v>0</v>
      </c>
      <c r="AJ121" s="60">
        <v>0</v>
      </c>
      <c r="AQ121" s="60" t="s">
        <v>504</v>
      </c>
      <c r="AR121" s="61">
        <v>44502</v>
      </c>
      <c r="AS121" s="60">
        <v>6001952876</v>
      </c>
      <c r="AT121" s="61">
        <v>44504</v>
      </c>
      <c r="AU121" s="60" t="s">
        <v>675</v>
      </c>
      <c r="AV121" s="61">
        <v>44530</v>
      </c>
      <c r="AW121" s="91">
        <v>44530</v>
      </c>
      <c r="AX121" s="91">
        <v>44550</v>
      </c>
      <c r="AY121" s="99">
        <v>80640</v>
      </c>
      <c r="AZ121" s="99">
        <f>ROUNDDOWN(AY121+(AY121*MASTER!$A$2/100),0)</f>
        <v>88704</v>
      </c>
      <c r="BA121" s="60" t="s">
        <v>613</v>
      </c>
      <c r="BB121" s="64">
        <v>26000</v>
      </c>
      <c r="BC121" s="64">
        <v>28600</v>
      </c>
      <c r="BD121" s="60" t="s">
        <v>183</v>
      </c>
      <c r="BG121" s="64">
        <v>0</v>
      </c>
      <c r="BI121" s="60" t="s">
        <v>748</v>
      </c>
      <c r="BJ121" s="64">
        <v>10400</v>
      </c>
      <c r="BK121" s="64">
        <v>11440</v>
      </c>
      <c r="BL121" s="60" t="s">
        <v>183</v>
      </c>
      <c r="BS121" s="64">
        <v>0</v>
      </c>
      <c r="BV121" s="65">
        <v>74800</v>
      </c>
      <c r="BW121" s="65">
        <v>40040</v>
      </c>
      <c r="BX121" s="65">
        <v>44497</v>
      </c>
      <c r="BY121" s="65">
        <v>34760</v>
      </c>
      <c r="BZ121" s="81">
        <v>46.470588235294116</v>
      </c>
    </row>
    <row r="122" spans="1:89" x14ac:dyDescent="0.15">
      <c r="A122" s="60">
        <v>2</v>
      </c>
      <c r="B122" s="61">
        <v>44505</v>
      </c>
      <c r="C122" s="61">
        <v>44530</v>
      </c>
      <c r="D122" s="61">
        <v>44535</v>
      </c>
      <c r="E122" s="61">
        <v>44529</v>
      </c>
      <c r="F122" s="61">
        <v>44527</v>
      </c>
      <c r="G122" s="61">
        <v>44530</v>
      </c>
      <c r="H122" s="61">
        <v>44523</v>
      </c>
      <c r="I122" s="60" t="s">
        <v>511</v>
      </c>
      <c r="J122" s="60">
        <v>1</v>
      </c>
      <c r="L122" s="60">
        <v>0</v>
      </c>
      <c r="M122" s="61">
        <v>44497</v>
      </c>
      <c r="O122" s="62" t="s">
        <v>331</v>
      </c>
      <c r="P122" s="60" t="s">
        <v>26</v>
      </c>
      <c r="Q122" s="62" t="s">
        <v>105</v>
      </c>
      <c r="R122" s="62" t="s">
        <v>715</v>
      </c>
      <c r="S122" s="63" t="s">
        <v>484</v>
      </c>
      <c r="T122" s="63" t="s">
        <v>340</v>
      </c>
      <c r="U122" s="64">
        <v>84000</v>
      </c>
      <c r="V122" s="64">
        <v>92400</v>
      </c>
      <c r="W122" s="64">
        <v>68000</v>
      </c>
      <c r="X122" s="64">
        <v>74800</v>
      </c>
      <c r="Y122" s="64">
        <v>16000</v>
      </c>
      <c r="Z122" s="64">
        <v>17600</v>
      </c>
      <c r="AA122" s="61">
        <v>44519</v>
      </c>
      <c r="AB122" s="61">
        <v>44520</v>
      </c>
      <c r="AC122" s="61">
        <v>44520</v>
      </c>
      <c r="AD122" s="60">
        <v>0</v>
      </c>
      <c r="AG122" s="60">
        <v>0</v>
      </c>
      <c r="AJ122" s="60">
        <v>0</v>
      </c>
      <c r="AQ122" s="60" t="s">
        <v>504</v>
      </c>
      <c r="AR122" s="61">
        <v>44502</v>
      </c>
      <c r="AS122" s="60">
        <v>6001952876</v>
      </c>
      <c r="AT122" s="61">
        <v>44504</v>
      </c>
      <c r="AU122" s="60" t="s">
        <v>675</v>
      </c>
      <c r="AV122" s="61">
        <v>44530</v>
      </c>
      <c r="AW122" s="91">
        <v>44530</v>
      </c>
      <c r="AX122" s="91">
        <v>44550</v>
      </c>
      <c r="AY122" s="99">
        <v>80640</v>
      </c>
      <c r="AZ122" s="99">
        <f>ROUNDDOWN(AY122+(AY122*MASTER!$A$2/100),0)</f>
        <v>88704</v>
      </c>
      <c r="BA122" s="60" t="s">
        <v>613</v>
      </c>
      <c r="BB122" s="64">
        <v>23000</v>
      </c>
      <c r="BC122" s="64">
        <v>25300</v>
      </c>
      <c r="BD122" s="60" t="s">
        <v>183</v>
      </c>
      <c r="BG122" s="64">
        <v>0</v>
      </c>
      <c r="BI122" s="60" t="s">
        <v>748</v>
      </c>
      <c r="BJ122" s="64">
        <v>10400</v>
      </c>
      <c r="BK122" s="64">
        <v>11440</v>
      </c>
      <c r="BL122" s="60" t="s">
        <v>183</v>
      </c>
      <c r="BS122" s="64">
        <v>0</v>
      </c>
      <c r="BV122" s="65">
        <v>74800</v>
      </c>
      <c r="BW122" s="65">
        <v>36740</v>
      </c>
      <c r="BX122" s="65">
        <v>44497</v>
      </c>
      <c r="BY122" s="65">
        <v>38060</v>
      </c>
      <c r="BZ122" s="81">
        <v>50.882352941176464</v>
      </c>
    </row>
    <row r="123" spans="1:89" x14ac:dyDescent="0.15">
      <c r="A123" s="60">
        <v>2</v>
      </c>
      <c r="B123" s="61">
        <v>44505</v>
      </c>
      <c r="C123" s="61">
        <v>44530</v>
      </c>
      <c r="D123" s="61">
        <v>44532</v>
      </c>
      <c r="E123" s="61">
        <v>44525</v>
      </c>
      <c r="F123" s="61">
        <v>44517</v>
      </c>
      <c r="G123" s="61">
        <v>44509</v>
      </c>
      <c r="H123" s="61">
        <v>44513</v>
      </c>
      <c r="I123" s="60" t="s">
        <v>612</v>
      </c>
      <c r="J123" s="60">
        <v>1</v>
      </c>
      <c r="L123" s="60">
        <v>0</v>
      </c>
      <c r="M123" s="61">
        <v>44497</v>
      </c>
      <c r="O123" s="62" t="s">
        <v>331</v>
      </c>
      <c r="P123" s="60" t="s">
        <v>26</v>
      </c>
      <c r="Q123" s="62" t="s">
        <v>105</v>
      </c>
      <c r="R123" s="62" t="s">
        <v>948</v>
      </c>
      <c r="S123" s="63" t="s">
        <v>949</v>
      </c>
      <c r="T123" s="63" t="s">
        <v>340</v>
      </c>
      <c r="U123" s="64">
        <v>84000</v>
      </c>
      <c r="V123" s="64">
        <v>92400</v>
      </c>
      <c r="W123" s="64">
        <v>68000</v>
      </c>
      <c r="X123" s="64">
        <v>74800</v>
      </c>
      <c r="Y123" s="64">
        <v>16000</v>
      </c>
      <c r="Z123" s="64">
        <v>17600</v>
      </c>
      <c r="AA123" s="61">
        <v>44509</v>
      </c>
      <c r="AB123" s="61">
        <v>44510</v>
      </c>
      <c r="AC123" s="61">
        <v>44510</v>
      </c>
      <c r="AD123" s="60">
        <v>0</v>
      </c>
      <c r="AG123" s="60">
        <v>0</v>
      </c>
      <c r="AJ123" s="60">
        <v>0</v>
      </c>
      <c r="AQ123" s="60" t="s">
        <v>649</v>
      </c>
      <c r="AR123" s="61">
        <v>44502</v>
      </c>
      <c r="AS123" s="60">
        <v>6001952876</v>
      </c>
      <c r="AT123" s="61">
        <v>44504</v>
      </c>
      <c r="AU123" s="60" t="s">
        <v>675</v>
      </c>
      <c r="AV123" s="61">
        <v>44530</v>
      </c>
      <c r="AW123" s="91">
        <v>44530</v>
      </c>
      <c r="AX123" s="91">
        <v>44550</v>
      </c>
      <c r="AY123" s="99">
        <v>80640</v>
      </c>
      <c r="AZ123" s="99">
        <f>ROUNDDOWN(AY123+(AY123*MASTER!$A$2/100),0)</f>
        <v>88704</v>
      </c>
      <c r="BA123" s="60" t="s">
        <v>765</v>
      </c>
      <c r="BC123" s="64">
        <v>0</v>
      </c>
      <c r="BG123" s="64">
        <v>0</v>
      </c>
      <c r="BK123" s="64">
        <v>0</v>
      </c>
      <c r="BS123" s="64">
        <v>0</v>
      </c>
      <c r="BV123" s="65">
        <v>74800</v>
      </c>
      <c r="BW123" s="65">
        <v>0</v>
      </c>
      <c r="BX123" s="65">
        <v>44497</v>
      </c>
      <c r="BY123" s="65">
        <v>74800</v>
      </c>
      <c r="BZ123" s="81">
        <v>100</v>
      </c>
    </row>
    <row r="124" spans="1:89" x14ac:dyDescent="0.15">
      <c r="A124" s="60">
        <v>2</v>
      </c>
      <c r="B124" s="61">
        <v>44505</v>
      </c>
      <c r="C124" s="61">
        <v>44530</v>
      </c>
      <c r="D124" s="61">
        <v>44532</v>
      </c>
      <c r="E124" s="61">
        <v>44525</v>
      </c>
      <c r="F124" s="61">
        <v>44524</v>
      </c>
      <c r="G124" s="61">
        <v>44517</v>
      </c>
      <c r="H124" s="61">
        <v>44520</v>
      </c>
      <c r="I124" s="60" t="s">
        <v>612</v>
      </c>
      <c r="J124" s="60">
        <v>1</v>
      </c>
      <c r="L124" s="60">
        <v>0</v>
      </c>
      <c r="M124" s="61">
        <v>44497</v>
      </c>
      <c r="O124" s="62" t="s">
        <v>331</v>
      </c>
      <c r="P124" s="60" t="s">
        <v>26</v>
      </c>
      <c r="Q124" s="62" t="s">
        <v>105</v>
      </c>
      <c r="R124" s="62" t="s">
        <v>950</v>
      </c>
      <c r="S124" s="63" t="s">
        <v>951</v>
      </c>
      <c r="T124" s="63" t="s">
        <v>340</v>
      </c>
      <c r="U124" s="64">
        <v>84000</v>
      </c>
      <c r="V124" s="64">
        <v>92400</v>
      </c>
      <c r="W124" s="64">
        <v>68000</v>
      </c>
      <c r="X124" s="64">
        <v>74800</v>
      </c>
      <c r="Y124" s="64">
        <v>16000</v>
      </c>
      <c r="Z124" s="64">
        <v>17600</v>
      </c>
      <c r="AA124" s="61">
        <v>44516</v>
      </c>
      <c r="AB124" s="61">
        <v>44517</v>
      </c>
      <c r="AC124" s="61">
        <v>44517</v>
      </c>
      <c r="AD124" s="60">
        <v>0</v>
      </c>
      <c r="AG124" s="60">
        <v>0</v>
      </c>
      <c r="AJ124" s="60">
        <v>0</v>
      </c>
      <c r="AQ124" s="60" t="s">
        <v>649</v>
      </c>
      <c r="AR124" s="61">
        <v>44502</v>
      </c>
      <c r="AS124" s="60">
        <v>6001952876</v>
      </c>
      <c r="AT124" s="61">
        <v>44504</v>
      </c>
      <c r="AU124" s="60" t="s">
        <v>675</v>
      </c>
      <c r="AV124" s="61">
        <v>44530</v>
      </c>
      <c r="AW124" s="91">
        <v>44530</v>
      </c>
      <c r="AX124" s="91">
        <v>44550</v>
      </c>
      <c r="AY124" s="99">
        <v>80640</v>
      </c>
      <c r="AZ124" s="99">
        <f>ROUNDDOWN(AY124+(AY124*MASTER!$A$2/100),0)</f>
        <v>88704</v>
      </c>
      <c r="BA124" s="60" t="s">
        <v>765</v>
      </c>
      <c r="BC124" s="64">
        <v>0</v>
      </c>
      <c r="BG124" s="64">
        <v>0</v>
      </c>
      <c r="BI124" s="60" t="s">
        <v>267</v>
      </c>
      <c r="BJ124" s="64">
        <v>10400</v>
      </c>
      <c r="BK124" s="64">
        <v>11440</v>
      </c>
      <c r="BL124" s="60" t="s">
        <v>493</v>
      </c>
      <c r="BS124" s="64">
        <v>0</v>
      </c>
      <c r="BV124" s="65">
        <v>74800</v>
      </c>
      <c r="BW124" s="65">
        <v>11440</v>
      </c>
      <c r="BX124" s="65">
        <v>44497</v>
      </c>
      <c r="BY124" s="65">
        <v>63360</v>
      </c>
      <c r="BZ124" s="81">
        <v>84.705882352941174</v>
      </c>
    </row>
    <row r="125" spans="1:89" x14ac:dyDescent="0.15">
      <c r="A125" s="60">
        <v>2</v>
      </c>
      <c r="B125" s="61">
        <v>44505</v>
      </c>
      <c r="C125" s="61">
        <v>44530</v>
      </c>
      <c r="D125" s="61">
        <v>44532</v>
      </c>
      <c r="E125" s="61">
        <v>44525</v>
      </c>
      <c r="F125" s="61">
        <v>44525</v>
      </c>
      <c r="G125" s="61">
        <v>44517</v>
      </c>
      <c r="H125" s="61">
        <v>44521</v>
      </c>
      <c r="I125" s="60" t="s">
        <v>612</v>
      </c>
      <c r="J125" s="60">
        <v>1</v>
      </c>
      <c r="L125" s="60">
        <v>0</v>
      </c>
      <c r="M125" s="61">
        <v>44497</v>
      </c>
      <c r="O125" s="62" t="s">
        <v>331</v>
      </c>
      <c r="P125" s="60" t="s">
        <v>26</v>
      </c>
      <c r="Q125" s="62" t="s">
        <v>105</v>
      </c>
      <c r="R125" s="62" t="s">
        <v>954</v>
      </c>
      <c r="S125" s="63" t="s">
        <v>955</v>
      </c>
      <c r="T125" s="63" t="s">
        <v>340</v>
      </c>
      <c r="U125" s="64">
        <v>84000</v>
      </c>
      <c r="V125" s="64">
        <v>92400</v>
      </c>
      <c r="W125" s="64">
        <v>68000</v>
      </c>
      <c r="X125" s="64">
        <v>74800</v>
      </c>
      <c r="Y125" s="64">
        <v>16000</v>
      </c>
      <c r="Z125" s="64">
        <v>17600</v>
      </c>
      <c r="AA125" s="61">
        <v>44517</v>
      </c>
      <c r="AB125" s="61">
        <v>44518</v>
      </c>
      <c r="AC125" s="61">
        <v>44518</v>
      </c>
      <c r="AD125" s="60">
        <v>0</v>
      </c>
      <c r="AG125" s="60">
        <v>0</v>
      </c>
      <c r="AJ125" s="60">
        <v>0</v>
      </c>
      <c r="AQ125" s="60" t="s">
        <v>649</v>
      </c>
      <c r="AR125" s="61">
        <v>44502</v>
      </c>
      <c r="AS125" s="60">
        <v>6001952876</v>
      </c>
      <c r="AT125" s="61">
        <v>44504</v>
      </c>
      <c r="AU125" s="60" t="s">
        <v>675</v>
      </c>
      <c r="AV125" s="61">
        <v>44530</v>
      </c>
      <c r="AW125" s="91">
        <v>44530</v>
      </c>
      <c r="AX125" s="91">
        <v>44550</v>
      </c>
      <c r="AY125" s="99">
        <v>80640</v>
      </c>
      <c r="AZ125" s="99">
        <f>ROUNDDOWN(AY125+(AY125*MASTER!$A$2/100),0)</f>
        <v>88704</v>
      </c>
      <c r="BA125" s="60" t="s">
        <v>765</v>
      </c>
      <c r="BC125" s="64">
        <v>0</v>
      </c>
      <c r="BG125" s="64">
        <v>0</v>
      </c>
      <c r="BI125" s="60" t="s">
        <v>267</v>
      </c>
      <c r="BJ125" s="64">
        <v>10400</v>
      </c>
      <c r="BK125" s="64">
        <v>11440</v>
      </c>
      <c r="BL125" s="60" t="s">
        <v>493</v>
      </c>
      <c r="BS125" s="64">
        <v>0</v>
      </c>
      <c r="BV125" s="65">
        <v>74800</v>
      </c>
      <c r="BW125" s="65">
        <v>11440</v>
      </c>
      <c r="BX125" s="65">
        <v>44497</v>
      </c>
      <c r="BY125" s="65">
        <v>63360</v>
      </c>
      <c r="BZ125" s="81">
        <v>84.705882352941174</v>
      </c>
    </row>
    <row r="126" spans="1:89" x14ac:dyDescent="0.15">
      <c r="A126" s="60">
        <v>2</v>
      </c>
      <c r="B126" s="61">
        <v>44505</v>
      </c>
      <c r="C126" s="61">
        <v>44530</v>
      </c>
      <c r="D126" s="61">
        <v>44533</v>
      </c>
      <c r="E126" s="61">
        <v>44532</v>
      </c>
      <c r="F126" s="61">
        <v>44533</v>
      </c>
      <c r="G126" s="61">
        <v>44525</v>
      </c>
      <c r="H126" s="61">
        <v>44529</v>
      </c>
      <c r="I126" s="60" t="s">
        <v>612</v>
      </c>
      <c r="J126" s="60">
        <v>1</v>
      </c>
      <c r="L126" s="60">
        <v>0</v>
      </c>
      <c r="M126" s="61">
        <v>44497</v>
      </c>
      <c r="O126" s="62" t="s">
        <v>331</v>
      </c>
      <c r="P126" s="60" t="s">
        <v>26</v>
      </c>
      <c r="Q126" s="62" t="s">
        <v>105</v>
      </c>
      <c r="R126" s="62" t="s">
        <v>833</v>
      </c>
      <c r="S126" s="63" t="s">
        <v>834</v>
      </c>
      <c r="T126" s="63" t="s">
        <v>340</v>
      </c>
      <c r="U126" s="64">
        <v>84000</v>
      </c>
      <c r="V126" s="64">
        <v>92400</v>
      </c>
      <c r="W126" s="64">
        <v>68000</v>
      </c>
      <c r="X126" s="64">
        <v>74800</v>
      </c>
      <c r="Y126" s="64">
        <v>16000</v>
      </c>
      <c r="Z126" s="64">
        <v>17600</v>
      </c>
      <c r="AA126" s="61">
        <v>44525</v>
      </c>
      <c r="AB126" s="61">
        <v>44526</v>
      </c>
      <c r="AC126" s="61">
        <v>44526</v>
      </c>
      <c r="AD126" s="60">
        <v>0</v>
      </c>
      <c r="AG126" s="60">
        <v>0</v>
      </c>
      <c r="AJ126" s="60">
        <v>0</v>
      </c>
      <c r="AQ126" s="60" t="s">
        <v>649</v>
      </c>
      <c r="AR126" s="61">
        <v>44502</v>
      </c>
      <c r="AS126" s="60">
        <v>6001952876</v>
      </c>
      <c r="AT126" s="61">
        <v>44504</v>
      </c>
      <c r="AU126" s="60" t="s">
        <v>675</v>
      </c>
      <c r="AV126" s="61">
        <v>44530</v>
      </c>
      <c r="AW126" s="91">
        <v>44530</v>
      </c>
      <c r="AX126" s="91">
        <v>44550</v>
      </c>
      <c r="AY126" s="99">
        <v>80640</v>
      </c>
      <c r="AZ126" s="99">
        <f>ROUNDDOWN(AY126+(AY126*MASTER!$A$2/100),0)</f>
        <v>88704</v>
      </c>
      <c r="BA126" s="60" t="s">
        <v>317</v>
      </c>
      <c r="BB126" s="64">
        <v>43000</v>
      </c>
      <c r="BC126" s="64">
        <v>47300</v>
      </c>
      <c r="BD126" s="60" t="s">
        <v>183</v>
      </c>
      <c r="BG126" s="64">
        <v>0</v>
      </c>
      <c r="BK126" s="64">
        <v>0</v>
      </c>
      <c r="BS126" s="64">
        <v>0</v>
      </c>
      <c r="BV126" s="65">
        <v>74800</v>
      </c>
      <c r="BW126" s="65">
        <v>47300</v>
      </c>
      <c r="BX126" s="65">
        <v>44497</v>
      </c>
      <c r="BY126" s="65">
        <v>27500</v>
      </c>
      <c r="BZ126" s="81">
        <v>36.764705882352942</v>
      </c>
    </row>
    <row r="127" spans="1:89" x14ac:dyDescent="0.15">
      <c r="A127" s="60">
        <v>2</v>
      </c>
      <c r="B127" s="61">
        <v>44505</v>
      </c>
      <c r="C127" s="61">
        <v>44530</v>
      </c>
      <c r="D127" s="61">
        <v>44533</v>
      </c>
      <c r="E127" s="61">
        <v>44532</v>
      </c>
      <c r="F127" s="61">
        <v>44533</v>
      </c>
      <c r="G127" s="61">
        <v>44526</v>
      </c>
      <c r="H127" s="61">
        <v>44529</v>
      </c>
      <c r="I127" s="60" t="s">
        <v>612</v>
      </c>
      <c r="J127" s="60">
        <v>1</v>
      </c>
      <c r="L127" s="60">
        <v>0</v>
      </c>
      <c r="M127" s="61">
        <v>44497</v>
      </c>
      <c r="O127" s="62" t="s">
        <v>331</v>
      </c>
      <c r="P127" s="60" t="s">
        <v>26</v>
      </c>
      <c r="Q127" s="62" t="s">
        <v>105</v>
      </c>
      <c r="R127" s="62" t="s">
        <v>837</v>
      </c>
      <c r="S127" s="63" t="s">
        <v>838</v>
      </c>
      <c r="T127" s="63" t="s">
        <v>340</v>
      </c>
      <c r="U127" s="64">
        <v>84000</v>
      </c>
      <c r="V127" s="64">
        <v>92400</v>
      </c>
      <c r="W127" s="64">
        <v>68000</v>
      </c>
      <c r="X127" s="64">
        <v>74800</v>
      </c>
      <c r="Y127" s="64">
        <v>16000</v>
      </c>
      <c r="Z127" s="64">
        <v>17600</v>
      </c>
      <c r="AA127" s="61">
        <v>44525</v>
      </c>
      <c r="AB127" s="61">
        <v>44526</v>
      </c>
      <c r="AC127" s="61">
        <v>44526</v>
      </c>
      <c r="AD127" s="60">
        <v>0</v>
      </c>
      <c r="AG127" s="60">
        <v>0</v>
      </c>
      <c r="AJ127" s="60">
        <v>0</v>
      </c>
      <c r="AQ127" s="60" t="s">
        <v>649</v>
      </c>
      <c r="AR127" s="61">
        <v>44502</v>
      </c>
      <c r="AS127" s="60">
        <v>6001952876</v>
      </c>
      <c r="AT127" s="61">
        <v>44504</v>
      </c>
      <c r="AU127" s="60" t="s">
        <v>675</v>
      </c>
      <c r="AV127" s="61">
        <v>44530</v>
      </c>
      <c r="AW127" s="91">
        <v>44530</v>
      </c>
      <c r="AX127" s="91">
        <v>44550</v>
      </c>
      <c r="AY127" s="99">
        <v>80640</v>
      </c>
      <c r="AZ127" s="99">
        <f>ROUNDDOWN(AY127+(AY127*MASTER!$A$2/100),0)</f>
        <v>88704</v>
      </c>
      <c r="BA127" s="60" t="s">
        <v>317</v>
      </c>
      <c r="BB127" s="64">
        <v>51000</v>
      </c>
      <c r="BC127" s="64">
        <v>56100</v>
      </c>
      <c r="BD127" s="60" t="s">
        <v>183</v>
      </c>
      <c r="BG127" s="64">
        <v>0</v>
      </c>
      <c r="BI127" s="60" t="s">
        <v>267</v>
      </c>
      <c r="BJ127" s="64">
        <v>10400</v>
      </c>
      <c r="BK127" s="64">
        <v>11440</v>
      </c>
      <c r="BL127" s="60" t="s">
        <v>493</v>
      </c>
      <c r="BS127" s="64">
        <v>0</v>
      </c>
      <c r="BV127" s="65">
        <v>74800</v>
      </c>
      <c r="BW127" s="65">
        <v>67540</v>
      </c>
      <c r="BX127" s="65">
        <v>44497</v>
      </c>
      <c r="BY127" s="65">
        <v>7260</v>
      </c>
      <c r="BZ127" s="81">
        <v>9.7058823529411775</v>
      </c>
    </row>
    <row r="128" spans="1:89" x14ac:dyDescent="0.15">
      <c r="A128" s="60">
        <v>2</v>
      </c>
      <c r="B128" s="61">
        <v>44505</v>
      </c>
      <c r="C128" s="61">
        <v>44530</v>
      </c>
      <c r="D128" s="61">
        <v>44532</v>
      </c>
      <c r="E128" s="61">
        <v>44526</v>
      </c>
      <c r="F128" s="61">
        <v>44526</v>
      </c>
      <c r="G128" s="61">
        <v>44519</v>
      </c>
      <c r="H128" s="61">
        <v>44522</v>
      </c>
      <c r="I128" s="60" t="s">
        <v>612</v>
      </c>
      <c r="J128" s="60">
        <v>1</v>
      </c>
      <c r="L128" s="60">
        <v>0</v>
      </c>
      <c r="M128" s="61">
        <v>44497</v>
      </c>
      <c r="O128" s="62" t="s">
        <v>331</v>
      </c>
      <c r="P128" s="60" t="s">
        <v>26</v>
      </c>
      <c r="Q128" s="62" t="s">
        <v>105</v>
      </c>
      <c r="R128" s="62" t="s">
        <v>961</v>
      </c>
      <c r="S128" s="63" t="s">
        <v>962</v>
      </c>
      <c r="T128" s="63" t="s">
        <v>340</v>
      </c>
      <c r="U128" s="64">
        <v>84000</v>
      </c>
      <c r="V128" s="64">
        <v>92400</v>
      </c>
      <c r="W128" s="64">
        <v>68000</v>
      </c>
      <c r="X128" s="64">
        <v>74800</v>
      </c>
      <c r="Y128" s="64">
        <v>16000</v>
      </c>
      <c r="Z128" s="64">
        <v>17600</v>
      </c>
      <c r="AA128" s="61">
        <v>44518</v>
      </c>
      <c r="AB128" s="61">
        <v>44519</v>
      </c>
      <c r="AC128" s="61">
        <v>44519</v>
      </c>
      <c r="AD128" s="60">
        <v>0</v>
      </c>
      <c r="AG128" s="60">
        <v>0</v>
      </c>
      <c r="AJ128" s="60">
        <v>0</v>
      </c>
      <c r="AQ128" s="60" t="s">
        <v>649</v>
      </c>
      <c r="AR128" s="61">
        <v>44502</v>
      </c>
      <c r="AS128" s="60">
        <v>6001952876</v>
      </c>
      <c r="AT128" s="61">
        <v>44504</v>
      </c>
      <c r="AU128" s="60" t="s">
        <v>675</v>
      </c>
      <c r="AV128" s="61">
        <v>44530</v>
      </c>
      <c r="AW128" s="91">
        <v>44530</v>
      </c>
      <c r="AX128" s="91">
        <v>44550</v>
      </c>
      <c r="AY128" s="99">
        <v>80640</v>
      </c>
      <c r="AZ128" s="99">
        <f>ROUNDDOWN(AY128+(AY128*MASTER!$A$2/100),0)</f>
        <v>88704</v>
      </c>
      <c r="BA128" s="60" t="s">
        <v>765</v>
      </c>
      <c r="BC128" s="64">
        <v>0</v>
      </c>
      <c r="BG128" s="64">
        <v>0</v>
      </c>
      <c r="BK128" s="64">
        <v>0</v>
      </c>
      <c r="BS128" s="64">
        <v>0</v>
      </c>
      <c r="BV128" s="65">
        <v>74800</v>
      </c>
      <c r="BW128" s="65">
        <v>0</v>
      </c>
      <c r="BX128" s="65">
        <v>44497</v>
      </c>
      <c r="BY128" s="65">
        <v>74800</v>
      </c>
      <c r="BZ128" s="81">
        <v>100</v>
      </c>
    </row>
    <row r="129" spans="1:78" x14ac:dyDescent="0.15">
      <c r="A129" s="60">
        <v>2</v>
      </c>
      <c r="B129" s="61">
        <v>44505</v>
      </c>
      <c r="C129" s="61">
        <v>44530</v>
      </c>
      <c r="D129" s="61">
        <v>44532</v>
      </c>
      <c r="E129" s="61">
        <v>44525</v>
      </c>
      <c r="F129" s="61">
        <v>44516</v>
      </c>
      <c r="G129" s="61">
        <v>44518</v>
      </c>
      <c r="H129" s="61">
        <v>44512</v>
      </c>
      <c r="I129" s="60" t="s">
        <v>612</v>
      </c>
      <c r="J129" s="60">
        <v>1</v>
      </c>
      <c r="L129" s="60">
        <v>0</v>
      </c>
      <c r="M129" s="61">
        <v>44497</v>
      </c>
      <c r="O129" s="62" t="s">
        <v>331</v>
      </c>
      <c r="P129" s="60" t="s">
        <v>26</v>
      </c>
      <c r="Q129" s="62" t="s">
        <v>105</v>
      </c>
      <c r="R129" s="62" t="s">
        <v>946</v>
      </c>
      <c r="S129" s="63" t="s">
        <v>947</v>
      </c>
      <c r="T129" s="63" t="s">
        <v>340</v>
      </c>
      <c r="U129" s="64">
        <v>84000</v>
      </c>
      <c r="V129" s="64">
        <v>92400</v>
      </c>
      <c r="W129" s="64">
        <v>68000</v>
      </c>
      <c r="X129" s="64">
        <v>74800</v>
      </c>
      <c r="Y129" s="64">
        <v>16000</v>
      </c>
      <c r="Z129" s="64">
        <v>17600</v>
      </c>
      <c r="AA129" s="61">
        <v>44508</v>
      </c>
      <c r="AB129" s="61">
        <v>44509</v>
      </c>
      <c r="AC129" s="61">
        <v>44509</v>
      </c>
      <c r="AD129" s="60">
        <v>0</v>
      </c>
      <c r="AG129" s="60">
        <v>0</v>
      </c>
      <c r="AJ129" s="60">
        <v>0</v>
      </c>
      <c r="AQ129" s="60" t="s">
        <v>649</v>
      </c>
      <c r="AR129" s="61">
        <v>44502</v>
      </c>
      <c r="AS129" s="60">
        <v>6001952876</v>
      </c>
      <c r="AT129" s="61">
        <v>44504</v>
      </c>
      <c r="AU129" s="60" t="s">
        <v>675</v>
      </c>
      <c r="AV129" s="61">
        <v>44530</v>
      </c>
      <c r="AW129" s="91">
        <v>44530</v>
      </c>
      <c r="AX129" s="91">
        <v>44550</v>
      </c>
      <c r="AY129" s="99">
        <v>80640</v>
      </c>
      <c r="AZ129" s="99">
        <f>ROUNDDOWN(AY129+(AY129*MASTER!$A$2/100),0)</f>
        <v>88704</v>
      </c>
      <c r="BA129" s="60" t="s">
        <v>765</v>
      </c>
      <c r="BC129" s="64">
        <v>0</v>
      </c>
      <c r="BG129" s="64">
        <v>0</v>
      </c>
      <c r="BK129" s="64">
        <v>0</v>
      </c>
      <c r="BS129" s="64">
        <v>0</v>
      </c>
      <c r="BV129" s="65">
        <v>74800</v>
      </c>
      <c r="BW129" s="65">
        <v>0</v>
      </c>
      <c r="BX129" s="65">
        <v>44497</v>
      </c>
      <c r="BY129" s="65">
        <v>74800</v>
      </c>
      <c r="BZ129" s="81">
        <v>100</v>
      </c>
    </row>
    <row r="130" spans="1:78" x14ac:dyDescent="0.15">
      <c r="A130" s="60">
        <v>2</v>
      </c>
      <c r="B130" s="61">
        <v>44505</v>
      </c>
      <c r="C130" s="61">
        <v>44530</v>
      </c>
      <c r="D130" s="61">
        <v>44532</v>
      </c>
      <c r="E130" s="61">
        <v>44525</v>
      </c>
      <c r="F130" s="61">
        <v>44524</v>
      </c>
      <c r="G130" s="61">
        <v>44517</v>
      </c>
      <c r="H130" s="61">
        <v>44520</v>
      </c>
      <c r="I130" s="60" t="s">
        <v>612</v>
      </c>
      <c r="J130" s="60">
        <v>1</v>
      </c>
      <c r="L130" s="60">
        <v>0</v>
      </c>
      <c r="M130" s="61">
        <v>44497</v>
      </c>
      <c r="O130" s="62" t="s">
        <v>331</v>
      </c>
      <c r="P130" s="60" t="s">
        <v>26</v>
      </c>
      <c r="Q130" s="62" t="s">
        <v>105</v>
      </c>
      <c r="R130" s="62" t="s">
        <v>952</v>
      </c>
      <c r="S130" s="63" t="s">
        <v>953</v>
      </c>
      <c r="T130" s="63" t="s">
        <v>340</v>
      </c>
      <c r="U130" s="64">
        <v>84000</v>
      </c>
      <c r="V130" s="64">
        <v>92400</v>
      </c>
      <c r="W130" s="64">
        <v>68000</v>
      </c>
      <c r="X130" s="64">
        <v>74800</v>
      </c>
      <c r="Y130" s="64">
        <v>16000</v>
      </c>
      <c r="Z130" s="64">
        <v>17600</v>
      </c>
      <c r="AA130" s="61">
        <v>44516</v>
      </c>
      <c r="AB130" s="61">
        <v>44517</v>
      </c>
      <c r="AC130" s="61">
        <v>44517</v>
      </c>
      <c r="AD130" s="60">
        <v>0</v>
      </c>
      <c r="AG130" s="60">
        <v>0</v>
      </c>
      <c r="AJ130" s="60">
        <v>0</v>
      </c>
      <c r="AQ130" s="60" t="s">
        <v>649</v>
      </c>
      <c r="AR130" s="61">
        <v>44502</v>
      </c>
      <c r="AS130" s="60">
        <v>6001952876</v>
      </c>
      <c r="AT130" s="61">
        <v>44504</v>
      </c>
      <c r="AU130" s="60" t="s">
        <v>675</v>
      </c>
      <c r="AV130" s="61">
        <v>44530</v>
      </c>
      <c r="AW130" s="91">
        <v>44530</v>
      </c>
      <c r="AX130" s="91">
        <v>44550</v>
      </c>
      <c r="AY130" s="99">
        <v>80640</v>
      </c>
      <c r="AZ130" s="99">
        <f>ROUNDDOWN(AY130+(AY130*MASTER!$A$2/100),0)</f>
        <v>88704</v>
      </c>
      <c r="BA130" s="60" t="s">
        <v>765</v>
      </c>
      <c r="BC130" s="64">
        <v>0</v>
      </c>
      <c r="BG130" s="64">
        <v>0</v>
      </c>
      <c r="BI130" s="60" t="s">
        <v>267</v>
      </c>
      <c r="BJ130" s="64">
        <v>10400</v>
      </c>
      <c r="BK130" s="64">
        <v>11440</v>
      </c>
      <c r="BL130" s="60" t="s">
        <v>493</v>
      </c>
      <c r="BS130" s="64">
        <v>0</v>
      </c>
      <c r="BV130" s="65">
        <v>74800</v>
      </c>
      <c r="BW130" s="65">
        <v>11440</v>
      </c>
      <c r="BX130" s="65">
        <v>44497</v>
      </c>
      <c r="BY130" s="65">
        <v>63360</v>
      </c>
      <c r="BZ130" s="81">
        <v>84.705882352941174</v>
      </c>
    </row>
    <row r="131" spans="1:78" x14ac:dyDescent="0.15">
      <c r="A131" s="60">
        <v>2</v>
      </c>
      <c r="B131" s="61">
        <v>44505</v>
      </c>
      <c r="C131" s="61">
        <v>44530</v>
      </c>
      <c r="D131" s="61">
        <v>44532</v>
      </c>
      <c r="E131" s="61">
        <v>44525</v>
      </c>
      <c r="F131" s="61">
        <v>44517</v>
      </c>
      <c r="G131" s="61">
        <v>44510</v>
      </c>
      <c r="H131" s="61">
        <v>44513</v>
      </c>
      <c r="I131" s="60" t="s">
        <v>612</v>
      </c>
      <c r="J131" s="60">
        <v>1</v>
      </c>
      <c r="L131" s="60">
        <v>0</v>
      </c>
      <c r="M131" s="61">
        <v>44497</v>
      </c>
      <c r="O131" s="62" t="s">
        <v>331</v>
      </c>
      <c r="P131" s="60" t="s">
        <v>26</v>
      </c>
      <c r="Q131" s="62" t="s">
        <v>105</v>
      </c>
      <c r="R131" s="62" t="s">
        <v>945</v>
      </c>
      <c r="S131" s="63" t="s">
        <v>889</v>
      </c>
      <c r="T131" s="63" t="s">
        <v>340</v>
      </c>
      <c r="U131" s="64">
        <v>84000</v>
      </c>
      <c r="V131" s="64">
        <v>92400</v>
      </c>
      <c r="W131" s="64">
        <v>68000</v>
      </c>
      <c r="X131" s="64">
        <v>74800</v>
      </c>
      <c r="Y131" s="64">
        <v>16000</v>
      </c>
      <c r="Z131" s="64">
        <v>17600</v>
      </c>
      <c r="AA131" s="61">
        <v>44509</v>
      </c>
      <c r="AB131" s="61">
        <v>44510</v>
      </c>
      <c r="AC131" s="61">
        <v>44510</v>
      </c>
      <c r="AD131" s="60">
        <v>0</v>
      </c>
      <c r="AG131" s="60">
        <v>0</v>
      </c>
      <c r="AJ131" s="60">
        <v>0</v>
      </c>
      <c r="AQ131" s="60" t="s">
        <v>649</v>
      </c>
      <c r="AR131" s="61">
        <v>44502</v>
      </c>
      <c r="AS131" s="60">
        <v>6001952876</v>
      </c>
      <c r="AT131" s="61">
        <v>44504</v>
      </c>
      <c r="AU131" s="60" t="s">
        <v>675</v>
      </c>
      <c r="AV131" s="61">
        <v>44530</v>
      </c>
      <c r="AW131" s="91">
        <v>44530</v>
      </c>
      <c r="AX131" s="91">
        <v>44550</v>
      </c>
      <c r="AY131" s="99">
        <v>80640</v>
      </c>
      <c r="AZ131" s="99">
        <f>ROUNDDOWN(AY131+(AY131*MASTER!$A$2/100),0)</f>
        <v>88704</v>
      </c>
      <c r="BA131" s="60" t="s">
        <v>765</v>
      </c>
      <c r="BC131" s="64">
        <v>0</v>
      </c>
      <c r="BG131" s="64">
        <v>0</v>
      </c>
      <c r="BK131" s="64">
        <v>0</v>
      </c>
      <c r="BS131" s="64">
        <v>0</v>
      </c>
      <c r="BV131" s="65">
        <v>74800</v>
      </c>
      <c r="BW131" s="65">
        <v>0</v>
      </c>
      <c r="BX131" s="65">
        <v>44497</v>
      </c>
      <c r="BY131" s="65">
        <v>74800</v>
      </c>
      <c r="BZ131" s="81">
        <v>100</v>
      </c>
    </row>
    <row r="132" spans="1:78" x14ac:dyDescent="0.15">
      <c r="A132" s="60">
        <v>2</v>
      </c>
      <c r="B132" s="61">
        <v>44505</v>
      </c>
      <c r="C132" s="61">
        <v>44530</v>
      </c>
      <c r="D132" s="61">
        <v>44533</v>
      </c>
      <c r="E132" s="61">
        <v>44532</v>
      </c>
      <c r="F132" s="61">
        <v>44533</v>
      </c>
      <c r="G132" s="61">
        <v>44525</v>
      </c>
      <c r="H132" s="61">
        <v>44529</v>
      </c>
      <c r="I132" s="60" t="s">
        <v>612</v>
      </c>
      <c r="J132" s="60">
        <v>1</v>
      </c>
      <c r="L132" s="60">
        <v>0</v>
      </c>
      <c r="M132" s="61">
        <v>44497</v>
      </c>
      <c r="O132" s="62" t="s">
        <v>331</v>
      </c>
      <c r="P132" s="60" t="s">
        <v>26</v>
      </c>
      <c r="Q132" s="62" t="s">
        <v>105</v>
      </c>
      <c r="R132" s="62" t="s">
        <v>835</v>
      </c>
      <c r="S132" s="63" t="s">
        <v>836</v>
      </c>
      <c r="T132" s="63" t="s">
        <v>340</v>
      </c>
      <c r="U132" s="64">
        <v>84000</v>
      </c>
      <c r="V132" s="64">
        <v>92400</v>
      </c>
      <c r="W132" s="64">
        <v>68000</v>
      </c>
      <c r="X132" s="64">
        <v>74800</v>
      </c>
      <c r="Y132" s="64">
        <v>16000</v>
      </c>
      <c r="Z132" s="64">
        <v>17600</v>
      </c>
      <c r="AA132" s="61">
        <v>44525</v>
      </c>
      <c r="AB132" s="61">
        <v>44526</v>
      </c>
      <c r="AC132" s="61">
        <v>44526</v>
      </c>
      <c r="AD132" s="60">
        <v>0</v>
      </c>
      <c r="AG132" s="60">
        <v>0</v>
      </c>
      <c r="AJ132" s="60">
        <v>0</v>
      </c>
      <c r="AQ132" s="60" t="s">
        <v>649</v>
      </c>
      <c r="AR132" s="61">
        <v>44502</v>
      </c>
      <c r="AS132" s="60">
        <v>6001952876</v>
      </c>
      <c r="AT132" s="61">
        <v>44504</v>
      </c>
      <c r="AU132" s="60" t="s">
        <v>675</v>
      </c>
      <c r="AV132" s="61">
        <v>44530</v>
      </c>
      <c r="AW132" s="91">
        <v>44530</v>
      </c>
      <c r="AX132" s="91">
        <v>44550</v>
      </c>
      <c r="AY132" s="99">
        <v>80640</v>
      </c>
      <c r="AZ132" s="99">
        <f>ROUNDDOWN(AY132+(AY132*MASTER!$A$2/100),0)</f>
        <v>88704</v>
      </c>
      <c r="BA132" s="60" t="s">
        <v>317</v>
      </c>
      <c r="BB132" s="64">
        <v>52000</v>
      </c>
      <c r="BC132" s="64">
        <v>57200</v>
      </c>
      <c r="BD132" s="60" t="s">
        <v>183</v>
      </c>
      <c r="BG132" s="64">
        <v>0</v>
      </c>
      <c r="BI132" s="60" t="s">
        <v>267</v>
      </c>
      <c r="BJ132" s="64">
        <v>10400</v>
      </c>
      <c r="BK132" s="64">
        <v>11440</v>
      </c>
      <c r="BL132" s="60" t="s">
        <v>493</v>
      </c>
      <c r="BS132" s="64">
        <v>0</v>
      </c>
      <c r="BV132" s="65">
        <v>74800</v>
      </c>
      <c r="BW132" s="65">
        <v>68640</v>
      </c>
      <c r="BX132" s="65">
        <v>44497</v>
      </c>
      <c r="BY132" s="65">
        <v>6160</v>
      </c>
      <c r="BZ132" s="81">
        <v>8.235294117647058</v>
      </c>
    </row>
    <row r="133" spans="1:78" x14ac:dyDescent="0.15">
      <c r="A133" s="60">
        <v>2</v>
      </c>
      <c r="B133" s="61">
        <v>44505</v>
      </c>
      <c r="C133" s="61">
        <v>44530</v>
      </c>
      <c r="D133" s="61">
        <v>44533</v>
      </c>
      <c r="E133" s="61">
        <v>44517</v>
      </c>
      <c r="F133" s="61">
        <v>44520</v>
      </c>
      <c r="G133" s="61">
        <v>44515</v>
      </c>
      <c r="H133" s="61">
        <v>44516</v>
      </c>
      <c r="I133" s="60" t="s">
        <v>612</v>
      </c>
      <c r="J133" s="60">
        <v>1</v>
      </c>
      <c r="L133" s="60">
        <v>0</v>
      </c>
      <c r="M133" s="61">
        <v>44497</v>
      </c>
      <c r="O133" s="62" t="s">
        <v>331</v>
      </c>
      <c r="P133" s="60" t="s">
        <v>26</v>
      </c>
      <c r="Q133" s="62" t="s">
        <v>105</v>
      </c>
      <c r="R133" s="62" t="s">
        <v>706</v>
      </c>
      <c r="S133" s="63" t="s">
        <v>707</v>
      </c>
      <c r="T133" s="63" t="s">
        <v>340</v>
      </c>
      <c r="U133" s="64">
        <v>84000</v>
      </c>
      <c r="V133" s="64">
        <v>92400</v>
      </c>
      <c r="W133" s="64">
        <v>68000</v>
      </c>
      <c r="X133" s="64">
        <v>74800</v>
      </c>
      <c r="Y133" s="64">
        <v>16000</v>
      </c>
      <c r="Z133" s="64">
        <v>17600</v>
      </c>
      <c r="AA133" s="61">
        <v>44512</v>
      </c>
      <c r="AB133" s="61">
        <v>44513</v>
      </c>
      <c r="AC133" s="61">
        <v>44513</v>
      </c>
      <c r="AD133" s="60">
        <v>0</v>
      </c>
      <c r="AG133" s="60">
        <v>0</v>
      </c>
      <c r="AJ133" s="60">
        <v>0</v>
      </c>
      <c r="AQ133" s="60" t="s">
        <v>650</v>
      </c>
      <c r="AR133" s="61">
        <v>44502</v>
      </c>
      <c r="AS133" s="60">
        <v>6001952876</v>
      </c>
      <c r="AT133" s="61">
        <v>44504</v>
      </c>
      <c r="AU133" s="60" t="s">
        <v>675</v>
      </c>
      <c r="AV133" s="61">
        <v>44530</v>
      </c>
      <c r="AW133" s="91">
        <v>44530</v>
      </c>
      <c r="AX133" s="91">
        <v>44550</v>
      </c>
      <c r="AY133" s="99">
        <v>80640</v>
      </c>
      <c r="AZ133" s="99">
        <f>ROUNDDOWN(AY133+(AY133*MASTER!$A$2/100),0)</f>
        <v>88704</v>
      </c>
      <c r="BA133" s="60" t="s">
        <v>317</v>
      </c>
      <c r="BB133" s="64">
        <v>44000</v>
      </c>
      <c r="BC133" s="64">
        <v>48400</v>
      </c>
      <c r="BD133" s="60" t="s">
        <v>183</v>
      </c>
      <c r="BG133" s="64">
        <v>0</v>
      </c>
      <c r="BK133" s="64">
        <v>0</v>
      </c>
      <c r="BS133" s="64">
        <v>0</v>
      </c>
      <c r="BV133" s="65">
        <v>74800</v>
      </c>
      <c r="BW133" s="65">
        <v>48400</v>
      </c>
      <c r="BX133" s="65">
        <v>44497</v>
      </c>
      <c r="BY133" s="65">
        <v>26400</v>
      </c>
      <c r="BZ133" s="81">
        <v>35.294117647058826</v>
      </c>
    </row>
    <row r="134" spans="1:78" x14ac:dyDescent="0.15">
      <c r="A134" s="60">
        <v>2</v>
      </c>
      <c r="B134" s="61">
        <v>44505</v>
      </c>
      <c r="C134" s="61">
        <v>44530</v>
      </c>
      <c r="D134" s="61">
        <v>44535</v>
      </c>
      <c r="E134" s="61">
        <v>44529</v>
      </c>
      <c r="F134" s="61">
        <v>44532</v>
      </c>
      <c r="G134" s="61">
        <v>44525</v>
      </c>
      <c r="H134" s="61">
        <v>44528</v>
      </c>
      <c r="I134" s="60" t="s">
        <v>511</v>
      </c>
      <c r="J134" s="60">
        <v>1</v>
      </c>
      <c r="L134" s="60">
        <v>0</v>
      </c>
      <c r="M134" s="61">
        <v>44497</v>
      </c>
      <c r="O134" s="62" t="s">
        <v>331</v>
      </c>
      <c r="P134" s="60" t="s">
        <v>26</v>
      </c>
      <c r="Q134" s="62" t="s">
        <v>105</v>
      </c>
      <c r="R134" s="62" t="s">
        <v>847</v>
      </c>
      <c r="S134" s="63" t="s">
        <v>848</v>
      </c>
      <c r="T134" s="63" t="s">
        <v>340</v>
      </c>
      <c r="U134" s="64">
        <v>84000</v>
      </c>
      <c r="V134" s="64">
        <v>92400</v>
      </c>
      <c r="W134" s="64">
        <v>68000</v>
      </c>
      <c r="X134" s="64">
        <v>74800</v>
      </c>
      <c r="Y134" s="64">
        <v>16000</v>
      </c>
      <c r="Z134" s="64">
        <v>17600</v>
      </c>
      <c r="AA134" s="61">
        <v>44524</v>
      </c>
      <c r="AB134" s="61">
        <v>44525</v>
      </c>
      <c r="AC134" s="61">
        <v>44525</v>
      </c>
      <c r="AD134" s="60">
        <v>0</v>
      </c>
      <c r="AG134" s="60">
        <v>0</v>
      </c>
      <c r="AJ134" s="60">
        <v>0</v>
      </c>
      <c r="AQ134" s="60" t="s">
        <v>650</v>
      </c>
      <c r="AR134" s="61">
        <v>44502</v>
      </c>
      <c r="AS134" s="60">
        <v>6001952876</v>
      </c>
      <c r="AT134" s="61">
        <v>44504</v>
      </c>
      <c r="AU134" s="60" t="s">
        <v>675</v>
      </c>
      <c r="AV134" s="61">
        <v>44530</v>
      </c>
      <c r="AW134" s="91">
        <v>44530</v>
      </c>
      <c r="AX134" s="91">
        <v>44550</v>
      </c>
      <c r="AY134" s="99">
        <v>80640</v>
      </c>
      <c r="AZ134" s="99">
        <f>ROUNDDOWN(AY134+(AY134*MASTER!$A$2/100),0)</f>
        <v>88704</v>
      </c>
      <c r="BA134" s="60" t="s">
        <v>319</v>
      </c>
      <c r="BB134" s="64">
        <v>21000</v>
      </c>
      <c r="BC134" s="64">
        <v>23100</v>
      </c>
      <c r="BD134" s="60" t="s">
        <v>183</v>
      </c>
      <c r="BG134" s="64">
        <v>0</v>
      </c>
      <c r="BK134" s="64">
        <v>0</v>
      </c>
      <c r="BS134" s="64">
        <v>0</v>
      </c>
      <c r="BV134" s="65">
        <v>74800</v>
      </c>
      <c r="BW134" s="65">
        <v>23100</v>
      </c>
      <c r="BX134" s="65">
        <v>44497</v>
      </c>
      <c r="BY134" s="65">
        <v>51700</v>
      </c>
      <c r="BZ134" s="81">
        <v>69.117647058823522</v>
      </c>
    </row>
    <row r="135" spans="1:78" x14ac:dyDescent="0.15">
      <c r="A135" s="60">
        <v>2</v>
      </c>
      <c r="B135" s="61">
        <v>44505</v>
      </c>
      <c r="C135" s="61">
        <v>44530</v>
      </c>
      <c r="D135" s="61">
        <v>44533</v>
      </c>
      <c r="E135" s="61">
        <v>44517</v>
      </c>
      <c r="F135" s="61">
        <v>44520</v>
      </c>
      <c r="G135" s="61">
        <v>44515</v>
      </c>
      <c r="H135" s="61">
        <v>44516</v>
      </c>
      <c r="I135" s="60" t="s">
        <v>612</v>
      </c>
      <c r="J135" s="60">
        <v>1</v>
      </c>
      <c r="L135" s="60">
        <v>0</v>
      </c>
      <c r="M135" s="61">
        <v>44497</v>
      </c>
      <c r="O135" s="62" t="s">
        <v>331</v>
      </c>
      <c r="P135" s="60" t="s">
        <v>26</v>
      </c>
      <c r="Q135" s="62" t="s">
        <v>105</v>
      </c>
      <c r="R135" s="62" t="s">
        <v>703</v>
      </c>
      <c r="S135" s="63" t="s">
        <v>403</v>
      </c>
      <c r="T135" s="63" t="s">
        <v>340</v>
      </c>
      <c r="U135" s="64">
        <v>84000</v>
      </c>
      <c r="V135" s="64">
        <v>92400</v>
      </c>
      <c r="W135" s="64">
        <v>68000</v>
      </c>
      <c r="X135" s="64">
        <v>74800</v>
      </c>
      <c r="Y135" s="64">
        <v>16000</v>
      </c>
      <c r="Z135" s="64">
        <v>17600</v>
      </c>
      <c r="AA135" s="61">
        <v>44512</v>
      </c>
      <c r="AB135" s="61">
        <v>44513</v>
      </c>
      <c r="AC135" s="61">
        <v>44513</v>
      </c>
      <c r="AD135" s="60">
        <v>0</v>
      </c>
      <c r="AG135" s="60">
        <v>0</v>
      </c>
      <c r="AJ135" s="60">
        <v>0</v>
      </c>
      <c r="AQ135" s="60" t="s">
        <v>650</v>
      </c>
      <c r="AR135" s="61">
        <v>44502</v>
      </c>
      <c r="AS135" s="60">
        <v>6001952876</v>
      </c>
      <c r="AT135" s="61">
        <v>44504</v>
      </c>
      <c r="AU135" s="60" t="s">
        <v>675</v>
      </c>
      <c r="AV135" s="61">
        <v>44530</v>
      </c>
      <c r="AW135" s="91">
        <v>44530</v>
      </c>
      <c r="AX135" s="91">
        <v>44550</v>
      </c>
      <c r="AY135" s="99">
        <v>80640</v>
      </c>
      <c r="AZ135" s="99">
        <f>ROUNDDOWN(AY135+(AY135*MASTER!$A$2/100),0)</f>
        <v>88704</v>
      </c>
      <c r="BA135" s="60" t="s">
        <v>317</v>
      </c>
      <c r="BB135" s="64">
        <v>40000</v>
      </c>
      <c r="BC135" s="64">
        <v>44000</v>
      </c>
      <c r="BD135" s="60" t="s">
        <v>183</v>
      </c>
      <c r="BG135" s="64">
        <v>0</v>
      </c>
      <c r="BK135" s="64">
        <v>0</v>
      </c>
      <c r="BS135" s="64">
        <v>0</v>
      </c>
      <c r="BV135" s="65">
        <v>74800</v>
      </c>
      <c r="BW135" s="65">
        <v>44000</v>
      </c>
      <c r="BX135" s="65">
        <v>44497</v>
      </c>
      <c r="BY135" s="65">
        <v>30800</v>
      </c>
      <c r="BZ135" s="81">
        <v>41.17647058823529</v>
      </c>
    </row>
    <row r="136" spans="1:78" x14ac:dyDescent="0.15">
      <c r="A136" s="60">
        <v>2</v>
      </c>
      <c r="B136" s="61">
        <v>44505</v>
      </c>
      <c r="C136" s="61">
        <v>44530</v>
      </c>
      <c r="D136" s="61">
        <v>44533</v>
      </c>
      <c r="E136" s="61">
        <v>44517</v>
      </c>
      <c r="F136" s="61">
        <v>44520</v>
      </c>
      <c r="G136" s="61">
        <v>44515</v>
      </c>
      <c r="H136" s="61">
        <v>44516</v>
      </c>
      <c r="I136" s="60" t="s">
        <v>612</v>
      </c>
      <c r="J136" s="60">
        <v>1</v>
      </c>
      <c r="L136" s="60">
        <v>0</v>
      </c>
      <c r="M136" s="61">
        <v>44497</v>
      </c>
      <c r="O136" s="62" t="s">
        <v>331</v>
      </c>
      <c r="P136" s="60" t="s">
        <v>26</v>
      </c>
      <c r="Q136" s="62" t="s">
        <v>105</v>
      </c>
      <c r="R136" s="62" t="s">
        <v>701</v>
      </c>
      <c r="S136" s="63" t="s">
        <v>702</v>
      </c>
      <c r="T136" s="63" t="s">
        <v>340</v>
      </c>
      <c r="U136" s="64">
        <v>84000</v>
      </c>
      <c r="V136" s="64">
        <v>92400</v>
      </c>
      <c r="W136" s="64">
        <v>68000</v>
      </c>
      <c r="X136" s="64">
        <v>74800</v>
      </c>
      <c r="Y136" s="64">
        <v>16000</v>
      </c>
      <c r="Z136" s="64">
        <v>17600</v>
      </c>
      <c r="AA136" s="61">
        <v>44512</v>
      </c>
      <c r="AB136" s="61">
        <v>44513</v>
      </c>
      <c r="AC136" s="61">
        <v>44513</v>
      </c>
      <c r="AD136" s="60">
        <v>0</v>
      </c>
      <c r="AG136" s="60">
        <v>0</v>
      </c>
      <c r="AJ136" s="60">
        <v>0</v>
      </c>
      <c r="AQ136" s="60" t="s">
        <v>650</v>
      </c>
      <c r="AR136" s="61">
        <v>44502</v>
      </c>
      <c r="AS136" s="60">
        <v>6001952876</v>
      </c>
      <c r="AT136" s="61">
        <v>44504</v>
      </c>
      <c r="AU136" s="60" t="s">
        <v>675</v>
      </c>
      <c r="AV136" s="61">
        <v>44530</v>
      </c>
      <c r="AW136" s="91">
        <v>44530</v>
      </c>
      <c r="AX136" s="91">
        <v>44550</v>
      </c>
      <c r="AY136" s="99">
        <v>80640</v>
      </c>
      <c r="AZ136" s="99">
        <f>ROUNDDOWN(AY136+(AY136*MASTER!$A$2/100),0)</f>
        <v>88704</v>
      </c>
      <c r="BA136" s="60" t="s">
        <v>317</v>
      </c>
      <c r="BB136" s="64">
        <v>60000</v>
      </c>
      <c r="BC136" s="64">
        <v>66000</v>
      </c>
      <c r="BD136" s="60" t="s">
        <v>183</v>
      </c>
      <c r="BG136" s="64">
        <v>0</v>
      </c>
      <c r="BI136" s="60" t="s">
        <v>267</v>
      </c>
      <c r="BJ136" s="64">
        <v>10400</v>
      </c>
      <c r="BK136" s="64">
        <v>11440</v>
      </c>
      <c r="BL136" s="60" t="s">
        <v>493</v>
      </c>
      <c r="BS136" s="64">
        <v>0</v>
      </c>
      <c r="BV136" s="65">
        <v>74800</v>
      </c>
      <c r="BW136" s="65">
        <v>77440</v>
      </c>
      <c r="BX136" s="65">
        <v>44497</v>
      </c>
      <c r="BY136" s="65">
        <v>-2640</v>
      </c>
      <c r="BZ136" s="81">
        <v>-3.5294117647058822</v>
      </c>
    </row>
    <row r="137" spans="1:78" x14ac:dyDescent="0.15">
      <c r="A137" s="60">
        <v>2</v>
      </c>
      <c r="B137" s="61">
        <v>44505</v>
      </c>
      <c r="C137" s="61">
        <v>44530</v>
      </c>
      <c r="D137" s="61">
        <v>44535</v>
      </c>
      <c r="E137" s="61">
        <v>44529</v>
      </c>
      <c r="F137" s="61">
        <v>44533</v>
      </c>
      <c r="G137" s="61">
        <v>44526</v>
      </c>
      <c r="H137" s="61">
        <v>44529</v>
      </c>
      <c r="I137" s="60" t="s">
        <v>511</v>
      </c>
      <c r="J137" s="60">
        <v>1</v>
      </c>
      <c r="L137" s="60">
        <v>0</v>
      </c>
      <c r="M137" s="61">
        <v>44497</v>
      </c>
      <c r="O137" s="62" t="s">
        <v>331</v>
      </c>
      <c r="P137" s="60" t="s">
        <v>26</v>
      </c>
      <c r="Q137" s="62" t="s">
        <v>105</v>
      </c>
      <c r="R137" s="62" t="s">
        <v>845</v>
      </c>
      <c r="S137" s="63" t="s">
        <v>846</v>
      </c>
      <c r="T137" s="63" t="s">
        <v>340</v>
      </c>
      <c r="U137" s="64">
        <v>84000</v>
      </c>
      <c r="V137" s="64">
        <v>92400</v>
      </c>
      <c r="W137" s="64">
        <v>68000</v>
      </c>
      <c r="X137" s="64">
        <v>74800</v>
      </c>
      <c r="Y137" s="64">
        <v>16000</v>
      </c>
      <c r="Z137" s="64">
        <v>17600</v>
      </c>
      <c r="AA137" s="61">
        <v>44525</v>
      </c>
      <c r="AB137" s="61">
        <v>44526</v>
      </c>
      <c r="AC137" s="61">
        <v>44526</v>
      </c>
      <c r="AD137" s="60">
        <v>0</v>
      </c>
      <c r="AG137" s="60">
        <v>0</v>
      </c>
      <c r="AJ137" s="60">
        <v>0</v>
      </c>
      <c r="AQ137" s="60" t="s">
        <v>650</v>
      </c>
      <c r="AR137" s="61">
        <v>44502</v>
      </c>
      <c r="AS137" s="60">
        <v>6001952876</v>
      </c>
      <c r="AT137" s="61">
        <v>44504</v>
      </c>
      <c r="AU137" s="60" t="s">
        <v>675</v>
      </c>
      <c r="AV137" s="61">
        <v>44530</v>
      </c>
      <c r="AW137" s="91">
        <v>44530</v>
      </c>
      <c r="AX137" s="91">
        <v>44550</v>
      </c>
      <c r="AY137" s="99">
        <v>80640</v>
      </c>
      <c r="AZ137" s="99">
        <f>ROUNDDOWN(AY137+(AY137*MASTER!$A$2/100),0)</f>
        <v>88704</v>
      </c>
      <c r="BA137" s="60" t="s">
        <v>319</v>
      </c>
      <c r="BB137" s="64">
        <v>36000</v>
      </c>
      <c r="BC137" s="64">
        <v>39600</v>
      </c>
      <c r="BD137" s="60" t="s">
        <v>183</v>
      </c>
      <c r="BG137" s="64">
        <v>0</v>
      </c>
      <c r="BK137" s="64">
        <v>0</v>
      </c>
      <c r="BS137" s="64">
        <v>0</v>
      </c>
      <c r="BV137" s="65">
        <v>74800</v>
      </c>
      <c r="BW137" s="65">
        <v>39600</v>
      </c>
      <c r="BX137" s="65">
        <v>44497</v>
      </c>
      <c r="BY137" s="65">
        <v>35200</v>
      </c>
      <c r="BZ137" s="81">
        <v>47.058823529411761</v>
      </c>
    </row>
    <row r="138" spans="1:78" x14ac:dyDescent="0.15">
      <c r="A138" s="60">
        <v>2</v>
      </c>
      <c r="B138" s="61">
        <v>44505</v>
      </c>
      <c r="C138" s="61">
        <v>44508</v>
      </c>
      <c r="D138" s="61">
        <v>44533</v>
      </c>
      <c r="E138" s="61">
        <v>44511</v>
      </c>
      <c r="F138" s="61">
        <v>44515</v>
      </c>
      <c r="G138" s="61">
        <v>44508</v>
      </c>
      <c r="H138" s="61">
        <v>44511</v>
      </c>
      <c r="I138" s="60" t="s">
        <v>612</v>
      </c>
      <c r="J138" s="60">
        <v>1</v>
      </c>
      <c r="L138" s="60">
        <v>0</v>
      </c>
      <c r="M138" s="61">
        <v>44497</v>
      </c>
      <c r="O138" s="62" t="s">
        <v>331</v>
      </c>
      <c r="P138" s="60" t="s">
        <v>26</v>
      </c>
      <c r="Q138" s="62" t="s">
        <v>105</v>
      </c>
      <c r="R138" s="62" t="s">
        <v>713</v>
      </c>
      <c r="S138" s="63" t="s">
        <v>714</v>
      </c>
      <c r="T138" s="63" t="s">
        <v>340</v>
      </c>
      <c r="U138" s="64">
        <v>84000</v>
      </c>
      <c r="V138" s="64">
        <v>92400</v>
      </c>
      <c r="W138" s="64">
        <v>68000</v>
      </c>
      <c r="X138" s="64">
        <v>74800</v>
      </c>
      <c r="Y138" s="64">
        <v>16000</v>
      </c>
      <c r="Z138" s="64">
        <v>17600</v>
      </c>
      <c r="AA138" s="61">
        <v>44507</v>
      </c>
      <c r="AB138" s="61">
        <v>44508</v>
      </c>
      <c r="AC138" s="61">
        <v>44508</v>
      </c>
      <c r="AD138" s="60">
        <v>0</v>
      </c>
      <c r="AG138" s="60">
        <v>0</v>
      </c>
      <c r="AJ138" s="60">
        <v>0</v>
      </c>
      <c r="AQ138" s="60" t="s">
        <v>650</v>
      </c>
      <c r="AR138" s="61">
        <v>44502</v>
      </c>
      <c r="AS138" s="60">
        <v>6001952876</v>
      </c>
      <c r="AT138" s="61">
        <v>44504</v>
      </c>
      <c r="AU138" s="60" t="s">
        <v>675</v>
      </c>
      <c r="AV138" s="61">
        <v>44508</v>
      </c>
      <c r="AW138" s="91">
        <v>44530</v>
      </c>
      <c r="AX138" s="91">
        <v>44550</v>
      </c>
      <c r="AY138" s="99">
        <v>80640</v>
      </c>
      <c r="AZ138" s="99">
        <f>ROUNDDOWN(AY138+(AY138*MASTER!$A$2/100),0)</f>
        <v>88704</v>
      </c>
      <c r="BA138" s="60" t="s">
        <v>317</v>
      </c>
      <c r="BB138" s="64">
        <v>32000</v>
      </c>
      <c r="BC138" s="64">
        <v>35200</v>
      </c>
      <c r="BD138" s="60" t="s">
        <v>183</v>
      </c>
      <c r="BG138" s="64">
        <v>0</v>
      </c>
      <c r="BK138" s="64">
        <v>0</v>
      </c>
      <c r="BS138" s="64">
        <v>0</v>
      </c>
      <c r="BV138" s="65">
        <v>74800</v>
      </c>
      <c r="BW138" s="65">
        <v>35200</v>
      </c>
      <c r="BX138" s="65">
        <v>44497</v>
      </c>
      <c r="BY138" s="65">
        <v>39600</v>
      </c>
      <c r="BZ138" s="81">
        <v>52.941176470588239</v>
      </c>
    </row>
    <row r="139" spans="1:78" x14ac:dyDescent="0.15">
      <c r="A139" s="60">
        <v>2</v>
      </c>
      <c r="B139" s="61">
        <v>44505</v>
      </c>
      <c r="C139" s="61">
        <v>44530</v>
      </c>
      <c r="D139" s="61">
        <v>44535</v>
      </c>
      <c r="E139" s="61">
        <v>44529</v>
      </c>
      <c r="F139" s="61">
        <v>44533</v>
      </c>
      <c r="G139" s="61">
        <v>44526</v>
      </c>
      <c r="H139" s="61">
        <v>44529</v>
      </c>
      <c r="I139" s="60" t="s">
        <v>511</v>
      </c>
      <c r="J139" s="60">
        <v>1</v>
      </c>
      <c r="L139" s="60">
        <v>0</v>
      </c>
      <c r="M139" s="61">
        <v>44497</v>
      </c>
      <c r="O139" s="62" t="s">
        <v>331</v>
      </c>
      <c r="P139" s="60" t="s">
        <v>26</v>
      </c>
      <c r="Q139" s="62" t="s">
        <v>105</v>
      </c>
      <c r="R139" s="62" t="s">
        <v>841</v>
      </c>
      <c r="S139" s="63" t="s">
        <v>842</v>
      </c>
      <c r="T139" s="63" t="s">
        <v>340</v>
      </c>
      <c r="U139" s="64">
        <v>84000</v>
      </c>
      <c r="V139" s="64">
        <v>92400</v>
      </c>
      <c r="W139" s="64">
        <v>68000</v>
      </c>
      <c r="X139" s="64">
        <v>74800</v>
      </c>
      <c r="Y139" s="64">
        <v>16000</v>
      </c>
      <c r="Z139" s="64">
        <v>17600</v>
      </c>
      <c r="AA139" s="61">
        <v>44525</v>
      </c>
      <c r="AB139" s="61">
        <v>44526</v>
      </c>
      <c r="AC139" s="61">
        <v>44526</v>
      </c>
      <c r="AD139" s="60">
        <v>0</v>
      </c>
      <c r="AG139" s="60">
        <v>0</v>
      </c>
      <c r="AJ139" s="60">
        <v>0</v>
      </c>
      <c r="AQ139" s="60" t="s">
        <v>650</v>
      </c>
      <c r="AR139" s="61">
        <v>44502</v>
      </c>
      <c r="AS139" s="60">
        <v>6001952876</v>
      </c>
      <c r="AT139" s="61">
        <v>44504</v>
      </c>
      <c r="AU139" s="60" t="s">
        <v>675</v>
      </c>
      <c r="AV139" s="61">
        <v>44530</v>
      </c>
      <c r="AW139" s="91">
        <v>44530</v>
      </c>
      <c r="AX139" s="91">
        <v>44550</v>
      </c>
      <c r="AY139" s="99">
        <v>80640</v>
      </c>
      <c r="AZ139" s="99">
        <f>ROUNDDOWN(AY139+(AY139*MASTER!$A$2/100),0)</f>
        <v>88704</v>
      </c>
      <c r="BA139" s="60" t="s">
        <v>319</v>
      </c>
      <c r="BB139" s="64">
        <v>32000</v>
      </c>
      <c r="BC139" s="64">
        <v>35200</v>
      </c>
      <c r="BD139" s="60" t="s">
        <v>183</v>
      </c>
      <c r="BG139" s="64">
        <v>0</v>
      </c>
      <c r="BK139" s="64">
        <v>0</v>
      </c>
      <c r="BS139" s="64">
        <v>0</v>
      </c>
      <c r="BV139" s="65">
        <v>74800</v>
      </c>
      <c r="BW139" s="65">
        <v>35200</v>
      </c>
      <c r="BX139" s="65">
        <v>44497</v>
      </c>
      <c r="BY139" s="65">
        <v>39600</v>
      </c>
      <c r="BZ139" s="81">
        <v>52.941176470588239</v>
      </c>
    </row>
    <row r="140" spans="1:78" x14ac:dyDescent="0.15">
      <c r="A140" s="60">
        <v>2</v>
      </c>
      <c r="B140" s="61">
        <v>44505</v>
      </c>
      <c r="C140" s="61">
        <v>44530</v>
      </c>
      <c r="D140" s="61">
        <v>44533</v>
      </c>
      <c r="E140" s="61">
        <v>44516</v>
      </c>
      <c r="F140" s="61">
        <v>44518</v>
      </c>
      <c r="G140" s="61">
        <v>44511</v>
      </c>
      <c r="H140" s="61">
        <v>44514</v>
      </c>
      <c r="I140" s="60" t="s">
        <v>612</v>
      </c>
      <c r="J140" s="60">
        <v>1</v>
      </c>
      <c r="L140" s="60">
        <v>0</v>
      </c>
      <c r="M140" s="61">
        <v>44497</v>
      </c>
      <c r="O140" s="62" t="s">
        <v>331</v>
      </c>
      <c r="P140" s="60" t="s">
        <v>26</v>
      </c>
      <c r="Q140" s="62" t="s">
        <v>105</v>
      </c>
      <c r="R140" s="62" t="s">
        <v>710</v>
      </c>
      <c r="S140" s="63" t="s">
        <v>409</v>
      </c>
      <c r="T140" s="63" t="s">
        <v>340</v>
      </c>
      <c r="U140" s="64">
        <v>84000</v>
      </c>
      <c r="V140" s="64">
        <v>92400</v>
      </c>
      <c r="W140" s="64">
        <v>68000</v>
      </c>
      <c r="X140" s="64">
        <v>74800</v>
      </c>
      <c r="Y140" s="64">
        <v>16000</v>
      </c>
      <c r="Z140" s="64">
        <v>17600</v>
      </c>
      <c r="AA140" s="61">
        <v>44510</v>
      </c>
      <c r="AB140" s="61">
        <v>44511</v>
      </c>
      <c r="AC140" s="61">
        <v>44511</v>
      </c>
      <c r="AD140" s="60">
        <v>0</v>
      </c>
      <c r="AG140" s="60">
        <v>0</v>
      </c>
      <c r="AJ140" s="60">
        <v>0</v>
      </c>
      <c r="AQ140" s="60" t="s">
        <v>650</v>
      </c>
      <c r="AR140" s="61">
        <v>44502</v>
      </c>
      <c r="AS140" s="60">
        <v>6001952876</v>
      </c>
      <c r="AT140" s="61">
        <v>44504</v>
      </c>
      <c r="AU140" s="60" t="s">
        <v>675</v>
      </c>
      <c r="AV140" s="61">
        <v>44530</v>
      </c>
      <c r="AW140" s="91">
        <v>44530</v>
      </c>
      <c r="AX140" s="91">
        <v>44550</v>
      </c>
      <c r="AY140" s="99">
        <v>80640</v>
      </c>
      <c r="AZ140" s="99">
        <f>ROUNDDOWN(AY140+(AY140*MASTER!$A$2/100),0)</f>
        <v>88704</v>
      </c>
      <c r="BA140" s="60" t="s">
        <v>317</v>
      </c>
      <c r="BB140" s="64">
        <v>30000</v>
      </c>
      <c r="BC140" s="64">
        <v>33000</v>
      </c>
      <c r="BD140" s="60" t="s">
        <v>183</v>
      </c>
      <c r="BG140" s="64">
        <v>0</v>
      </c>
      <c r="BK140" s="64">
        <v>0</v>
      </c>
      <c r="BS140" s="64">
        <v>0</v>
      </c>
      <c r="BV140" s="65">
        <v>74800</v>
      </c>
      <c r="BW140" s="65">
        <v>33000</v>
      </c>
      <c r="BX140" s="65">
        <v>44497</v>
      </c>
      <c r="BY140" s="65">
        <v>41800</v>
      </c>
      <c r="BZ140" s="81">
        <v>55.882352941176471</v>
      </c>
    </row>
    <row r="141" spans="1:78" x14ac:dyDescent="0.15">
      <c r="A141" s="60">
        <v>2</v>
      </c>
      <c r="B141" s="61">
        <v>44505</v>
      </c>
      <c r="C141" s="61">
        <v>44530</v>
      </c>
      <c r="D141" s="61">
        <v>44533</v>
      </c>
      <c r="E141" s="61">
        <v>44516</v>
      </c>
      <c r="F141" s="61">
        <v>44518</v>
      </c>
      <c r="G141" s="61">
        <v>44511</v>
      </c>
      <c r="H141" s="61">
        <v>44514</v>
      </c>
      <c r="I141" s="60" t="s">
        <v>612</v>
      </c>
      <c r="J141" s="60">
        <v>1</v>
      </c>
      <c r="L141" s="60">
        <v>0</v>
      </c>
      <c r="M141" s="61">
        <v>44497</v>
      </c>
      <c r="O141" s="62" t="s">
        <v>331</v>
      </c>
      <c r="P141" s="60" t="s">
        <v>26</v>
      </c>
      <c r="Q141" s="62" t="s">
        <v>105</v>
      </c>
      <c r="R141" s="62" t="s">
        <v>711</v>
      </c>
      <c r="S141" s="63" t="s">
        <v>712</v>
      </c>
      <c r="T141" s="63" t="s">
        <v>340</v>
      </c>
      <c r="U141" s="64">
        <v>84000</v>
      </c>
      <c r="V141" s="64">
        <v>92400</v>
      </c>
      <c r="W141" s="64">
        <v>68000</v>
      </c>
      <c r="X141" s="64">
        <v>74800</v>
      </c>
      <c r="Y141" s="64">
        <v>16000</v>
      </c>
      <c r="Z141" s="64">
        <v>17600</v>
      </c>
      <c r="AA141" s="61">
        <v>44510</v>
      </c>
      <c r="AB141" s="61">
        <v>44511</v>
      </c>
      <c r="AC141" s="61">
        <v>44511</v>
      </c>
      <c r="AD141" s="60">
        <v>0</v>
      </c>
      <c r="AG141" s="60">
        <v>0</v>
      </c>
      <c r="AJ141" s="60">
        <v>0</v>
      </c>
      <c r="AQ141" s="60" t="s">
        <v>650</v>
      </c>
      <c r="AR141" s="61">
        <v>44502</v>
      </c>
      <c r="AS141" s="60">
        <v>6001952876</v>
      </c>
      <c r="AT141" s="61">
        <v>44504</v>
      </c>
      <c r="AU141" s="60" t="s">
        <v>675</v>
      </c>
      <c r="AV141" s="61">
        <v>44530</v>
      </c>
      <c r="AW141" s="91">
        <v>44530</v>
      </c>
      <c r="AX141" s="91">
        <v>44550</v>
      </c>
      <c r="AY141" s="99">
        <v>80640</v>
      </c>
      <c r="AZ141" s="99">
        <f>ROUNDDOWN(AY141+(AY141*MASTER!$A$2/100),0)</f>
        <v>88704</v>
      </c>
      <c r="BA141" s="60" t="s">
        <v>317</v>
      </c>
      <c r="BB141" s="64">
        <v>31000</v>
      </c>
      <c r="BC141" s="64">
        <v>34100</v>
      </c>
      <c r="BD141" s="60" t="s">
        <v>183</v>
      </c>
      <c r="BG141" s="64">
        <v>0</v>
      </c>
      <c r="BK141" s="64">
        <v>0</v>
      </c>
      <c r="BS141" s="64">
        <v>0</v>
      </c>
      <c r="BV141" s="65">
        <v>74800</v>
      </c>
      <c r="BW141" s="65">
        <v>34100</v>
      </c>
      <c r="BX141" s="65">
        <v>44497</v>
      </c>
      <c r="BY141" s="65">
        <v>40700</v>
      </c>
      <c r="BZ141" s="81">
        <v>54.411764705882348</v>
      </c>
    </row>
    <row r="142" spans="1:78" x14ac:dyDescent="0.15">
      <c r="A142" s="60">
        <v>2</v>
      </c>
      <c r="B142" s="61">
        <v>44505</v>
      </c>
      <c r="C142" s="61">
        <v>44530</v>
      </c>
      <c r="D142" s="61">
        <v>44535</v>
      </c>
      <c r="E142" s="61">
        <v>44529</v>
      </c>
      <c r="F142" s="61">
        <v>44533</v>
      </c>
      <c r="G142" s="61">
        <v>44526</v>
      </c>
      <c r="H142" s="61">
        <v>44529</v>
      </c>
      <c r="I142" s="60" t="s">
        <v>511</v>
      </c>
      <c r="J142" s="60">
        <v>1</v>
      </c>
      <c r="L142" s="60">
        <v>0</v>
      </c>
      <c r="M142" s="61">
        <v>44497</v>
      </c>
      <c r="O142" s="62" t="s">
        <v>331</v>
      </c>
      <c r="P142" s="60" t="s">
        <v>26</v>
      </c>
      <c r="Q142" s="62" t="s">
        <v>105</v>
      </c>
      <c r="R142" s="62" t="s">
        <v>843</v>
      </c>
      <c r="S142" s="63" t="s">
        <v>844</v>
      </c>
      <c r="T142" s="63" t="s">
        <v>340</v>
      </c>
      <c r="U142" s="64">
        <v>84000</v>
      </c>
      <c r="V142" s="64">
        <v>92400</v>
      </c>
      <c r="W142" s="64">
        <v>68000</v>
      </c>
      <c r="X142" s="64">
        <v>74800</v>
      </c>
      <c r="Y142" s="64">
        <v>16000</v>
      </c>
      <c r="Z142" s="64">
        <v>17600</v>
      </c>
      <c r="AA142" s="61">
        <v>44525</v>
      </c>
      <c r="AB142" s="61">
        <v>44526</v>
      </c>
      <c r="AC142" s="61">
        <v>44526</v>
      </c>
      <c r="AD142" s="60">
        <v>0</v>
      </c>
      <c r="AG142" s="60">
        <v>0</v>
      </c>
      <c r="AJ142" s="60">
        <v>0</v>
      </c>
      <c r="AQ142" s="60" t="s">
        <v>650</v>
      </c>
      <c r="AR142" s="61">
        <v>44502</v>
      </c>
      <c r="AS142" s="60">
        <v>6001952876</v>
      </c>
      <c r="AT142" s="61">
        <v>44504</v>
      </c>
      <c r="AU142" s="60" t="s">
        <v>675</v>
      </c>
      <c r="AV142" s="61">
        <v>44530</v>
      </c>
      <c r="AW142" s="91">
        <v>44530</v>
      </c>
      <c r="AX142" s="91">
        <v>44550</v>
      </c>
      <c r="AY142" s="99">
        <v>80640</v>
      </c>
      <c r="AZ142" s="99">
        <f>ROUNDDOWN(AY142+(AY142*MASTER!$A$2/100),0)</f>
        <v>88704</v>
      </c>
      <c r="BA142" s="60" t="s">
        <v>319</v>
      </c>
      <c r="BB142" s="64">
        <v>28000</v>
      </c>
      <c r="BC142" s="64">
        <v>30800</v>
      </c>
      <c r="BD142" s="60" t="s">
        <v>183</v>
      </c>
      <c r="BG142" s="64">
        <v>0</v>
      </c>
      <c r="BI142" s="60" t="s">
        <v>748</v>
      </c>
      <c r="BJ142" s="64">
        <v>10400</v>
      </c>
      <c r="BK142" s="64">
        <v>11440</v>
      </c>
      <c r="BL142" s="60" t="s">
        <v>183</v>
      </c>
      <c r="BS142" s="64">
        <v>0</v>
      </c>
      <c r="BV142" s="65">
        <v>74800</v>
      </c>
      <c r="BW142" s="65">
        <v>42240</v>
      </c>
      <c r="BX142" s="65">
        <v>44497</v>
      </c>
      <c r="BY142" s="65">
        <v>32560</v>
      </c>
      <c r="BZ142" s="81">
        <v>43.529411764705884</v>
      </c>
    </row>
    <row r="143" spans="1:78" x14ac:dyDescent="0.15">
      <c r="A143" s="60">
        <v>2</v>
      </c>
      <c r="B143" s="61">
        <v>44505</v>
      </c>
      <c r="C143" s="61">
        <v>44530</v>
      </c>
      <c r="D143" s="61">
        <v>44535</v>
      </c>
      <c r="E143" s="61">
        <v>44529</v>
      </c>
      <c r="F143" s="61">
        <v>44532</v>
      </c>
      <c r="G143" s="61">
        <v>44525</v>
      </c>
      <c r="H143" s="61">
        <v>44528</v>
      </c>
      <c r="I143" s="60" t="s">
        <v>511</v>
      </c>
      <c r="J143" s="60">
        <v>1</v>
      </c>
      <c r="L143" s="60">
        <v>0</v>
      </c>
      <c r="M143" s="61">
        <v>44497</v>
      </c>
      <c r="O143" s="62" t="s">
        <v>331</v>
      </c>
      <c r="P143" s="60" t="s">
        <v>26</v>
      </c>
      <c r="Q143" s="62" t="s">
        <v>105</v>
      </c>
      <c r="R143" s="62" t="s">
        <v>849</v>
      </c>
      <c r="S143" s="63" t="s">
        <v>850</v>
      </c>
      <c r="T143" s="63" t="s">
        <v>340</v>
      </c>
      <c r="U143" s="64">
        <v>84000</v>
      </c>
      <c r="V143" s="64">
        <v>92400</v>
      </c>
      <c r="W143" s="64">
        <v>68000</v>
      </c>
      <c r="X143" s="64">
        <v>74800</v>
      </c>
      <c r="Y143" s="64">
        <v>16000</v>
      </c>
      <c r="Z143" s="64">
        <v>17600</v>
      </c>
      <c r="AA143" s="61">
        <v>44524</v>
      </c>
      <c r="AB143" s="61">
        <v>44525</v>
      </c>
      <c r="AC143" s="61">
        <v>44525</v>
      </c>
      <c r="AD143" s="60">
        <v>0</v>
      </c>
      <c r="AG143" s="60">
        <v>0</v>
      </c>
      <c r="AJ143" s="60">
        <v>0</v>
      </c>
      <c r="AQ143" s="60" t="s">
        <v>651</v>
      </c>
      <c r="AR143" s="61">
        <v>44502</v>
      </c>
      <c r="AS143" s="60">
        <v>6001952876</v>
      </c>
      <c r="AT143" s="61">
        <v>44504</v>
      </c>
      <c r="AU143" s="60" t="s">
        <v>675</v>
      </c>
      <c r="AV143" s="61">
        <v>44530</v>
      </c>
      <c r="AW143" s="91">
        <v>44530</v>
      </c>
      <c r="AX143" s="91">
        <v>44550</v>
      </c>
      <c r="AY143" s="99">
        <v>80640</v>
      </c>
      <c r="AZ143" s="99">
        <f>ROUNDDOWN(AY143+(AY143*MASTER!$A$2/100),0)</f>
        <v>88704</v>
      </c>
      <c r="BA143" s="60" t="s">
        <v>319</v>
      </c>
      <c r="BB143" s="64">
        <v>23000</v>
      </c>
      <c r="BC143" s="64">
        <v>25300</v>
      </c>
      <c r="BD143" s="60" t="s">
        <v>183</v>
      </c>
      <c r="BG143" s="64">
        <v>0</v>
      </c>
      <c r="BI143" s="60" t="s">
        <v>748</v>
      </c>
      <c r="BJ143" s="64">
        <v>10400</v>
      </c>
      <c r="BK143" s="64">
        <v>11440</v>
      </c>
      <c r="BL143" s="60" t="s">
        <v>183</v>
      </c>
      <c r="BS143" s="64">
        <v>0</v>
      </c>
      <c r="BV143" s="65">
        <v>74800</v>
      </c>
      <c r="BW143" s="65">
        <v>36740</v>
      </c>
      <c r="BX143" s="65">
        <v>44497</v>
      </c>
      <c r="BY143" s="65">
        <v>38060</v>
      </c>
      <c r="BZ143" s="81">
        <v>50.882352941176464</v>
      </c>
    </row>
    <row r="144" spans="1:78" x14ac:dyDescent="0.15">
      <c r="A144" s="60">
        <v>2</v>
      </c>
      <c r="B144" s="61">
        <v>44505</v>
      </c>
      <c r="C144" s="61">
        <v>44530</v>
      </c>
      <c r="D144" s="61">
        <v>44533</v>
      </c>
      <c r="E144" s="61">
        <v>44517</v>
      </c>
      <c r="F144" s="61">
        <v>44520</v>
      </c>
      <c r="G144" s="61">
        <v>44515</v>
      </c>
      <c r="H144" s="61">
        <v>44516</v>
      </c>
      <c r="I144" s="60" t="s">
        <v>612</v>
      </c>
      <c r="J144" s="60">
        <v>1</v>
      </c>
      <c r="L144" s="60">
        <v>0</v>
      </c>
      <c r="M144" s="61">
        <v>44497</v>
      </c>
      <c r="O144" s="62" t="s">
        <v>331</v>
      </c>
      <c r="P144" s="60" t="s">
        <v>26</v>
      </c>
      <c r="Q144" s="62" t="s">
        <v>105</v>
      </c>
      <c r="R144" s="62" t="s">
        <v>704</v>
      </c>
      <c r="S144" s="63" t="s">
        <v>705</v>
      </c>
      <c r="T144" s="63" t="s">
        <v>340</v>
      </c>
      <c r="U144" s="64">
        <v>84000</v>
      </c>
      <c r="V144" s="64">
        <v>92400</v>
      </c>
      <c r="W144" s="64">
        <v>68000</v>
      </c>
      <c r="X144" s="64">
        <v>74800</v>
      </c>
      <c r="Y144" s="64">
        <v>16000</v>
      </c>
      <c r="Z144" s="64">
        <v>17600</v>
      </c>
      <c r="AA144" s="61">
        <v>44512</v>
      </c>
      <c r="AB144" s="61">
        <v>44513</v>
      </c>
      <c r="AC144" s="61">
        <v>44513</v>
      </c>
      <c r="AD144" s="60">
        <v>0</v>
      </c>
      <c r="AG144" s="60">
        <v>0</v>
      </c>
      <c r="AJ144" s="60">
        <v>0</v>
      </c>
      <c r="AQ144" s="60" t="s">
        <v>651</v>
      </c>
      <c r="AR144" s="61">
        <v>44502</v>
      </c>
      <c r="AS144" s="60">
        <v>6001952876</v>
      </c>
      <c r="AT144" s="61">
        <v>44504</v>
      </c>
      <c r="AU144" s="60" t="s">
        <v>675</v>
      </c>
      <c r="AV144" s="61">
        <v>44530</v>
      </c>
      <c r="AW144" s="91">
        <v>44530</v>
      </c>
      <c r="AX144" s="91">
        <v>44550</v>
      </c>
      <c r="AY144" s="99">
        <v>80640</v>
      </c>
      <c r="AZ144" s="99">
        <f>ROUNDDOWN(AY144+(AY144*MASTER!$A$2/100),0)</f>
        <v>88704</v>
      </c>
      <c r="BA144" s="60" t="s">
        <v>317</v>
      </c>
      <c r="BB144" s="64">
        <v>43000</v>
      </c>
      <c r="BC144" s="64">
        <v>47300</v>
      </c>
      <c r="BD144" s="60" t="s">
        <v>183</v>
      </c>
      <c r="BG144" s="64">
        <v>0</v>
      </c>
      <c r="BK144" s="64">
        <v>0</v>
      </c>
      <c r="BS144" s="64">
        <v>0</v>
      </c>
      <c r="BV144" s="65">
        <v>74800</v>
      </c>
      <c r="BW144" s="65">
        <v>47300</v>
      </c>
      <c r="BX144" s="65">
        <v>44497</v>
      </c>
      <c r="BY144" s="65">
        <v>27500</v>
      </c>
      <c r="BZ144" s="81">
        <v>36.764705882352942</v>
      </c>
    </row>
    <row r="145" spans="1:89" x14ac:dyDescent="0.15">
      <c r="A145" s="60">
        <v>2</v>
      </c>
      <c r="B145" s="61">
        <v>44505</v>
      </c>
      <c r="C145" s="61">
        <v>44530</v>
      </c>
      <c r="D145" s="61">
        <v>44533</v>
      </c>
      <c r="E145" s="61">
        <v>44517</v>
      </c>
      <c r="F145" s="61">
        <v>44519</v>
      </c>
      <c r="G145" s="61">
        <v>44515</v>
      </c>
      <c r="H145" s="61">
        <v>44515</v>
      </c>
      <c r="I145" s="60" t="s">
        <v>612</v>
      </c>
      <c r="J145" s="60">
        <v>1</v>
      </c>
      <c r="L145" s="60">
        <v>0</v>
      </c>
      <c r="M145" s="61">
        <v>44497</v>
      </c>
      <c r="O145" s="62" t="s">
        <v>331</v>
      </c>
      <c r="P145" s="60" t="s">
        <v>26</v>
      </c>
      <c r="Q145" s="62" t="s">
        <v>105</v>
      </c>
      <c r="R145" s="62" t="s">
        <v>708</v>
      </c>
      <c r="S145" s="63" t="s">
        <v>709</v>
      </c>
      <c r="T145" s="63" t="s">
        <v>340</v>
      </c>
      <c r="U145" s="64">
        <v>84000</v>
      </c>
      <c r="V145" s="64">
        <v>92400</v>
      </c>
      <c r="W145" s="64">
        <v>68000</v>
      </c>
      <c r="X145" s="64">
        <v>74800</v>
      </c>
      <c r="Y145" s="64">
        <v>16000</v>
      </c>
      <c r="Z145" s="64">
        <v>17600</v>
      </c>
      <c r="AA145" s="61">
        <v>44511</v>
      </c>
      <c r="AB145" s="61">
        <v>44512</v>
      </c>
      <c r="AC145" s="61">
        <v>44512</v>
      </c>
      <c r="AD145" s="60">
        <v>0</v>
      </c>
      <c r="AG145" s="60">
        <v>0</v>
      </c>
      <c r="AJ145" s="60">
        <v>0</v>
      </c>
      <c r="AQ145" s="60" t="s">
        <v>651</v>
      </c>
      <c r="AR145" s="61">
        <v>44502</v>
      </c>
      <c r="AS145" s="60">
        <v>6001952876</v>
      </c>
      <c r="AT145" s="61">
        <v>44504</v>
      </c>
      <c r="AU145" s="60" t="s">
        <v>675</v>
      </c>
      <c r="AV145" s="61">
        <v>44530</v>
      </c>
      <c r="AW145" s="91">
        <v>44530</v>
      </c>
      <c r="AX145" s="91">
        <v>44550</v>
      </c>
      <c r="AY145" s="99">
        <v>80640</v>
      </c>
      <c r="AZ145" s="99">
        <f>ROUNDDOWN(AY145+(AY145*MASTER!$A$2/100),0)</f>
        <v>88704</v>
      </c>
      <c r="BA145" s="60" t="s">
        <v>317</v>
      </c>
      <c r="BB145" s="64">
        <v>34000</v>
      </c>
      <c r="BC145" s="64">
        <v>37400</v>
      </c>
      <c r="BD145" s="60" t="s">
        <v>183</v>
      </c>
      <c r="BG145" s="64">
        <v>0</v>
      </c>
      <c r="BK145" s="64">
        <v>0</v>
      </c>
      <c r="BS145" s="64">
        <v>0</v>
      </c>
      <c r="BV145" s="65">
        <v>74800</v>
      </c>
      <c r="BW145" s="65">
        <v>37400</v>
      </c>
      <c r="BX145" s="65">
        <v>44497</v>
      </c>
      <c r="BY145" s="65">
        <v>37400</v>
      </c>
      <c r="BZ145" s="81">
        <v>50</v>
      </c>
    </row>
    <row r="146" spans="1:89" x14ac:dyDescent="0.15">
      <c r="A146" s="60">
        <v>2</v>
      </c>
      <c r="B146" s="61">
        <v>44623</v>
      </c>
      <c r="C146" s="61">
        <v>44645</v>
      </c>
      <c r="D146" s="61">
        <v>44659</v>
      </c>
      <c r="E146" s="61">
        <v>44635</v>
      </c>
      <c r="F146" s="61">
        <v>44640</v>
      </c>
      <c r="G146" s="61">
        <v>44634</v>
      </c>
      <c r="H146" s="61">
        <v>44636</v>
      </c>
      <c r="I146" s="60" t="s">
        <v>511</v>
      </c>
      <c r="J146" s="60">
        <v>1</v>
      </c>
      <c r="L146" s="60" t="s">
        <v>1671</v>
      </c>
      <c r="M146" s="61">
        <v>44498</v>
      </c>
      <c r="O146" s="62" t="s">
        <v>331</v>
      </c>
      <c r="P146" s="60" t="s">
        <v>26</v>
      </c>
      <c r="Q146" s="62" t="s">
        <v>105</v>
      </c>
      <c r="R146" s="62" t="s">
        <v>1666</v>
      </c>
      <c r="S146" s="63" t="s">
        <v>406</v>
      </c>
      <c r="T146" s="63" t="s">
        <v>2258</v>
      </c>
      <c r="U146" s="64">
        <v>1428000</v>
      </c>
      <c r="V146" s="64">
        <v>1570800</v>
      </c>
      <c r="W146" s="64">
        <v>1411000</v>
      </c>
      <c r="X146" s="64">
        <v>1552100</v>
      </c>
      <c r="Y146" s="64">
        <v>17000</v>
      </c>
      <c r="Z146" s="64">
        <v>18700</v>
      </c>
      <c r="AA146" s="61">
        <v>44631</v>
      </c>
      <c r="AB146" s="61">
        <v>44633</v>
      </c>
      <c r="AC146" s="61">
        <v>44633</v>
      </c>
      <c r="AD146" s="60">
        <v>0</v>
      </c>
      <c r="AG146" s="60">
        <v>0</v>
      </c>
      <c r="AJ146" s="60">
        <v>0</v>
      </c>
      <c r="AM146" s="60" t="s">
        <v>273</v>
      </c>
      <c r="AN146" s="60" t="s">
        <v>1667</v>
      </c>
      <c r="AQ146" s="60" t="s">
        <v>2259</v>
      </c>
      <c r="AR146" s="61">
        <v>44606</v>
      </c>
      <c r="AS146" s="60">
        <v>6001993159</v>
      </c>
      <c r="AT146" s="61">
        <v>44607</v>
      </c>
      <c r="AU146" s="60" t="s">
        <v>2315</v>
      </c>
      <c r="AV146" s="61">
        <v>44645</v>
      </c>
      <c r="AW146" s="91">
        <v>44651</v>
      </c>
      <c r="AX146" s="91">
        <v>44671</v>
      </c>
      <c r="AY146" s="99">
        <v>1370880</v>
      </c>
      <c r="AZ146" s="99">
        <f>ROUNDDOWN(AY146+(AY146*MASTER!$A$2/100),0)</f>
        <v>1507968</v>
      </c>
      <c r="BA146" s="60" t="s">
        <v>318</v>
      </c>
      <c r="BB146" s="64">
        <v>753000</v>
      </c>
      <c r="BC146" s="64">
        <v>828300</v>
      </c>
      <c r="BD146" s="60" t="s">
        <v>2107</v>
      </c>
      <c r="BG146" s="64">
        <v>0</v>
      </c>
      <c r="BI146" s="60" t="s">
        <v>748</v>
      </c>
      <c r="BJ146" s="64">
        <v>11050</v>
      </c>
      <c r="BK146" s="64">
        <v>12155</v>
      </c>
      <c r="BL146" s="60" t="s">
        <v>2107</v>
      </c>
      <c r="BS146" s="64">
        <v>0</v>
      </c>
      <c r="BV146" s="65">
        <v>1552100</v>
      </c>
      <c r="BW146" s="65">
        <v>840455</v>
      </c>
      <c r="BX146" s="65">
        <v>44498</v>
      </c>
      <c r="BY146" s="65">
        <v>711645</v>
      </c>
      <c r="BZ146" s="81">
        <v>45.850460666194188</v>
      </c>
      <c r="CD146" s="63" t="s">
        <v>1672</v>
      </c>
    </row>
    <row r="147" spans="1:89" x14ac:dyDescent="0.15">
      <c r="A147" s="60">
        <v>2</v>
      </c>
      <c r="B147" s="61">
        <v>44623</v>
      </c>
      <c r="C147" s="61">
        <v>44645</v>
      </c>
      <c r="D147" s="61">
        <v>44650</v>
      </c>
      <c r="E147" s="61">
        <v>44635</v>
      </c>
      <c r="F147" s="61">
        <v>44638</v>
      </c>
      <c r="G147" s="61">
        <v>44634</v>
      </c>
      <c r="H147" s="61">
        <v>44634</v>
      </c>
      <c r="I147" s="60" t="s">
        <v>511</v>
      </c>
      <c r="J147" s="60">
        <v>1</v>
      </c>
      <c r="L147" s="60" t="s">
        <v>1671</v>
      </c>
      <c r="M147" s="61">
        <v>44498</v>
      </c>
      <c r="O147" s="62" t="s">
        <v>331</v>
      </c>
      <c r="P147" s="60" t="s">
        <v>26</v>
      </c>
      <c r="Q147" s="62" t="s">
        <v>105</v>
      </c>
      <c r="R147" s="62" t="s">
        <v>1668</v>
      </c>
      <c r="S147" s="63" t="s">
        <v>1239</v>
      </c>
      <c r="T147" s="63" t="s">
        <v>1669</v>
      </c>
      <c r="U147" s="64">
        <v>1260000</v>
      </c>
      <c r="V147" s="64">
        <v>1386000</v>
      </c>
      <c r="W147" s="64">
        <v>1243000</v>
      </c>
      <c r="X147" s="64">
        <v>1367300</v>
      </c>
      <c r="Y147" s="64">
        <v>17000</v>
      </c>
      <c r="Z147" s="64">
        <v>18700</v>
      </c>
      <c r="AA147" s="61">
        <v>44628</v>
      </c>
      <c r="AB147" s="61">
        <v>44631</v>
      </c>
      <c r="AC147" s="61">
        <v>44631</v>
      </c>
      <c r="AD147" s="60">
        <v>0</v>
      </c>
      <c r="AG147" s="60">
        <v>0</v>
      </c>
      <c r="AJ147" s="60">
        <v>0</v>
      </c>
      <c r="AM147" s="60" t="s">
        <v>273</v>
      </c>
      <c r="AN147" s="60" t="s">
        <v>1670</v>
      </c>
      <c r="AQ147" s="60" t="s">
        <v>2257</v>
      </c>
      <c r="AR147" s="61">
        <v>44606</v>
      </c>
      <c r="AS147" s="60">
        <v>6001993159</v>
      </c>
      <c r="AT147" s="61">
        <v>44607</v>
      </c>
      <c r="AU147" s="60" t="s">
        <v>2315</v>
      </c>
      <c r="AV147" s="61">
        <v>44645</v>
      </c>
      <c r="AW147" s="91">
        <v>44651</v>
      </c>
      <c r="AX147" s="91">
        <v>44671</v>
      </c>
      <c r="AY147" s="99">
        <v>1209600</v>
      </c>
      <c r="AZ147" s="99">
        <f>ROUNDDOWN(AY147+(AY147*MASTER!$A$2/100),0)</f>
        <v>1330560</v>
      </c>
      <c r="BA147" s="60" t="s">
        <v>780</v>
      </c>
      <c r="BB147" s="64">
        <v>519000</v>
      </c>
      <c r="BC147" s="64">
        <v>570900</v>
      </c>
      <c r="BD147" s="60" t="s">
        <v>2107</v>
      </c>
      <c r="BG147" s="64">
        <v>0</v>
      </c>
      <c r="BI147" s="60" t="s">
        <v>267</v>
      </c>
      <c r="BJ147" s="64">
        <v>11050</v>
      </c>
      <c r="BK147" s="64">
        <v>12155</v>
      </c>
      <c r="BL147" s="60" t="s">
        <v>2154</v>
      </c>
      <c r="BS147" s="64">
        <v>0</v>
      </c>
      <c r="BV147" s="65">
        <v>1367300</v>
      </c>
      <c r="BW147" s="65">
        <v>583055</v>
      </c>
      <c r="BX147" s="65">
        <v>44498</v>
      </c>
      <c r="BY147" s="65">
        <v>784245</v>
      </c>
      <c r="BZ147" s="81">
        <v>57.357200321802097</v>
      </c>
      <c r="CD147" s="63" t="s">
        <v>1672</v>
      </c>
    </row>
    <row r="148" spans="1:89" x14ac:dyDescent="0.15">
      <c r="A148" s="60">
        <v>1</v>
      </c>
      <c r="B148" s="61">
        <v>44530</v>
      </c>
      <c r="C148" s="61">
        <v>44526</v>
      </c>
      <c r="F148" s="61" t="s">
        <v>309</v>
      </c>
      <c r="H148" s="61" t="s">
        <v>309</v>
      </c>
      <c r="J148" s="60">
        <v>2</v>
      </c>
      <c r="L148" s="60">
        <v>0</v>
      </c>
      <c r="M148" s="61">
        <v>44498</v>
      </c>
      <c r="O148" s="62" t="s">
        <v>331</v>
      </c>
      <c r="P148" s="60" t="s">
        <v>26</v>
      </c>
      <c r="Q148" s="62" t="s">
        <v>105</v>
      </c>
      <c r="R148" s="62" t="s">
        <v>1133</v>
      </c>
      <c r="S148" s="63" t="s">
        <v>326</v>
      </c>
      <c r="T148" s="63" t="s">
        <v>1134</v>
      </c>
      <c r="U148" s="64">
        <v>304000</v>
      </c>
      <c r="V148" s="64">
        <v>334400</v>
      </c>
      <c r="W148" s="64">
        <v>304000</v>
      </c>
      <c r="X148" s="64">
        <v>334400</v>
      </c>
      <c r="Z148" s="64">
        <v>0</v>
      </c>
      <c r="AA148" s="61">
        <v>44501</v>
      </c>
      <c r="AB148" s="61">
        <v>44530</v>
      </c>
      <c r="AD148" s="60">
        <v>0</v>
      </c>
      <c r="AG148" s="60">
        <v>0</v>
      </c>
      <c r="AJ148" s="60">
        <v>0</v>
      </c>
      <c r="AN148" s="60" t="s">
        <v>309</v>
      </c>
      <c r="AQ148" s="60" t="s">
        <v>660</v>
      </c>
      <c r="AR148" s="61">
        <v>44504</v>
      </c>
      <c r="AS148" s="60">
        <v>6001953894</v>
      </c>
      <c r="AT148" s="61">
        <v>44504</v>
      </c>
      <c r="AU148" s="60" t="s">
        <v>676</v>
      </c>
      <c r="AV148" s="61">
        <v>44526</v>
      </c>
      <c r="AW148" s="91">
        <v>44561</v>
      </c>
      <c r="AX148" s="91">
        <v>44581</v>
      </c>
      <c r="AY148" s="107">
        <v>304000</v>
      </c>
      <c r="AZ148" s="107">
        <f>ROUNDDOWN(AY148+(AY148*MASTER!$A$2/100),0)</f>
        <v>334400</v>
      </c>
      <c r="BC148" s="64">
        <v>0</v>
      </c>
      <c r="BG148" s="64">
        <v>0</v>
      </c>
      <c r="BK148" s="64">
        <v>0</v>
      </c>
      <c r="BS148" s="64">
        <v>0</v>
      </c>
      <c r="BV148" s="65">
        <v>334400</v>
      </c>
      <c r="BW148" s="65">
        <v>0</v>
      </c>
      <c r="BX148" s="65">
        <v>44498</v>
      </c>
      <c r="BY148" s="65">
        <v>334400</v>
      </c>
      <c r="BZ148" s="81">
        <v>100</v>
      </c>
    </row>
    <row r="149" spans="1:89" x14ac:dyDescent="0.15">
      <c r="A149" s="60">
        <v>1</v>
      </c>
      <c r="B149" s="61">
        <v>44518</v>
      </c>
      <c r="C149" s="61">
        <v>44519</v>
      </c>
      <c r="F149" s="61" t="s">
        <v>309</v>
      </c>
      <c r="H149" s="61" t="s">
        <v>309</v>
      </c>
      <c r="J149" s="60">
        <v>2</v>
      </c>
      <c r="L149" s="60">
        <v>0</v>
      </c>
      <c r="M149" s="61">
        <v>44498</v>
      </c>
      <c r="O149" s="62" t="s">
        <v>331</v>
      </c>
      <c r="P149" s="60" t="s">
        <v>26</v>
      </c>
      <c r="Q149" s="62" t="s">
        <v>105</v>
      </c>
      <c r="R149" s="62" t="s">
        <v>996</v>
      </c>
      <c r="S149" s="63" t="s">
        <v>326</v>
      </c>
      <c r="T149" s="63" t="s">
        <v>997</v>
      </c>
      <c r="U149" s="64">
        <v>243000</v>
      </c>
      <c r="V149" s="64">
        <v>267300</v>
      </c>
      <c r="W149" s="64">
        <v>243000</v>
      </c>
      <c r="X149" s="64">
        <v>267300</v>
      </c>
      <c r="Z149" s="64">
        <v>0</v>
      </c>
      <c r="AA149" s="61">
        <v>44501</v>
      </c>
      <c r="AB149" s="61">
        <v>44530</v>
      </c>
      <c r="AD149" s="60">
        <v>0</v>
      </c>
      <c r="AG149" s="60">
        <v>0</v>
      </c>
      <c r="AJ149" s="60">
        <v>0</v>
      </c>
      <c r="AN149" s="60" t="s">
        <v>309</v>
      </c>
      <c r="AQ149" s="60" t="s">
        <v>660</v>
      </c>
      <c r="AR149" s="61">
        <v>44504</v>
      </c>
      <c r="AS149" s="60">
        <v>6001953894</v>
      </c>
      <c r="AT149" s="61">
        <v>44504</v>
      </c>
      <c r="AU149" s="60" t="s">
        <v>676</v>
      </c>
      <c r="AV149" s="61">
        <v>44519</v>
      </c>
      <c r="AW149" s="91">
        <v>44530</v>
      </c>
      <c r="AX149" s="91">
        <v>44550</v>
      </c>
      <c r="AY149" s="107">
        <v>243000</v>
      </c>
      <c r="AZ149" s="107">
        <f>ROUNDDOWN(AY149+(AY149*MASTER!$A$2/100),0)</f>
        <v>267300</v>
      </c>
      <c r="BC149" s="64">
        <v>0</v>
      </c>
      <c r="BG149" s="64">
        <v>0</v>
      </c>
      <c r="BK149" s="64">
        <v>0</v>
      </c>
      <c r="BS149" s="64">
        <v>0</v>
      </c>
      <c r="BV149" s="65">
        <v>267300</v>
      </c>
      <c r="BW149" s="65">
        <v>0</v>
      </c>
      <c r="BX149" s="65">
        <v>44498</v>
      </c>
      <c r="BY149" s="65">
        <v>267300</v>
      </c>
      <c r="BZ149" s="81">
        <v>100</v>
      </c>
    </row>
    <row r="150" spans="1:89" s="152" customFormat="1" x14ac:dyDescent="0.15">
      <c r="A150" s="142">
        <v>3</v>
      </c>
      <c r="B150" s="143"/>
      <c r="C150" s="143" t="s">
        <v>309</v>
      </c>
      <c r="D150" s="143"/>
      <c r="E150" s="143"/>
      <c r="F150" s="143" t="s">
        <v>309</v>
      </c>
      <c r="G150" s="143"/>
      <c r="H150" s="143" t="s">
        <v>309</v>
      </c>
      <c r="I150" s="142"/>
      <c r="J150" s="142">
        <v>1</v>
      </c>
      <c r="K150" s="143"/>
      <c r="L150" s="142">
        <v>0</v>
      </c>
      <c r="M150" s="143">
        <v>44498</v>
      </c>
      <c r="N150" s="143"/>
      <c r="O150" s="144" t="s">
        <v>331</v>
      </c>
      <c r="P150" s="142" t="s">
        <v>26</v>
      </c>
      <c r="Q150" s="144" t="s">
        <v>105</v>
      </c>
      <c r="R150" s="144" t="s">
        <v>665</v>
      </c>
      <c r="S150" s="145" t="s">
        <v>666</v>
      </c>
      <c r="T150" s="145" t="s">
        <v>667</v>
      </c>
      <c r="U150" s="146">
        <v>50000</v>
      </c>
      <c r="V150" s="146">
        <v>55000</v>
      </c>
      <c r="W150" s="146">
        <v>47000</v>
      </c>
      <c r="X150" s="146">
        <v>51700</v>
      </c>
      <c r="Y150" s="146">
        <v>3000</v>
      </c>
      <c r="Z150" s="146">
        <v>3300</v>
      </c>
      <c r="AA150" s="143">
        <v>44552</v>
      </c>
      <c r="AB150" s="143">
        <v>44554</v>
      </c>
      <c r="AC150" s="143"/>
      <c r="AD150" s="142">
        <v>0</v>
      </c>
      <c r="AE150" s="142"/>
      <c r="AF150" s="142"/>
      <c r="AG150" s="142">
        <v>0</v>
      </c>
      <c r="AH150" s="142"/>
      <c r="AI150" s="142"/>
      <c r="AJ150" s="142">
        <v>0</v>
      </c>
      <c r="AK150" s="142"/>
      <c r="AL150" s="142"/>
      <c r="AM150" s="142" t="s">
        <v>273</v>
      </c>
      <c r="AN150" s="142" t="s">
        <v>668</v>
      </c>
      <c r="AO150" s="143"/>
      <c r="AP150" s="142"/>
      <c r="AQ150" s="142"/>
      <c r="AR150" s="143"/>
      <c r="AS150" s="142"/>
      <c r="AT150" s="143"/>
      <c r="AU150" s="142"/>
      <c r="AV150" s="143"/>
      <c r="AW150" s="147"/>
      <c r="AX150" s="147"/>
      <c r="AY150" s="148">
        <v>48000</v>
      </c>
      <c r="AZ150" s="148">
        <f>ROUNDDOWN(AY150+(AY150*MASTER!$A$2/100),0)</f>
        <v>52800</v>
      </c>
      <c r="BA150" s="142"/>
      <c r="BB150" s="146"/>
      <c r="BC150" s="146">
        <v>0</v>
      </c>
      <c r="BD150" s="142"/>
      <c r="BE150" s="142"/>
      <c r="BF150" s="146"/>
      <c r="BG150" s="146">
        <v>0</v>
      </c>
      <c r="BH150" s="142"/>
      <c r="BI150" s="142"/>
      <c r="BJ150" s="146"/>
      <c r="BK150" s="146">
        <v>0</v>
      </c>
      <c r="BL150" s="142"/>
      <c r="BM150" s="146"/>
      <c r="BN150" s="146"/>
      <c r="BO150" s="146"/>
      <c r="BP150" s="146"/>
      <c r="BQ150" s="146"/>
      <c r="BR150" s="146"/>
      <c r="BS150" s="146">
        <v>0</v>
      </c>
      <c r="BT150" s="149"/>
      <c r="BU150" s="149"/>
      <c r="BV150" s="150">
        <v>51700</v>
      </c>
      <c r="BW150" s="150">
        <v>0</v>
      </c>
      <c r="BX150" s="150">
        <v>44498</v>
      </c>
      <c r="BY150" s="150">
        <v>51700</v>
      </c>
      <c r="BZ150" s="151">
        <v>100</v>
      </c>
      <c r="CA150" s="142"/>
      <c r="CB150" s="142"/>
      <c r="CC150" s="142"/>
      <c r="CD150" s="145" t="s">
        <v>669</v>
      </c>
      <c r="CE150" s="143"/>
      <c r="CF150" s="143"/>
      <c r="CG150" s="143"/>
      <c r="CH150" s="143"/>
      <c r="CI150" s="143"/>
      <c r="CJ150" s="143"/>
      <c r="CK150" s="146"/>
    </row>
    <row r="151" spans="1:89" x14ac:dyDescent="0.15">
      <c r="A151" s="60">
        <v>2</v>
      </c>
      <c r="B151" s="61">
        <v>44532</v>
      </c>
      <c r="C151" s="61">
        <v>44540</v>
      </c>
      <c r="D151" s="61">
        <v>44574</v>
      </c>
      <c r="E151" s="61">
        <v>44543</v>
      </c>
      <c r="F151" s="61">
        <v>44547</v>
      </c>
      <c r="G151" s="61">
        <v>44543</v>
      </c>
      <c r="H151" s="61">
        <v>44543</v>
      </c>
      <c r="I151" s="60" t="s">
        <v>511</v>
      </c>
      <c r="J151" s="60">
        <v>1</v>
      </c>
      <c r="L151" s="60">
        <v>0</v>
      </c>
      <c r="M151" s="61">
        <v>44498</v>
      </c>
      <c r="O151" s="62" t="s">
        <v>331</v>
      </c>
      <c r="P151" s="60" t="s">
        <v>26</v>
      </c>
      <c r="Q151" s="62" t="s">
        <v>105</v>
      </c>
      <c r="R151" s="62" t="s">
        <v>1108</v>
      </c>
      <c r="S151" s="63" t="s">
        <v>1109</v>
      </c>
      <c r="T151" s="63" t="s">
        <v>1110</v>
      </c>
      <c r="U151" s="64">
        <v>557700</v>
      </c>
      <c r="V151" s="64">
        <v>613470</v>
      </c>
      <c r="W151" s="64">
        <v>459000</v>
      </c>
      <c r="X151" s="64">
        <v>504900</v>
      </c>
      <c r="Y151" s="64">
        <v>98700</v>
      </c>
      <c r="Z151" s="64">
        <v>108570</v>
      </c>
      <c r="AA151" s="61">
        <v>44536</v>
      </c>
      <c r="AB151" s="61">
        <v>44540</v>
      </c>
      <c r="AC151" s="61">
        <v>44540</v>
      </c>
      <c r="AD151" s="60">
        <v>0</v>
      </c>
      <c r="AG151" s="60">
        <v>0</v>
      </c>
      <c r="AJ151" s="60">
        <v>0</v>
      </c>
      <c r="AM151" s="60" t="s">
        <v>273</v>
      </c>
      <c r="AN151" s="60" t="s">
        <v>1111</v>
      </c>
      <c r="AQ151" s="60" t="s">
        <v>886</v>
      </c>
      <c r="AR151" s="61">
        <v>44518</v>
      </c>
      <c r="AS151" s="60">
        <v>6001959625</v>
      </c>
      <c r="AT151" s="61">
        <v>44518</v>
      </c>
      <c r="AU151" s="60" t="s">
        <v>898</v>
      </c>
      <c r="AV151" s="61">
        <v>44540</v>
      </c>
      <c r="AW151" s="91">
        <v>44561</v>
      </c>
      <c r="AX151" s="91">
        <v>44581</v>
      </c>
      <c r="AY151" s="99">
        <v>535392</v>
      </c>
      <c r="AZ151" s="99">
        <f>ROUNDDOWN(AY151+(AY151*MASTER!$A$2/100),0)</f>
        <v>588931</v>
      </c>
      <c r="BA151" s="60" t="s">
        <v>314</v>
      </c>
      <c r="BB151" s="64">
        <v>144000</v>
      </c>
      <c r="BC151" s="64">
        <v>158400</v>
      </c>
      <c r="BD151" s="60" t="s">
        <v>184</v>
      </c>
      <c r="BG151" s="64">
        <v>0</v>
      </c>
      <c r="BI151" s="60" t="s">
        <v>748</v>
      </c>
      <c r="BJ151" s="64">
        <v>64155</v>
      </c>
      <c r="BK151" s="64">
        <v>70570.5</v>
      </c>
      <c r="BL151" s="60" t="s">
        <v>184</v>
      </c>
      <c r="BS151" s="64">
        <v>0</v>
      </c>
      <c r="BV151" s="65">
        <v>504900</v>
      </c>
      <c r="BW151" s="65">
        <v>228970.5</v>
      </c>
      <c r="BX151" s="65">
        <v>44498</v>
      </c>
      <c r="BY151" s="65">
        <v>275929.5</v>
      </c>
      <c r="BZ151" s="81">
        <v>54.650326797385617</v>
      </c>
    </row>
    <row r="152" spans="1:89" x14ac:dyDescent="0.15">
      <c r="A152" s="60">
        <v>2</v>
      </c>
      <c r="B152" s="61">
        <v>44546</v>
      </c>
      <c r="C152" s="61">
        <v>44551</v>
      </c>
      <c r="D152" s="61">
        <v>44565</v>
      </c>
      <c r="E152" s="61">
        <v>44558</v>
      </c>
      <c r="F152" s="61">
        <v>44558</v>
      </c>
      <c r="G152" s="61">
        <v>44554</v>
      </c>
      <c r="H152" s="61">
        <v>44554</v>
      </c>
      <c r="I152" s="60" t="s">
        <v>511</v>
      </c>
      <c r="J152" s="60">
        <v>1</v>
      </c>
      <c r="L152" s="60">
        <v>0</v>
      </c>
      <c r="M152" s="61">
        <v>44498</v>
      </c>
      <c r="O152" s="62" t="s">
        <v>331</v>
      </c>
      <c r="P152" s="60" t="s">
        <v>26</v>
      </c>
      <c r="Q152" s="62" t="s">
        <v>105</v>
      </c>
      <c r="R152" s="62" t="s">
        <v>1162</v>
      </c>
      <c r="S152" s="63" t="s">
        <v>1163</v>
      </c>
      <c r="T152" s="63" t="s">
        <v>1164</v>
      </c>
      <c r="U152" s="64">
        <v>587270</v>
      </c>
      <c r="V152" s="64">
        <v>645997</v>
      </c>
      <c r="W152" s="64">
        <v>463570</v>
      </c>
      <c r="X152" s="64">
        <v>509927</v>
      </c>
      <c r="Y152" s="64">
        <v>123700</v>
      </c>
      <c r="Z152" s="64">
        <v>136070</v>
      </c>
      <c r="AA152" s="61">
        <v>44549</v>
      </c>
      <c r="AB152" s="61">
        <v>44551</v>
      </c>
      <c r="AC152" s="61">
        <v>44551</v>
      </c>
      <c r="AD152" s="60">
        <v>0</v>
      </c>
      <c r="AG152" s="60">
        <v>0</v>
      </c>
      <c r="AJ152" s="60">
        <v>0</v>
      </c>
      <c r="AM152" s="60" t="s">
        <v>273</v>
      </c>
      <c r="AN152" s="60" t="s">
        <v>1165</v>
      </c>
      <c r="AQ152" s="60" t="s">
        <v>1075</v>
      </c>
      <c r="AR152" s="61">
        <v>44530</v>
      </c>
      <c r="AS152" s="60">
        <v>6001963654</v>
      </c>
      <c r="AT152" s="61">
        <v>44531</v>
      </c>
      <c r="AU152" s="60" t="s">
        <v>1086</v>
      </c>
      <c r="AV152" s="61">
        <v>44551</v>
      </c>
      <c r="AW152" s="91">
        <v>44561</v>
      </c>
      <c r="AX152" s="91">
        <v>44581</v>
      </c>
      <c r="AY152" s="99">
        <v>563779</v>
      </c>
      <c r="AZ152" s="99">
        <v>620157</v>
      </c>
      <c r="BA152" s="60" t="s">
        <v>318</v>
      </c>
      <c r="BB152" s="64">
        <v>202800</v>
      </c>
      <c r="BC152" s="64">
        <v>223080</v>
      </c>
      <c r="BD152" s="60" t="s">
        <v>184</v>
      </c>
      <c r="BG152" s="64">
        <v>0</v>
      </c>
      <c r="BI152" s="60" t="s">
        <v>267</v>
      </c>
      <c r="BJ152" s="64">
        <v>80405</v>
      </c>
      <c r="BK152" s="64">
        <v>88445.5</v>
      </c>
      <c r="BL152" s="60" t="s">
        <v>1366</v>
      </c>
      <c r="BS152" s="64">
        <v>0</v>
      </c>
      <c r="BV152" s="65">
        <v>509927</v>
      </c>
      <c r="BW152" s="65">
        <v>311525.5</v>
      </c>
      <c r="BX152" s="65">
        <v>44498</v>
      </c>
      <c r="BY152" s="65">
        <v>198401.5</v>
      </c>
      <c r="BZ152" s="81">
        <v>38.907824061091098</v>
      </c>
    </row>
    <row r="153" spans="1:89" x14ac:dyDescent="0.15">
      <c r="A153" s="60">
        <v>2</v>
      </c>
      <c r="B153" s="61">
        <v>44546</v>
      </c>
      <c r="C153" s="61">
        <v>44552</v>
      </c>
      <c r="D153" s="61">
        <v>44568</v>
      </c>
      <c r="E153" s="61">
        <v>44558</v>
      </c>
      <c r="F153" s="61">
        <v>44559</v>
      </c>
      <c r="G153" s="61">
        <v>44554</v>
      </c>
      <c r="H153" s="61">
        <v>44555</v>
      </c>
      <c r="I153" s="60" t="s">
        <v>612</v>
      </c>
      <c r="J153" s="60">
        <v>1</v>
      </c>
      <c r="L153" s="60">
        <v>0</v>
      </c>
      <c r="M153" s="61">
        <v>44498</v>
      </c>
      <c r="O153" s="62" t="s">
        <v>331</v>
      </c>
      <c r="P153" s="60" t="s">
        <v>26</v>
      </c>
      <c r="Q153" s="62" t="s">
        <v>105</v>
      </c>
      <c r="R153" s="62" t="s">
        <v>1311</v>
      </c>
      <c r="S153" s="63" t="s">
        <v>515</v>
      </c>
      <c r="T153" s="63" t="s">
        <v>1312</v>
      </c>
      <c r="U153" s="64">
        <v>709070</v>
      </c>
      <c r="V153" s="64">
        <v>779977</v>
      </c>
      <c r="W153" s="64">
        <v>616570</v>
      </c>
      <c r="X153" s="64">
        <v>678227</v>
      </c>
      <c r="Y153" s="64">
        <v>92500</v>
      </c>
      <c r="Z153" s="64">
        <v>101750</v>
      </c>
      <c r="AA153" s="61">
        <v>44549</v>
      </c>
      <c r="AB153" s="61">
        <v>44552</v>
      </c>
      <c r="AC153" s="61">
        <v>44552</v>
      </c>
      <c r="AD153" s="60">
        <v>0</v>
      </c>
      <c r="AG153" s="60">
        <v>0</v>
      </c>
      <c r="AJ153" s="60">
        <v>0</v>
      </c>
      <c r="AM153" s="60" t="s">
        <v>273</v>
      </c>
      <c r="AN153" s="60" t="s">
        <v>1313</v>
      </c>
      <c r="AQ153" s="60" t="s">
        <v>1185</v>
      </c>
      <c r="AR153" s="61">
        <v>44539</v>
      </c>
      <c r="AS153" s="60">
        <v>6001967770</v>
      </c>
      <c r="AT153" s="61">
        <v>44540</v>
      </c>
      <c r="AU153" s="60" t="s">
        <v>1216</v>
      </c>
      <c r="AV153" s="61">
        <v>44552</v>
      </c>
      <c r="AW153" s="91">
        <v>44561</v>
      </c>
      <c r="AX153" s="91">
        <v>44581</v>
      </c>
      <c r="AY153" s="99">
        <v>680707</v>
      </c>
      <c r="AZ153" s="99">
        <v>748778</v>
      </c>
      <c r="BA153" s="60" t="s">
        <v>582</v>
      </c>
      <c r="BB153" s="64">
        <v>212000</v>
      </c>
      <c r="BC153" s="64">
        <v>233200</v>
      </c>
      <c r="BD153" s="60" t="s">
        <v>184</v>
      </c>
      <c r="BG153" s="64">
        <v>0</v>
      </c>
      <c r="BI153" s="60" t="s">
        <v>748</v>
      </c>
      <c r="BJ153" s="64">
        <v>60125</v>
      </c>
      <c r="BK153" s="64">
        <v>66137.5</v>
      </c>
      <c r="BL153" s="60" t="s">
        <v>184</v>
      </c>
      <c r="BS153" s="64">
        <v>0</v>
      </c>
      <c r="BV153" s="65">
        <v>678227</v>
      </c>
      <c r="BW153" s="65">
        <v>299337.5</v>
      </c>
      <c r="BX153" s="65">
        <v>44498</v>
      </c>
      <c r="BY153" s="65">
        <v>378889.5</v>
      </c>
      <c r="BZ153" s="81">
        <v>55.864703115623527</v>
      </c>
    </row>
    <row r="154" spans="1:89" x14ac:dyDescent="0.15">
      <c r="A154" s="60">
        <v>2</v>
      </c>
      <c r="B154" s="61">
        <v>44515</v>
      </c>
      <c r="C154" s="61">
        <v>44522</v>
      </c>
      <c r="D154" s="61" t="s">
        <v>764</v>
      </c>
      <c r="E154" s="61">
        <v>44526</v>
      </c>
      <c r="F154" s="61">
        <v>44529</v>
      </c>
      <c r="G154" s="61">
        <v>44522</v>
      </c>
      <c r="H154" s="61">
        <v>44525</v>
      </c>
      <c r="I154" s="60" t="s">
        <v>612</v>
      </c>
      <c r="J154" s="60">
        <v>1</v>
      </c>
      <c r="L154" s="60">
        <v>0</v>
      </c>
      <c r="M154" s="61">
        <v>44498</v>
      </c>
      <c r="O154" s="62" t="s">
        <v>331</v>
      </c>
      <c r="P154" s="60" t="s">
        <v>26</v>
      </c>
      <c r="Q154" s="62" t="s">
        <v>105</v>
      </c>
      <c r="R154" s="62" t="s">
        <v>619</v>
      </c>
      <c r="S154" s="63" t="s">
        <v>617</v>
      </c>
      <c r="T154" s="63" t="s">
        <v>618</v>
      </c>
      <c r="U154" s="64">
        <v>23900</v>
      </c>
      <c r="V154" s="64">
        <v>26290</v>
      </c>
      <c r="W154" s="64">
        <v>14700</v>
      </c>
      <c r="X154" s="64">
        <v>16170</v>
      </c>
      <c r="Y154" s="64">
        <v>9200</v>
      </c>
      <c r="Z154" s="64">
        <v>10120</v>
      </c>
      <c r="AA154" s="61">
        <v>44521</v>
      </c>
      <c r="AB154" s="61">
        <v>44522</v>
      </c>
      <c r="AC154" s="61">
        <v>44522</v>
      </c>
      <c r="AD154" s="60">
        <v>0</v>
      </c>
      <c r="AG154" s="60">
        <v>0</v>
      </c>
      <c r="AJ154" s="60">
        <v>0</v>
      </c>
      <c r="AM154" s="60" t="s">
        <v>273</v>
      </c>
      <c r="AN154" s="60" t="s">
        <v>620</v>
      </c>
      <c r="AQ154" s="60" t="s">
        <v>804</v>
      </c>
      <c r="AR154" s="61">
        <v>44512</v>
      </c>
      <c r="AS154" s="60">
        <v>6001957224</v>
      </c>
      <c r="AT154" s="61">
        <v>44512</v>
      </c>
      <c r="AU154" s="60" t="s">
        <v>819</v>
      </c>
      <c r="AV154" s="61">
        <v>44522</v>
      </c>
      <c r="AW154" s="91">
        <v>44530</v>
      </c>
      <c r="AX154" s="91">
        <v>44550</v>
      </c>
      <c r="AY154" s="99">
        <v>22944</v>
      </c>
      <c r="AZ154" s="99">
        <f>ROUNDDOWN(AY154+(AY154*MASTER!$A$2/100),0)</f>
        <v>25238</v>
      </c>
      <c r="BA154" s="60" t="s">
        <v>765</v>
      </c>
      <c r="BC154" s="64">
        <v>0</v>
      </c>
      <c r="BG154" s="64">
        <v>0</v>
      </c>
      <c r="BI154" s="60" t="s">
        <v>267</v>
      </c>
      <c r="BJ154" s="64">
        <v>5980</v>
      </c>
      <c r="BK154" s="64">
        <v>6578</v>
      </c>
      <c r="BL154" s="60" t="s">
        <v>493</v>
      </c>
      <c r="BS154" s="64">
        <v>0</v>
      </c>
      <c r="BV154" s="65">
        <v>16170</v>
      </c>
      <c r="BW154" s="65">
        <v>6578</v>
      </c>
      <c r="BX154" s="65">
        <v>44498</v>
      </c>
      <c r="BY154" s="65">
        <v>9592</v>
      </c>
      <c r="BZ154" s="81">
        <v>59.319727891156461</v>
      </c>
    </row>
    <row r="155" spans="1:89" x14ac:dyDescent="0.15">
      <c r="A155" s="60">
        <v>2</v>
      </c>
      <c r="B155" s="61">
        <v>44551</v>
      </c>
      <c r="C155" s="61">
        <v>44558</v>
      </c>
      <c r="D155" s="61">
        <v>44574</v>
      </c>
      <c r="E155" s="61">
        <v>44558</v>
      </c>
      <c r="F155" s="61">
        <v>44565</v>
      </c>
      <c r="G155" s="61">
        <v>44558</v>
      </c>
      <c r="H155" s="61">
        <v>44561</v>
      </c>
      <c r="I155" s="60" t="s">
        <v>511</v>
      </c>
      <c r="J155" s="60">
        <v>1</v>
      </c>
      <c r="L155" s="60">
        <v>0</v>
      </c>
      <c r="M155" s="61">
        <v>44498</v>
      </c>
      <c r="O155" s="62" t="s">
        <v>331</v>
      </c>
      <c r="P155" s="60" t="s">
        <v>26</v>
      </c>
      <c r="Q155" s="62" t="s">
        <v>105</v>
      </c>
      <c r="R155" s="62" t="s">
        <v>622</v>
      </c>
      <c r="S155" s="63" t="s">
        <v>623</v>
      </c>
      <c r="T155" s="63" t="s">
        <v>621</v>
      </c>
      <c r="U155" s="64">
        <v>50000</v>
      </c>
      <c r="V155" s="64">
        <v>55000</v>
      </c>
      <c r="W155" s="64">
        <v>47000</v>
      </c>
      <c r="X155" s="64">
        <v>51700</v>
      </c>
      <c r="Y155" s="64">
        <v>3000</v>
      </c>
      <c r="Z155" s="64">
        <v>3300</v>
      </c>
      <c r="AA155" s="61">
        <v>44557</v>
      </c>
      <c r="AB155" s="61">
        <v>44558</v>
      </c>
      <c r="AC155" s="61">
        <v>44558</v>
      </c>
      <c r="AD155" s="60">
        <v>0</v>
      </c>
      <c r="AG155" s="60">
        <v>0</v>
      </c>
      <c r="AJ155" s="60">
        <v>0</v>
      </c>
      <c r="AM155" s="60" t="s">
        <v>273</v>
      </c>
      <c r="AN155" s="60" t="s">
        <v>624</v>
      </c>
      <c r="AQ155" s="60" t="s">
        <v>862</v>
      </c>
      <c r="AR155" s="61">
        <v>44516</v>
      </c>
      <c r="AS155" s="60">
        <v>6001958558</v>
      </c>
      <c r="AT155" s="61">
        <v>44517</v>
      </c>
      <c r="AU155" s="60" t="s">
        <v>878</v>
      </c>
      <c r="AV155" s="61">
        <v>44558</v>
      </c>
      <c r="AW155" s="91">
        <v>44561</v>
      </c>
      <c r="AX155" s="91">
        <v>44581</v>
      </c>
      <c r="AY155" s="99">
        <v>48000</v>
      </c>
      <c r="AZ155" s="99">
        <f>ROUNDDOWN(AY155+(AY155*MASTER!$A$2/100),0)</f>
        <v>52800</v>
      </c>
      <c r="BA155" s="60" t="s">
        <v>613</v>
      </c>
      <c r="BB155" s="64">
        <v>23000</v>
      </c>
      <c r="BC155" s="64">
        <v>25300</v>
      </c>
      <c r="BD155" s="60" t="s">
        <v>184</v>
      </c>
      <c r="BG155" s="64">
        <v>0</v>
      </c>
      <c r="BI155" s="60" t="s">
        <v>748</v>
      </c>
      <c r="BJ155" s="64">
        <v>1950</v>
      </c>
      <c r="BK155" s="64">
        <v>2145</v>
      </c>
      <c r="BL155" s="60" t="s">
        <v>184</v>
      </c>
      <c r="BS155" s="64">
        <v>0</v>
      </c>
      <c r="BV155" s="65">
        <v>51700</v>
      </c>
      <c r="BW155" s="65">
        <v>27445</v>
      </c>
      <c r="BX155" s="65">
        <v>44498</v>
      </c>
      <c r="BY155" s="65">
        <v>24255</v>
      </c>
      <c r="BZ155" s="81">
        <v>46.914893617021278</v>
      </c>
    </row>
    <row r="156" spans="1:89" x14ac:dyDescent="0.15">
      <c r="A156" s="60">
        <v>2</v>
      </c>
      <c r="B156" s="61">
        <v>44532</v>
      </c>
      <c r="C156" s="61">
        <v>44536</v>
      </c>
      <c r="D156" s="61">
        <v>44568</v>
      </c>
      <c r="E156" s="61">
        <v>44537</v>
      </c>
      <c r="F156" s="61">
        <v>44543</v>
      </c>
      <c r="G156" s="61">
        <v>44537</v>
      </c>
      <c r="H156" s="61">
        <v>44539</v>
      </c>
      <c r="I156" s="60" t="s">
        <v>511</v>
      </c>
      <c r="J156" s="60">
        <v>1</v>
      </c>
      <c r="L156" s="60">
        <v>0</v>
      </c>
      <c r="M156" s="61">
        <v>44498</v>
      </c>
      <c r="O156" s="62" t="s">
        <v>331</v>
      </c>
      <c r="P156" s="60" t="s">
        <v>26</v>
      </c>
      <c r="Q156" s="62" t="s">
        <v>105</v>
      </c>
      <c r="R156" s="62" t="s">
        <v>626</v>
      </c>
      <c r="S156" s="63" t="s">
        <v>627</v>
      </c>
      <c r="T156" s="63" t="s">
        <v>625</v>
      </c>
      <c r="U156" s="64">
        <v>171700</v>
      </c>
      <c r="V156" s="64">
        <v>188870</v>
      </c>
      <c r="W156" s="64">
        <v>102000</v>
      </c>
      <c r="X156" s="64">
        <v>112200</v>
      </c>
      <c r="Y156" s="64">
        <v>69700</v>
      </c>
      <c r="Z156" s="64">
        <v>76670</v>
      </c>
      <c r="AA156" s="61">
        <v>44535</v>
      </c>
      <c r="AB156" s="61">
        <v>44536</v>
      </c>
      <c r="AC156" s="61">
        <v>44536</v>
      </c>
      <c r="AD156" s="60">
        <v>0</v>
      </c>
      <c r="AG156" s="60">
        <v>0</v>
      </c>
      <c r="AJ156" s="60">
        <v>0</v>
      </c>
      <c r="AM156" s="60" t="s">
        <v>273</v>
      </c>
      <c r="AN156" s="60" t="s">
        <v>628</v>
      </c>
      <c r="AQ156" s="60" t="s">
        <v>826</v>
      </c>
      <c r="AR156" s="61">
        <v>44515</v>
      </c>
      <c r="AS156" s="60">
        <v>6001957966</v>
      </c>
      <c r="AT156" s="61">
        <v>44515</v>
      </c>
      <c r="AU156" s="60" t="s">
        <v>853</v>
      </c>
      <c r="AV156" s="61">
        <v>44536</v>
      </c>
      <c r="AW156" s="91">
        <v>44561</v>
      </c>
      <c r="AX156" s="91">
        <v>44581</v>
      </c>
      <c r="AY156" s="99">
        <v>164832</v>
      </c>
      <c r="AZ156" s="99">
        <f>ROUNDDOWN(AY156+(AY156*MASTER!$A$2/100),0)</f>
        <v>181315</v>
      </c>
      <c r="BA156" s="60" t="s">
        <v>319</v>
      </c>
      <c r="BB156" s="64">
        <v>27000</v>
      </c>
      <c r="BC156" s="64">
        <v>29700</v>
      </c>
      <c r="BD156" s="60" t="s">
        <v>184</v>
      </c>
      <c r="BG156" s="64">
        <v>0</v>
      </c>
      <c r="BI156" s="60" t="s">
        <v>748</v>
      </c>
      <c r="BJ156" s="64">
        <v>45305</v>
      </c>
      <c r="BK156" s="64">
        <v>49835.5</v>
      </c>
      <c r="BL156" s="60" t="s">
        <v>184</v>
      </c>
      <c r="BS156" s="64">
        <v>0</v>
      </c>
      <c r="BV156" s="65">
        <v>112200</v>
      </c>
      <c r="BW156" s="65">
        <v>79535.5</v>
      </c>
      <c r="BX156" s="65">
        <v>44498</v>
      </c>
      <c r="BY156" s="65">
        <v>32664.5</v>
      </c>
      <c r="BZ156" s="81">
        <v>29.112745098039216</v>
      </c>
    </row>
    <row r="157" spans="1:89" x14ac:dyDescent="0.15">
      <c r="A157" s="60">
        <v>1</v>
      </c>
      <c r="B157" s="61">
        <v>44509</v>
      </c>
      <c r="C157" s="61">
        <v>44525</v>
      </c>
      <c r="F157" s="61" t="s">
        <v>309</v>
      </c>
      <c r="H157" s="61" t="s">
        <v>309</v>
      </c>
      <c r="J157" s="60">
        <v>2</v>
      </c>
      <c r="L157" s="60">
        <v>0</v>
      </c>
      <c r="M157" s="61">
        <v>44501</v>
      </c>
      <c r="O157" s="62" t="s">
        <v>331</v>
      </c>
      <c r="P157" s="60" t="s">
        <v>262</v>
      </c>
      <c r="Q157" s="62" t="s">
        <v>120</v>
      </c>
      <c r="R157" s="62" t="s">
        <v>636</v>
      </c>
      <c r="S157" s="63" t="s">
        <v>326</v>
      </c>
      <c r="T157" s="63" t="s">
        <v>632</v>
      </c>
      <c r="U157" s="64">
        <v>438000</v>
      </c>
      <c r="V157" s="64">
        <v>481800</v>
      </c>
      <c r="W157" s="64">
        <v>438000</v>
      </c>
      <c r="X157" s="64">
        <v>481800</v>
      </c>
      <c r="Y157" s="64">
        <v>0</v>
      </c>
      <c r="Z157" s="64">
        <v>0</v>
      </c>
      <c r="AA157" s="61">
        <v>44501</v>
      </c>
      <c r="AB157" s="61">
        <v>44530</v>
      </c>
      <c r="AD157" s="60">
        <v>0</v>
      </c>
      <c r="AG157" s="60">
        <v>0</v>
      </c>
      <c r="AJ157" s="60">
        <v>0</v>
      </c>
      <c r="AQ157" s="60" t="s">
        <v>747</v>
      </c>
      <c r="AR157" s="61">
        <v>44508</v>
      </c>
      <c r="AS157" s="60">
        <v>6001955571</v>
      </c>
      <c r="AT157" s="61">
        <v>44508</v>
      </c>
      <c r="AU157" s="60" t="s">
        <v>745</v>
      </c>
      <c r="AV157" s="61">
        <v>44525</v>
      </c>
      <c r="AW157" s="91">
        <v>44530</v>
      </c>
      <c r="AX157" s="91">
        <v>44550</v>
      </c>
      <c r="AY157" s="107">
        <v>438000</v>
      </c>
      <c r="AZ157" s="107">
        <f>ROUNDDOWN(AY157+(AY157*MASTER!$A$2/100),0)</f>
        <v>481800</v>
      </c>
      <c r="BC157" s="64">
        <v>0</v>
      </c>
      <c r="BG157" s="64">
        <v>0</v>
      </c>
      <c r="BK157" s="64">
        <v>0</v>
      </c>
      <c r="BS157" s="64">
        <v>0</v>
      </c>
      <c r="BV157" s="65">
        <v>481800</v>
      </c>
      <c r="BW157" s="65">
        <v>0</v>
      </c>
      <c r="BX157" s="65">
        <v>44501</v>
      </c>
      <c r="BY157" s="65">
        <v>481800</v>
      </c>
      <c r="BZ157" s="81">
        <v>100</v>
      </c>
    </row>
    <row r="158" spans="1:89" x14ac:dyDescent="0.15">
      <c r="A158" s="60">
        <v>1</v>
      </c>
      <c r="B158" s="61">
        <v>44509</v>
      </c>
      <c r="C158" s="61">
        <v>44525</v>
      </c>
      <c r="F158" s="61" t="s">
        <v>309</v>
      </c>
      <c r="H158" s="61" t="s">
        <v>309</v>
      </c>
      <c r="J158" s="60">
        <v>2</v>
      </c>
      <c r="L158" s="60">
        <v>0</v>
      </c>
      <c r="M158" s="61">
        <v>44501</v>
      </c>
      <c r="O158" s="62" t="s">
        <v>331</v>
      </c>
      <c r="P158" s="60" t="s">
        <v>262</v>
      </c>
      <c r="Q158" s="62" t="s">
        <v>120</v>
      </c>
      <c r="R158" s="62" t="s">
        <v>740</v>
      </c>
      <c r="S158" s="63" t="s">
        <v>326</v>
      </c>
      <c r="T158" s="63" t="s">
        <v>633</v>
      </c>
      <c r="U158" s="64">
        <v>438000</v>
      </c>
      <c r="V158" s="64">
        <v>481800</v>
      </c>
      <c r="W158" s="64">
        <v>438000</v>
      </c>
      <c r="X158" s="64">
        <v>481800</v>
      </c>
      <c r="Y158" s="64">
        <v>0</v>
      </c>
      <c r="Z158" s="64">
        <v>0</v>
      </c>
      <c r="AA158" s="61">
        <v>44501</v>
      </c>
      <c r="AB158" s="61">
        <v>44530</v>
      </c>
      <c r="AD158" s="60">
        <v>0</v>
      </c>
      <c r="AG158" s="60">
        <v>0</v>
      </c>
      <c r="AJ158" s="60">
        <v>0</v>
      </c>
      <c r="AQ158" s="60" t="s">
        <v>747</v>
      </c>
      <c r="AR158" s="61">
        <v>44508</v>
      </c>
      <c r="AS158" s="60">
        <v>6001955571</v>
      </c>
      <c r="AT158" s="61">
        <v>44508</v>
      </c>
      <c r="AU158" s="60" t="s">
        <v>745</v>
      </c>
      <c r="AV158" s="61">
        <v>44525</v>
      </c>
      <c r="AW158" s="91">
        <v>44530</v>
      </c>
      <c r="AX158" s="91">
        <v>44550</v>
      </c>
      <c r="AY158" s="107">
        <v>438000</v>
      </c>
      <c r="AZ158" s="107">
        <f>ROUNDDOWN(AY158+(AY158*MASTER!$A$2/100),0)</f>
        <v>481800</v>
      </c>
      <c r="BC158" s="64">
        <v>0</v>
      </c>
      <c r="BG158" s="64">
        <v>0</v>
      </c>
      <c r="BK158" s="64">
        <v>0</v>
      </c>
      <c r="BS158" s="64">
        <v>0</v>
      </c>
      <c r="BV158" s="65">
        <v>481800</v>
      </c>
      <c r="BW158" s="65">
        <v>0</v>
      </c>
      <c r="BX158" s="65">
        <v>44501</v>
      </c>
      <c r="BY158" s="65">
        <v>481800</v>
      </c>
      <c r="BZ158" s="81">
        <v>100</v>
      </c>
    </row>
    <row r="159" spans="1:89" x14ac:dyDescent="0.15">
      <c r="A159" s="60">
        <v>1</v>
      </c>
      <c r="B159" s="61">
        <v>44509</v>
      </c>
      <c r="C159" s="61">
        <v>44525</v>
      </c>
      <c r="F159" s="61" t="s">
        <v>309</v>
      </c>
      <c r="H159" s="61" t="s">
        <v>309</v>
      </c>
      <c r="J159" s="60">
        <v>2</v>
      </c>
      <c r="L159" s="60">
        <v>0</v>
      </c>
      <c r="M159" s="61">
        <v>44501</v>
      </c>
      <c r="O159" s="62" t="s">
        <v>331</v>
      </c>
      <c r="P159" s="60" t="s">
        <v>262</v>
      </c>
      <c r="Q159" s="62" t="s">
        <v>120</v>
      </c>
      <c r="R159" s="62" t="s">
        <v>741</v>
      </c>
      <c r="S159" s="63" t="s">
        <v>326</v>
      </c>
      <c r="T159" s="63" t="s">
        <v>634</v>
      </c>
      <c r="U159" s="64">
        <v>262000</v>
      </c>
      <c r="V159" s="64">
        <v>288200</v>
      </c>
      <c r="W159" s="64">
        <v>262000</v>
      </c>
      <c r="X159" s="64">
        <v>288200</v>
      </c>
      <c r="Y159" s="64">
        <v>0</v>
      </c>
      <c r="Z159" s="64">
        <v>0</v>
      </c>
      <c r="AA159" s="61">
        <v>44501</v>
      </c>
      <c r="AB159" s="61">
        <v>44530</v>
      </c>
      <c r="AD159" s="60">
        <v>0</v>
      </c>
      <c r="AG159" s="60">
        <v>0</v>
      </c>
      <c r="AJ159" s="60">
        <v>0</v>
      </c>
      <c r="AQ159" s="60" t="s">
        <v>747</v>
      </c>
      <c r="AR159" s="61">
        <v>44508</v>
      </c>
      <c r="AS159" s="60">
        <v>6001955571</v>
      </c>
      <c r="AT159" s="61">
        <v>44508</v>
      </c>
      <c r="AU159" s="60" t="s">
        <v>745</v>
      </c>
      <c r="AV159" s="61">
        <v>44525</v>
      </c>
      <c r="AW159" s="91">
        <v>44530</v>
      </c>
      <c r="AX159" s="91">
        <v>44550</v>
      </c>
      <c r="AY159" s="107">
        <v>262000</v>
      </c>
      <c r="AZ159" s="107">
        <f>ROUNDDOWN(AY159+(AY159*MASTER!$A$2/100),0)</f>
        <v>288200</v>
      </c>
      <c r="BC159" s="64">
        <v>0</v>
      </c>
      <c r="BG159" s="64">
        <v>0</v>
      </c>
      <c r="BK159" s="64">
        <v>0</v>
      </c>
      <c r="BS159" s="64">
        <v>0</v>
      </c>
      <c r="BV159" s="65">
        <v>288200</v>
      </c>
      <c r="BW159" s="65">
        <v>0</v>
      </c>
      <c r="BX159" s="65">
        <v>44501</v>
      </c>
      <c r="BY159" s="65">
        <v>288200</v>
      </c>
      <c r="BZ159" s="81">
        <v>100</v>
      </c>
    </row>
    <row r="160" spans="1:89" x14ac:dyDescent="0.15">
      <c r="A160" s="60">
        <v>1</v>
      </c>
      <c r="B160" s="61">
        <v>44509</v>
      </c>
      <c r="C160" s="61">
        <v>44525</v>
      </c>
      <c r="F160" s="61" t="s">
        <v>309</v>
      </c>
      <c r="H160" s="61" t="s">
        <v>309</v>
      </c>
      <c r="J160" s="60">
        <v>2</v>
      </c>
      <c r="L160" s="60">
        <v>0</v>
      </c>
      <c r="M160" s="61">
        <v>44501</v>
      </c>
      <c r="O160" s="62" t="s">
        <v>331</v>
      </c>
      <c r="P160" s="60" t="s">
        <v>260</v>
      </c>
      <c r="Q160" s="62" t="s">
        <v>120</v>
      </c>
      <c r="R160" s="62" t="s">
        <v>742</v>
      </c>
      <c r="S160" s="63" t="s">
        <v>417</v>
      </c>
      <c r="T160" s="63" t="s">
        <v>635</v>
      </c>
      <c r="U160" s="64">
        <v>66000</v>
      </c>
      <c r="V160" s="64">
        <v>72600</v>
      </c>
      <c r="W160" s="64">
        <v>66000</v>
      </c>
      <c r="X160" s="64">
        <v>72600</v>
      </c>
      <c r="Y160" s="64">
        <v>0</v>
      </c>
      <c r="Z160" s="64">
        <v>0</v>
      </c>
      <c r="AA160" s="61">
        <v>44501</v>
      </c>
      <c r="AB160" s="61">
        <v>44530</v>
      </c>
      <c r="AD160" s="60">
        <v>0</v>
      </c>
      <c r="AG160" s="60">
        <v>0</v>
      </c>
      <c r="AJ160" s="60">
        <v>0</v>
      </c>
      <c r="AQ160" s="60" t="s">
        <v>746</v>
      </c>
      <c r="AR160" s="61">
        <v>44508</v>
      </c>
      <c r="AS160" s="60">
        <v>6001955571</v>
      </c>
      <c r="AT160" s="61">
        <v>44508</v>
      </c>
      <c r="AU160" s="60" t="s">
        <v>745</v>
      </c>
      <c r="AV160" s="61">
        <v>44525</v>
      </c>
      <c r="AW160" s="91">
        <v>44530</v>
      </c>
      <c r="AX160" s="91">
        <v>44550</v>
      </c>
      <c r="AY160" s="99">
        <v>63360</v>
      </c>
      <c r="AZ160" s="99">
        <f>ROUNDDOWN(AY160+(AY160*MASTER!$A$2/100),0)</f>
        <v>69696</v>
      </c>
      <c r="BC160" s="64">
        <v>0</v>
      </c>
      <c r="BG160" s="64">
        <v>0</v>
      </c>
      <c r="BK160" s="64">
        <v>0</v>
      </c>
      <c r="BS160" s="64">
        <v>0</v>
      </c>
      <c r="BV160" s="65">
        <v>72600</v>
      </c>
      <c r="BW160" s="65">
        <v>0</v>
      </c>
      <c r="BX160" s="65">
        <v>44501</v>
      </c>
      <c r="BY160" s="65">
        <v>72600</v>
      </c>
      <c r="BZ160" s="81">
        <v>100</v>
      </c>
    </row>
    <row r="161" spans="1:89" s="152" customFormat="1" x14ac:dyDescent="0.15">
      <c r="A161" s="142">
        <v>3</v>
      </c>
      <c r="B161" s="143"/>
      <c r="C161" s="143" t="s">
        <v>309</v>
      </c>
      <c r="D161" s="143"/>
      <c r="E161" s="143"/>
      <c r="F161" s="143" t="s">
        <v>309</v>
      </c>
      <c r="G161" s="143"/>
      <c r="H161" s="143" t="s">
        <v>309</v>
      </c>
      <c r="I161" s="142"/>
      <c r="J161" s="142">
        <v>2</v>
      </c>
      <c r="K161" s="143"/>
      <c r="L161" s="142">
        <v>0</v>
      </c>
      <c r="M161" s="143">
        <v>44501</v>
      </c>
      <c r="N161" s="143"/>
      <c r="O161" s="144" t="s">
        <v>331</v>
      </c>
      <c r="P161" s="142" t="s">
        <v>50</v>
      </c>
      <c r="Q161" s="144" t="s">
        <v>120</v>
      </c>
      <c r="R161" s="144" t="s">
        <v>642</v>
      </c>
      <c r="S161" s="145" t="s">
        <v>326</v>
      </c>
      <c r="T161" s="145" t="s">
        <v>641</v>
      </c>
      <c r="U161" s="146">
        <v>480000</v>
      </c>
      <c r="V161" s="146">
        <v>528000</v>
      </c>
      <c r="W161" s="146">
        <v>480000</v>
      </c>
      <c r="X161" s="146">
        <v>528000</v>
      </c>
      <c r="Y161" s="146">
        <v>0</v>
      </c>
      <c r="Z161" s="146">
        <v>0</v>
      </c>
      <c r="AA161" s="143" t="s">
        <v>643</v>
      </c>
      <c r="AB161" s="143"/>
      <c r="AC161" s="143"/>
      <c r="AD161" s="142">
        <v>0</v>
      </c>
      <c r="AE161" s="142"/>
      <c r="AF161" s="142"/>
      <c r="AG161" s="142">
        <v>0</v>
      </c>
      <c r="AH161" s="142"/>
      <c r="AI161" s="142"/>
      <c r="AJ161" s="142">
        <v>0</v>
      </c>
      <c r="AK161" s="142"/>
      <c r="AL161" s="142"/>
      <c r="AM161" s="142"/>
      <c r="AN161" s="142"/>
      <c r="AO161" s="143"/>
      <c r="AP161" s="142"/>
      <c r="AQ161" s="142"/>
      <c r="AR161" s="143"/>
      <c r="AS161" s="142"/>
      <c r="AT161" s="143"/>
      <c r="AU161" s="142"/>
      <c r="AV161" s="143"/>
      <c r="AW161" s="147"/>
      <c r="AX161" s="147"/>
      <c r="AY161" s="154">
        <v>480000</v>
      </c>
      <c r="AZ161" s="154">
        <f>ROUNDDOWN(AY161+(AY161*MASTER!$A$2/100),0)</f>
        <v>528000</v>
      </c>
      <c r="BA161" s="142"/>
      <c r="BB161" s="146"/>
      <c r="BC161" s="146">
        <v>0</v>
      </c>
      <c r="BD161" s="142"/>
      <c r="BE161" s="142"/>
      <c r="BF161" s="146"/>
      <c r="BG161" s="146">
        <v>0</v>
      </c>
      <c r="BH161" s="142"/>
      <c r="BI161" s="142"/>
      <c r="BJ161" s="146"/>
      <c r="BK161" s="146">
        <v>0</v>
      </c>
      <c r="BL161" s="142"/>
      <c r="BM161" s="146"/>
      <c r="BN161" s="146"/>
      <c r="BO161" s="146"/>
      <c r="BP161" s="146"/>
      <c r="BQ161" s="146"/>
      <c r="BR161" s="146"/>
      <c r="BS161" s="146">
        <v>0</v>
      </c>
      <c r="BT161" s="149"/>
      <c r="BU161" s="149"/>
      <c r="BV161" s="150">
        <v>528000</v>
      </c>
      <c r="BW161" s="150">
        <v>0</v>
      </c>
      <c r="BX161" s="150">
        <v>44501</v>
      </c>
      <c r="BY161" s="150">
        <v>528000</v>
      </c>
      <c r="BZ161" s="151">
        <v>100</v>
      </c>
      <c r="CA161" s="142"/>
      <c r="CB161" s="142"/>
      <c r="CC161" s="142"/>
      <c r="CD161" s="145" t="s">
        <v>2667</v>
      </c>
      <c r="CE161" s="143"/>
      <c r="CF161" s="143"/>
      <c r="CG161" s="143"/>
      <c r="CH161" s="143"/>
      <c r="CI161" s="143"/>
      <c r="CJ161" s="143"/>
      <c r="CK161" s="146"/>
    </row>
    <row r="162" spans="1:89" s="152" customFormat="1" x14ac:dyDescent="0.15">
      <c r="A162" s="142">
        <v>3</v>
      </c>
      <c r="B162" s="143"/>
      <c r="C162" s="143" t="s">
        <v>309</v>
      </c>
      <c r="D162" s="143"/>
      <c r="E162" s="143"/>
      <c r="F162" s="143" t="s">
        <v>309</v>
      </c>
      <c r="G162" s="143"/>
      <c r="H162" s="143" t="s">
        <v>309</v>
      </c>
      <c r="I162" s="142"/>
      <c r="J162" s="142">
        <v>1</v>
      </c>
      <c r="K162" s="143"/>
      <c r="L162" s="142">
        <v>0</v>
      </c>
      <c r="M162" s="143">
        <v>44501</v>
      </c>
      <c r="N162" s="143"/>
      <c r="O162" s="144" t="s">
        <v>331</v>
      </c>
      <c r="P162" s="142" t="s">
        <v>26</v>
      </c>
      <c r="Q162" s="144" t="s">
        <v>120</v>
      </c>
      <c r="R162" s="144" t="s">
        <v>1140</v>
      </c>
      <c r="S162" s="145" t="s">
        <v>897</v>
      </c>
      <c r="T162" s="145" t="s">
        <v>502</v>
      </c>
      <c r="U162" s="146">
        <v>23900</v>
      </c>
      <c r="V162" s="146">
        <v>26290</v>
      </c>
      <c r="W162" s="146">
        <v>14700</v>
      </c>
      <c r="X162" s="146">
        <v>16170</v>
      </c>
      <c r="Y162" s="146">
        <v>9200</v>
      </c>
      <c r="Z162" s="146">
        <v>10120</v>
      </c>
      <c r="AA162" s="143">
        <v>44552</v>
      </c>
      <c r="AB162" s="143">
        <v>44555</v>
      </c>
      <c r="AC162" s="143"/>
      <c r="AD162" s="142">
        <v>0</v>
      </c>
      <c r="AE162" s="142"/>
      <c r="AF162" s="142"/>
      <c r="AG162" s="142">
        <v>0</v>
      </c>
      <c r="AH162" s="142"/>
      <c r="AI162" s="142"/>
      <c r="AJ162" s="142">
        <v>0</v>
      </c>
      <c r="AK162" s="142"/>
      <c r="AL162" s="142"/>
      <c r="AM162" s="142" t="s">
        <v>273</v>
      </c>
      <c r="AN162" s="142" t="s">
        <v>1141</v>
      </c>
      <c r="AO162" s="143"/>
      <c r="AP162" s="142"/>
      <c r="AQ162" s="142"/>
      <c r="AR162" s="143"/>
      <c r="AS162" s="142"/>
      <c r="AT162" s="143"/>
      <c r="AU162" s="142"/>
      <c r="AV162" s="143"/>
      <c r="AW162" s="147"/>
      <c r="AX162" s="147"/>
      <c r="AY162" s="148">
        <v>22944</v>
      </c>
      <c r="AZ162" s="148">
        <f>ROUNDDOWN(AY162+(AY162*MASTER!$A$2/100),0)</f>
        <v>25238</v>
      </c>
      <c r="BA162" s="142"/>
      <c r="BB162" s="146"/>
      <c r="BC162" s="146">
        <v>0</v>
      </c>
      <c r="BD162" s="142"/>
      <c r="BE162" s="142"/>
      <c r="BF162" s="146"/>
      <c r="BG162" s="146">
        <v>0</v>
      </c>
      <c r="BH162" s="142"/>
      <c r="BI162" s="142"/>
      <c r="BJ162" s="146"/>
      <c r="BK162" s="146">
        <v>0</v>
      </c>
      <c r="BL162" s="142"/>
      <c r="BM162" s="146"/>
      <c r="BN162" s="146"/>
      <c r="BO162" s="146"/>
      <c r="BP162" s="146"/>
      <c r="BQ162" s="146"/>
      <c r="BR162" s="146"/>
      <c r="BS162" s="146">
        <v>0</v>
      </c>
      <c r="BT162" s="149"/>
      <c r="BU162" s="149"/>
      <c r="BV162" s="150">
        <v>16170</v>
      </c>
      <c r="BW162" s="150">
        <v>0</v>
      </c>
      <c r="BX162" s="150">
        <v>44501</v>
      </c>
      <c r="BY162" s="150">
        <v>16170</v>
      </c>
      <c r="BZ162" s="151">
        <v>100</v>
      </c>
      <c r="CA162" s="142"/>
      <c r="CB162" s="142"/>
      <c r="CC162" s="142"/>
      <c r="CD162" s="145" t="s">
        <v>1142</v>
      </c>
      <c r="CE162" s="143"/>
      <c r="CF162" s="143"/>
      <c r="CG162" s="143"/>
      <c r="CH162" s="143"/>
      <c r="CI162" s="143"/>
      <c r="CJ162" s="143"/>
      <c r="CK162" s="146"/>
    </row>
    <row r="163" spans="1:89" x14ac:dyDescent="0.15">
      <c r="A163" s="60">
        <v>2</v>
      </c>
      <c r="B163" s="61">
        <v>44530</v>
      </c>
      <c r="C163" s="61">
        <v>44531</v>
      </c>
      <c r="D163" s="61" t="s">
        <v>764</v>
      </c>
      <c r="E163" s="61">
        <v>44533</v>
      </c>
      <c r="F163" s="61">
        <v>44538</v>
      </c>
      <c r="G163" s="61">
        <v>44532</v>
      </c>
      <c r="H163" s="61">
        <v>44534</v>
      </c>
      <c r="I163" s="60" t="s">
        <v>511</v>
      </c>
      <c r="J163" s="60">
        <v>1</v>
      </c>
      <c r="L163" s="60">
        <v>0</v>
      </c>
      <c r="M163" s="61">
        <v>44501</v>
      </c>
      <c r="O163" s="62" t="s">
        <v>331</v>
      </c>
      <c r="P163" s="60" t="s">
        <v>26</v>
      </c>
      <c r="Q163" s="62" t="s">
        <v>120</v>
      </c>
      <c r="R163" s="62" t="s">
        <v>1038</v>
      </c>
      <c r="S163" s="63" t="s">
        <v>664</v>
      </c>
      <c r="T163" s="63" t="s">
        <v>1039</v>
      </c>
      <c r="U163" s="64">
        <v>23900</v>
      </c>
      <c r="V163" s="64">
        <v>26290</v>
      </c>
      <c r="W163" s="64">
        <v>14700</v>
      </c>
      <c r="X163" s="64">
        <v>16170</v>
      </c>
      <c r="Y163" s="64">
        <v>9200</v>
      </c>
      <c r="Z163" s="64">
        <v>10120</v>
      </c>
      <c r="AA163" s="61">
        <v>44530</v>
      </c>
      <c r="AB163" s="61">
        <v>44531</v>
      </c>
      <c r="AC163" s="61">
        <v>44531</v>
      </c>
      <c r="AD163" s="60">
        <v>0</v>
      </c>
      <c r="AG163" s="60">
        <v>0</v>
      </c>
      <c r="AJ163" s="60">
        <v>0</v>
      </c>
      <c r="AM163" s="60" t="s">
        <v>273</v>
      </c>
      <c r="AN163" s="60" t="s">
        <v>1040</v>
      </c>
      <c r="AQ163" s="60" t="s">
        <v>864</v>
      </c>
      <c r="AR163" s="61">
        <v>44516</v>
      </c>
      <c r="AS163" s="60">
        <v>6001958558</v>
      </c>
      <c r="AT163" s="61">
        <v>44517</v>
      </c>
      <c r="AU163" s="60" t="s">
        <v>878</v>
      </c>
      <c r="AV163" s="61">
        <v>44531</v>
      </c>
      <c r="AW163" s="91">
        <v>44561</v>
      </c>
      <c r="AX163" s="91">
        <v>44581</v>
      </c>
      <c r="AY163" s="99">
        <v>22944</v>
      </c>
      <c r="AZ163" s="99">
        <f>ROUNDDOWN(AY163+(AY163*MASTER!$A$2/100),0)</f>
        <v>25238</v>
      </c>
      <c r="BA163" s="60" t="s">
        <v>765</v>
      </c>
      <c r="BC163" s="64">
        <v>0</v>
      </c>
      <c r="BG163" s="64">
        <v>0</v>
      </c>
      <c r="BI163" s="60" t="s">
        <v>267</v>
      </c>
      <c r="BJ163" s="64">
        <v>5980</v>
      </c>
      <c r="BK163" s="64">
        <v>6578</v>
      </c>
      <c r="BL163" s="60" t="s">
        <v>1366</v>
      </c>
      <c r="BS163" s="64">
        <v>0</v>
      </c>
      <c r="BV163" s="65">
        <v>16170</v>
      </c>
      <c r="BW163" s="65">
        <v>6578</v>
      </c>
      <c r="BX163" s="65">
        <v>44501</v>
      </c>
      <c r="BY163" s="65">
        <v>9592</v>
      </c>
      <c r="BZ163" s="81">
        <v>59.319727891156461</v>
      </c>
    </row>
    <row r="164" spans="1:89" x14ac:dyDescent="0.15">
      <c r="A164" s="60">
        <v>1</v>
      </c>
      <c r="B164" s="61">
        <v>44511</v>
      </c>
      <c r="C164" s="61">
        <v>44511</v>
      </c>
      <c r="F164" s="61" t="s">
        <v>309</v>
      </c>
      <c r="G164" s="61">
        <v>44509</v>
      </c>
      <c r="H164" s="61" t="s">
        <v>309</v>
      </c>
      <c r="J164" s="60">
        <v>1</v>
      </c>
      <c r="L164" s="60">
        <v>0</v>
      </c>
      <c r="M164" s="61">
        <v>44501</v>
      </c>
      <c r="O164" s="62" t="s">
        <v>331</v>
      </c>
      <c r="P164" s="60" t="s">
        <v>26</v>
      </c>
      <c r="Q164" s="62" t="s">
        <v>120</v>
      </c>
      <c r="R164" s="62" t="s">
        <v>790</v>
      </c>
      <c r="S164" s="63" t="s">
        <v>689</v>
      </c>
      <c r="T164" s="63" t="s">
        <v>791</v>
      </c>
      <c r="U164" s="64">
        <v>128000</v>
      </c>
      <c r="V164" s="64">
        <v>140800</v>
      </c>
      <c r="W164" s="64">
        <v>10500</v>
      </c>
      <c r="X164" s="64">
        <v>11550</v>
      </c>
      <c r="Y164" s="64">
        <v>117500</v>
      </c>
      <c r="Z164" s="64">
        <v>129250</v>
      </c>
      <c r="AA164" s="61">
        <v>44508</v>
      </c>
      <c r="AB164" s="61">
        <v>44509</v>
      </c>
      <c r="AD164" s="60">
        <v>0</v>
      </c>
      <c r="AG164" s="60">
        <v>0</v>
      </c>
      <c r="AJ164" s="60">
        <v>0</v>
      </c>
      <c r="AM164" s="60" t="s">
        <v>273</v>
      </c>
      <c r="AN164" s="60" t="s">
        <v>792</v>
      </c>
      <c r="AQ164" s="60" t="s">
        <v>592</v>
      </c>
      <c r="AR164" s="61">
        <v>44510</v>
      </c>
      <c r="AS164" s="60">
        <v>6001956389</v>
      </c>
      <c r="AT164" s="61">
        <v>44510</v>
      </c>
      <c r="AU164" s="60" t="s">
        <v>777</v>
      </c>
      <c r="AV164" s="61">
        <v>44511</v>
      </c>
      <c r="AW164" s="91">
        <v>44530</v>
      </c>
      <c r="AX164" s="91">
        <v>44550</v>
      </c>
      <c r="AY164" s="99">
        <v>122880</v>
      </c>
      <c r="AZ164" s="99">
        <f>ROUNDDOWN(AY164+(AY164*MASTER!$A$2/100),0)</f>
        <v>135168</v>
      </c>
      <c r="BC164" s="64">
        <v>0</v>
      </c>
      <c r="BG164" s="64">
        <v>0</v>
      </c>
      <c r="BK164" s="64">
        <v>0</v>
      </c>
      <c r="BS164" s="64">
        <v>0</v>
      </c>
      <c r="BV164" s="65">
        <v>11550</v>
      </c>
      <c r="BW164" s="65">
        <v>0</v>
      </c>
      <c r="BX164" s="65">
        <v>44501</v>
      </c>
      <c r="BY164" s="65">
        <v>11550</v>
      </c>
      <c r="BZ164" s="81">
        <v>100</v>
      </c>
    </row>
    <row r="165" spans="1:89" x14ac:dyDescent="0.15">
      <c r="A165" s="60">
        <v>2</v>
      </c>
      <c r="B165" s="61">
        <v>44511</v>
      </c>
      <c r="C165" s="61">
        <v>44511</v>
      </c>
      <c r="F165" s="61" t="s">
        <v>309</v>
      </c>
      <c r="G165" s="61">
        <v>44501</v>
      </c>
      <c r="H165" s="61" t="s">
        <v>309</v>
      </c>
      <c r="J165" s="60">
        <v>2</v>
      </c>
      <c r="L165" s="60">
        <v>0</v>
      </c>
      <c r="M165" s="61">
        <v>44501</v>
      </c>
      <c r="O165" s="62" t="s">
        <v>331</v>
      </c>
      <c r="P165" s="60" t="s">
        <v>6</v>
      </c>
      <c r="Q165" s="62" t="s">
        <v>120</v>
      </c>
      <c r="R165" s="62" t="s">
        <v>646</v>
      </c>
      <c r="S165" s="63" t="s">
        <v>647</v>
      </c>
      <c r="T165" s="63" t="s">
        <v>364</v>
      </c>
      <c r="U165" s="64">
        <v>35000</v>
      </c>
      <c r="V165" s="64">
        <v>38500</v>
      </c>
      <c r="W165" s="64">
        <v>35000</v>
      </c>
      <c r="X165" s="64">
        <v>38500</v>
      </c>
      <c r="Z165" s="64">
        <v>0</v>
      </c>
      <c r="AA165" s="61">
        <v>44495</v>
      </c>
      <c r="AB165" s="61">
        <v>44495</v>
      </c>
      <c r="AD165" s="60">
        <v>0</v>
      </c>
      <c r="AG165" s="60">
        <v>0</v>
      </c>
      <c r="AJ165" s="60">
        <v>0</v>
      </c>
      <c r="AN165" s="60" t="s">
        <v>309</v>
      </c>
      <c r="AQ165" s="60" t="s">
        <v>749</v>
      </c>
      <c r="AR165" s="61">
        <v>44509</v>
      </c>
      <c r="AS165" s="60">
        <v>6001955849</v>
      </c>
      <c r="AT165" s="61">
        <v>44510</v>
      </c>
      <c r="AU165" s="60" t="s">
        <v>775</v>
      </c>
      <c r="AV165" s="61">
        <v>44511</v>
      </c>
      <c r="AW165" s="91">
        <v>44530</v>
      </c>
      <c r="AX165" s="91">
        <v>44550</v>
      </c>
      <c r="AY165" s="99">
        <v>33600</v>
      </c>
      <c r="AZ165" s="99">
        <f>ROUNDDOWN(AY165+(AY165*MASTER!$A$2/100),0)</f>
        <v>36960</v>
      </c>
      <c r="BA165" s="60" t="s">
        <v>319</v>
      </c>
      <c r="BB165" s="64">
        <v>21000</v>
      </c>
      <c r="BC165" s="64">
        <v>23100</v>
      </c>
      <c r="BD165" s="60" t="s">
        <v>182</v>
      </c>
      <c r="BG165" s="64">
        <v>0</v>
      </c>
      <c r="BK165" s="64">
        <v>0</v>
      </c>
      <c r="BS165" s="64">
        <v>0</v>
      </c>
      <c r="BV165" s="65">
        <v>38500</v>
      </c>
      <c r="BW165" s="65">
        <v>23100</v>
      </c>
      <c r="BX165" s="65">
        <v>44501</v>
      </c>
      <c r="BY165" s="65">
        <v>15400</v>
      </c>
      <c r="BZ165" s="81">
        <v>40</v>
      </c>
    </row>
    <row r="166" spans="1:89" x14ac:dyDescent="0.15">
      <c r="A166" s="60">
        <v>1</v>
      </c>
      <c r="B166" s="61">
        <v>44508</v>
      </c>
      <c r="C166" s="61">
        <v>44525</v>
      </c>
      <c r="F166" s="61" t="s">
        <v>309</v>
      </c>
      <c r="H166" s="61" t="s">
        <v>309</v>
      </c>
      <c r="J166" s="60">
        <v>2</v>
      </c>
      <c r="L166" s="60">
        <v>0</v>
      </c>
      <c r="M166" s="61">
        <v>44501</v>
      </c>
      <c r="O166" s="62" t="s">
        <v>331</v>
      </c>
      <c r="P166" s="60" t="s">
        <v>50</v>
      </c>
      <c r="Q166" s="62" t="s">
        <v>120</v>
      </c>
      <c r="R166" s="62" t="s">
        <v>652</v>
      </c>
      <c r="S166" s="63" t="s">
        <v>326</v>
      </c>
      <c r="T166" s="63" t="s">
        <v>653</v>
      </c>
      <c r="U166" s="64">
        <v>240000</v>
      </c>
      <c r="V166" s="64">
        <v>264000</v>
      </c>
      <c r="W166" s="64">
        <v>240000</v>
      </c>
      <c r="X166" s="64">
        <v>264000</v>
      </c>
      <c r="Y166" s="64">
        <v>0</v>
      </c>
      <c r="Z166" s="64">
        <v>0</v>
      </c>
      <c r="AD166" s="60">
        <v>0</v>
      </c>
      <c r="AG166" s="60">
        <v>0</v>
      </c>
      <c r="AJ166" s="60">
        <v>0</v>
      </c>
      <c r="AQ166" s="60" t="s">
        <v>677</v>
      </c>
      <c r="AR166" s="61">
        <v>44505</v>
      </c>
      <c r="AS166" s="60">
        <v>6001954508</v>
      </c>
      <c r="AT166" s="61">
        <v>44505</v>
      </c>
      <c r="AU166" s="60" t="s">
        <v>723</v>
      </c>
      <c r="AV166" s="61">
        <v>44525</v>
      </c>
      <c r="AW166" s="91">
        <v>44530</v>
      </c>
      <c r="AX166" s="91">
        <v>44550</v>
      </c>
      <c r="AY166" s="107">
        <v>240000</v>
      </c>
      <c r="AZ166" s="107">
        <f>ROUNDDOWN(AY166+(AY166*MASTER!$A$2/100),0)</f>
        <v>264000</v>
      </c>
      <c r="BC166" s="64">
        <v>0</v>
      </c>
      <c r="BG166" s="64">
        <v>0</v>
      </c>
      <c r="BK166" s="64">
        <v>0</v>
      </c>
      <c r="BS166" s="64">
        <v>0</v>
      </c>
      <c r="BV166" s="65">
        <v>264000</v>
      </c>
      <c r="BW166" s="65">
        <v>0</v>
      </c>
      <c r="BX166" s="65">
        <v>44501</v>
      </c>
      <c r="BY166" s="65">
        <v>264000</v>
      </c>
      <c r="BZ166" s="81">
        <v>100</v>
      </c>
    </row>
    <row r="167" spans="1:89" x14ac:dyDescent="0.15">
      <c r="A167" s="60">
        <v>2</v>
      </c>
      <c r="B167" s="61">
        <v>44515</v>
      </c>
      <c r="C167" s="61">
        <v>44515</v>
      </c>
      <c r="D167" s="61">
        <v>44508</v>
      </c>
      <c r="E167" s="61">
        <v>44508</v>
      </c>
      <c r="F167" s="61" t="s">
        <v>309</v>
      </c>
      <c r="G167" s="61">
        <v>44508</v>
      </c>
      <c r="H167" s="61" t="s">
        <v>309</v>
      </c>
      <c r="I167" s="60" t="s">
        <v>494</v>
      </c>
      <c r="J167" s="60">
        <v>2</v>
      </c>
      <c r="L167" s="60">
        <v>0</v>
      </c>
      <c r="M167" s="61">
        <v>44504</v>
      </c>
      <c r="O167" s="62" t="s">
        <v>331</v>
      </c>
      <c r="P167" s="60" t="s">
        <v>6</v>
      </c>
      <c r="Q167" s="62" t="s">
        <v>120</v>
      </c>
      <c r="R167" s="62" t="s">
        <v>654</v>
      </c>
      <c r="S167" s="63" t="s">
        <v>655</v>
      </c>
      <c r="T167" s="63" t="s">
        <v>364</v>
      </c>
      <c r="U167" s="64">
        <v>35000</v>
      </c>
      <c r="V167" s="64">
        <v>38500</v>
      </c>
      <c r="W167" s="64">
        <v>35000</v>
      </c>
      <c r="X167" s="64">
        <v>38500</v>
      </c>
      <c r="Z167" s="64">
        <v>0</v>
      </c>
      <c r="AA167" s="61">
        <v>44506</v>
      </c>
      <c r="AB167" s="61">
        <v>44506</v>
      </c>
      <c r="AD167" s="60">
        <v>0</v>
      </c>
      <c r="AG167" s="60">
        <v>0</v>
      </c>
      <c r="AJ167" s="60">
        <v>0</v>
      </c>
      <c r="AN167" s="60" t="s">
        <v>309</v>
      </c>
      <c r="AQ167" s="60" t="s">
        <v>806</v>
      </c>
      <c r="AR167" s="61">
        <v>44512</v>
      </c>
      <c r="AS167" s="60">
        <v>6001957224</v>
      </c>
      <c r="AT167" s="61">
        <v>44512</v>
      </c>
      <c r="AU167" s="60" t="s">
        <v>819</v>
      </c>
      <c r="AV167" s="61">
        <v>44515</v>
      </c>
      <c r="AW167" s="91">
        <v>44530</v>
      </c>
      <c r="AX167" s="91">
        <v>44550</v>
      </c>
      <c r="AY167" s="99">
        <v>33600</v>
      </c>
      <c r="AZ167" s="99">
        <f>ROUNDDOWN(AY167+(AY167*MASTER!$A$2/100),0)</f>
        <v>36960</v>
      </c>
      <c r="BA167" s="60" t="s">
        <v>901</v>
      </c>
      <c r="BB167" s="64">
        <v>28000</v>
      </c>
      <c r="BC167" s="64">
        <v>30800</v>
      </c>
      <c r="BD167" s="60" t="s">
        <v>493</v>
      </c>
      <c r="BG167" s="64">
        <v>0</v>
      </c>
      <c r="BK167" s="64">
        <v>0</v>
      </c>
      <c r="BS167" s="64">
        <v>0</v>
      </c>
      <c r="BV167" s="65">
        <v>38500</v>
      </c>
      <c r="BW167" s="65">
        <v>30800</v>
      </c>
      <c r="BX167" s="65">
        <v>44504</v>
      </c>
      <c r="BY167" s="65">
        <v>7700</v>
      </c>
      <c r="BZ167" s="81">
        <v>20</v>
      </c>
    </row>
    <row r="168" spans="1:89" x14ac:dyDescent="0.15">
      <c r="A168" s="60">
        <v>2</v>
      </c>
      <c r="B168" s="61">
        <v>44636</v>
      </c>
      <c r="C168" s="61">
        <v>44635</v>
      </c>
      <c r="D168" s="61">
        <v>44669</v>
      </c>
      <c r="E168" s="61">
        <v>44669</v>
      </c>
      <c r="F168" s="61" t="s">
        <v>309</v>
      </c>
      <c r="G168" s="61">
        <v>44651</v>
      </c>
      <c r="H168" s="61" t="s">
        <v>309</v>
      </c>
      <c r="I168" s="60" t="s">
        <v>511</v>
      </c>
      <c r="J168" s="60">
        <v>2</v>
      </c>
      <c r="L168" s="60">
        <v>0</v>
      </c>
      <c r="M168" s="61">
        <v>44481</v>
      </c>
      <c r="O168" s="62" t="s">
        <v>331</v>
      </c>
      <c r="P168" s="60" t="s">
        <v>26</v>
      </c>
      <c r="Q168" s="62" t="s">
        <v>120</v>
      </c>
      <c r="R168" s="62" t="s">
        <v>657</v>
      </c>
      <c r="S168" s="63" t="s">
        <v>658</v>
      </c>
      <c r="T168" s="63" t="s">
        <v>656</v>
      </c>
      <c r="U168" s="64">
        <v>49500</v>
      </c>
      <c r="V168" s="64">
        <v>54450</v>
      </c>
      <c r="W168" s="64">
        <v>49500</v>
      </c>
      <c r="X168" s="64">
        <v>54450</v>
      </c>
      <c r="Z168" s="64">
        <v>0</v>
      </c>
      <c r="AA168" s="61">
        <v>44650</v>
      </c>
      <c r="AB168" s="61">
        <v>44650</v>
      </c>
      <c r="AD168" s="60">
        <v>0</v>
      </c>
      <c r="AG168" s="60">
        <v>0</v>
      </c>
      <c r="AJ168" s="60">
        <v>0</v>
      </c>
      <c r="AN168" s="60" t="s">
        <v>309</v>
      </c>
      <c r="AQ168" s="60" t="s">
        <v>2649</v>
      </c>
      <c r="AR168" s="61">
        <v>44518</v>
      </c>
      <c r="AS168" s="60">
        <v>6001959625</v>
      </c>
      <c r="AT168" s="61">
        <v>44518</v>
      </c>
      <c r="AU168" s="60" t="s">
        <v>898</v>
      </c>
      <c r="AV168" s="61">
        <v>44635</v>
      </c>
      <c r="AW168" s="91">
        <v>44651</v>
      </c>
      <c r="AX168" s="91">
        <v>44671</v>
      </c>
      <c r="AY168" s="99">
        <v>47520</v>
      </c>
      <c r="AZ168" s="99">
        <f>ROUNDDOWN(AY168+(AY168*MASTER!$A$2/100),0)</f>
        <v>52272</v>
      </c>
      <c r="BA168" s="60" t="s">
        <v>317</v>
      </c>
      <c r="BB168" s="64">
        <v>28000</v>
      </c>
      <c r="BC168" s="64">
        <v>30800</v>
      </c>
      <c r="BD168" s="60" t="s">
        <v>2107</v>
      </c>
      <c r="BG168" s="64">
        <v>0</v>
      </c>
      <c r="BK168" s="64">
        <v>0</v>
      </c>
      <c r="BS168" s="64">
        <v>0</v>
      </c>
      <c r="BV168" s="65">
        <v>54450</v>
      </c>
      <c r="BW168" s="65">
        <v>30800</v>
      </c>
      <c r="BX168" s="65">
        <v>44481</v>
      </c>
      <c r="BY168" s="65">
        <v>23650</v>
      </c>
      <c r="BZ168" s="81">
        <v>43.43434343434344</v>
      </c>
    </row>
    <row r="169" spans="1:89" x14ac:dyDescent="0.15">
      <c r="A169" s="60">
        <v>2</v>
      </c>
      <c r="B169" s="61">
        <v>44536</v>
      </c>
      <c r="C169" s="61">
        <v>44541</v>
      </c>
      <c r="D169" s="61">
        <v>44574</v>
      </c>
      <c r="E169" s="61">
        <v>44543</v>
      </c>
      <c r="F169" s="61">
        <v>44548</v>
      </c>
      <c r="G169" s="61">
        <v>44543</v>
      </c>
      <c r="H169" s="61">
        <v>44544</v>
      </c>
      <c r="I169" s="60" t="s">
        <v>511</v>
      </c>
      <c r="J169" s="60">
        <v>1</v>
      </c>
      <c r="L169" s="60">
        <v>0</v>
      </c>
      <c r="M169" s="61">
        <v>44504</v>
      </c>
      <c r="O169" s="62" t="s">
        <v>331</v>
      </c>
      <c r="P169" s="60" t="s">
        <v>26</v>
      </c>
      <c r="Q169" s="62" t="s">
        <v>120</v>
      </c>
      <c r="R169" s="62" t="s">
        <v>919</v>
      </c>
      <c r="S169" s="63" t="s">
        <v>659</v>
      </c>
      <c r="T169" s="63" t="s">
        <v>920</v>
      </c>
      <c r="U169" s="64">
        <v>510270</v>
      </c>
      <c r="V169" s="64">
        <v>561297</v>
      </c>
      <c r="W169" s="64">
        <v>411570</v>
      </c>
      <c r="X169" s="64">
        <v>452727</v>
      </c>
      <c r="Y169" s="64">
        <v>98700</v>
      </c>
      <c r="Z169" s="64">
        <v>108570</v>
      </c>
      <c r="AA169" s="61">
        <v>44537</v>
      </c>
      <c r="AB169" s="61">
        <v>44541</v>
      </c>
      <c r="AC169" s="61">
        <v>44541</v>
      </c>
      <c r="AD169" s="60">
        <v>0</v>
      </c>
      <c r="AG169" s="60">
        <v>0</v>
      </c>
      <c r="AJ169" s="60">
        <v>0</v>
      </c>
      <c r="AM169" s="60" t="s">
        <v>273</v>
      </c>
      <c r="AN169" s="60" t="s">
        <v>921</v>
      </c>
      <c r="AQ169" s="60" t="s">
        <v>909</v>
      </c>
      <c r="AR169" s="61">
        <v>44519</v>
      </c>
      <c r="AS169" s="60">
        <v>6001960270</v>
      </c>
      <c r="AT169" s="61">
        <v>44522</v>
      </c>
      <c r="AU169" s="60" t="s">
        <v>1151</v>
      </c>
      <c r="AV169" s="61">
        <v>44541</v>
      </c>
      <c r="AW169" s="91">
        <v>44561</v>
      </c>
      <c r="AX169" s="91">
        <v>44581</v>
      </c>
      <c r="AY169" s="99">
        <v>489859</v>
      </c>
      <c r="AZ169" s="99">
        <v>538845</v>
      </c>
      <c r="BA169" s="60" t="s">
        <v>613</v>
      </c>
      <c r="BB169" s="64">
        <v>190000</v>
      </c>
      <c r="BC169" s="64">
        <v>209000</v>
      </c>
      <c r="BD169" s="60" t="s">
        <v>184</v>
      </c>
      <c r="BG169" s="64">
        <v>0</v>
      </c>
      <c r="BI169" s="60" t="s">
        <v>748</v>
      </c>
      <c r="BJ169" s="64">
        <v>64155</v>
      </c>
      <c r="BK169" s="64">
        <v>70570.5</v>
      </c>
      <c r="BL169" s="60" t="s">
        <v>184</v>
      </c>
      <c r="BS169" s="64">
        <v>0</v>
      </c>
      <c r="BV169" s="65">
        <v>452727</v>
      </c>
      <c r="BW169" s="65">
        <v>279570.5</v>
      </c>
      <c r="BX169" s="65">
        <v>44504</v>
      </c>
      <c r="BY169" s="65">
        <v>173156.5</v>
      </c>
      <c r="BZ169" s="81">
        <v>38.247442719343006</v>
      </c>
    </row>
    <row r="170" spans="1:89" x14ac:dyDescent="0.15">
      <c r="A170" s="60">
        <v>2</v>
      </c>
      <c r="B170" s="61">
        <v>44586</v>
      </c>
      <c r="C170" s="61">
        <v>44592</v>
      </c>
      <c r="D170" s="61">
        <v>44624</v>
      </c>
      <c r="E170" s="61">
        <v>44618</v>
      </c>
      <c r="F170" s="61">
        <v>44600</v>
      </c>
      <c r="G170" s="61">
        <v>44592</v>
      </c>
      <c r="H170" s="61">
        <v>44596</v>
      </c>
      <c r="I170" s="60" t="s">
        <v>612</v>
      </c>
      <c r="J170" s="60">
        <v>1</v>
      </c>
      <c r="L170" s="60">
        <v>0</v>
      </c>
      <c r="M170" s="61">
        <v>44504</v>
      </c>
      <c r="O170" s="62" t="s">
        <v>331</v>
      </c>
      <c r="P170" s="60" t="s">
        <v>26</v>
      </c>
      <c r="Q170" s="62" t="s">
        <v>120</v>
      </c>
      <c r="R170" s="62" t="s">
        <v>2091</v>
      </c>
      <c r="S170" s="63" t="s">
        <v>1026</v>
      </c>
      <c r="T170" s="63" t="s">
        <v>2092</v>
      </c>
      <c r="U170" s="64">
        <v>203500</v>
      </c>
      <c r="V170" s="64">
        <v>223850</v>
      </c>
      <c r="W170" s="64">
        <v>86000</v>
      </c>
      <c r="X170" s="64">
        <v>94600</v>
      </c>
      <c r="Y170" s="64">
        <v>117500</v>
      </c>
      <c r="Z170" s="64">
        <v>129250</v>
      </c>
      <c r="AA170" s="61">
        <v>44592</v>
      </c>
      <c r="AB170" s="61">
        <v>44593</v>
      </c>
      <c r="AC170" s="61">
        <v>44593</v>
      </c>
      <c r="AD170" s="60">
        <v>0</v>
      </c>
      <c r="AG170" s="60">
        <v>0</v>
      </c>
      <c r="AJ170" s="60">
        <v>0</v>
      </c>
      <c r="AM170" s="60" t="s">
        <v>273</v>
      </c>
      <c r="AN170" s="60" t="s">
        <v>2093</v>
      </c>
      <c r="AQ170" s="60" t="s">
        <v>956</v>
      </c>
      <c r="AR170" s="61">
        <v>44526</v>
      </c>
      <c r="AS170" s="60">
        <v>6001962384</v>
      </c>
      <c r="AT170" s="61">
        <v>44529</v>
      </c>
      <c r="AU170" s="60" t="s">
        <v>995</v>
      </c>
      <c r="AV170" s="61">
        <v>44592</v>
      </c>
      <c r="AW170" s="91">
        <v>44592</v>
      </c>
      <c r="AX170" s="91">
        <v>44612</v>
      </c>
      <c r="AY170" s="99">
        <v>195360</v>
      </c>
      <c r="AZ170" s="99">
        <f>ROUNDDOWN(AY170+(AY170*MASTER!$A$2/100),0)</f>
        <v>214896</v>
      </c>
      <c r="BA170" s="60" t="s">
        <v>317</v>
      </c>
      <c r="BB170" s="64">
        <v>34000</v>
      </c>
      <c r="BC170" s="64">
        <v>37400</v>
      </c>
      <c r="BD170" s="60" t="s">
        <v>2044</v>
      </c>
      <c r="BG170" s="64">
        <v>0</v>
      </c>
      <c r="BI170" s="60" t="s">
        <v>748</v>
      </c>
      <c r="BJ170" s="64">
        <v>76375</v>
      </c>
      <c r="BK170" s="64">
        <v>84012.5</v>
      </c>
      <c r="BL170" s="60" t="s">
        <v>1614</v>
      </c>
      <c r="BS170" s="64">
        <v>0</v>
      </c>
      <c r="BV170" s="65">
        <v>94600</v>
      </c>
      <c r="BW170" s="65">
        <v>121412.5</v>
      </c>
      <c r="BX170" s="65">
        <v>44504</v>
      </c>
      <c r="BY170" s="65">
        <v>-26812.5</v>
      </c>
      <c r="BZ170" s="81">
        <v>-28.343023255813954</v>
      </c>
    </row>
    <row r="171" spans="1:89" x14ac:dyDescent="0.15">
      <c r="A171" s="60">
        <v>2</v>
      </c>
      <c r="B171" s="61">
        <v>44532</v>
      </c>
      <c r="C171" s="61">
        <v>44536</v>
      </c>
      <c r="E171" s="61">
        <v>44537</v>
      </c>
      <c r="F171" s="61">
        <v>44543</v>
      </c>
      <c r="G171" s="61">
        <v>44537</v>
      </c>
      <c r="H171" s="61">
        <v>44539</v>
      </c>
      <c r="I171" s="60" t="s">
        <v>511</v>
      </c>
      <c r="J171" s="60">
        <v>1</v>
      </c>
      <c r="L171" s="60">
        <v>0</v>
      </c>
      <c r="M171" s="61">
        <v>44504</v>
      </c>
      <c r="O171" s="62" t="s">
        <v>331</v>
      </c>
      <c r="P171" s="60" t="s">
        <v>26</v>
      </c>
      <c r="Q171" s="62" t="s">
        <v>120</v>
      </c>
      <c r="R171" s="62" t="s">
        <v>1098</v>
      </c>
      <c r="S171" s="63" t="s">
        <v>1099</v>
      </c>
      <c r="T171" s="63" t="s">
        <v>1100</v>
      </c>
      <c r="U171" s="64">
        <v>194500</v>
      </c>
      <c r="V171" s="64">
        <v>213950</v>
      </c>
      <c r="W171" s="64">
        <v>102000</v>
      </c>
      <c r="X171" s="64">
        <v>112200</v>
      </c>
      <c r="Y171" s="64">
        <v>92500</v>
      </c>
      <c r="Z171" s="64">
        <v>101750</v>
      </c>
      <c r="AA171" s="61">
        <v>44535</v>
      </c>
      <c r="AB171" s="61">
        <v>44536</v>
      </c>
      <c r="AC171" s="61">
        <v>44536</v>
      </c>
      <c r="AD171" s="60">
        <v>0</v>
      </c>
      <c r="AG171" s="60">
        <v>0</v>
      </c>
      <c r="AJ171" s="60">
        <v>0</v>
      </c>
      <c r="AM171" s="60" t="s">
        <v>273</v>
      </c>
      <c r="AN171" s="60" t="s">
        <v>1101</v>
      </c>
      <c r="AQ171" s="60" t="s">
        <v>825</v>
      </c>
      <c r="AR171" s="61">
        <v>44515</v>
      </c>
      <c r="AS171" s="60">
        <v>6001957966</v>
      </c>
      <c r="AT171" s="61">
        <v>44515</v>
      </c>
      <c r="AU171" s="60" t="s">
        <v>853</v>
      </c>
      <c r="AV171" s="61">
        <v>44536</v>
      </c>
      <c r="AW171" s="91">
        <v>44561</v>
      </c>
      <c r="AX171" s="91">
        <v>44581</v>
      </c>
      <c r="AY171" s="99">
        <v>186720</v>
      </c>
      <c r="AZ171" s="99">
        <f>ROUNDDOWN(AY171+(AY171*MASTER!$A$2/100),0)</f>
        <v>205392</v>
      </c>
      <c r="BA171" s="60" t="s">
        <v>780</v>
      </c>
      <c r="BB171" s="64">
        <v>23000</v>
      </c>
      <c r="BC171" s="64">
        <v>25300</v>
      </c>
      <c r="BD171" s="60" t="s">
        <v>184</v>
      </c>
      <c r="BG171" s="64">
        <v>0</v>
      </c>
      <c r="BI171" s="60" t="s">
        <v>267</v>
      </c>
      <c r="BJ171" s="64">
        <v>60125</v>
      </c>
      <c r="BK171" s="64">
        <v>66137.5</v>
      </c>
      <c r="BL171" s="60" t="s">
        <v>1366</v>
      </c>
      <c r="BS171" s="64">
        <v>0</v>
      </c>
      <c r="BV171" s="65">
        <v>112200</v>
      </c>
      <c r="BW171" s="65">
        <v>91437.5</v>
      </c>
      <c r="BX171" s="65">
        <v>44504</v>
      </c>
      <c r="BY171" s="65">
        <v>20762.5</v>
      </c>
      <c r="BZ171" s="81">
        <v>18.504901960784316</v>
      </c>
    </row>
    <row r="172" spans="1:89" x14ac:dyDescent="0.15">
      <c r="A172" s="60">
        <v>2</v>
      </c>
      <c r="B172" s="61">
        <v>44518</v>
      </c>
      <c r="C172" s="61">
        <v>44526</v>
      </c>
      <c r="D172" s="61">
        <v>44535</v>
      </c>
      <c r="E172" s="61">
        <v>44530</v>
      </c>
      <c r="F172" s="61">
        <v>44533</v>
      </c>
      <c r="G172" s="61">
        <v>44526</v>
      </c>
      <c r="H172" s="61">
        <v>44529</v>
      </c>
      <c r="I172" s="60" t="s">
        <v>511</v>
      </c>
      <c r="J172" s="60">
        <v>2</v>
      </c>
      <c r="L172" s="60">
        <v>0</v>
      </c>
      <c r="M172" s="61">
        <v>44504</v>
      </c>
      <c r="O172" s="62" t="s">
        <v>331</v>
      </c>
      <c r="P172" s="60" t="s">
        <v>26</v>
      </c>
      <c r="Q172" s="62" t="s">
        <v>120</v>
      </c>
      <c r="R172" s="62" t="s">
        <v>903</v>
      </c>
      <c r="S172" s="63" t="s">
        <v>880</v>
      </c>
      <c r="T172" s="63" t="s">
        <v>904</v>
      </c>
      <c r="U172" s="64">
        <v>110000</v>
      </c>
      <c r="V172" s="64">
        <v>121000</v>
      </c>
      <c r="W172" s="64">
        <v>110000</v>
      </c>
      <c r="X172" s="64">
        <v>121000</v>
      </c>
      <c r="Z172" s="64">
        <v>0</v>
      </c>
      <c r="AA172" s="61">
        <v>44525</v>
      </c>
      <c r="AB172" s="61">
        <v>44526</v>
      </c>
      <c r="AC172" s="61">
        <v>44526</v>
      </c>
      <c r="AD172" s="60">
        <v>0</v>
      </c>
      <c r="AG172" s="60">
        <v>0</v>
      </c>
      <c r="AJ172" s="60">
        <v>0</v>
      </c>
      <c r="AM172" s="60" t="s">
        <v>273</v>
      </c>
      <c r="AN172" s="60" t="s">
        <v>905</v>
      </c>
      <c r="AQ172" s="60" t="s">
        <v>751</v>
      </c>
      <c r="AR172" s="61">
        <v>44509</v>
      </c>
      <c r="AS172" s="60">
        <v>6001955849</v>
      </c>
      <c r="AT172" s="61">
        <v>44510</v>
      </c>
      <c r="AU172" s="60" t="s">
        <v>775</v>
      </c>
      <c r="AV172" s="61">
        <v>44526</v>
      </c>
      <c r="AW172" s="91">
        <v>44530</v>
      </c>
      <c r="AX172" s="91">
        <v>44550</v>
      </c>
      <c r="AY172" s="99">
        <v>105600</v>
      </c>
      <c r="AZ172" s="99">
        <f>ROUNDDOWN(AY172+(AY172*MASTER!$A$2/100),0)</f>
        <v>116160</v>
      </c>
      <c r="BA172" s="60" t="s">
        <v>613</v>
      </c>
      <c r="BB172" s="64">
        <v>36000</v>
      </c>
      <c r="BC172" s="64">
        <v>39600</v>
      </c>
      <c r="BD172" s="60" t="s">
        <v>183</v>
      </c>
      <c r="BG172" s="64">
        <v>0</v>
      </c>
      <c r="BK172" s="64">
        <v>0</v>
      </c>
      <c r="BS172" s="64">
        <v>0</v>
      </c>
      <c r="BV172" s="65">
        <v>121000</v>
      </c>
      <c r="BW172" s="65">
        <v>39600</v>
      </c>
      <c r="BX172" s="65">
        <v>44504</v>
      </c>
      <c r="BY172" s="65">
        <v>81400</v>
      </c>
      <c r="BZ172" s="81">
        <v>67.272727272727266</v>
      </c>
    </row>
    <row r="173" spans="1:89" x14ac:dyDescent="0.15">
      <c r="A173" s="60">
        <v>2</v>
      </c>
      <c r="B173" s="61">
        <v>44551</v>
      </c>
      <c r="C173" s="61">
        <v>44558</v>
      </c>
      <c r="D173" s="61">
        <v>44574</v>
      </c>
      <c r="E173" s="61">
        <v>44558</v>
      </c>
      <c r="F173" s="61">
        <v>44565</v>
      </c>
      <c r="G173" s="61">
        <v>44558</v>
      </c>
      <c r="H173" s="61">
        <v>44561</v>
      </c>
      <c r="I173" s="60" t="s">
        <v>511</v>
      </c>
      <c r="J173" s="60">
        <v>1</v>
      </c>
      <c r="L173" s="60">
        <v>0</v>
      </c>
      <c r="M173" s="61">
        <v>44504</v>
      </c>
      <c r="O173" s="62" t="s">
        <v>331</v>
      </c>
      <c r="P173" s="60" t="s">
        <v>26</v>
      </c>
      <c r="Q173" s="62" t="s">
        <v>120</v>
      </c>
      <c r="R173" s="62" t="s">
        <v>663</v>
      </c>
      <c r="S173" s="63" t="s">
        <v>664</v>
      </c>
      <c r="T173" s="63" t="s">
        <v>661</v>
      </c>
      <c r="U173" s="64">
        <v>240500</v>
      </c>
      <c r="V173" s="64">
        <v>264550</v>
      </c>
      <c r="W173" s="64">
        <v>102000</v>
      </c>
      <c r="X173" s="64">
        <v>112200</v>
      </c>
      <c r="Y173" s="64">
        <v>138500</v>
      </c>
      <c r="Z173" s="64">
        <v>152350</v>
      </c>
      <c r="AA173" s="61">
        <v>44557</v>
      </c>
      <c r="AB173" s="61">
        <v>44558</v>
      </c>
      <c r="AC173" s="61">
        <v>44558</v>
      </c>
      <c r="AD173" s="60">
        <v>0</v>
      </c>
      <c r="AG173" s="60">
        <v>0</v>
      </c>
      <c r="AJ173" s="60">
        <v>0</v>
      </c>
      <c r="AM173" s="60" t="s">
        <v>273</v>
      </c>
      <c r="AN173" s="60" t="s">
        <v>662</v>
      </c>
      <c r="AQ173" s="60" t="s">
        <v>860</v>
      </c>
      <c r="AR173" s="61">
        <v>44516</v>
      </c>
      <c r="AS173" s="60">
        <v>6001958558</v>
      </c>
      <c r="AT173" s="61">
        <v>44517</v>
      </c>
      <c r="AU173" s="60" t="s">
        <v>878</v>
      </c>
      <c r="AV173" s="61">
        <v>44558</v>
      </c>
      <c r="AW173" s="91">
        <v>44561</v>
      </c>
      <c r="AX173" s="91">
        <v>44581</v>
      </c>
      <c r="AY173" s="99">
        <v>230880</v>
      </c>
      <c r="AZ173" s="99">
        <f>ROUNDDOWN(AY173+(AY173*MASTER!$A$2/100),0)</f>
        <v>253968</v>
      </c>
      <c r="BA173" s="60" t="s">
        <v>613</v>
      </c>
      <c r="BB173" s="64">
        <v>23000</v>
      </c>
      <c r="BC173" s="64">
        <v>25300</v>
      </c>
      <c r="BD173" s="60" t="s">
        <v>184</v>
      </c>
      <c r="BG173" s="64">
        <v>0</v>
      </c>
      <c r="BI173" s="60" t="s">
        <v>748</v>
      </c>
      <c r="BJ173" s="64">
        <v>90025</v>
      </c>
      <c r="BK173" s="64">
        <v>99027.5</v>
      </c>
      <c r="BL173" s="60" t="s">
        <v>184</v>
      </c>
      <c r="BS173" s="64">
        <v>0</v>
      </c>
      <c r="BV173" s="65">
        <v>112200</v>
      </c>
      <c r="BW173" s="65">
        <v>124327.5</v>
      </c>
      <c r="BX173" s="65">
        <v>44504</v>
      </c>
      <c r="BY173" s="65">
        <v>-12127.5</v>
      </c>
      <c r="BZ173" s="81">
        <v>-10.808823529411764</v>
      </c>
    </row>
    <row r="174" spans="1:89" x14ac:dyDescent="0.15">
      <c r="A174" s="60">
        <v>2</v>
      </c>
      <c r="B174" s="61">
        <v>44508</v>
      </c>
      <c r="C174" s="61">
        <v>44509</v>
      </c>
      <c r="D174" s="61">
        <v>44510</v>
      </c>
      <c r="F174" s="61" t="s">
        <v>309</v>
      </c>
      <c r="G174" s="61">
        <v>44510</v>
      </c>
      <c r="H174" s="61" t="s">
        <v>309</v>
      </c>
      <c r="I174" s="60" t="s">
        <v>774</v>
      </c>
      <c r="J174" s="60">
        <v>1</v>
      </c>
      <c r="L174" s="60">
        <v>0</v>
      </c>
      <c r="M174" s="61">
        <v>44504</v>
      </c>
      <c r="O174" s="62" t="s">
        <v>331</v>
      </c>
      <c r="P174" s="60" t="s">
        <v>26</v>
      </c>
      <c r="Q174" s="62" t="s">
        <v>120</v>
      </c>
      <c r="R174" s="62" t="s">
        <v>754</v>
      </c>
      <c r="S174" s="63" t="s">
        <v>755</v>
      </c>
      <c r="T174" s="63" t="s">
        <v>756</v>
      </c>
      <c r="U174" s="64">
        <v>199000</v>
      </c>
      <c r="V174" s="64">
        <v>218900</v>
      </c>
      <c r="W174" s="64">
        <v>105000</v>
      </c>
      <c r="X174" s="64">
        <v>115500</v>
      </c>
      <c r="Y174" s="64">
        <v>94000</v>
      </c>
      <c r="Z174" s="64">
        <v>103400</v>
      </c>
      <c r="AA174" s="61">
        <v>44509</v>
      </c>
      <c r="AB174" s="61">
        <v>44509</v>
      </c>
      <c r="AD174" s="60">
        <v>0</v>
      </c>
      <c r="AG174" s="60">
        <v>0</v>
      </c>
      <c r="AJ174" s="60">
        <v>0</v>
      </c>
      <c r="AN174" s="60" t="s">
        <v>309</v>
      </c>
      <c r="AQ174" s="60" t="s">
        <v>680</v>
      </c>
      <c r="AR174" s="61">
        <v>44505</v>
      </c>
      <c r="AS174" s="60">
        <v>6001954510</v>
      </c>
      <c r="AT174" s="61">
        <v>44505</v>
      </c>
      <c r="AU174" s="60" t="s">
        <v>724</v>
      </c>
      <c r="AV174" s="61">
        <v>44509</v>
      </c>
      <c r="AW174" s="91">
        <v>44530</v>
      </c>
      <c r="AX174" s="91">
        <v>44550</v>
      </c>
      <c r="AY174" s="107">
        <v>199000</v>
      </c>
      <c r="AZ174" s="107">
        <f>ROUNDDOWN(AY174+(AY174*MASTER!$A$2/100),0)</f>
        <v>218900</v>
      </c>
      <c r="BC174" s="64">
        <v>0</v>
      </c>
      <c r="BG174" s="64">
        <v>0</v>
      </c>
      <c r="BI174" s="60" t="s">
        <v>267</v>
      </c>
      <c r="BJ174" s="64">
        <v>53300</v>
      </c>
      <c r="BK174" s="64">
        <v>58630</v>
      </c>
      <c r="BL174" s="60" t="s">
        <v>493</v>
      </c>
      <c r="BS174" s="64">
        <v>0</v>
      </c>
      <c r="BV174" s="65">
        <v>115500</v>
      </c>
      <c r="BW174" s="65">
        <v>58630</v>
      </c>
      <c r="BX174" s="65">
        <v>44504</v>
      </c>
      <c r="BY174" s="65">
        <v>56870</v>
      </c>
      <c r="BZ174" s="81">
        <v>49.238095238095234</v>
      </c>
    </row>
    <row r="175" spans="1:89" x14ac:dyDescent="0.15">
      <c r="A175" s="60">
        <v>1</v>
      </c>
      <c r="C175" s="61" t="s">
        <v>309</v>
      </c>
      <c r="F175" s="61" t="s">
        <v>309</v>
      </c>
      <c r="H175" s="61" t="s">
        <v>309</v>
      </c>
      <c r="J175" s="60">
        <v>4</v>
      </c>
      <c r="L175" s="60">
        <v>0</v>
      </c>
      <c r="M175" s="61">
        <v>44504</v>
      </c>
      <c r="O175" s="62" t="s">
        <v>335</v>
      </c>
      <c r="P175" s="60" t="s">
        <v>672</v>
      </c>
      <c r="Q175" s="62" t="s">
        <v>645</v>
      </c>
      <c r="R175" s="62" t="s">
        <v>670</v>
      </c>
      <c r="S175" s="63" t="s">
        <v>602</v>
      </c>
      <c r="T175" s="63" t="s">
        <v>671</v>
      </c>
      <c r="U175" s="64">
        <v>0</v>
      </c>
      <c r="V175" s="64">
        <v>0</v>
      </c>
      <c r="W175" s="64">
        <v>0</v>
      </c>
      <c r="X175" s="64">
        <v>0</v>
      </c>
      <c r="Y175" s="64">
        <v>0</v>
      </c>
      <c r="Z175" s="64">
        <v>0</v>
      </c>
      <c r="AA175" s="61">
        <v>44470</v>
      </c>
      <c r="AB175" s="61">
        <v>44500</v>
      </c>
      <c r="AD175" s="60">
        <v>0</v>
      </c>
      <c r="AG175" s="60">
        <v>0</v>
      </c>
      <c r="AJ175" s="60">
        <v>0</v>
      </c>
      <c r="AN175" s="60" t="s">
        <v>309</v>
      </c>
      <c r="AY175" s="99">
        <f>ROUNDDOWN((0.96*U175),0)</f>
        <v>0</v>
      </c>
      <c r="AZ175" s="99">
        <f>ROUNDDOWN(AY175+(AY175*MASTER!$A$2/100),0)</f>
        <v>0</v>
      </c>
      <c r="BA175" s="60" t="s">
        <v>673</v>
      </c>
      <c r="BB175" s="64">
        <v>334251</v>
      </c>
      <c r="BC175" s="64">
        <v>367676.1</v>
      </c>
      <c r="BD175" s="60" t="s">
        <v>433</v>
      </c>
      <c r="BG175" s="64">
        <v>0</v>
      </c>
      <c r="BK175" s="64">
        <v>0</v>
      </c>
      <c r="BS175" s="64">
        <v>0</v>
      </c>
      <c r="BV175" s="65">
        <v>0</v>
      </c>
      <c r="BW175" s="65">
        <v>367676.1</v>
      </c>
      <c r="BX175" s="65">
        <v>44504</v>
      </c>
      <c r="BY175" s="65">
        <v>-367676.1</v>
      </c>
      <c r="BZ175" s="81" t="s">
        <v>309</v>
      </c>
    </row>
    <row r="176" spans="1:89" x14ac:dyDescent="0.15">
      <c r="A176" s="60">
        <v>2</v>
      </c>
      <c r="C176" s="61" t="s">
        <v>309</v>
      </c>
      <c r="F176" s="61" t="s">
        <v>309</v>
      </c>
      <c r="H176" s="61" t="s">
        <v>309</v>
      </c>
      <c r="J176" s="60">
        <v>4</v>
      </c>
      <c r="L176" s="60">
        <v>0</v>
      </c>
      <c r="M176" s="61">
        <v>44504</v>
      </c>
      <c r="O176" s="62" t="s">
        <v>331</v>
      </c>
      <c r="P176" s="60" t="s">
        <v>263</v>
      </c>
      <c r="Q176" s="62" t="s">
        <v>120</v>
      </c>
      <c r="R176" s="62" t="s">
        <v>772</v>
      </c>
      <c r="S176" s="63" t="s">
        <v>354</v>
      </c>
      <c r="T176" s="63" t="s">
        <v>773</v>
      </c>
      <c r="U176" s="64">
        <v>0</v>
      </c>
      <c r="V176" s="64">
        <v>0</v>
      </c>
      <c r="W176" s="64">
        <v>0</v>
      </c>
      <c r="X176" s="64">
        <v>0</v>
      </c>
      <c r="Y176" s="64">
        <v>0</v>
      </c>
      <c r="Z176" s="64">
        <v>0</v>
      </c>
      <c r="AA176" s="61">
        <v>44470</v>
      </c>
      <c r="AB176" s="61">
        <v>44500</v>
      </c>
      <c r="AD176" s="60">
        <v>0</v>
      </c>
      <c r="AG176" s="60">
        <v>0</v>
      </c>
      <c r="AJ176" s="60">
        <v>0</v>
      </c>
      <c r="AN176" s="60" t="s">
        <v>309</v>
      </c>
      <c r="AY176" s="99">
        <v>0</v>
      </c>
      <c r="AZ176" s="99">
        <f>ROUNDDOWN(AY176+(AY176*MASTER!$A$2/100),0)</f>
        <v>0</v>
      </c>
      <c r="BA176" s="60" t="s">
        <v>14</v>
      </c>
      <c r="BB176" s="64">
        <v>444980</v>
      </c>
      <c r="BC176" s="64">
        <v>489478</v>
      </c>
      <c r="BD176" s="60" t="s">
        <v>182</v>
      </c>
      <c r="BG176" s="64">
        <v>0</v>
      </c>
      <c r="BK176" s="64">
        <v>0</v>
      </c>
      <c r="BS176" s="64">
        <v>0</v>
      </c>
      <c r="BV176" s="65">
        <v>0</v>
      </c>
      <c r="BW176" s="65">
        <v>489478</v>
      </c>
      <c r="BX176" s="65">
        <v>44504</v>
      </c>
      <c r="BY176" s="65">
        <v>-489478</v>
      </c>
      <c r="BZ176" s="81" t="s">
        <v>309</v>
      </c>
    </row>
    <row r="177" spans="1:78" x14ac:dyDescent="0.15">
      <c r="A177" s="60">
        <v>2</v>
      </c>
      <c r="B177" s="61">
        <v>44543</v>
      </c>
      <c r="C177" s="61">
        <v>44547</v>
      </c>
      <c r="D177" s="61">
        <v>44568</v>
      </c>
      <c r="E177" s="61">
        <v>44552</v>
      </c>
      <c r="F177" s="61">
        <v>44554</v>
      </c>
      <c r="G177" s="61">
        <v>44547</v>
      </c>
      <c r="H177" s="61">
        <v>44550</v>
      </c>
      <c r="I177" s="60" t="s">
        <v>511</v>
      </c>
      <c r="J177" s="60">
        <v>1</v>
      </c>
      <c r="L177" s="60">
        <v>0</v>
      </c>
      <c r="M177" s="61">
        <v>44505</v>
      </c>
      <c r="O177" s="62" t="s">
        <v>331</v>
      </c>
      <c r="P177" s="60" t="s">
        <v>26</v>
      </c>
      <c r="Q177" s="62" t="s">
        <v>120</v>
      </c>
      <c r="R177" s="62" t="s">
        <v>1268</v>
      </c>
      <c r="S177" s="63" t="s">
        <v>1009</v>
      </c>
      <c r="T177" s="63" t="s">
        <v>1269</v>
      </c>
      <c r="U177" s="64">
        <v>248885</v>
      </c>
      <c r="V177" s="64">
        <v>273773.5</v>
      </c>
      <c r="W177" s="64">
        <v>228885</v>
      </c>
      <c r="X177" s="64">
        <v>251773.5</v>
      </c>
      <c r="Y177" s="64">
        <v>20000</v>
      </c>
      <c r="Z177" s="64">
        <v>22000</v>
      </c>
      <c r="AA177" s="61">
        <v>44544</v>
      </c>
      <c r="AB177" s="61">
        <v>44547</v>
      </c>
      <c r="AC177" s="61">
        <v>44547</v>
      </c>
      <c r="AD177" s="60">
        <v>0</v>
      </c>
      <c r="AG177" s="60">
        <v>0</v>
      </c>
      <c r="AJ177" s="60">
        <v>0</v>
      </c>
      <c r="AM177" s="60" t="s">
        <v>273</v>
      </c>
      <c r="AN177" s="60" t="s">
        <v>1270</v>
      </c>
      <c r="AQ177" s="60" t="s">
        <v>1198</v>
      </c>
      <c r="AR177" s="61">
        <v>44539</v>
      </c>
      <c r="AS177" s="60">
        <v>6001967770</v>
      </c>
      <c r="AT177" s="61">
        <v>44540</v>
      </c>
      <c r="AU177" s="60" t="s">
        <v>1216</v>
      </c>
      <c r="AV177" s="61">
        <v>44547</v>
      </c>
      <c r="AW177" s="91">
        <v>44561</v>
      </c>
      <c r="AX177" s="91">
        <v>44581</v>
      </c>
      <c r="AY177" s="99">
        <v>238930</v>
      </c>
      <c r="AZ177" s="99">
        <f>ROUNDDOWN(AY177+(AY177*MASTER!$A$2/100),0)</f>
        <v>262823</v>
      </c>
      <c r="BA177" s="60" t="s">
        <v>319</v>
      </c>
      <c r="BB177" s="64">
        <v>123200</v>
      </c>
      <c r="BC177" s="64">
        <v>135520</v>
      </c>
      <c r="BD177" s="60" t="s">
        <v>184</v>
      </c>
      <c r="BG177" s="64">
        <v>0</v>
      </c>
      <c r="BK177" s="64">
        <v>0</v>
      </c>
      <c r="BS177" s="64">
        <v>0</v>
      </c>
      <c r="BV177" s="65">
        <v>251773.5</v>
      </c>
      <c r="BW177" s="65">
        <v>135520</v>
      </c>
      <c r="BX177" s="65">
        <v>44505</v>
      </c>
      <c r="BY177" s="65">
        <v>116253.5</v>
      </c>
      <c r="BZ177" s="81">
        <v>46.173842759464364</v>
      </c>
    </row>
    <row r="178" spans="1:78" x14ac:dyDescent="0.15">
      <c r="A178" s="60">
        <v>2</v>
      </c>
      <c r="B178" s="61">
        <v>44546</v>
      </c>
      <c r="C178" s="61">
        <v>44550</v>
      </c>
      <c r="D178" s="61">
        <v>44574</v>
      </c>
      <c r="E178" s="61">
        <v>44552</v>
      </c>
      <c r="F178" s="61">
        <v>44557</v>
      </c>
      <c r="G178" s="61">
        <v>44551</v>
      </c>
      <c r="H178" s="61">
        <v>44553</v>
      </c>
      <c r="I178" s="60" t="s">
        <v>612</v>
      </c>
      <c r="J178" s="60">
        <v>1</v>
      </c>
      <c r="L178" s="60">
        <v>0</v>
      </c>
      <c r="M178" s="61">
        <v>44505</v>
      </c>
      <c r="O178" s="62" t="s">
        <v>331</v>
      </c>
      <c r="P178" s="60" t="s">
        <v>26</v>
      </c>
      <c r="Q178" s="62" t="s">
        <v>120</v>
      </c>
      <c r="R178" s="62" t="s">
        <v>1314</v>
      </c>
      <c r="S178" s="63" t="s">
        <v>1315</v>
      </c>
      <c r="T178" s="63" t="s">
        <v>1316</v>
      </c>
      <c r="U178" s="64">
        <v>50000</v>
      </c>
      <c r="V178" s="64">
        <v>55000</v>
      </c>
      <c r="W178" s="64">
        <v>47000</v>
      </c>
      <c r="X178" s="64">
        <v>51700</v>
      </c>
      <c r="Y178" s="64">
        <v>3000</v>
      </c>
      <c r="Z178" s="64">
        <v>3300</v>
      </c>
      <c r="AA178" s="61">
        <v>44549</v>
      </c>
      <c r="AB178" s="61">
        <v>44550</v>
      </c>
      <c r="AC178" s="61">
        <v>44550</v>
      </c>
      <c r="AD178" s="60">
        <v>0</v>
      </c>
      <c r="AG178" s="60">
        <v>0</v>
      </c>
      <c r="AJ178" s="60">
        <v>0</v>
      </c>
      <c r="AM178" s="60" t="s">
        <v>273</v>
      </c>
      <c r="AN178" s="60" t="s">
        <v>1317</v>
      </c>
      <c r="AQ178" s="60" t="s">
        <v>935</v>
      </c>
      <c r="AR178" s="61">
        <v>44525</v>
      </c>
      <c r="AS178" s="60">
        <v>6001962042</v>
      </c>
      <c r="AT178" s="61">
        <v>44525</v>
      </c>
      <c r="AU178" s="60" t="s">
        <v>941</v>
      </c>
      <c r="AV178" s="61">
        <v>44550</v>
      </c>
      <c r="AW178" s="91">
        <v>44561</v>
      </c>
      <c r="AX178" s="91">
        <v>44581</v>
      </c>
      <c r="AY178" s="99">
        <v>48000</v>
      </c>
      <c r="AZ178" s="99">
        <f>ROUNDDOWN(AY178+(AY178*MASTER!$A$2/100),0)</f>
        <v>52800</v>
      </c>
      <c r="BA178" s="60" t="s">
        <v>314</v>
      </c>
      <c r="BB178" s="64">
        <v>25000</v>
      </c>
      <c r="BC178" s="64">
        <v>27500</v>
      </c>
      <c r="BD178" s="60" t="s">
        <v>184</v>
      </c>
      <c r="BG178" s="64">
        <v>0</v>
      </c>
      <c r="BI178" s="60" t="s">
        <v>748</v>
      </c>
      <c r="BJ178" s="64">
        <v>1950</v>
      </c>
      <c r="BK178" s="64">
        <v>2145</v>
      </c>
      <c r="BL178" s="60" t="s">
        <v>184</v>
      </c>
      <c r="BS178" s="64">
        <v>0</v>
      </c>
      <c r="BV178" s="65">
        <v>51700</v>
      </c>
      <c r="BW178" s="65">
        <v>29645</v>
      </c>
      <c r="BX178" s="65">
        <v>44505</v>
      </c>
      <c r="BY178" s="65">
        <v>22055</v>
      </c>
      <c r="BZ178" s="81">
        <v>42.659574468085104</v>
      </c>
    </row>
    <row r="179" spans="1:78" x14ac:dyDescent="0.15">
      <c r="A179" s="60">
        <v>2</v>
      </c>
      <c r="B179" s="61">
        <v>44551</v>
      </c>
      <c r="C179" s="61">
        <v>44557</v>
      </c>
      <c r="D179" s="61" t="s">
        <v>764</v>
      </c>
      <c r="E179" s="61">
        <v>44558</v>
      </c>
      <c r="F179" s="61">
        <v>44564</v>
      </c>
      <c r="G179" s="61">
        <v>44558</v>
      </c>
      <c r="H179" s="61">
        <v>44560</v>
      </c>
      <c r="I179" s="60" t="s">
        <v>511</v>
      </c>
      <c r="J179" s="60">
        <v>1</v>
      </c>
      <c r="L179" s="60">
        <v>0</v>
      </c>
      <c r="M179" s="61">
        <v>44505</v>
      </c>
      <c r="O179" s="62" t="s">
        <v>331</v>
      </c>
      <c r="P179" s="60" t="s">
        <v>26</v>
      </c>
      <c r="Q179" s="62" t="s">
        <v>120</v>
      </c>
      <c r="R179" s="62" t="s">
        <v>1376</v>
      </c>
      <c r="S179" s="63" t="s">
        <v>1233</v>
      </c>
      <c r="T179" s="63" t="s">
        <v>1377</v>
      </c>
      <c r="U179" s="64">
        <v>23900</v>
      </c>
      <c r="V179" s="64">
        <v>26290</v>
      </c>
      <c r="W179" s="64">
        <v>14700</v>
      </c>
      <c r="X179" s="64">
        <v>16170</v>
      </c>
      <c r="Y179" s="64">
        <v>9200</v>
      </c>
      <c r="Z179" s="64">
        <v>10120</v>
      </c>
      <c r="AA179" s="61">
        <v>44556</v>
      </c>
      <c r="AB179" s="61">
        <v>44557</v>
      </c>
      <c r="AC179" s="61">
        <v>44557</v>
      </c>
      <c r="AD179" s="60">
        <v>0</v>
      </c>
      <c r="AG179" s="60">
        <v>0</v>
      </c>
      <c r="AJ179" s="60">
        <v>0</v>
      </c>
      <c r="AM179" s="60" t="s">
        <v>273</v>
      </c>
      <c r="AN179" s="60" t="s">
        <v>1378</v>
      </c>
      <c r="AQ179" s="60" t="s">
        <v>886</v>
      </c>
      <c r="AR179" s="61">
        <v>44518</v>
      </c>
      <c r="AS179" s="60">
        <v>6001959625</v>
      </c>
      <c r="AT179" s="61">
        <v>44518</v>
      </c>
      <c r="AU179" s="60" t="s">
        <v>898</v>
      </c>
      <c r="AV179" s="61">
        <v>44557</v>
      </c>
      <c r="AW179" s="91">
        <v>44561</v>
      </c>
      <c r="AX179" s="91">
        <v>44581</v>
      </c>
      <c r="AY179" s="99">
        <v>22944</v>
      </c>
      <c r="AZ179" s="99">
        <f>ROUNDDOWN(AY179+(AY179*MASTER!$A$2/100),0)</f>
        <v>25238</v>
      </c>
      <c r="BA179" s="60" t="s">
        <v>765</v>
      </c>
      <c r="BC179" s="64">
        <v>0</v>
      </c>
      <c r="BG179" s="64">
        <v>0</v>
      </c>
      <c r="BI179" s="60" t="s">
        <v>267</v>
      </c>
      <c r="BJ179" s="64">
        <v>5980</v>
      </c>
      <c r="BK179" s="64">
        <v>6578</v>
      </c>
      <c r="BL179" s="60" t="s">
        <v>1366</v>
      </c>
      <c r="BS179" s="64">
        <v>0</v>
      </c>
      <c r="BV179" s="65">
        <v>16170</v>
      </c>
      <c r="BW179" s="65">
        <v>6578</v>
      </c>
      <c r="BX179" s="65">
        <v>44505</v>
      </c>
      <c r="BY179" s="65">
        <v>9592</v>
      </c>
      <c r="BZ179" s="81">
        <v>59.319727891156461</v>
      </c>
    </row>
    <row r="180" spans="1:78" x14ac:dyDescent="0.15">
      <c r="A180" s="60">
        <v>2</v>
      </c>
      <c r="B180" s="61">
        <v>44537</v>
      </c>
      <c r="C180" s="61">
        <v>44554</v>
      </c>
      <c r="D180" s="61">
        <v>44574</v>
      </c>
      <c r="E180" s="61">
        <v>44552</v>
      </c>
      <c r="F180" s="61">
        <v>44552</v>
      </c>
      <c r="G180" s="61">
        <v>44545</v>
      </c>
      <c r="H180" s="61">
        <v>44548</v>
      </c>
      <c r="I180" s="60" t="s">
        <v>612</v>
      </c>
      <c r="J180" s="60">
        <v>1</v>
      </c>
      <c r="L180" s="60">
        <v>0</v>
      </c>
      <c r="M180" s="61">
        <v>44505</v>
      </c>
      <c r="O180" s="62" t="s">
        <v>331</v>
      </c>
      <c r="P180" s="60" t="s">
        <v>26</v>
      </c>
      <c r="Q180" s="62" t="s">
        <v>120</v>
      </c>
      <c r="R180" s="62" t="s">
        <v>1152</v>
      </c>
      <c r="S180" s="63" t="s">
        <v>828</v>
      </c>
      <c r="T180" s="63" t="s">
        <v>340</v>
      </c>
      <c r="U180" s="64">
        <v>84000</v>
      </c>
      <c r="V180" s="64">
        <v>92400</v>
      </c>
      <c r="W180" s="64">
        <v>68000</v>
      </c>
      <c r="X180" s="64">
        <v>74800</v>
      </c>
      <c r="Y180" s="64">
        <v>16000</v>
      </c>
      <c r="Z180" s="64">
        <v>17600</v>
      </c>
      <c r="AA180" s="61">
        <v>44544</v>
      </c>
      <c r="AB180" s="61">
        <v>44545</v>
      </c>
      <c r="AC180" s="61">
        <v>44545</v>
      </c>
      <c r="AD180" s="60">
        <v>0</v>
      </c>
      <c r="AG180" s="60">
        <v>0</v>
      </c>
      <c r="AJ180" s="60">
        <v>0</v>
      </c>
      <c r="AQ180" s="60" t="s">
        <v>753</v>
      </c>
      <c r="AR180" s="61">
        <v>44512</v>
      </c>
      <c r="AS180" s="60">
        <v>6001957224</v>
      </c>
      <c r="AT180" s="61">
        <v>44512</v>
      </c>
      <c r="AU180" s="60" t="s">
        <v>819</v>
      </c>
      <c r="AV180" s="61">
        <v>44554</v>
      </c>
      <c r="AW180" s="91">
        <v>44561</v>
      </c>
      <c r="AX180" s="91">
        <v>44581</v>
      </c>
      <c r="AY180" s="99">
        <v>80640</v>
      </c>
      <c r="AZ180" s="99">
        <f>ROUNDDOWN(AY180+(AY180*MASTER!$A$2/100),0)</f>
        <v>88704</v>
      </c>
      <c r="BA180" s="60" t="s">
        <v>314</v>
      </c>
      <c r="BB180" s="64">
        <v>23000</v>
      </c>
      <c r="BC180" s="64">
        <v>25300</v>
      </c>
      <c r="BD180" s="60" t="s">
        <v>184</v>
      </c>
      <c r="BG180" s="64">
        <v>0</v>
      </c>
      <c r="BI180" s="60" t="s">
        <v>748</v>
      </c>
      <c r="BJ180" s="64">
        <v>10400</v>
      </c>
      <c r="BK180" s="64">
        <v>11440</v>
      </c>
      <c r="BL180" s="60" t="s">
        <v>184</v>
      </c>
      <c r="BS180" s="64">
        <v>0</v>
      </c>
      <c r="BV180" s="65">
        <v>74800</v>
      </c>
      <c r="BW180" s="65">
        <v>36740</v>
      </c>
      <c r="BX180" s="65">
        <v>44505</v>
      </c>
      <c r="BY180" s="65">
        <v>38060</v>
      </c>
      <c r="BZ180" s="81">
        <v>50.882352941176464</v>
      </c>
    </row>
    <row r="181" spans="1:78" x14ac:dyDescent="0.15">
      <c r="A181" s="60">
        <v>2</v>
      </c>
      <c r="B181" s="61">
        <v>44530</v>
      </c>
      <c r="C181" s="61">
        <v>44554</v>
      </c>
      <c r="D181" s="61">
        <v>44574</v>
      </c>
      <c r="E181" s="61">
        <v>44558</v>
      </c>
      <c r="F181" s="61">
        <v>44564</v>
      </c>
      <c r="G181" s="61">
        <v>44557</v>
      </c>
      <c r="H181" s="61">
        <v>44560</v>
      </c>
      <c r="I181" s="60" t="s">
        <v>511</v>
      </c>
      <c r="J181" s="60">
        <v>1</v>
      </c>
      <c r="L181" s="60">
        <v>0</v>
      </c>
      <c r="M181" s="61">
        <v>44505</v>
      </c>
      <c r="O181" s="62" t="s">
        <v>331</v>
      </c>
      <c r="P181" s="60" t="s">
        <v>26</v>
      </c>
      <c r="Q181" s="62" t="s">
        <v>120</v>
      </c>
      <c r="R181" s="62" t="s">
        <v>1037</v>
      </c>
      <c r="S181" s="63" t="s">
        <v>725</v>
      </c>
      <c r="T181" s="63" t="s">
        <v>340</v>
      </c>
      <c r="U181" s="64">
        <v>84000</v>
      </c>
      <c r="V181" s="64">
        <v>92400</v>
      </c>
      <c r="W181" s="64">
        <v>68000</v>
      </c>
      <c r="X181" s="64">
        <v>74800</v>
      </c>
      <c r="Y181" s="64">
        <v>16000</v>
      </c>
      <c r="Z181" s="64">
        <v>17600</v>
      </c>
      <c r="AA181" s="61">
        <v>44556</v>
      </c>
      <c r="AB181" s="61">
        <v>44557</v>
      </c>
      <c r="AC181" s="61">
        <v>44557</v>
      </c>
      <c r="AD181" s="60">
        <v>0</v>
      </c>
      <c r="AG181" s="60">
        <v>0</v>
      </c>
      <c r="AJ181" s="60">
        <v>0</v>
      </c>
      <c r="AQ181" s="60" t="s">
        <v>753</v>
      </c>
      <c r="AR181" s="61">
        <v>44510</v>
      </c>
      <c r="AS181" s="60">
        <v>6001956388</v>
      </c>
      <c r="AT181" s="61">
        <v>44510</v>
      </c>
      <c r="AU181" s="60" t="s">
        <v>776</v>
      </c>
      <c r="AV181" s="61">
        <v>44554</v>
      </c>
      <c r="AW181" s="91">
        <v>44561</v>
      </c>
      <c r="AX181" s="91">
        <v>44581</v>
      </c>
      <c r="AY181" s="99">
        <v>80640</v>
      </c>
      <c r="AZ181" s="99">
        <f>ROUNDDOWN(AY181+(AY181*MASTER!$A$2/100),0)</f>
        <v>88704</v>
      </c>
      <c r="BA181" s="60" t="s">
        <v>613</v>
      </c>
      <c r="BB181" s="64">
        <v>31000</v>
      </c>
      <c r="BC181" s="64">
        <v>34100</v>
      </c>
      <c r="BD181" s="60" t="s">
        <v>184</v>
      </c>
      <c r="BG181" s="64">
        <v>0</v>
      </c>
      <c r="BK181" s="64">
        <v>0</v>
      </c>
      <c r="BS181" s="64">
        <v>0</v>
      </c>
      <c r="BV181" s="65">
        <v>74800</v>
      </c>
      <c r="BW181" s="65">
        <v>34100</v>
      </c>
      <c r="BX181" s="65">
        <v>44505</v>
      </c>
      <c r="BY181" s="65">
        <v>40700</v>
      </c>
      <c r="BZ181" s="81">
        <v>54.411764705882348</v>
      </c>
    </row>
    <row r="182" spans="1:78" x14ac:dyDescent="0.15">
      <c r="A182" s="60">
        <v>2</v>
      </c>
      <c r="B182" s="61">
        <v>44530</v>
      </c>
      <c r="C182" s="61">
        <v>44554</v>
      </c>
      <c r="D182" s="61">
        <v>44574</v>
      </c>
      <c r="E182" s="61">
        <v>44540</v>
      </c>
      <c r="F182" s="61">
        <v>44544</v>
      </c>
      <c r="G182" s="61">
        <v>44538</v>
      </c>
      <c r="H182" s="61">
        <v>44540</v>
      </c>
      <c r="I182" s="60" t="s">
        <v>511</v>
      </c>
      <c r="J182" s="60">
        <v>1</v>
      </c>
      <c r="L182" s="60">
        <v>0</v>
      </c>
      <c r="M182" s="61">
        <v>44505</v>
      </c>
      <c r="O182" s="62" t="s">
        <v>331</v>
      </c>
      <c r="P182" s="60" t="s">
        <v>26</v>
      </c>
      <c r="Q182" s="62" t="s">
        <v>120</v>
      </c>
      <c r="R182" s="62" t="s">
        <v>1035</v>
      </c>
      <c r="S182" s="63" t="s">
        <v>1036</v>
      </c>
      <c r="T182" s="63" t="s">
        <v>340</v>
      </c>
      <c r="U182" s="64">
        <v>84000</v>
      </c>
      <c r="V182" s="64">
        <v>92400</v>
      </c>
      <c r="W182" s="64">
        <v>68000</v>
      </c>
      <c r="X182" s="64">
        <v>74800</v>
      </c>
      <c r="Y182" s="64">
        <v>16000</v>
      </c>
      <c r="Z182" s="64">
        <v>17600</v>
      </c>
      <c r="AA182" s="61">
        <v>44536</v>
      </c>
      <c r="AB182" s="61">
        <v>44537</v>
      </c>
      <c r="AC182" s="61">
        <v>44537</v>
      </c>
      <c r="AD182" s="60">
        <v>0</v>
      </c>
      <c r="AG182" s="60">
        <v>0</v>
      </c>
      <c r="AJ182" s="60">
        <v>0</v>
      </c>
      <c r="AQ182" s="60" t="s">
        <v>753</v>
      </c>
      <c r="AR182" s="61">
        <v>44509</v>
      </c>
      <c r="AS182" s="60">
        <v>6001955849</v>
      </c>
      <c r="AT182" s="61">
        <v>44510</v>
      </c>
      <c r="AU182" s="60" t="s">
        <v>775</v>
      </c>
      <c r="AV182" s="61">
        <v>44554</v>
      </c>
      <c r="AW182" s="91">
        <v>44561</v>
      </c>
      <c r="AX182" s="91">
        <v>44581</v>
      </c>
      <c r="AY182" s="99">
        <v>80640</v>
      </c>
      <c r="AZ182" s="99">
        <f>ROUNDDOWN(AY182+(AY182*MASTER!$A$2/100),0)</f>
        <v>88704</v>
      </c>
      <c r="BA182" s="60" t="s">
        <v>314</v>
      </c>
      <c r="BB182" s="64">
        <v>32000</v>
      </c>
      <c r="BC182" s="64">
        <v>35200</v>
      </c>
      <c r="BD182" s="60" t="s">
        <v>184</v>
      </c>
      <c r="BG182" s="64">
        <v>0</v>
      </c>
      <c r="BK182" s="64">
        <v>0</v>
      </c>
      <c r="BS182" s="64">
        <v>0</v>
      </c>
      <c r="BV182" s="65">
        <v>74800</v>
      </c>
      <c r="BW182" s="65">
        <v>35200</v>
      </c>
      <c r="BX182" s="65">
        <v>44505</v>
      </c>
      <c r="BY182" s="65">
        <v>39600</v>
      </c>
      <c r="BZ182" s="81">
        <v>52.941176470588239</v>
      </c>
    </row>
    <row r="183" spans="1:78" x14ac:dyDescent="0.15">
      <c r="A183" s="60">
        <v>2</v>
      </c>
      <c r="B183" s="61">
        <v>44530</v>
      </c>
      <c r="C183" s="61">
        <v>44554</v>
      </c>
      <c r="D183" s="61">
        <v>44564</v>
      </c>
      <c r="E183" s="61">
        <v>44544</v>
      </c>
      <c r="F183" s="61">
        <v>44541</v>
      </c>
      <c r="G183" s="61">
        <v>44536</v>
      </c>
      <c r="H183" s="61">
        <v>44537</v>
      </c>
      <c r="I183" s="60" t="s">
        <v>612</v>
      </c>
      <c r="J183" s="60">
        <v>1</v>
      </c>
      <c r="L183" s="60">
        <v>0</v>
      </c>
      <c r="M183" s="61">
        <v>44505</v>
      </c>
      <c r="O183" s="62" t="s">
        <v>331</v>
      </c>
      <c r="P183" s="60" t="s">
        <v>26</v>
      </c>
      <c r="Q183" s="62" t="s">
        <v>120</v>
      </c>
      <c r="R183" s="62" t="s">
        <v>977</v>
      </c>
      <c r="S183" s="63" t="s">
        <v>978</v>
      </c>
      <c r="T183" s="63" t="s">
        <v>340</v>
      </c>
      <c r="U183" s="64">
        <v>84000</v>
      </c>
      <c r="V183" s="64">
        <v>92400</v>
      </c>
      <c r="W183" s="64">
        <v>68000</v>
      </c>
      <c r="X183" s="64">
        <v>74800</v>
      </c>
      <c r="Y183" s="64">
        <v>16000</v>
      </c>
      <c r="Z183" s="64">
        <v>17600</v>
      </c>
      <c r="AA183" s="61">
        <v>44533</v>
      </c>
      <c r="AB183" s="61">
        <v>44534</v>
      </c>
      <c r="AC183" s="61">
        <v>44534</v>
      </c>
      <c r="AD183" s="60">
        <v>0</v>
      </c>
      <c r="AG183" s="60">
        <v>0</v>
      </c>
      <c r="AJ183" s="60">
        <v>0</v>
      </c>
      <c r="AQ183" s="60" t="s">
        <v>752</v>
      </c>
      <c r="AR183" s="61">
        <v>44510</v>
      </c>
      <c r="AS183" s="60">
        <v>6001956388</v>
      </c>
      <c r="AT183" s="61">
        <v>44510</v>
      </c>
      <c r="AU183" s="60" t="s">
        <v>776</v>
      </c>
      <c r="AV183" s="61">
        <v>44554</v>
      </c>
      <c r="AW183" s="91">
        <v>44561</v>
      </c>
      <c r="AX183" s="91">
        <v>44581</v>
      </c>
      <c r="AY183" s="99">
        <v>80640</v>
      </c>
      <c r="AZ183" s="99">
        <f>ROUNDDOWN(AY183+(AY183*MASTER!$A$2/100),0)</f>
        <v>88704</v>
      </c>
      <c r="BA183" s="60" t="s">
        <v>317</v>
      </c>
      <c r="BB183" s="64">
        <v>21000</v>
      </c>
      <c r="BC183" s="64">
        <v>23100</v>
      </c>
      <c r="BD183" s="60" t="s">
        <v>184</v>
      </c>
      <c r="BG183" s="64">
        <v>0</v>
      </c>
      <c r="BK183" s="64">
        <v>0</v>
      </c>
      <c r="BS183" s="64">
        <v>0</v>
      </c>
      <c r="BV183" s="65">
        <v>74800</v>
      </c>
      <c r="BW183" s="65">
        <v>23100</v>
      </c>
      <c r="BX183" s="65">
        <v>44505</v>
      </c>
      <c r="BY183" s="65">
        <v>51700</v>
      </c>
      <c r="BZ183" s="81">
        <v>69.117647058823522</v>
      </c>
    </row>
    <row r="184" spans="1:78" x14ac:dyDescent="0.15">
      <c r="A184" s="60">
        <v>2</v>
      </c>
      <c r="B184" s="61">
        <v>44530</v>
      </c>
      <c r="C184" s="61">
        <v>44554</v>
      </c>
      <c r="D184" s="61">
        <v>44564</v>
      </c>
      <c r="E184" s="61">
        <v>44537</v>
      </c>
      <c r="F184" s="61">
        <v>44540</v>
      </c>
      <c r="G184" s="61">
        <v>44532</v>
      </c>
      <c r="H184" s="61">
        <v>44536</v>
      </c>
      <c r="I184" s="60" t="s">
        <v>612</v>
      </c>
      <c r="J184" s="60">
        <v>1</v>
      </c>
      <c r="L184" s="60">
        <v>0</v>
      </c>
      <c r="M184" s="61">
        <v>44505</v>
      </c>
      <c r="O184" s="62" t="s">
        <v>331</v>
      </c>
      <c r="P184" s="60" t="s">
        <v>26</v>
      </c>
      <c r="Q184" s="62" t="s">
        <v>120</v>
      </c>
      <c r="R184" s="62" t="s">
        <v>981</v>
      </c>
      <c r="S184" s="63" t="s">
        <v>982</v>
      </c>
      <c r="T184" s="63" t="s">
        <v>340</v>
      </c>
      <c r="U184" s="64">
        <v>84000</v>
      </c>
      <c r="V184" s="64">
        <v>92400</v>
      </c>
      <c r="W184" s="64">
        <v>68000</v>
      </c>
      <c r="X184" s="64">
        <v>74800</v>
      </c>
      <c r="Y184" s="64">
        <v>16000</v>
      </c>
      <c r="Z184" s="64">
        <v>17600</v>
      </c>
      <c r="AA184" s="61">
        <v>44532</v>
      </c>
      <c r="AB184" s="61">
        <v>44533</v>
      </c>
      <c r="AC184" s="61">
        <v>44533</v>
      </c>
      <c r="AD184" s="60">
        <v>0</v>
      </c>
      <c r="AG184" s="60">
        <v>0</v>
      </c>
      <c r="AJ184" s="60">
        <v>0</v>
      </c>
      <c r="AQ184" s="60" t="s">
        <v>752</v>
      </c>
      <c r="AR184" s="61">
        <v>44510</v>
      </c>
      <c r="AS184" s="60">
        <v>6001956388</v>
      </c>
      <c r="AT184" s="61">
        <v>44510</v>
      </c>
      <c r="AU184" s="60" t="s">
        <v>776</v>
      </c>
      <c r="AV184" s="61">
        <v>44554</v>
      </c>
      <c r="AW184" s="91">
        <v>44561</v>
      </c>
      <c r="AX184" s="91">
        <v>44581</v>
      </c>
      <c r="AY184" s="99">
        <v>80640</v>
      </c>
      <c r="AZ184" s="99">
        <f>ROUNDDOWN(AY184+(AY184*MASTER!$A$2/100),0)</f>
        <v>88704</v>
      </c>
      <c r="BA184" s="60" t="s">
        <v>317</v>
      </c>
      <c r="BB184" s="64">
        <v>21000</v>
      </c>
      <c r="BC184" s="64">
        <v>23100</v>
      </c>
      <c r="BD184" s="60" t="s">
        <v>184</v>
      </c>
      <c r="BG184" s="64">
        <v>0</v>
      </c>
      <c r="BK184" s="64">
        <v>0</v>
      </c>
      <c r="BS184" s="64">
        <v>0</v>
      </c>
      <c r="BV184" s="65">
        <v>74800</v>
      </c>
      <c r="BW184" s="65">
        <v>23100</v>
      </c>
      <c r="BX184" s="65">
        <v>44505</v>
      </c>
      <c r="BY184" s="65">
        <v>51700</v>
      </c>
      <c r="BZ184" s="81">
        <v>69.117647058823522</v>
      </c>
    </row>
    <row r="185" spans="1:78" x14ac:dyDescent="0.15">
      <c r="A185" s="60">
        <v>2</v>
      </c>
      <c r="B185" s="61">
        <v>44530</v>
      </c>
      <c r="C185" s="61">
        <v>44554</v>
      </c>
      <c r="D185" s="61">
        <v>44564</v>
      </c>
      <c r="E185" s="61">
        <v>44550</v>
      </c>
      <c r="F185" s="61">
        <v>44548</v>
      </c>
      <c r="G185" s="61">
        <v>44540</v>
      </c>
      <c r="H185" s="61">
        <v>44544</v>
      </c>
      <c r="I185" s="60" t="s">
        <v>612</v>
      </c>
      <c r="J185" s="60">
        <v>1</v>
      </c>
      <c r="L185" s="60">
        <v>0</v>
      </c>
      <c r="M185" s="61">
        <v>44505</v>
      </c>
      <c r="O185" s="62" t="s">
        <v>331</v>
      </c>
      <c r="P185" s="60" t="s">
        <v>26</v>
      </c>
      <c r="Q185" s="62" t="s">
        <v>120</v>
      </c>
      <c r="R185" s="62" t="s">
        <v>1030</v>
      </c>
      <c r="S185" s="63" t="s">
        <v>1031</v>
      </c>
      <c r="T185" s="63" t="s">
        <v>340</v>
      </c>
      <c r="U185" s="64">
        <v>84000</v>
      </c>
      <c r="V185" s="64">
        <v>92400</v>
      </c>
      <c r="W185" s="64">
        <v>68000</v>
      </c>
      <c r="X185" s="64">
        <v>74800</v>
      </c>
      <c r="Y185" s="64">
        <v>16000</v>
      </c>
      <c r="Z185" s="64">
        <v>17600</v>
      </c>
      <c r="AA185" s="61">
        <v>44540</v>
      </c>
      <c r="AB185" s="61">
        <v>44541</v>
      </c>
      <c r="AC185" s="61">
        <v>44541</v>
      </c>
      <c r="AD185" s="60">
        <v>0</v>
      </c>
      <c r="AG185" s="60">
        <v>0</v>
      </c>
      <c r="AJ185" s="60">
        <v>0</v>
      </c>
      <c r="AQ185" s="60" t="s">
        <v>752</v>
      </c>
      <c r="AR185" s="61">
        <v>44510</v>
      </c>
      <c r="AS185" s="60">
        <v>6001956388</v>
      </c>
      <c r="AT185" s="61">
        <v>44510</v>
      </c>
      <c r="AU185" s="60" t="s">
        <v>776</v>
      </c>
      <c r="AV185" s="61">
        <v>44554</v>
      </c>
      <c r="AW185" s="91">
        <v>44561</v>
      </c>
      <c r="AX185" s="91">
        <v>44581</v>
      </c>
      <c r="AY185" s="99">
        <v>80640</v>
      </c>
      <c r="AZ185" s="99">
        <f>ROUNDDOWN(AY185+(AY185*MASTER!$A$2/100),0)</f>
        <v>88704</v>
      </c>
      <c r="BA185" s="60" t="s">
        <v>317</v>
      </c>
      <c r="BB185" s="64">
        <v>26000</v>
      </c>
      <c r="BC185" s="64">
        <v>28600</v>
      </c>
      <c r="BD185" s="60" t="s">
        <v>184</v>
      </c>
      <c r="BG185" s="64">
        <v>0</v>
      </c>
      <c r="BK185" s="64">
        <v>0</v>
      </c>
      <c r="BS185" s="64">
        <v>0</v>
      </c>
      <c r="BV185" s="65">
        <v>74800</v>
      </c>
      <c r="BW185" s="65">
        <v>28600</v>
      </c>
      <c r="BX185" s="65">
        <v>44505</v>
      </c>
      <c r="BY185" s="65">
        <v>46200</v>
      </c>
      <c r="BZ185" s="81">
        <v>61.764705882352942</v>
      </c>
    </row>
    <row r="186" spans="1:78" x14ac:dyDescent="0.15">
      <c r="A186" s="60">
        <v>2</v>
      </c>
      <c r="B186" s="61">
        <v>44530</v>
      </c>
      <c r="C186" s="61">
        <v>44554</v>
      </c>
      <c r="D186" s="61">
        <v>44564</v>
      </c>
      <c r="E186" s="61">
        <v>44537</v>
      </c>
      <c r="F186" s="61">
        <v>44540</v>
      </c>
      <c r="G186" s="61">
        <v>44532</v>
      </c>
      <c r="H186" s="61">
        <v>44536</v>
      </c>
      <c r="I186" s="60" t="s">
        <v>612</v>
      </c>
      <c r="J186" s="60">
        <v>1</v>
      </c>
      <c r="L186" s="60">
        <v>0</v>
      </c>
      <c r="M186" s="61">
        <v>44505</v>
      </c>
      <c r="O186" s="62" t="s">
        <v>331</v>
      </c>
      <c r="P186" s="60" t="s">
        <v>26</v>
      </c>
      <c r="Q186" s="62" t="s">
        <v>120</v>
      </c>
      <c r="R186" s="62" t="s">
        <v>985</v>
      </c>
      <c r="S186" s="63" t="s">
        <v>986</v>
      </c>
      <c r="T186" s="63" t="s">
        <v>340</v>
      </c>
      <c r="U186" s="64">
        <v>84000</v>
      </c>
      <c r="V186" s="64">
        <v>92400</v>
      </c>
      <c r="W186" s="64">
        <v>68000</v>
      </c>
      <c r="X186" s="64">
        <v>74800</v>
      </c>
      <c r="Y186" s="64">
        <v>16000</v>
      </c>
      <c r="Z186" s="64">
        <v>17600</v>
      </c>
      <c r="AA186" s="61">
        <v>44532</v>
      </c>
      <c r="AB186" s="61">
        <v>44533</v>
      </c>
      <c r="AC186" s="61">
        <v>44533</v>
      </c>
      <c r="AD186" s="60">
        <v>0</v>
      </c>
      <c r="AG186" s="60">
        <v>0</v>
      </c>
      <c r="AJ186" s="60">
        <v>0</v>
      </c>
      <c r="AQ186" s="60" t="s">
        <v>752</v>
      </c>
      <c r="AR186" s="61">
        <v>44510</v>
      </c>
      <c r="AS186" s="60">
        <v>6001956388</v>
      </c>
      <c r="AT186" s="61">
        <v>44510</v>
      </c>
      <c r="AU186" s="60" t="s">
        <v>776</v>
      </c>
      <c r="AV186" s="61">
        <v>44554</v>
      </c>
      <c r="AW186" s="91">
        <v>44561</v>
      </c>
      <c r="AX186" s="91">
        <v>44581</v>
      </c>
      <c r="AY186" s="99">
        <v>80640</v>
      </c>
      <c r="AZ186" s="99">
        <f>ROUNDDOWN(AY186+(AY186*MASTER!$A$2/100),0)</f>
        <v>88704</v>
      </c>
      <c r="BA186" s="60" t="s">
        <v>317</v>
      </c>
      <c r="BB186" s="64">
        <v>21000</v>
      </c>
      <c r="BC186" s="64">
        <v>23100</v>
      </c>
      <c r="BD186" s="60" t="s">
        <v>184</v>
      </c>
      <c r="BG186" s="64">
        <v>0</v>
      </c>
      <c r="BK186" s="64">
        <v>0</v>
      </c>
      <c r="BS186" s="64">
        <v>0</v>
      </c>
      <c r="BV186" s="65">
        <v>74800</v>
      </c>
      <c r="BW186" s="65">
        <v>23100</v>
      </c>
      <c r="BX186" s="65">
        <v>44505</v>
      </c>
      <c r="BY186" s="65">
        <v>51700</v>
      </c>
      <c r="BZ186" s="81">
        <v>69.117647058823522</v>
      </c>
    </row>
    <row r="187" spans="1:78" x14ac:dyDescent="0.15">
      <c r="A187" s="60">
        <v>2</v>
      </c>
      <c r="B187" s="61">
        <v>44530</v>
      </c>
      <c r="C187" s="61">
        <v>44554</v>
      </c>
      <c r="D187" s="61">
        <v>44564</v>
      </c>
      <c r="E187" s="61">
        <v>44544</v>
      </c>
      <c r="F187" s="61">
        <v>44541</v>
      </c>
      <c r="G187" s="61">
        <v>44536</v>
      </c>
      <c r="H187" s="61">
        <v>44537</v>
      </c>
      <c r="I187" s="60" t="s">
        <v>612</v>
      </c>
      <c r="J187" s="60">
        <v>1</v>
      </c>
      <c r="L187" s="60">
        <v>0</v>
      </c>
      <c r="M187" s="61">
        <v>44505</v>
      </c>
      <c r="O187" s="62" t="s">
        <v>331</v>
      </c>
      <c r="P187" s="60" t="s">
        <v>26</v>
      </c>
      <c r="Q187" s="62" t="s">
        <v>120</v>
      </c>
      <c r="R187" s="62" t="s">
        <v>979</v>
      </c>
      <c r="S187" s="63" t="s">
        <v>980</v>
      </c>
      <c r="T187" s="63" t="s">
        <v>340</v>
      </c>
      <c r="U187" s="64">
        <v>84000</v>
      </c>
      <c r="V187" s="64">
        <v>92400</v>
      </c>
      <c r="W187" s="64">
        <v>68000</v>
      </c>
      <c r="X187" s="64">
        <v>74800</v>
      </c>
      <c r="Y187" s="64">
        <v>16000</v>
      </c>
      <c r="Z187" s="64">
        <v>17600</v>
      </c>
      <c r="AA187" s="61">
        <v>44533</v>
      </c>
      <c r="AB187" s="61">
        <v>44534</v>
      </c>
      <c r="AC187" s="61">
        <v>44534</v>
      </c>
      <c r="AD187" s="60">
        <v>0</v>
      </c>
      <c r="AG187" s="60">
        <v>0</v>
      </c>
      <c r="AJ187" s="60">
        <v>0</v>
      </c>
      <c r="AQ187" s="60" t="s">
        <v>752</v>
      </c>
      <c r="AR187" s="61">
        <v>44510</v>
      </c>
      <c r="AS187" s="60">
        <v>6001956388</v>
      </c>
      <c r="AT187" s="61">
        <v>44510</v>
      </c>
      <c r="AU187" s="60" t="s">
        <v>776</v>
      </c>
      <c r="AV187" s="61">
        <v>44554</v>
      </c>
      <c r="AW187" s="91">
        <v>44561</v>
      </c>
      <c r="AX187" s="91">
        <v>44581</v>
      </c>
      <c r="AY187" s="99">
        <v>80640</v>
      </c>
      <c r="AZ187" s="99">
        <f>ROUNDDOWN(AY187+(AY187*MASTER!$A$2/100),0)</f>
        <v>88704</v>
      </c>
      <c r="BA187" s="60" t="s">
        <v>317</v>
      </c>
      <c r="BB187" s="64">
        <v>22000</v>
      </c>
      <c r="BC187" s="64">
        <v>24200</v>
      </c>
      <c r="BD187" s="60" t="s">
        <v>184</v>
      </c>
      <c r="BG187" s="64">
        <v>0</v>
      </c>
      <c r="BK187" s="64">
        <v>0</v>
      </c>
      <c r="BS187" s="64">
        <v>0</v>
      </c>
      <c r="BV187" s="65">
        <v>74800</v>
      </c>
      <c r="BW187" s="65">
        <v>24200</v>
      </c>
      <c r="BX187" s="65">
        <v>44505</v>
      </c>
      <c r="BY187" s="65">
        <v>50600</v>
      </c>
      <c r="BZ187" s="81">
        <v>67.64705882352942</v>
      </c>
    </row>
    <row r="188" spans="1:78" x14ac:dyDescent="0.15">
      <c r="A188" s="60">
        <v>2</v>
      </c>
      <c r="B188" s="61">
        <v>44530</v>
      </c>
      <c r="C188" s="61">
        <v>44554</v>
      </c>
      <c r="D188" s="61">
        <v>44564</v>
      </c>
      <c r="E188" s="61">
        <v>44537</v>
      </c>
      <c r="F188" s="61">
        <v>44540</v>
      </c>
      <c r="G188" s="61">
        <v>44532</v>
      </c>
      <c r="H188" s="61">
        <v>44536</v>
      </c>
      <c r="I188" s="60" t="s">
        <v>612</v>
      </c>
      <c r="J188" s="60">
        <v>1</v>
      </c>
      <c r="L188" s="60">
        <v>0</v>
      </c>
      <c r="M188" s="61">
        <v>44505</v>
      </c>
      <c r="O188" s="62" t="s">
        <v>331</v>
      </c>
      <c r="P188" s="60" t="s">
        <v>26</v>
      </c>
      <c r="Q188" s="62" t="s">
        <v>120</v>
      </c>
      <c r="R188" s="62" t="s">
        <v>987</v>
      </c>
      <c r="S188" s="63" t="s">
        <v>988</v>
      </c>
      <c r="T188" s="63" t="s">
        <v>340</v>
      </c>
      <c r="U188" s="64">
        <v>84000</v>
      </c>
      <c r="V188" s="64">
        <v>92400</v>
      </c>
      <c r="W188" s="64">
        <v>68000</v>
      </c>
      <c r="X188" s="64">
        <v>74800</v>
      </c>
      <c r="Y188" s="64">
        <v>16000</v>
      </c>
      <c r="Z188" s="64">
        <v>17600</v>
      </c>
      <c r="AA188" s="61">
        <v>44532</v>
      </c>
      <c r="AB188" s="61">
        <v>44533</v>
      </c>
      <c r="AC188" s="61">
        <v>44533</v>
      </c>
      <c r="AD188" s="60">
        <v>0</v>
      </c>
      <c r="AG188" s="60">
        <v>0</v>
      </c>
      <c r="AJ188" s="60">
        <v>0</v>
      </c>
      <c r="AQ188" s="60" t="s">
        <v>752</v>
      </c>
      <c r="AR188" s="61">
        <v>44510</v>
      </c>
      <c r="AS188" s="60">
        <v>6001956388</v>
      </c>
      <c r="AT188" s="61">
        <v>44510</v>
      </c>
      <c r="AU188" s="60" t="s">
        <v>776</v>
      </c>
      <c r="AV188" s="61">
        <v>44554</v>
      </c>
      <c r="AW188" s="91">
        <v>44561</v>
      </c>
      <c r="AX188" s="91">
        <v>44581</v>
      </c>
      <c r="AY188" s="99">
        <v>80640</v>
      </c>
      <c r="AZ188" s="99">
        <f>ROUNDDOWN(AY188+(AY188*MASTER!$A$2/100),0)</f>
        <v>88704</v>
      </c>
      <c r="BA188" s="60" t="s">
        <v>317</v>
      </c>
      <c r="BB188" s="64">
        <v>21000</v>
      </c>
      <c r="BC188" s="64">
        <v>23100</v>
      </c>
      <c r="BD188" s="60" t="s">
        <v>184</v>
      </c>
      <c r="BG188" s="64">
        <v>0</v>
      </c>
      <c r="BK188" s="64">
        <v>0</v>
      </c>
      <c r="BS188" s="64">
        <v>0</v>
      </c>
      <c r="BV188" s="65">
        <v>74800</v>
      </c>
      <c r="BW188" s="65">
        <v>23100</v>
      </c>
      <c r="BX188" s="65">
        <v>44505</v>
      </c>
      <c r="BY188" s="65">
        <v>51700</v>
      </c>
      <c r="BZ188" s="81">
        <v>69.117647058823522</v>
      </c>
    </row>
    <row r="189" spans="1:78" x14ac:dyDescent="0.15">
      <c r="A189" s="60">
        <v>2</v>
      </c>
      <c r="B189" s="61">
        <v>44530</v>
      </c>
      <c r="C189" s="61">
        <v>44554</v>
      </c>
      <c r="D189" s="61">
        <v>44564</v>
      </c>
      <c r="E189" s="61">
        <v>44537</v>
      </c>
      <c r="F189" s="61">
        <v>44540</v>
      </c>
      <c r="G189" s="61">
        <v>44532</v>
      </c>
      <c r="H189" s="61">
        <v>44536</v>
      </c>
      <c r="I189" s="60" t="s">
        <v>612</v>
      </c>
      <c r="J189" s="60">
        <v>1</v>
      </c>
      <c r="L189" s="60">
        <v>0</v>
      </c>
      <c r="M189" s="61">
        <v>44505</v>
      </c>
      <c r="O189" s="62" t="s">
        <v>331</v>
      </c>
      <c r="P189" s="60" t="s">
        <v>26</v>
      </c>
      <c r="Q189" s="62" t="s">
        <v>120</v>
      </c>
      <c r="R189" s="62" t="s">
        <v>983</v>
      </c>
      <c r="S189" s="63" t="s">
        <v>984</v>
      </c>
      <c r="T189" s="63" t="s">
        <v>340</v>
      </c>
      <c r="U189" s="64">
        <v>84000</v>
      </c>
      <c r="V189" s="64">
        <v>92400</v>
      </c>
      <c r="W189" s="64">
        <v>68000</v>
      </c>
      <c r="X189" s="64">
        <v>74800</v>
      </c>
      <c r="Y189" s="64">
        <v>16000</v>
      </c>
      <c r="Z189" s="64">
        <v>17600</v>
      </c>
      <c r="AA189" s="61">
        <v>44532</v>
      </c>
      <c r="AB189" s="61">
        <v>44533</v>
      </c>
      <c r="AC189" s="61">
        <v>44533</v>
      </c>
      <c r="AD189" s="60">
        <v>0</v>
      </c>
      <c r="AG189" s="60">
        <v>0</v>
      </c>
      <c r="AJ189" s="60">
        <v>0</v>
      </c>
      <c r="AQ189" s="60" t="s">
        <v>752</v>
      </c>
      <c r="AR189" s="61">
        <v>44510</v>
      </c>
      <c r="AS189" s="60">
        <v>6001956388</v>
      </c>
      <c r="AT189" s="61">
        <v>44510</v>
      </c>
      <c r="AU189" s="60" t="s">
        <v>776</v>
      </c>
      <c r="AV189" s="61">
        <v>44554</v>
      </c>
      <c r="AW189" s="91">
        <v>44561</v>
      </c>
      <c r="AX189" s="91">
        <v>44581</v>
      </c>
      <c r="AY189" s="99">
        <v>80640</v>
      </c>
      <c r="AZ189" s="99">
        <f>ROUNDDOWN(AY189+(AY189*MASTER!$A$2/100),0)</f>
        <v>88704</v>
      </c>
      <c r="BA189" s="60" t="s">
        <v>317</v>
      </c>
      <c r="BB189" s="64">
        <v>21000</v>
      </c>
      <c r="BC189" s="64">
        <v>23100</v>
      </c>
      <c r="BD189" s="60" t="s">
        <v>184</v>
      </c>
      <c r="BG189" s="64">
        <v>0</v>
      </c>
      <c r="BI189" s="60" t="s">
        <v>267</v>
      </c>
      <c r="BJ189" s="64">
        <v>10400</v>
      </c>
      <c r="BK189" s="64">
        <v>11440</v>
      </c>
      <c r="BL189" s="60" t="s">
        <v>1366</v>
      </c>
      <c r="BS189" s="64">
        <v>0</v>
      </c>
      <c r="BV189" s="65">
        <v>74800</v>
      </c>
      <c r="BW189" s="65">
        <v>34540</v>
      </c>
      <c r="BX189" s="65">
        <v>44505</v>
      </c>
      <c r="BY189" s="65">
        <v>40260</v>
      </c>
      <c r="BZ189" s="81">
        <v>53.823529411764703</v>
      </c>
    </row>
    <row r="190" spans="1:78" x14ac:dyDescent="0.15">
      <c r="A190" s="60">
        <v>2</v>
      </c>
      <c r="B190" s="61">
        <v>44530</v>
      </c>
      <c r="C190" s="61">
        <v>44554</v>
      </c>
      <c r="D190" s="61">
        <v>44564</v>
      </c>
      <c r="E190" s="61">
        <v>44545</v>
      </c>
      <c r="F190" s="61">
        <v>44545</v>
      </c>
      <c r="G190" s="61">
        <v>44537</v>
      </c>
      <c r="H190" s="61">
        <v>44541</v>
      </c>
      <c r="I190" s="60" t="s">
        <v>612</v>
      </c>
      <c r="J190" s="60">
        <v>1</v>
      </c>
      <c r="L190" s="60">
        <v>0</v>
      </c>
      <c r="M190" s="61">
        <v>44505</v>
      </c>
      <c r="O190" s="62" t="s">
        <v>331</v>
      </c>
      <c r="P190" s="60" t="s">
        <v>26</v>
      </c>
      <c r="Q190" s="62" t="s">
        <v>120</v>
      </c>
      <c r="R190" s="62" t="s">
        <v>1017</v>
      </c>
      <c r="S190" s="63" t="s">
        <v>743</v>
      </c>
      <c r="T190" s="63" t="s">
        <v>340</v>
      </c>
      <c r="U190" s="64">
        <v>84000</v>
      </c>
      <c r="V190" s="64">
        <v>92400</v>
      </c>
      <c r="W190" s="64">
        <v>68000</v>
      </c>
      <c r="X190" s="64">
        <v>74800</v>
      </c>
      <c r="Y190" s="64">
        <v>16000</v>
      </c>
      <c r="Z190" s="64">
        <v>17600</v>
      </c>
      <c r="AA190" s="61">
        <v>44537</v>
      </c>
      <c r="AB190" s="61">
        <v>44538</v>
      </c>
      <c r="AC190" s="61">
        <v>44538</v>
      </c>
      <c r="AD190" s="60">
        <v>0</v>
      </c>
      <c r="AG190" s="60">
        <v>0</v>
      </c>
      <c r="AJ190" s="60">
        <v>0</v>
      </c>
      <c r="AQ190" s="60" t="s">
        <v>752</v>
      </c>
      <c r="AR190" s="61">
        <v>44510</v>
      </c>
      <c r="AS190" s="60">
        <v>6001956388</v>
      </c>
      <c r="AT190" s="61">
        <v>44510</v>
      </c>
      <c r="AU190" s="60" t="s">
        <v>776</v>
      </c>
      <c r="AV190" s="61">
        <v>44554</v>
      </c>
      <c r="AW190" s="91">
        <v>44561</v>
      </c>
      <c r="AX190" s="91">
        <v>44581</v>
      </c>
      <c r="AY190" s="99">
        <v>80640</v>
      </c>
      <c r="AZ190" s="99">
        <f>ROUNDDOWN(AY190+(AY190*MASTER!$A$2/100),0)</f>
        <v>88704</v>
      </c>
      <c r="BA190" s="60" t="s">
        <v>317</v>
      </c>
      <c r="BB190" s="64">
        <v>28000</v>
      </c>
      <c r="BC190" s="64">
        <v>30800</v>
      </c>
      <c r="BD190" s="60" t="s">
        <v>184</v>
      </c>
      <c r="BG190" s="64">
        <v>0</v>
      </c>
      <c r="BK190" s="64">
        <v>0</v>
      </c>
      <c r="BS190" s="64">
        <v>0</v>
      </c>
      <c r="BV190" s="65">
        <v>74800</v>
      </c>
      <c r="BW190" s="65">
        <v>30800</v>
      </c>
      <c r="BX190" s="65">
        <v>44505</v>
      </c>
      <c r="BY190" s="65">
        <v>44000</v>
      </c>
      <c r="BZ190" s="81">
        <v>58.82352941176471</v>
      </c>
    </row>
    <row r="191" spans="1:78" x14ac:dyDescent="0.15">
      <c r="A191" s="60">
        <v>2</v>
      </c>
      <c r="B191" s="61">
        <v>44530</v>
      </c>
      <c r="C191" s="61">
        <v>44554</v>
      </c>
      <c r="D191" s="61">
        <v>44564</v>
      </c>
      <c r="E191" s="61">
        <v>44550</v>
      </c>
      <c r="F191" s="61">
        <v>44548</v>
      </c>
      <c r="G191" s="61">
        <v>44540</v>
      </c>
      <c r="H191" s="61">
        <v>44544</v>
      </c>
      <c r="I191" s="60" t="s">
        <v>612</v>
      </c>
      <c r="J191" s="60">
        <v>1</v>
      </c>
      <c r="L191" s="60">
        <v>0</v>
      </c>
      <c r="M191" s="61">
        <v>44505</v>
      </c>
      <c r="O191" s="62" t="s">
        <v>331</v>
      </c>
      <c r="P191" s="60" t="s">
        <v>26</v>
      </c>
      <c r="Q191" s="62" t="s">
        <v>120</v>
      </c>
      <c r="R191" s="62" t="s">
        <v>1032</v>
      </c>
      <c r="S191" s="63" t="s">
        <v>1033</v>
      </c>
      <c r="T191" s="63" t="s">
        <v>340</v>
      </c>
      <c r="U191" s="64">
        <v>84000</v>
      </c>
      <c r="V191" s="64">
        <v>92400</v>
      </c>
      <c r="W191" s="64">
        <v>68000</v>
      </c>
      <c r="X191" s="64">
        <v>74800</v>
      </c>
      <c r="Y191" s="64">
        <v>16000</v>
      </c>
      <c r="Z191" s="64">
        <v>17600</v>
      </c>
      <c r="AA191" s="61">
        <v>44540</v>
      </c>
      <c r="AB191" s="61">
        <v>44541</v>
      </c>
      <c r="AC191" s="61">
        <v>44541</v>
      </c>
      <c r="AD191" s="60">
        <v>0</v>
      </c>
      <c r="AG191" s="60">
        <v>0</v>
      </c>
      <c r="AJ191" s="60">
        <v>0</v>
      </c>
      <c r="AQ191" s="60" t="s">
        <v>752</v>
      </c>
      <c r="AR191" s="61">
        <v>44509</v>
      </c>
      <c r="AS191" s="60">
        <v>6001955849</v>
      </c>
      <c r="AT191" s="61">
        <v>44510</v>
      </c>
      <c r="AU191" s="60" t="s">
        <v>775</v>
      </c>
      <c r="AV191" s="61">
        <v>44554</v>
      </c>
      <c r="AW191" s="91">
        <v>44561</v>
      </c>
      <c r="AX191" s="91">
        <v>44581</v>
      </c>
      <c r="AY191" s="99">
        <v>80640</v>
      </c>
      <c r="AZ191" s="99">
        <f>ROUNDDOWN(AY191+(AY191*MASTER!$A$2/100),0)</f>
        <v>88704</v>
      </c>
      <c r="BA191" s="60" t="s">
        <v>317</v>
      </c>
      <c r="BB191" s="64">
        <v>27000</v>
      </c>
      <c r="BC191" s="64">
        <v>29700</v>
      </c>
      <c r="BD191" s="60" t="s">
        <v>184</v>
      </c>
      <c r="BG191" s="64">
        <v>0</v>
      </c>
      <c r="BK191" s="64">
        <v>0</v>
      </c>
      <c r="BS191" s="64">
        <v>0</v>
      </c>
      <c r="BV191" s="65">
        <v>74800</v>
      </c>
      <c r="BW191" s="65">
        <v>29700</v>
      </c>
      <c r="BX191" s="65">
        <v>44505</v>
      </c>
      <c r="BY191" s="65">
        <v>45100</v>
      </c>
      <c r="BZ191" s="81">
        <v>60.294117647058819</v>
      </c>
    </row>
    <row r="192" spans="1:78" x14ac:dyDescent="0.15">
      <c r="A192" s="60">
        <v>2</v>
      </c>
      <c r="B192" s="61">
        <v>44530</v>
      </c>
      <c r="C192" s="61">
        <v>44554</v>
      </c>
      <c r="D192" s="61">
        <v>44564</v>
      </c>
      <c r="E192" s="61">
        <v>44545</v>
      </c>
      <c r="F192" s="61">
        <v>44546</v>
      </c>
      <c r="G192" s="61">
        <v>44538</v>
      </c>
      <c r="H192" s="61">
        <v>44542</v>
      </c>
      <c r="I192" s="60" t="s">
        <v>612</v>
      </c>
      <c r="J192" s="60">
        <v>1</v>
      </c>
      <c r="L192" s="60">
        <v>0</v>
      </c>
      <c r="M192" s="61">
        <v>44505</v>
      </c>
      <c r="O192" s="62" t="s">
        <v>331</v>
      </c>
      <c r="P192" s="60" t="s">
        <v>26</v>
      </c>
      <c r="Q192" s="62" t="s">
        <v>120</v>
      </c>
      <c r="R192" s="62" t="s">
        <v>1024</v>
      </c>
      <c r="S192" s="63" t="s">
        <v>414</v>
      </c>
      <c r="T192" s="63" t="s">
        <v>340</v>
      </c>
      <c r="U192" s="64">
        <v>84000</v>
      </c>
      <c r="V192" s="64">
        <v>92400</v>
      </c>
      <c r="W192" s="64">
        <v>68000</v>
      </c>
      <c r="X192" s="64">
        <v>74800</v>
      </c>
      <c r="Y192" s="64">
        <v>16000</v>
      </c>
      <c r="Z192" s="64">
        <v>17600</v>
      </c>
      <c r="AA192" s="61">
        <v>44538</v>
      </c>
      <c r="AB192" s="61">
        <v>44539</v>
      </c>
      <c r="AC192" s="61">
        <v>44539</v>
      </c>
      <c r="AD192" s="60">
        <v>0</v>
      </c>
      <c r="AG192" s="60">
        <v>0</v>
      </c>
      <c r="AJ192" s="60">
        <v>0</v>
      </c>
      <c r="AQ192" s="60" t="s">
        <v>767</v>
      </c>
      <c r="AR192" s="61">
        <v>44510</v>
      </c>
      <c r="AS192" s="60">
        <v>6001956388</v>
      </c>
      <c r="AT192" s="61">
        <v>44510</v>
      </c>
      <c r="AU192" s="60" t="s">
        <v>776</v>
      </c>
      <c r="AV192" s="61">
        <v>44554</v>
      </c>
      <c r="AW192" s="91">
        <v>44561</v>
      </c>
      <c r="AX192" s="91">
        <v>44581</v>
      </c>
      <c r="AY192" s="99">
        <v>80640</v>
      </c>
      <c r="AZ192" s="99">
        <f>ROUNDDOWN(AY192+(AY192*MASTER!$A$2/100),0)</f>
        <v>88704</v>
      </c>
      <c r="BA192" s="60" t="s">
        <v>317</v>
      </c>
      <c r="BB192" s="64">
        <v>33000</v>
      </c>
      <c r="BC192" s="64">
        <v>36300</v>
      </c>
      <c r="BD192" s="60" t="s">
        <v>184</v>
      </c>
      <c r="BG192" s="64">
        <v>0</v>
      </c>
      <c r="BK192" s="64">
        <v>0</v>
      </c>
      <c r="BS192" s="64">
        <v>0</v>
      </c>
      <c r="BV192" s="65">
        <v>74800</v>
      </c>
      <c r="BW192" s="65">
        <v>36300</v>
      </c>
      <c r="BX192" s="65">
        <v>44505</v>
      </c>
      <c r="BY192" s="65">
        <v>38500</v>
      </c>
      <c r="BZ192" s="81">
        <v>51.470588235294116</v>
      </c>
    </row>
    <row r="193" spans="1:78" x14ac:dyDescent="0.15">
      <c r="A193" s="60">
        <v>2</v>
      </c>
      <c r="B193" s="61">
        <v>44530</v>
      </c>
      <c r="C193" s="61">
        <v>44554</v>
      </c>
      <c r="D193" s="61">
        <v>44564</v>
      </c>
      <c r="E193" s="61">
        <v>44545</v>
      </c>
      <c r="F193" s="61">
        <v>44546</v>
      </c>
      <c r="G193" s="61">
        <v>44538</v>
      </c>
      <c r="H193" s="61">
        <v>44542</v>
      </c>
      <c r="I193" s="60" t="s">
        <v>612</v>
      </c>
      <c r="J193" s="60">
        <v>1</v>
      </c>
      <c r="L193" s="60">
        <v>0</v>
      </c>
      <c r="M193" s="61">
        <v>44505</v>
      </c>
      <c r="O193" s="62" t="s">
        <v>331</v>
      </c>
      <c r="P193" s="60" t="s">
        <v>26</v>
      </c>
      <c r="Q193" s="62" t="s">
        <v>120</v>
      </c>
      <c r="R193" s="62" t="s">
        <v>1022</v>
      </c>
      <c r="S193" s="63" t="s">
        <v>1023</v>
      </c>
      <c r="T193" s="63" t="s">
        <v>340</v>
      </c>
      <c r="U193" s="64">
        <v>84000</v>
      </c>
      <c r="V193" s="64">
        <v>92400</v>
      </c>
      <c r="W193" s="64">
        <v>68000</v>
      </c>
      <c r="X193" s="64">
        <v>74800</v>
      </c>
      <c r="Y193" s="64">
        <v>16000</v>
      </c>
      <c r="Z193" s="64">
        <v>17600</v>
      </c>
      <c r="AA193" s="61">
        <v>44538</v>
      </c>
      <c r="AB193" s="61">
        <v>44539</v>
      </c>
      <c r="AC193" s="61">
        <v>44539</v>
      </c>
      <c r="AD193" s="60">
        <v>0</v>
      </c>
      <c r="AG193" s="60">
        <v>0</v>
      </c>
      <c r="AJ193" s="60">
        <v>0</v>
      </c>
      <c r="AQ193" s="60" t="s">
        <v>767</v>
      </c>
      <c r="AR193" s="61">
        <v>44510</v>
      </c>
      <c r="AS193" s="60">
        <v>6001956388</v>
      </c>
      <c r="AT193" s="61">
        <v>44510</v>
      </c>
      <c r="AU193" s="60" t="s">
        <v>776</v>
      </c>
      <c r="AV193" s="61">
        <v>44554</v>
      </c>
      <c r="AW193" s="91">
        <v>44561</v>
      </c>
      <c r="AX193" s="91">
        <v>44581</v>
      </c>
      <c r="AY193" s="99">
        <v>80640</v>
      </c>
      <c r="AZ193" s="99">
        <f>ROUNDDOWN(AY193+(AY193*MASTER!$A$2/100),0)</f>
        <v>88704</v>
      </c>
      <c r="BA193" s="60" t="s">
        <v>317</v>
      </c>
      <c r="BB193" s="64">
        <v>33000</v>
      </c>
      <c r="BC193" s="64">
        <v>36300</v>
      </c>
      <c r="BD193" s="60" t="s">
        <v>184</v>
      </c>
      <c r="BG193" s="64">
        <v>0</v>
      </c>
      <c r="BK193" s="64">
        <v>0</v>
      </c>
      <c r="BS193" s="64">
        <v>0</v>
      </c>
      <c r="BV193" s="65">
        <v>74800</v>
      </c>
      <c r="BW193" s="65">
        <v>36300</v>
      </c>
      <c r="BX193" s="65">
        <v>44505</v>
      </c>
      <c r="BY193" s="65">
        <v>38500</v>
      </c>
      <c r="BZ193" s="81">
        <v>51.470588235294116</v>
      </c>
    </row>
    <row r="194" spans="1:78" x14ac:dyDescent="0.15">
      <c r="A194" s="60">
        <v>2</v>
      </c>
      <c r="B194" s="61">
        <v>44530</v>
      </c>
      <c r="C194" s="61">
        <v>44554</v>
      </c>
      <c r="D194" s="61">
        <v>44564</v>
      </c>
      <c r="E194" s="61">
        <v>44545</v>
      </c>
      <c r="F194" s="61">
        <v>44546</v>
      </c>
      <c r="G194" s="61">
        <v>44539</v>
      </c>
      <c r="H194" s="61">
        <v>44542</v>
      </c>
      <c r="I194" s="60" t="s">
        <v>612</v>
      </c>
      <c r="J194" s="60">
        <v>1</v>
      </c>
      <c r="L194" s="60">
        <v>0</v>
      </c>
      <c r="M194" s="61">
        <v>44505</v>
      </c>
      <c r="O194" s="62" t="s">
        <v>331</v>
      </c>
      <c r="P194" s="60" t="s">
        <v>26</v>
      </c>
      <c r="Q194" s="62" t="s">
        <v>120</v>
      </c>
      <c r="R194" s="62" t="s">
        <v>1027</v>
      </c>
      <c r="S194" s="63" t="s">
        <v>1028</v>
      </c>
      <c r="T194" s="63" t="s">
        <v>340</v>
      </c>
      <c r="U194" s="64">
        <v>84000</v>
      </c>
      <c r="V194" s="64">
        <v>92400</v>
      </c>
      <c r="W194" s="64">
        <v>68000</v>
      </c>
      <c r="X194" s="64">
        <v>74800</v>
      </c>
      <c r="Y194" s="64">
        <v>16000</v>
      </c>
      <c r="Z194" s="64">
        <v>17600</v>
      </c>
      <c r="AA194" s="61">
        <v>44538</v>
      </c>
      <c r="AB194" s="61">
        <v>44539</v>
      </c>
      <c r="AC194" s="61">
        <v>44539</v>
      </c>
      <c r="AD194" s="60">
        <v>0</v>
      </c>
      <c r="AG194" s="60">
        <v>0</v>
      </c>
      <c r="AJ194" s="60">
        <v>0</v>
      </c>
      <c r="AQ194" s="60" t="s">
        <v>767</v>
      </c>
      <c r="AR194" s="61">
        <v>44510</v>
      </c>
      <c r="AS194" s="60">
        <v>6001956388</v>
      </c>
      <c r="AT194" s="61">
        <v>44510</v>
      </c>
      <c r="AU194" s="60" t="s">
        <v>776</v>
      </c>
      <c r="AV194" s="61">
        <v>44554</v>
      </c>
      <c r="AW194" s="91">
        <v>44561</v>
      </c>
      <c r="AX194" s="91">
        <v>44581</v>
      </c>
      <c r="AY194" s="99">
        <v>80640</v>
      </c>
      <c r="AZ194" s="99">
        <f>ROUNDDOWN(AY194+(AY194*MASTER!$A$2/100),0)</f>
        <v>88704</v>
      </c>
      <c r="BA194" s="60" t="s">
        <v>317</v>
      </c>
      <c r="BB194" s="64">
        <v>33000</v>
      </c>
      <c r="BC194" s="64">
        <v>36300</v>
      </c>
      <c r="BD194" s="60" t="s">
        <v>184</v>
      </c>
      <c r="BG194" s="64">
        <v>0</v>
      </c>
      <c r="BK194" s="64">
        <v>0</v>
      </c>
      <c r="BS194" s="64">
        <v>0</v>
      </c>
      <c r="BV194" s="65">
        <v>74800</v>
      </c>
      <c r="BW194" s="65">
        <v>36300</v>
      </c>
      <c r="BX194" s="65">
        <v>44505</v>
      </c>
      <c r="BY194" s="65">
        <v>38500</v>
      </c>
      <c r="BZ194" s="81">
        <v>51.470588235294116</v>
      </c>
    </row>
    <row r="195" spans="1:78" x14ac:dyDescent="0.15">
      <c r="A195" s="60">
        <v>2</v>
      </c>
      <c r="B195" s="61">
        <v>44530</v>
      </c>
      <c r="C195" s="61">
        <v>44554</v>
      </c>
      <c r="D195" s="61">
        <v>44564</v>
      </c>
      <c r="E195" s="61">
        <v>44545</v>
      </c>
      <c r="F195" s="61">
        <v>44546</v>
      </c>
      <c r="G195" s="61">
        <v>44539</v>
      </c>
      <c r="H195" s="61">
        <v>44542</v>
      </c>
      <c r="I195" s="60" t="s">
        <v>612</v>
      </c>
      <c r="J195" s="60">
        <v>1</v>
      </c>
      <c r="L195" s="60">
        <v>0</v>
      </c>
      <c r="M195" s="61">
        <v>44505</v>
      </c>
      <c r="O195" s="62" t="s">
        <v>331</v>
      </c>
      <c r="P195" s="60" t="s">
        <v>26</v>
      </c>
      <c r="Q195" s="62" t="s">
        <v>120</v>
      </c>
      <c r="R195" s="62" t="s">
        <v>1029</v>
      </c>
      <c r="S195" s="63" t="s">
        <v>813</v>
      </c>
      <c r="T195" s="63" t="s">
        <v>340</v>
      </c>
      <c r="U195" s="64">
        <v>84000</v>
      </c>
      <c r="V195" s="64">
        <v>92400</v>
      </c>
      <c r="W195" s="64">
        <v>68000</v>
      </c>
      <c r="X195" s="64">
        <v>74800</v>
      </c>
      <c r="Y195" s="64">
        <v>16000</v>
      </c>
      <c r="Z195" s="64">
        <v>17600</v>
      </c>
      <c r="AA195" s="61">
        <v>44538</v>
      </c>
      <c r="AB195" s="61">
        <v>44539</v>
      </c>
      <c r="AC195" s="61">
        <v>44539</v>
      </c>
      <c r="AD195" s="60">
        <v>0</v>
      </c>
      <c r="AG195" s="60">
        <v>0</v>
      </c>
      <c r="AJ195" s="60">
        <v>0</v>
      </c>
      <c r="AQ195" s="60" t="s">
        <v>767</v>
      </c>
      <c r="AR195" s="61">
        <v>44510</v>
      </c>
      <c r="AS195" s="60">
        <v>6001956388</v>
      </c>
      <c r="AT195" s="61">
        <v>44510</v>
      </c>
      <c r="AU195" s="60" t="s">
        <v>776</v>
      </c>
      <c r="AV195" s="61">
        <v>44554</v>
      </c>
      <c r="AW195" s="91">
        <v>44561</v>
      </c>
      <c r="AX195" s="91">
        <v>44581</v>
      </c>
      <c r="AY195" s="99">
        <v>80640</v>
      </c>
      <c r="AZ195" s="99">
        <f>ROUNDDOWN(AY195+(AY195*MASTER!$A$2/100),0)</f>
        <v>88704</v>
      </c>
      <c r="BA195" s="60" t="s">
        <v>317</v>
      </c>
      <c r="BB195" s="64">
        <v>33000</v>
      </c>
      <c r="BC195" s="64">
        <v>36300</v>
      </c>
      <c r="BD195" s="60" t="s">
        <v>184</v>
      </c>
      <c r="BG195" s="64">
        <v>0</v>
      </c>
      <c r="BI195" s="60" t="s">
        <v>267</v>
      </c>
      <c r="BJ195" s="64">
        <v>10400</v>
      </c>
      <c r="BK195" s="64">
        <v>11440</v>
      </c>
      <c r="BL195" s="60" t="s">
        <v>1366</v>
      </c>
      <c r="BS195" s="64">
        <v>0</v>
      </c>
      <c r="BV195" s="65">
        <v>74800</v>
      </c>
      <c r="BW195" s="65">
        <v>47740</v>
      </c>
      <c r="BX195" s="65">
        <v>44505</v>
      </c>
      <c r="BY195" s="65">
        <v>27060</v>
      </c>
      <c r="BZ195" s="81">
        <v>36.17647058823529</v>
      </c>
    </row>
    <row r="196" spans="1:78" x14ac:dyDescent="0.15">
      <c r="A196" s="60">
        <v>1</v>
      </c>
      <c r="B196" s="61">
        <v>44530</v>
      </c>
      <c r="C196" s="61">
        <v>44554</v>
      </c>
      <c r="D196" s="61">
        <v>44564</v>
      </c>
      <c r="E196" s="61">
        <v>44558</v>
      </c>
      <c r="F196" s="61">
        <v>44561</v>
      </c>
      <c r="G196" s="61">
        <v>44554</v>
      </c>
      <c r="H196" s="61">
        <v>44557</v>
      </c>
      <c r="I196" s="60" t="s">
        <v>511</v>
      </c>
      <c r="J196" s="60">
        <v>1</v>
      </c>
      <c r="L196" s="60">
        <v>0</v>
      </c>
      <c r="M196" s="61">
        <v>44505</v>
      </c>
      <c r="O196" s="62" t="s">
        <v>331</v>
      </c>
      <c r="P196" s="60" t="s">
        <v>26</v>
      </c>
      <c r="Q196" s="62" t="s">
        <v>120</v>
      </c>
      <c r="R196" s="62" t="s">
        <v>1048</v>
      </c>
      <c r="S196" s="63" t="s">
        <v>1049</v>
      </c>
      <c r="T196" s="63" t="s">
        <v>340</v>
      </c>
      <c r="U196" s="64">
        <v>84000</v>
      </c>
      <c r="V196" s="64">
        <v>92400</v>
      </c>
      <c r="W196" s="64">
        <v>68000</v>
      </c>
      <c r="X196" s="64">
        <v>74800</v>
      </c>
      <c r="Y196" s="64">
        <v>16000</v>
      </c>
      <c r="Z196" s="64">
        <v>17600</v>
      </c>
      <c r="AA196" s="61">
        <v>44553</v>
      </c>
      <c r="AB196" s="61">
        <v>44554</v>
      </c>
      <c r="AC196" s="61">
        <v>44554</v>
      </c>
      <c r="AD196" s="60">
        <v>0</v>
      </c>
      <c r="AG196" s="60">
        <v>0</v>
      </c>
      <c r="AJ196" s="60">
        <v>0</v>
      </c>
      <c r="AQ196" s="60" t="s">
        <v>767</v>
      </c>
      <c r="AR196" s="61">
        <v>44510</v>
      </c>
      <c r="AS196" s="60">
        <v>6001956388</v>
      </c>
      <c r="AT196" s="61">
        <v>44510</v>
      </c>
      <c r="AU196" s="60" t="s">
        <v>776</v>
      </c>
      <c r="AV196" s="61">
        <v>44554</v>
      </c>
      <c r="AW196" s="91">
        <v>44561</v>
      </c>
      <c r="AX196" s="91">
        <v>44581</v>
      </c>
      <c r="AY196" s="99">
        <v>80640</v>
      </c>
      <c r="AZ196" s="99">
        <f>ROUNDDOWN(AY196+(AY196*MASTER!$A$2/100),0)</f>
        <v>88704</v>
      </c>
      <c r="BA196" s="60" t="s">
        <v>780</v>
      </c>
      <c r="BB196" s="64">
        <v>40000</v>
      </c>
      <c r="BC196" s="64">
        <v>44000</v>
      </c>
      <c r="BD196" s="60" t="s">
        <v>184</v>
      </c>
      <c r="BG196" s="64">
        <v>0</v>
      </c>
      <c r="BI196" s="60" t="s">
        <v>267</v>
      </c>
      <c r="BJ196" s="64">
        <v>10400</v>
      </c>
      <c r="BK196" s="64">
        <v>11440</v>
      </c>
      <c r="BL196" s="60" t="s">
        <v>1366</v>
      </c>
      <c r="BS196" s="64">
        <v>0</v>
      </c>
      <c r="BV196" s="65">
        <v>74800</v>
      </c>
      <c r="BW196" s="65">
        <v>55440</v>
      </c>
      <c r="BX196" s="65">
        <v>44505</v>
      </c>
      <c r="BY196" s="65">
        <v>19360</v>
      </c>
      <c r="BZ196" s="81">
        <v>25.882352941176475</v>
      </c>
    </row>
    <row r="197" spans="1:78" x14ac:dyDescent="0.15">
      <c r="A197" s="60">
        <v>2</v>
      </c>
      <c r="B197" s="61">
        <v>44530</v>
      </c>
      <c r="C197" s="61">
        <v>44554</v>
      </c>
      <c r="D197" s="61">
        <v>44564</v>
      </c>
      <c r="E197" s="61">
        <v>44545</v>
      </c>
      <c r="F197" s="61">
        <v>44545</v>
      </c>
      <c r="G197" s="61">
        <v>44537</v>
      </c>
      <c r="H197" s="61">
        <v>44541</v>
      </c>
      <c r="I197" s="60" t="s">
        <v>612</v>
      </c>
      <c r="J197" s="60">
        <v>1</v>
      </c>
      <c r="L197" s="60">
        <v>0</v>
      </c>
      <c r="M197" s="61">
        <v>44505</v>
      </c>
      <c r="O197" s="62" t="s">
        <v>331</v>
      </c>
      <c r="P197" s="60" t="s">
        <v>26</v>
      </c>
      <c r="Q197" s="62" t="s">
        <v>120</v>
      </c>
      <c r="R197" s="62" t="s">
        <v>1018</v>
      </c>
      <c r="S197" s="63" t="s">
        <v>1019</v>
      </c>
      <c r="T197" s="63" t="s">
        <v>340</v>
      </c>
      <c r="U197" s="64">
        <v>84000</v>
      </c>
      <c r="V197" s="64">
        <v>92400</v>
      </c>
      <c r="W197" s="64">
        <v>68000</v>
      </c>
      <c r="X197" s="64">
        <v>74800</v>
      </c>
      <c r="Y197" s="64">
        <v>16000</v>
      </c>
      <c r="Z197" s="64">
        <v>17600</v>
      </c>
      <c r="AA197" s="61">
        <v>44537</v>
      </c>
      <c r="AB197" s="61">
        <v>44538</v>
      </c>
      <c r="AC197" s="61">
        <v>44538</v>
      </c>
      <c r="AD197" s="60">
        <v>0</v>
      </c>
      <c r="AG197" s="60">
        <v>0</v>
      </c>
      <c r="AJ197" s="60">
        <v>0</v>
      </c>
      <c r="AQ197" s="60" t="s">
        <v>767</v>
      </c>
      <c r="AR197" s="61">
        <v>44510</v>
      </c>
      <c r="AS197" s="60">
        <v>6001956388</v>
      </c>
      <c r="AT197" s="61">
        <v>44510</v>
      </c>
      <c r="AU197" s="60" t="s">
        <v>776</v>
      </c>
      <c r="AV197" s="61">
        <v>44554</v>
      </c>
      <c r="AW197" s="91">
        <v>44561</v>
      </c>
      <c r="AX197" s="91">
        <v>44581</v>
      </c>
      <c r="AY197" s="99">
        <v>80640</v>
      </c>
      <c r="AZ197" s="99">
        <f>ROUNDDOWN(AY197+(AY197*MASTER!$A$2/100),0)</f>
        <v>88704</v>
      </c>
      <c r="BA197" s="60" t="s">
        <v>317</v>
      </c>
      <c r="BB197" s="64">
        <v>33000</v>
      </c>
      <c r="BC197" s="64">
        <v>36300</v>
      </c>
      <c r="BD197" s="60" t="s">
        <v>184</v>
      </c>
      <c r="BG197" s="64">
        <v>0</v>
      </c>
      <c r="BK197" s="64">
        <v>0</v>
      </c>
      <c r="BS197" s="64">
        <v>0</v>
      </c>
      <c r="BV197" s="65">
        <v>74800</v>
      </c>
      <c r="BW197" s="65">
        <v>36300</v>
      </c>
      <c r="BX197" s="65">
        <v>44505</v>
      </c>
      <c r="BY197" s="65">
        <v>38500</v>
      </c>
      <c r="BZ197" s="81">
        <v>51.470588235294116</v>
      </c>
    </row>
    <row r="198" spans="1:78" x14ac:dyDescent="0.15">
      <c r="A198" s="60">
        <v>2</v>
      </c>
      <c r="B198" s="61">
        <v>44530</v>
      </c>
      <c r="C198" s="61">
        <v>44554</v>
      </c>
      <c r="D198" s="61">
        <v>44564</v>
      </c>
      <c r="E198" s="61">
        <v>44545</v>
      </c>
      <c r="F198" s="61">
        <v>44546</v>
      </c>
      <c r="G198" s="61">
        <v>44538</v>
      </c>
      <c r="H198" s="61">
        <v>44542</v>
      </c>
      <c r="I198" s="60" t="s">
        <v>612</v>
      </c>
      <c r="J198" s="60">
        <v>1</v>
      </c>
      <c r="L198" s="60">
        <v>0</v>
      </c>
      <c r="M198" s="61">
        <v>44505</v>
      </c>
      <c r="O198" s="62" t="s">
        <v>331</v>
      </c>
      <c r="P198" s="60" t="s">
        <v>26</v>
      </c>
      <c r="Q198" s="62" t="s">
        <v>120</v>
      </c>
      <c r="R198" s="62" t="s">
        <v>1025</v>
      </c>
      <c r="S198" s="63" t="s">
        <v>1026</v>
      </c>
      <c r="T198" s="63" t="s">
        <v>340</v>
      </c>
      <c r="U198" s="64">
        <v>84000</v>
      </c>
      <c r="V198" s="64">
        <v>92400</v>
      </c>
      <c r="W198" s="64">
        <v>68000</v>
      </c>
      <c r="X198" s="64">
        <v>74800</v>
      </c>
      <c r="Y198" s="64">
        <v>16000</v>
      </c>
      <c r="Z198" s="64">
        <v>17600</v>
      </c>
      <c r="AA198" s="61">
        <v>44538</v>
      </c>
      <c r="AB198" s="61">
        <v>44539</v>
      </c>
      <c r="AC198" s="61">
        <v>44539</v>
      </c>
      <c r="AD198" s="60">
        <v>0</v>
      </c>
      <c r="AG198" s="60">
        <v>0</v>
      </c>
      <c r="AJ198" s="60">
        <v>0</v>
      </c>
      <c r="AQ198" s="60" t="s">
        <v>767</v>
      </c>
      <c r="AR198" s="61">
        <v>44510</v>
      </c>
      <c r="AS198" s="60">
        <v>6001956388</v>
      </c>
      <c r="AT198" s="61">
        <v>44510</v>
      </c>
      <c r="AU198" s="60" t="s">
        <v>776</v>
      </c>
      <c r="AV198" s="61">
        <v>44554</v>
      </c>
      <c r="AW198" s="91">
        <v>44561</v>
      </c>
      <c r="AX198" s="91">
        <v>44581</v>
      </c>
      <c r="AY198" s="99">
        <v>80640</v>
      </c>
      <c r="AZ198" s="99">
        <f>ROUNDDOWN(AY198+(AY198*MASTER!$A$2/100),0)</f>
        <v>88704</v>
      </c>
      <c r="BA198" s="60" t="s">
        <v>317</v>
      </c>
      <c r="BB198" s="64">
        <v>32000</v>
      </c>
      <c r="BC198" s="64">
        <v>35200</v>
      </c>
      <c r="BD198" s="60" t="s">
        <v>184</v>
      </c>
      <c r="BG198" s="64">
        <v>0</v>
      </c>
      <c r="BK198" s="64">
        <v>0</v>
      </c>
      <c r="BS198" s="64">
        <v>0</v>
      </c>
      <c r="BV198" s="65">
        <v>74800</v>
      </c>
      <c r="BW198" s="65">
        <v>35200</v>
      </c>
      <c r="BX198" s="65">
        <v>44505</v>
      </c>
      <c r="BY198" s="65">
        <v>39600</v>
      </c>
      <c r="BZ198" s="81">
        <v>52.941176470588239</v>
      </c>
    </row>
    <row r="199" spans="1:78" x14ac:dyDescent="0.15">
      <c r="A199" s="60">
        <v>2</v>
      </c>
      <c r="B199" s="61">
        <v>44530</v>
      </c>
      <c r="C199" s="61">
        <v>44554</v>
      </c>
      <c r="D199" s="61">
        <v>44564</v>
      </c>
      <c r="E199" s="61">
        <v>44545</v>
      </c>
      <c r="F199" s="61">
        <v>44545</v>
      </c>
      <c r="G199" s="61">
        <v>44537</v>
      </c>
      <c r="H199" s="61">
        <v>44541</v>
      </c>
      <c r="I199" s="60" t="s">
        <v>612</v>
      </c>
      <c r="J199" s="60">
        <v>1</v>
      </c>
      <c r="L199" s="60">
        <v>0</v>
      </c>
      <c r="M199" s="61">
        <v>44505</v>
      </c>
      <c r="O199" s="62" t="s">
        <v>331</v>
      </c>
      <c r="P199" s="60" t="s">
        <v>26</v>
      </c>
      <c r="Q199" s="62" t="s">
        <v>120</v>
      </c>
      <c r="R199" s="62" t="s">
        <v>1020</v>
      </c>
      <c r="S199" s="63" t="s">
        <v>1021</v>
      </c>
      <c r="T199" s="63" t="s">
        <v>340</v>
      </c>
      <c r="U199" s="64">
        <v>84000</v>
      </c>
      <c r="V199" s="64">
        <v>92400</v>
      </c>
      <c r="W199" s="64">
        <v>68000</v>
      </c>
      <c r="X199" s="64">
        <v>74800</v>
      </c>
      <c r="Y199" s="64">
        <v>16000</v>
      </c>
      <c r="Z199" s="64">
        <v>17600</v>
      </c>
      <c r="AA199" s="61">
        <v>44537</v>
      </c>
      <c r="AB199" s="61">
        <v>44538</v>
      </c>
      <c r="AC199" s="61">
        <v>44538</v>
      </c>
      <c r="AD199" s="60">
        <v>0</v>
      </c>
      <c r="AG199" s="60">
        <v>0</v>
      </c>
      <c r="AJ199" s="60">
        <v>0</v>
      </c>
      <c r="AQ199" s="60" t="s">
        <v>767</v>
      </c>
      <c r="AR199" s="61">
        <v>44510</v>
      </c>
      <c r="AS199" s="60">
        <v>6001956388</v>
      </c>
      <c r="AT199" s="61">
        <v>44510</v>
      </c>
      <c r="AU199" s="60" t="s">
        <v>776</v>
      </c>
      <c r="AV199" s="61">
        <v>44554</v>
      </c>
      <c r="AW199" s="91">
        <v>44561</v>
      </c>
      <c r="AX199" s="91">
        <v>44581</v>
      </c>
      <c r="AY199" s="99">
        <v>80640</v>
      </c>
      <c r="AZ199" s="99">
        <f>ROUNDDOWN(AY199+(AY199*MASTER!$A$2/100),0)</f>
        <v>88704</v>
      </c>
      <c r="BA199" s="60" t="s">
        <v>317</v>
      </c>
      <c r="BB199" s="64">
        <v>33000</v>
      </c>
      <c r="BC199" s="64">
        <v>36300</v>
      </c>
      <c r="BD199" s="60" t="s">
        <v>184</v>
      </c>
      <c r="BG199" s="64">
        <v>0</v>
      </c>
      <c r="BK199" s="64">
        <v>0</v>
      </c>
      <c r="BS199" s="64">
        <v>0</v>
      </c>
      <c r="BV199" s="65">
        <v>74800</v>
      </c>
      <c r="BW199" s="65">
        <v>36300</v>
      </c>
      <c r="BX199" s="65">
        <v>44505</v>
      </c>
      <c r="BY199" s="65">
        <v>38500</v>
      </c>
      <c r="BZ199" s="81">
        <v>51.470588235294116</v>
      </c>
    </row>
    <row r="200" spans="1:78" x14ac:dyDescent="0.15">
      <c r="A200" s="60">
        <v>2</v>
      </c>
      <c r="B200" s="61">
        <v>44530</v>
      </c>
      <c r="C200" s="61">
        <v>44554</v>
      </c>
      <c r="D200" s="61">
        <v>44564</v>
      </c>
      <c r="E200" s="61">
        <v>44544</v>
      </c>
      <c r="F200" s="61">
        <v>44543</v>
      </c>
      <c r="G200" s="61">
        <v>44545</v>
      </c>
      <c r="H200" s="61">
        <v>44539</v>
      </c>
      <c r="I200" s="60" t="s">
        <v>612</v>
      </c>
      <c r="J200" s="60">
        <v>1</v>
      </c>
      <c r="L200" s="60">
        <v>0</v>
      </c>
      <c r="M200" s="61">
        <v>44505</v>
      </c>
      <c r="O200" s="62" t="s">
        <v>331</v>
      </c>
      <c r="P200" s="60" t="s">
        <v>26</v>
      </c>
      <c r="Q200" s="62" t="s">
        <v>120</v>
      </c>
      <c r="R200" s="62" t="s">
        <v>1015</v>
      </c>
      <c r="S200" s="63" t="s">
        <v>1016</v>
      </c>
      <c r="T200" s="63" t="s">
        <v>340</v>
      </c>
      <c r="U200" s="64">
        <v>84000</v>
      </c>
      <c r="V200" s="64">
        <v>92400</v>
      </c>
      <c r="W200" s="64">
        <v>68000</v>
      </c>
      <c r="X200" s="64">
        <v>74800</v>
      </c>
      <c r="Y200" s="64">
        <v>16000</v>
      </c>
      <c r="Z200" s="64">
        <v>17600</v>
      </c>
      <c r="AA200" s="61">
        <v>44535</v>
      </c>
      <c r="AB200" s="61">
        <v>44536</v>
      </c>
      <c r="AC200" s="61">
        <v>44536</v>
      </c>
      <c r="AD200" s="60">
        <v>0</v>
      </c>
      <c r="AG200" s="60">
        <v>0</v>
      </c>
      <c r="AJ200" s="60">
        <v>0</v>
      </c>
      <c r="AQ200" s="60" t="s">
        <v>767</v>
      </c>
      <c r="AR200" s="61">
        <v>44510</v>
      </c>
      <c r="AS200" s="60">
        <v>6001956388</v>
      </c>
      <c r="AT200" s="61">
        <v>44510</v>
      </c>
      <c r="AU200" s="60" t="s">
        <v>776</v>
      </c>
      <c r="AV200" s="61">
        <v>44554</v>
      </c>
      <c r="AW200" s="91">
        <v>44561</v>
      </c>
      <c r="AX200" s="91">
        <v>44581</v>
      </c>
      <c r="AY200" s="99">
        <v>80640</v>
      </c>
      <c r="AZ200" s="99">
        <f>ROUNDDOWN(AY200+(AY200*MASTER!$A$2/100),0)</f>
        <v>88704</v>
      </c>
      <c r="BA200" s="60" t="s">
        <v>317</v>
      </c>
      <c r="BB200" s="64">
        <v>33000</v>
      </c>
      <c r="BC200" s="64">
        <v>36300</v>
      </c>
      <c r="BD200" s="60" t="s">
        <v>184</v>
      </c>
      <c r="BG200" s="64">
        <v>0</v>
      </c>
      <c r="BK200" s="64">
        <v>0</v>
      </c>
      <c r="BS200" s="64">
        <v>0</v>
      </c>
      <c r="BV200" s="65">
        <v>74800</v>
      </c>
      <c r="BW200" s="65">
        <v>36300</v>
      </c>
      <c r="BX200" s="65">
        <v>44505</v>
      </c>
      <c r="BY200" s="65">
        <v>38500</v>
      </c>
      <c r="BZ200" s="81">
        <v>51.470588235294116</v>
      </c>
    </row>
    <row r="201" spans="1:78" x14ac:dyDescent="0.15">
      <c r="A201" s="60">
        <v>2</v>
      </c>
      <c r="B201" s="61">
        <v>44537</v>
      </c>
      <c r="C201" s="61">
        <v>44554</v>
      </c>
      <c r="D201" s="61">
        <v>44564</v>
      </c>
      <c r="E201" s="61">
        <v>44558</v>
      </c>
      <c r="F201" s="61">
        <v>44561</v>
      </c>
      <c r="G201" s="61">
        <v>44554</v>
      </c>
      <c r="H201" s="61">
        <v>44557</v>
      </c>
      <c r="I201" s="60" t="s">
        <v>511</v>
      </c>
      <c r="J201" s="60">
        <v>1</v>
      </c>
      <c r="L201" s="60">
        <v>0</v>
      </c>
      <c r="M201" s="61">
        <v>44505</v>
      </c>
      <c r="O201" s="62" t="s">
        <v>331</v>
      </c>
      <c r="P201" s="60" t="s">
        <v>26</v>
      </c>
      <c r="Q201" s="62" t="s">
        <v>120</v>
      </c>
      <c r="R201" s="62" t="s">
        <v>1153</v>
      </c>
      <c r="S201" s="63" t="s">
        <v>1154</v>
      </c>
      <c r="T201" s="63" t="s">
        <v>340</v>
      </c>
      <c r="U201" s="64">
        <v>84000</v>
      </c>
      <c r="V201" s="64">
        <v>92400</v>
      </c>
      <c r="W201" s="64">
        <v>68000</v>
      </c>
      <c r="X201" s="64">
        <v>74800</v>
      </c>
      <c r="Y201" s="64">
        <v>16000</v>
      </c>
      <c r="Z201" s="64">
        <v>17600</v>
      </c>
      <c r="AA201" s="61">
        <v>44553</v>
      </c>
      <c r="AB201" s="61">
        <v>44554</v>
      </c>
      <c r="AC201" s="61">
        <v>44554</v>
      </c>
      <c r="AD201" s="60">
        <v>0</v>
      </c>
      <c r="AG201" s="60">
        <v>0</v>
      </c>
      <c r="AJ201" s="60">
        <v>0</v>
      </c>
      <c r="AQ201" s="60" t="s">
        <v>767</v>
      </c>
      <c r="AR201" s="61">
        <v>44510</v>
      </c>
      <c r="AS201" s="60">
        <v>6001956388</v>
      </c>
      <c r="AT201" s="61">
        <v>44510</v>
      </c>
      <c r="AU201" s="60" t="s">
        <v>776</v>
      </c>
      <c r="AV201" s="61">
        <v>44554</v>
      </c>
      <c r="AW201" s="91">
        <v>44561</v>
      </c>
      <c r="AX201" s="91">
        <v>44581</v>
      </c>
      <c r="AY201" s="99">
        <v>80640</v>
      </c>
      <c r="AZ201" s="99">
        <f>ROUNDDOWN(AY201+(AY201*MASTER!$A$2/100),0)</f>
        <v>88704</v>
      </c>
      <c r="BA201" s="60" t="s">
        <v>780</v>
      </c>
      <c r="BB201" s="64">
        <v>40000</v>
      </c>
      <c r="BC201" s="64">
        <v>44000</v>
      </c>
      <c r="BD201" s="60" t="s">
        <v>184</v>
      </c>
      <c r="BG201" s="64">
        <v>0</v>
      </c>
      <c r="BK201" s="64">
        <v>0</v>
      </c>
      <c r="BS201" s="64">
        <v>0</v>
      </c>
      <c r="BV201" s="65">
        <v>74800</v>
      </c>
      <c r="BW201" s="65">
        <v>44000</v>
      </c>
      <c r="BX201" s="65">
        <v>44505</v>
      </c>
      <c r="BY201" s="65">
        <v>30800</v>
      </c>
      <c r="BZ201" s="81">
        <v>41.17647058823529</v>
      </c>
    </row>
    <row r="202" spans="1:78" x14ac:dyDescent="0.15">
      <c r="A202" s="60">
        <v>2</v>
      </c>
      <c r="B202" s="61">
        <v>44537</v>
      </c>
      <c r="C202" s="61">
        <v>44554</v>
      </c>
      <c r="D202" s="61">
        <v>44574</v>
      </c>
      <c r="E202" s="61">
        <v>44552</v>
      </c>
      <c r="F202" s="61">
        <v>44553</v>
      </c>
      <c r="G202" s="61">
        <v>44547</v>
      </c>
      <c r="H202" s="61">
        <v>44549</v>
      </c>
      <c r="I202" s="60" t="s">
        <v>612</v>
      </c>
      <c r="J202" s="60">
        <v>1</v>
      </c>
      <c r="L202" s="60">
        <v>0</v>
      </c>
      <c r="M202" s="61">
        <v>44505</v>
      </c>
      <c r="O202" s="62" t="s">
        <v>331</v>
      </c>
      <c r="P202" s="60" t="s">
        <v>26</v>
      </c>
      <c r="Q202" s="62" t="s">
        <v>120</v>
      </c>
      <c r="R202" s="62" t="s">
        <v>1155</v>
      </c>
      <c r="S202" s="63" t="s">
        <v>1156</v>
      </c>
      <c r="T202" s="63" t="s">
        <v>340</v>
      </c>
      <c r="U202" s="64">
        <v>84000</v>
      </c>
      <c r="V202" s="64">
        <v>92400</v>
      </c>
      <c r="W202" s="64">
        <v>68000</v>
      </c>
      <c r="X202" s="64">
        <v>74800</v>
      </c>
      <c r="Y202" s="64">
        <v>16000</v>
      </c>
      <c r="Z202" s="64">
        <v>17600</v>
      </c>
      <c r="AA202" s="61">
        <v>44545</v>
      </c>
      <c r="AB202" s="61">
        <v>44546</v>
      </c>
      <c r="AC202" s="61">
        <v>44546</v>
      </c>
      <c r="AD202" s="60">
        <v>0</v>
      </c>
      <c r="AG202" s="60">
        <v>0</v>
      </c>
      <c r="AJ202" s="60">
        <v>0</v>
      </c>
      <c r="AQ202" s="60" t="s">
        <v>753</v>
      </c>
      <c r="AR202" s="61">
        <v>44510</v>
      </c>
      <c r="AS202" s="60">
        <v>6001956388</v>
      </c>
      <c r="AT202" s="61">
        <v>44510</v>
      </c>
      <c r="AU202" s="60" t="s">
        <v>776</v>
      </c>
      <c r="AV202" s="61">
        <v>44554</v>
      </c>
      <c r="AW202" s="91">
        <v>44561</v>
      </c>
      <c r="AX202" s="91">
        <v>44581</v>
      </c>
      <c r="AY202" s="99">
        <v>80640</v>
      </c>
      <c r="AZ202" s="99">
        <f>ROUNDDOWN(AY202+(AY202*MASTER!$A$2/100),0)</f>
        <v>88704</v>
      </c>
      <c r="BA202" s="60" t="s">
        <v>314</v>
      </c>
      <c r="BB202" s="64">
        <v>28000</v>
      </c>
      <c r="BC202" s="64">
        <v>30800</v>
      </c>
      <c r="BD202" s="60" t="s">
        <v>184</v>
      </c>
      <c r="BG202" s="64">
        <v>0</v>
      </c>
      <c r="BK202" s="64">
        <v>0</v>
      </c>
      <c r="BS202" s="64">
        <v>0</v>
      </c>
      <c r="BV202" s="65">
        <v>74800</v>
      </c>
      <c r="BW202" s="65">
        <v>30800</v>
      </c>
      <c r="BX202" s="65">
        <v>44505</v>
      </c>
      <c r="BY202" s="65">
        <v>44000</v>
      </c>
      <c r="BZ202" s="81">
        <v>58.82352941176471</v>
      </c>
    </row>
    <row r="203" spans="1:78" x14ac:dyDescent="0.15">
      <c r="A203" s="60">
        <v>2</v>
      </c>
      <c r="B203" s="61">
        <v>44551</v>
      </c>
      <c r="C203" s="61">
        <v>44554</v>
      </c>
      <c r="D203" s="61">
        <v>44574</v>
      </c>
      <c r="E203" s="61">
        <v>44558</v>
      </c>
      <c r="F203" s="61">
        <v>44562</v>
      </c>
      <c r="G203" s="61">
        <v>44557</v>
      </c>
      <c r="H203" s="61">
        <v>44558</v>
      </c>
      <c r="I203" s="60" t="s">
        <v>511</v>
      </c>
      <c r="J203" s="60">
        <v>1</v>
      </c>
      <c r="L203" s="60">
        <v>0</v>
      </c>
      <c r="M203" s="61">
        <v>44505</v>
      </c>
      <c r="O203" s="62" t="s">
        <v>331</v>
      </c>
      <c r="P203" s="60" t="s">
        <v>26</v>
      </c>
      <c r="Q203" s="62" t="s">
        <v>120</v>
      </c>
      <c r="R203" s="62" t="s">
        <v>728</v>
      </c>
      <c r="S203" s="63" t="s">
        <v>726</v>
      </c>
      <c r="T203" s="63" t="s">
        <v>727</v>
      </c>
      <c r="U203" s="64">
        <v>127560</v>
      </c>
      <c r="V203" s="64">
        <v>140316</v>
      </c>
      <c r="W203" s="64">
        <v>115560</v>
      </c>
      <c r="X203" s="64">
        <v>127116</v>
      </c>
      <c r="Y203" s="64">
        <v>12000</v>
      </c>
      <c r="Z203" s="64">
        <v>13200</v>
      </c>
      <c r="AA203" s="61">
        <v>44552</v>
      </c>
      <c r="AB203" s="61">
        <v>44555</v>
      </c>
      <c r="AC203" s="61">
        <v>44555</v>
      </c>
      <c r="AD203" s="60">
        <v>0</v>
      </c>
      <c r="AG203" s="60">
        <v>0</v>
      </c>
      <c r="AJ203" s="60">
        <v>0</v>
      </c>
      <c r="AM203" s="60" t="s">
        <v>273</v>
      </c>
      <c r="AN203" s="60" t="s">
        <v>1379</v>
      </c>
      <c r="AQ203" s="60" t="s">
        <v>770</v>
      </c>
      <c r="AR203" s="61">
        <v>44510</v>
      </c>
      <c r="AS203" s="60">
        <v>6001956389</v>
      </c>
      <c r="AT203" s="61">
        <v>44510</v>
      </c>
      <c r="AU203" s="60" t="s">
        <v>777</v>
      </c>
      <c r="AV203" s="61">
        <v>44554</v>
      </c>
      <c r="AW203" s="91">
        <v>44561</v>
      </c>
      <c r="AX203" s="91">
        <v>44581</v>
      </c>
      <c r="AY203" s="99">
        <v>122458</v>
      </c>
      <c r="AZ203" s="99">
        <v>134704</v>
      </c>
      <c r="BA203" s="60" t="s">
        <v>314</v>
      </c>
      <c r="BB203" s="64">
        <v>71200</v>
      </c>
      <c r="BC203" s="64">
        <v>78320</v>
      </c>
      <c r="BD203" s="60" t="s">
        <v>184</v>
      </c>
      <c r="BG203" s="64">
        <v>0</v>
      </c>
      <c r="BI203" s="60" t="s">
        <v>748</v>
      </c>
      <c r="BJ203" s="64">
        <v>7800</v>
      </c>
      <c r="BK203" s="64">
        <v>8580</v>
      </c>
      <c r="BL203" s="60" t="s">
        <v>184</v>
      </c>
      <c r="BS203" s="64">
        <v>0</v>
      </c>
      <c r="BV203" s="65">
        <v>127116</v>
      </c>
      <c r="BW203" s="65">
        <v>86900</v>
      </c>
      <c r="BX203" s="65">
        <v>44505</v>
      </c>
      <c r="BY203" s="65">
        <v>40216</v>
      </c>
      <c r="BZ203" s="81">
        <v>31.637244721356872</v>
      </c>
    </row>
    <row r="204" spans="1:78" x14ac:dyDescent="0.15">
      <c r="A204" s="60">
        <v>2</v>
      </c>
      <c r="B204" s="61">
        <v>44518</v>
      </c>
      <c r="C204" s="61">
        <v>44519</v>
      </c>
      <c r="D204" s="61">
        <v>44515</v>
      </c>
      <c r="E204" s="61">
        <v>44515</v>
      </c>
      <c r="F204" s="61" t="s">
        <v>309</v>
      </c>
      <c r="G204" s="61">
        <v>44515</v>
      </c>
      <c r="H204" s="61" t="s">
        <v>309</v>
      </c>
      <c r="I204" s="60" t="s">
        <v>766</v>
      </c>
      <c r="J204" s="60">
        <v>2</v>
      </c>
      <c r="L204" s="60">
        <v>0</v>
      </c>
      <c r="M204" s="61">
        <v>44508</v>
      </c>
      <c r="O204" s="62" t="s">
        <v>331</v>
      </c>
      <c r="P204" s="60" t="s">
        <v>6</v>
      </c>
      <c r="Q204" s="62" t="s">
        <v>120</v>
      </c>
      <c r="R204" s="62" t="s">
        <v>729</v>
      </c>
      <c r="S204" s="63" t="s">
        <v>732</v>
      </c>
      <c r="T204" s="63" t="s">
        <v>364</v>
      </c>
      <c r="U204" s="64">
        <v>51000</v>
      </c>
      <c r="V204" s="64">
        <v>56100</v>
      </c>
      <c r="W204" s="64">
        <v>51000</v>
      </c>
      <c r="X204" s="64">
        <v>56100</v>
      </c>
      <c r="Z204" s="64">
        <v>0</v>
      </c>
      <c r="AA204" s="61">
        <v>44511</v>
      </c>
      <c r="AB204" s="61">
        <v>44511</v>
      </c>
      <c r="AD204" s="60">
        <v>0</v>
      </c>
      <c r="AG204" s="60">
        <v>0</v>
      </c>
      <c r="AJ204" s="60">
        <v>0</v>
      </c>
      <c r="AN204" s="60" t="s">
        <v>309</v>
      </c>
      <c r="AQ204" s="60" t="s">
        <v>872</v>
      </c>
      <c r="AR204" s="61">
        <v>44517</v>
      </c>
      <c r="AS204" s="60">
        <v>6001958882</v>
      </c>
      <c r="AT204" s="61">
        <v>44517</v>
      </c>
      <c r="AU204" s="60" t="s">
        <v>881</v>
      </c>
      <c r="AV204" s="61">
        <v>44519</v>
      </c>
      <c r="AW204" s="91">
        <v>44530</v>
      </c>
      <c r="AX204" s="91">
        <v>44550</v>
      </c>
      <c r="AY204" s="99">
        <v>48960</v>
      </c>
      <c r="AZ204" s="99">
        <f>ROUNDDOWN(AY204+(AY204*MASTER!$A$2/100),0)</f>
        <v>53856</v>
      </c>
      <c r="BA204" s="60" t="s">
        <v>765</v>
      </c>
      <c r="BC204" s="64">
        <v>0</v>
      </c>
      <c r="BG204" s="64">
        <v>0</v>
      </c>
      <c r="BK204" s="64">
        <v>0</v>
      </c>
      <c r="BS204" s="64">
        <v>0</v>
      </c>
      <c r="BV204" s="65">
        <v>56100</v>
      </c>
      <c r="BW204" s="65">
        <v>0</v>
      </c>
      <c r="BX204" s="65">
        <v>44508</v>
      </c>
      <c r="BY204" s="65">
        <v>56100</v>
      </c>
      <c r="BZ204" s="81">
        <v>100</v>
      </c>
    </row>
    <row r="205" spans="1:78" x14ac:dyDescent="0.15">
      <c r="A205" s="60">
        <v>2</v>
      </c>
      <c r="B205" s="61">
        <v>44515</v>
      </c>
      <c r="C205" s="61">
        <v>44515</v>
      </c>
      <c r="D205" s="61">
        <v>44508</v>
      </c>
      <c r="E205" s="61">
        <v>44508</v>
      </c>
      <c r="F205" s="61" t="s">
        <v>309</v>
      </c>
      <c r="G205" s="61">
        <v>44508</v>
      </c>
      <c r="H205" s="61" t="s">
        <v>309</v>
      </c>
      <c r="I205" s="60" t="s">
        <v>494</v>
      </c>
      <c r="J205" s="60">
        <v>2</v>
      </c>
      <c r="L205" s="60">
        <v>0</v>
      </c>
      <c r="M205" s="61">
        <v>44508</v>
      </c>
      <c r="O205" s="62" t="s">
        <v>331</v>
      </c>
      <c r="P205" s="60" t="s">
        <v>6</v>
      </c>
      <c r="Q205" s="62" t="s">
        <v>120</v>
      </c>
      <c r="R205" s="62" t="s">
        <v>730</v>
      </c>
      <c r="S205" s="63" t="s">
        <v>731</v>
      </c>
      <c r="T205" s="63" t="s">
        <v>364</v>
      </c>
      <c r="U205" s="64">
        <v>35000</v>
      </c>
      <c r="V205" s="64">
        <v>38500</v>
      </c>
      <c r="W205" s="64">
        <v>35000</v>
      </c>
      <c r="X205" s="64">
        <v>38500</v>
      </c>
      <c r="Z205" s="64">
        <v>0</v>
      </c>
      <c r="AA205" s="61">
        <v>44507</v>
      </c>
      <c r="AB205" s="61">
        <v>44507</v>
      </c>
      <c r="AD205" s="60">
        <v>0</v>
      </c>
      <c r="AG205" s="60">
        <v>0</v>
      </c>
      <c r="AJ205" s="60">
        <v>0</v>
      </c>
      <c r="AN205" s="60" t="s">
        <v>309</v>
      </c>
      <c r="AQ205" s="60" t="s">
        <v>805</v>
      </c>
      <c r="AR205" s="61">
        <v>44512</v>
      </c>
      <c r="AS205" s="60">
        <v>6001957224</v>
      </c>
      <c r="AT205" s="61">
        <v>44512</v>
      </c>
      <c r="AU205" s="60" t="s">
        <v>819</v>
      </c>
      <c r="AV205" s="61">
        <v>44515</v>
      </c>
      <c r="AW205" s="91">
        <v>44530</v>
      </c>
      <c r="AX205" s="91">
        <v>44550</v>
      </c>
      <c r="AY205" s="99">
        <v>33600</v>
      </c>
      <c r="AZ205" s="99">
        <f>ROUNDDOWN(AY205+(AY205*MASTER!$A$2/100),0)</f>
        <v>36960</v>
      </c>
      <c r="BA205" s="60" t="s">
        <v>492</v>
      </c>
      <c r="BB205" s="64">
        <v>26000</v>
      </c>
      <c r="BC205" s="64">
        <v>28600</v>
      </c>
      <c r="BD205" s="60" t="s">
        <v>493</v>
      </c>
      <c r="BG205" s="64">
        <v>0</v>
      </c>
      <c r="BK205" s="64">
        <v>0</v>
      </c>
      <c r="BS205" s="64">
        <v>0</v>
      </c>
      <c r="BV205" s="65">
        <v>38500</v>
      </c>
      <c r="BW205" s="65">
        <v>28600</v>
      </c>
      <c r="BX205" s="65">
        <v>44508</v>
      </c>
      <c r="BY205" s="65">
        <v>9900</v>
      </c>
      <c r="BZ205" s="81">
        <v>25.714285714285712</v>
      </c>
    </row>
    <row r="206" spans="1:78" x14ac:dyDescent="0.15">
      <c r="A206" s="60">
        <v>2</v>
      </c>
      <c r="B206" s="61">
        <v>44530</v>
      </c>
      <c r="C206" s="61">
        <v>44533</v>
      </c>
      <c r="E206" s="61">
        <v>44533</v>
      </c>
      <c r="F206" s="61" t="s">
        <v>309</v>
      </c>
      <c r="H206" s="61" t="s">
        <v>309</v>
      </c>
      <c r="I206" s="60" t="s">
        <v>511</v>
      </c>
      <c r="J206" s="60">
        <v>2</v>
      </c>
      <c r="L206" s="60">
        <v>0</v>
      </c>
      <c r="M206" s="61">
        <v>44508</v>
      </c>
      <c r="O206" s="62" t="s">
        <v>331</v>
      </c>
      <c r="P206" s="60" t="s">
        <v>26</v>
      </c>
      <c r="Q206" s="62" t="s">
        <v>120</v>
      </c>
      <c r="R206" s="62" t="s">
        <v>1045</v>
      </c>
      <c r="S206" s="63" t="s">
        <v>1042</v>
      </c>
      <c r="T206" s="63" t="s">
        <v>1046</v>
      </c>
      <c r="U206" s="64">
        <v>117000</v>
      </c>
      <c r="V206" s="64">
        <v>128700</v>
      </c>
      <c r="W206" s="64">
        <v>117000</v>
      </c>
      <c r="X206" s="64">
        <v>128700</v>
      </c>
      <c r="Z206" s="64">
        <v>0</v>
      </c>
      <c r="AA206" s="61">
        <v>44528</v>
      </c>
      <c r="AB206" s="61">
        <v>44531</v>
      </c>
      <c r="AD206" s="60">
        <v>0</v>
      </c>
      <c r="AG206" s="60">
        <v>0</v>
      </c>
      <c r="AJ206" s="60">
        <v>0</v>
      </c>
      <c r="AM206" s="60" t="s">
        <v>273</v>
      </c>
      <c r="AN206" s="60" t="s">
        <v>1047</v>
      </c>
      <c r="AQ206" s="60" t="s">
        <v>863</v>
      </c>
      <c r="AR206" s="61">
        <v>44516</v>
      </c>
      <c r="AS206" s="60">
        <v>6001958558</v>
      </c>
      <c r="AT206" s="61">
        <v>44517</v>
      </c>
      <c r="AU206" s="60" t="s">
        <v>878</v>
      </c>
      <c r="AV206" s="61">
        <v>44533</v>
      </c>
      <c r="AW206" s="91">
        <v>44561</v>
      </c>
      <c r="AX206" s="91">
        <v>44581</v>
      </c>
      <c r="AY206" s="99">
        <v>112320</v>
      </c>
      <c r="AZ206" s="99">
        <f>ROUNDDOWN(AY206+(AY206*MASTER!$A$2/100),0)</f>
        <v>123552</v>
      </c>
      <c r="BA206" s="60" t="s">
        <v>107</v>
      </c>
      <c r="BC206" s="64">
        <v>0</v>
      </c>
      <c r="BG206" s="64">
        <v>0</v>
      </c>
      <c r="BK206" s="64">
        <v>0</v>
      </c>
      <c r="BS206" s="64">
        <v>0</v>
      </c>
      <c r="BV206" s="65">
        <v>128700</v>
      </c>
      <c r="BW206" s="65">
        <v>0</v>
      </c>
      <c r="BX206" s="65">
        <v>44508</v>
      </c>
      <c r="BY206" s="65">
        <v>128700</v>
      </c>
      <c r="BZ206" s="81">
        <v>100</v>
      </c>
    </row>
    <row r="207" spans="1:78" x14ac:dyDescent="0.15">
      <c r="A207" s="60">
        <v>2</v>
      </c>
      <c r="B207" s="61">
        <v>44518</v>
      </c>
      <c r="C207" s="61">
        <v>44519</v>
      </c>
      <c r="D207" s="61">
        <v>44508</v>
      </c>
      <c r="E207" s="61">
        <v>44508</v>
      </c>
      <c r="F207" s="61" t="s">
        <v>309</v>
      </c>
      <c r="G207" s="61">
        <v>44508</v>
      </c>
      <c r="H207" s="61" t="s">
        <v>309</v>
      </c>
      <c r="I207" s="60" t="s">
        <v>766</v>
      </c>
      <c r="J207" s="60">
        <v>2</v>
      </c>
      <c r="L207" s="60">
        <v>0</v>
      </c>
      <c r="M207" s="61">
        <v>44508</v>
      </c>
      <c r="O207" s="62" t="s">
        <v>331</v>
      </c>
      <c r="P207" s="60" t="s">
        <v>6</v>
      </c>
      <c r="Q207" s="62" t="s">
        <v>120</v>
      </c>
      <c r="R207" s="62" t="s">
        <v>736</v>
      </c>
      <c r="S207" s="63" t="s">
        <v>737</v>
      </c>
      <c r="T207" s="63" t="s">
        <v>364</v>
      </c>
      <c r="U207" s="64">
        <v>35000</v>
      </c>
      <c r="V207" s="64">
        <v>38500</v>
      </c>
      <c r="W207" s="64">
        <v>35000</v>
      </c>
      <c r="X207" s="64">
        <v>38500</v>
      </c>
      <c r="Z207" s="64">
        <v>0</v>
      </c>
      <c r="AA207" s="61">
        <v>44506</v>
      </c>
      <c r="AB207" s="61">
        <v>44506</v>
      </c>
      <c r="AD207" s="60">
        <v>0</v>
      </c>
      <c r="AG207" s="60">
        <v>0</v>
      </c>
      <c r="AJ207" s="60">
        <v>0</v>
      </c>
      <c r="AN207" s="60" t="s">
        <v>309</v>
      </c>
      <c r="AQ207" s="60" t="s">
        <v>875</v>
      </c>
      <c r="AR207" s="61">
        <v>44517</v>
      </c>
      <c r="AS207" s="60">
        <v>6001958882</v>
      </c>
      <c r="AT207" s="61">
        <v>44517</v>
      </c>
      <c r="AU207" s="60" t="s">
        <v>881</v>
      </c>
      <c r="AV207" s="61">
        <v>44519</v>
      </c>
      <c r="AW207" s="91">
        <v>44530</v>
      </c>
      <c r="AX207" s="91">
        <v>44550</v>
      </c>
      <c r="AY207" s="99">
        <v>33600</v>
      </c>
      <c r="AZ207" s="99">
        <f>ROUNDDOWN(AY207+(AY207*MASTER!$A$2/100),0)</f>
        <v>36960</v>
      </c>
      <c r="BA207" s="60" t="s">
        <v>613</v>
      </c>
      <c r="BB207" s="64">
        <v>33000</v>
      </c>
      <c r="BC207" s="64">
        <v>36300</v>
      </c>
      <c r="BD207" s="60" t="s">
        <v>183</v>
      </c>
      <c r="BG207" s="64">
        <v>0</v>
      </c>
      <c r="BK207" s="64">
        <v>0</v>
      </c>
      <c r="BS207" s="64">
        <v>0</v>
      </c>
      <c r="BV207" s="65">
        <v>38500</v>
      </c>
      <c r="BW207" s="65">
        <v>36300</v>
      </c>
      <c r="BX207" s="65">
        <v>44508</v>
      </c>
      <c r="BY207" s="65">
        <v>2200</v>
      </c>
      <c r="BZ207" s="81">
        <v>5.7142857142857144</v>
      </c>
    </row>
    <row r="208" spans="1:78" x14ac:dyDescent="0.15">
      <c r="A208" s="60">
        <v>1</v>
      </c>
      <c r="B208" s="61">
        <v>44511</v>
      </c>
      <c r="C208" s="61">
        <v>44516</v>
      </c>
      <c r="F208" s="61" t="s">
        <v>309</v>
      </c>
      <c r="H208" s="61" t="s">
        <v>309</v>
      </c>
      <c r="J208" s="60">
        <v>2</v>
      </c>
      <c r="L208" s="60">
        <v>0</v>
      </c>
      <c r="M208" s="61">
        <v>44508</v>
      </c>
      <c r="O208" s="62" t="s">
        <v>331</v>
      </c>
      <c r="P208" s="60" t="s">
        <v>77</v>
      </c>
      <c r="Q208" s="62" t="s">
        <v>120</v>
      </c>
      <c r="R208" s="62" t="s">
        <v>793</v>
      </c>
      <c r="S208" s="63" t="s">
        <v>794</v>
      </c>
      <c r="T208" s="63" t="s">
        <v>744</v>
      </c>
      <c r="U208" s="64">
        <v>65000</v>
      </c>
      <c r="V208" s="64">
        <v>71500</v>
      </c>
      <c r="W208" s="64">
        <v>65000</v>
      </c>
      <c r="X208" s="64">
        <v>71500</v>
      </c>
      <c r="Y208" s="64">
        <v>0</v>
      </c>
      <c r="Z208" s="64">
        <v>0</v>
      </c>
      <c r="AA208" s="61">
        <v>44515</v>
      </c>
      <c r="AB208" s="61">
        <v>44516</v>
      </c>
      <c r="AD208" s="60">
        <v>0</v>
      </c>
      <c r="AG208" s="60">
        <v>0</v>
      </c>
      <c r="AJ208" s="60">
        <v>0</v>
      </c>
      <c r="AQ208" s="60" t="s">
        <v>735</v>
      </c>
      <c r="AR208" s="61">
        <v>44510</v>
      </c>
      <c r="AS208" s="60">
        <v>6001956518</v>
      </c>
      <c r="AT208" s="61">
        <v>44511</v>
      </c>
      <c r="AU208" s="60" t="s">
        <v>789</v>
      </c>
      <c r="AV208" s="61">
        <v>44516</v>
      </c>
      <c r="AW208" s="91">
        <v>44530</v>
      </c>
      <c r="AX208" s="91">
        <v>44550</v>
      </c>
      <c r="AY208" s="99">
        <v>62400</v>
      </c>
      <c r="AZ208" s="99">
        <f>ROUNDDOWN(AY208+(AY208*MASTER!$A$2/100),0)</f>
        <v>68640</v>
      </c>
      <c r="BC208" s="64">
        <v>0</v>
      </c>
      <c r="BG208" s="64">
        <v>0</v>
      </c>
      <c r="BK208" s="64">
        <v>0</v>
      </c>
      <c r="BS208" s="64">
        <v>0</v>
      </c>
      <c r="BV208" s="65">
        <v>71500</v>
      </c>
      <c r="BW208" s="65">
        <v>0</v>
      </c>
      <c r="BX208" s="65">
        <v>44508</v>
      </c>
      <c r="BY208" s="65">
        <v>71500</v>
      </c>
      <c r="BZ208" s="81">
        <v>100</v>
      </c>
    </row>
    <row r="209" spans="1:78" x14ac:dyDescent="0.15">
      <c r="A209" s="60">
        <v>1</v>
      </c>
      <c r="B209" s="61">
        <v>44511</v>
      </c>
      <c r="C209" s="61">
        <v>44516</v>
      </c>
      <c r="F209" s="61" t="s">
        <v>309</v>
      </c>
      <c r="H209" s="61" t="s">
        <v>309</v>
      </c>
      <c r="J209" s="60">
        <v>2</v>
      </c>
      <c r="L209" s="60">
        <v>0</v>
      </c>
      <c r="M209" s="61">
        <v>44508</v>
      </c>
      <c r="O209" s="62" t="s">
        <v>331</v>
      </c>
      <c r="P209" s="60" t="s">
        <v>77</v>
      </c>
      <c r="Q209" s="62" t="s">
        <v>120</v>
      </c>
      <c r="R209" s="62" t="s">
        <v>795</v>
      </c>
      <c r="S209" s="63" t="s">
        <v>743</v>
      </c>
      <c r="T209" s="63" t="s">
        <v>744</v>
      </c>
      <c r="U209" s="64">
        <v>65000</v>
      </c>
      <c r="V209" s="64">
        <v>71500</v>
      </c>
      <c r="W209" s="64">
        <v>65000</v>
      </c>
      <c r="X209" s="64">
        <v>71500</v>
      </c>
      <c r="Y209" s="64">
        <v>0</v>
      </c>
      <c r="Z209" s="64">
        <v>0</v>
      </c>
      <c r="AA209" s="61">
        <v>44515</v>
      </c>
      <c r="AB209" s="61">
        <v>44516</v>
      </c>
      <c r="AD209" s="60">
        <v>0</v>
      </c>
      <c r="AG209" s="60">
        <v>0</v>
      </c>
      <c r="AJ209" s="60">
        <v>0</v>
      </c>
      <c r="AQ209" s="60" t="s">
        <v>778</v>
      </c>
      <c r="AR209" s="61">
        <v>44510</v>
      </c>
      <c r="AS209" s="60">
        <v>6001956518</v>
      </c>
      <c r="AT209" s="61">
        <v>44511</v>
      </c>
      <c r="AU209" s="60" t="s">
        <v>789</v>
      </c>
      <c r="AV209" s="61">
        <v>44516</v>
      </c>
      <c r="AW209" s="91">
        <v>44530</v>
      </c>
      <c r="AX209" s="91">
        <v>44550</v>
      </c>
      <c r="AY209" s="99">
        <v>62400</v>
      </c>
      <c r="AZ209" s="99">
        <f>ROUNDDOWN(AY209+(AY209*MASTER!$A$2/100),0)</f>
        <v>68640</v>
      </c>
      <c r="BC209" s="64">
        <v>0</v>
      </c>
      <c r="BG209" s="64">
        <v>0</v>
      </c>
      <c r="BK209" s="64">
        <v>0</v>
      </c>
      <c r="BS209" s="64">
        <v>0</v>
      </c>
      <c r="BV209" s="65">
        <v>71500</v>
      </c>
      <c r="BW209" s="65">
        <v>0</v>
      </c>
      <c r="BX209" s="65">
        <v>44508</v>
      </c>
      <c r="BY209" s="65">
        <v>71500</v>
      </c>
      <c r="BZ209" s="81">
        <v>100</v>
      </c>
    </row>
    <row r="210" spans="1:78" x14ac:dyDescent="0.15">
      <c r="A210" s="60">
        <v>1</v>
      </c>
      <c r="B210" s="61">
        <v>44511</v>
      </c>
      <c r="C210" s="61">
        <v>44517</v>
      </c>
      <c r="F210" s="61" t="s">
        <v>309</v>
      </c>
      <c r="H210" s="61" t="s">
        <v>309</v>
      </c>
      <c r="J210" s="60">
        <v>2</v>
      </c>
      <c r="L210" s="60">
        <v>0</v>
      </c>
      <c r="M210" s="61">
        <v>44508</v>
      </c>
      <c r="O210" s="62" t="s">
        <v>331</v>
      </c>
      <c r="P210" s="60" t="s">
        <v>77</v>
      </c>
      <c r="Q210" s="62" t="s">
        <v>120</v>
      </c>
      <c r="R210" s="62" t="s">
        <v>796</v>
      </c>
      <c r="S210" s="63" t="s">
        <v>797</v>
      </c>
      <c r="T210" s="63" t="s">
        <v>744</v>
      </c>
      <c r="U210" s="64">
        <v>65000</v>
      </c>
      <c r="V210" s="64">
        <v>71500</v>
      </c>
      <c r="W210" s="64">
        <v>65000</v>
      </c>
      <c r="X210" s="64">
        <v>71500</v>
      </c>
      <c r="Y210" s="64">
        <v>0</v>
      </c>
      <c r="Z210" s="64">
        <v>0</v>
      </c>
      <c r="AA210" s="61">
        <v>44516</v>
      </c>
      <c r="AB210" s="61">
        <v>44517</v>
      </c>
      <c r="AD210" s="60">
        <v>0</v>
      </c>
      <c r="AG210" s="60">
        <v>0</v>
      </c>
      <c r="AJ210" s="60">
        <v>0</v>
      </c>
      <c r="AQ210" s="60" t="s">
        <v>778</v>
      </c>
      <c r="AR210" s="61">
        <v>44510</v>
      </c>
      <c r="AS210" s="60">
        <v>6001956518</v>
      </c>
      <c r="AT210" s="61">
        <v>44511</v>
      </c>
      <c r="AU210" s="60" t="s">
        <v>789</v>
      </c>
      <c r="AV210" s="61">
        <v>44517</v>
      </c>
      <c r="AW210" s="91">
        <v>44530</v>
      </c>
      <c r="AX210" s="91">
        <v>44550</v>
      </c>
      <c r="AY210" s="99">
        <v>62400</v>
      </c>
      <c r="AZ210" s="99">
        <f>ROUNDDOWN(AY210+(AY210*MASTER!$A$2/100),0)</f>
        <v>68640</v>
      </c>
      <c r="BC210" s="64">
        <v>0</v>
      </c>
      <c r="BG210" s="64">
        <v>0</v>
      </c>
      <c r="BK210" s="64">
        <v>0</v>
      </c>
      <c r="BS210" s="64">
        <v>0</v>
      </c>
      <c r="BV210" s="65">
        <v>71500</v>
      </c>
      <c r="BW210" s="65">
        <v>0</v>
      </c>
      <c r="BX210" s="65">
        <v>44508</v>
      </c>
      <c r="BY210" s="65">
        <v>71500</v>
      </c>
      <c r="BZ210" s="81">
        <v>100</v>
      </c>
    </row>
    <row r="211" spans="1:78" x14ac:dyDescent="0.15">
      <c r="A211" s="60">
        <v>1</v>
      </c>
      <c r="B211" s="61">
        <v>44511</v>
      </c>
      <c r="C211" s="61">
        <v>44517</v>
      </c>
      <c r="F211" s="61" t="s">
        <v>309</v>
      </c>
      <c r="H211" s="61" t="s">
        <v>309</v>
      </c>
      <c r="J211" s="60">
        <v>2</v>
      </c>
      <c r="L211" s="60">
        <v>0</v>
      </c>
      <c r="M211" s="61">
        <v>44508</v>
      </c>
      <c r="O211" s="62" t="s">
        <v>331</v>
      </c>
      <c r="P211" s="60" t="s">
        <v>77</v>
      </c>
      <c r="Q211" s="62" t="s">
        <v>120</v>
      </c>
      <c r="R211" s="62" t="s">
        <v>798</v>
      </c>
      <c r="S211" s="63" t="s">
        <v>696</v>
      </c>
      <c r="T211" s="63" t="s">
        <v>346</v>
      </c>
      <c r="U211" s="64">
        <v>65000</v>
      </c>
      <c r="V211" s="64">
        <v>71500</v>
      </c>
      <c r="W211" s="64">
        <v>65000</v>
      </c>
      <c r="X211" s="64">
        <v>71500</v>
      </c>
      <c r="Y211" s="64">
        <v>0</v>
      </c>
      <c r="Z211" s="64">
        <v>0</v>
      </c>
      <c r="AA211" s="61">
        <v>44516</v>
      </c>
      <c r="AB211" s="61">
        <v>44517</v>
      </c>
      <c r="AD211" s="60">
        <v>0</v>
      </c>
      <c r="AG211" s="60">
        <v>0</v>
      </c>
      <c r="AJ211" s="60">
        <v>0</v>
      </c>
      <c r="AQ211" s="60" t="s">
        <v>779</v>
      </c>
      <c r="AR211" s="61">
        <v>44510</v>
      </c>
      <c r="AS211" s="60">
        <v>6001956518</v>
      </c>
      <c r="AT211" s="61">
        <v>44511</v>
      </c>
      <c r="AU211" s="60" t="s">
        <v>789</v>
      </c>
      <c r="AV211" s="61">
        <v>44517</v>
      </c>
      <c r="AW211" s="91">
        <v>44530</v>
      </c>
      <c r="AX211" s="91">
        <v>44550</v>
      </c>
      <c r="AY211" s="107">
        <v>65000</v>
      </c>
      <c r="AZ211" s="107">
        <f>ROUNDDOWN(AY211+(AY211*MASTER!$A$2/100),0)</f>
        <v>71500</v>
      </c>
      <c r="BC211" s="64">
        <v>0</v>
      </c>
      <c r="BG211" s="64">
        <v>0</v>
      </c>
      <c r="BK211" s="64">
        <v>0</v>
      </c>
      <c r="BS211" s="64">
        <v>0</v>
      </c>
      <c r="BV211" s="65">
        <v>71500</v>
      </c>
      <c r="BW211" s="65">
        <v>0</v>
      </c>
      <c r="BX211" s="65">
        <v>44508</v>
      </c>
      <c r="BY211" s="65">
        <v>71500</v>
      </c>
      <c r="BZ211" s="81">
        <v>100</v>
      </c>
    </row>
    <row r="212" spans="1:78" x14ac:dyDescent="0.15">
      <c r="A212" s="60">
        <v>2</v>
      </c>
      <c r="B212" s="61">
        <v>44602</v>
      </c>
      <c r="C212" s="61">
        <v>44635</v>
      </c>
      <c r="E212" s="61">
        <v>44622</v>
      </c>
      <c r="F212" s="61">
        <v>44622</v>
      </c>
      <c r="G212" s="61">
        <v>44617</v>
      </c>
      <c r="H212" s="61">
        <v>44618</v>
      </c>
      <c r="I212" s="60" t="s">
        <v>511</v>
      </c>
      <c r="J212" s="60">
        <v>2</v>
      </c>
      <c r="L212" s="60">
        <v>0</v>
      </c>
      <c r="M212" s="61">
        <v>44509</v>
      </c>
      <c r="O212" s="62" t="s">
        <v>331</v>
      </c>
      <c r="P212" s="60" t="s">
        <v>26</v>
      </c>
      <c r="Q212" s="62" t="s">
        <v>120</v>
      </c>
      <c r="R212" s="62" t="s">
        <v>2294</v>
      </c>
      <c r="S212" s="63" t="s">
        <v>2295</v>
      </c>
      <c r="T212" s="63" t="s">
        <v>656</v>
      </c>
      <c r="U212" s="64">
        <v>49500</v>
      </c>
      <c r="V212" s="64">
        <v>54450</v>
      </c>
      <c r="W212" s="64">
        <v>49500</v>
      </c>
      <c r="X212" s="64">
        <v>54450</v>
      </c>
      <c r="Z212" s="64">
        <v>0</v>
      </c>
      <c r="AA212" s="61">
        <v>44614</v>
      </c>
      <c r="AB212" s="61">
        <v>44615</v>
      </c>
      <c r="AC212" s="61">
        <v>44615</v>
      </c>
      <c r="AD212" s="60">
        <v>0</v>
      </c>
      <c r="AG212" s="60">
        <v>0</v>
      </c>
      <c r="AJ212" s="60">
        <v>0</v>
      </c>
      <c r="AN212" s="60" t="s">
        <v>309</v>
      </c>
      <c r="AQ212" s="60" t="s">
        <v>1124</v>
      </c>
      <c r="AR212" s="61">
        <v>44533</v>
      </c>
      <c r="AS212" s="60">
        <v>6001965090</v>
      </c>
      <c r="AT212" s="61">
        <v>44533</v>
      </c>
      <c r="AU212" s="60" t="s">
        <v>1132</v>
      </c>
      <c r="AV212" s="61">
        <v>44635</v>
      </c>
      <c r="AW212" s="91">
        <v>44620</v>
      </c>
      <c r="AX212" s="91">
        <v>44640</v>
      </c>
      <c r="AY212" s="99">
        <v>47520</v>
      </c>
      <c r="AZ212" s="99">
        <f>ROUNDDOWN(AY212+(AY212*MASTER!$A$2/100),0)</f>
        <v>52272</v>
      </c>
      <c r="BA212" s="60" t="s">
        <v>318</v>
      </c>
      <c r="BB212" s="64">
        <v>33000</v>
      </c>
      <c r="BC212" s="64">
        <v>36300</v>
      </c>
      <c r="BD212" s="60" t="s">
        <v>2044</v>
      </c>
      <c r="BG212" s="64">
        <v>0</v>
      </c>
      <c r="BK212" s="64">
        <v>0</v>
      </c>
      <c r="BS212" s="64">
        <v>0</v>
      </c>
      <c r="BV212" s="65">
        <v>54450</v>
      </c>
      <c r="BW212" s="65">
        <v>36300</v>
      </c>
      <c r="BX212" s="65">
        <v>44509</v>
      </c>
      <c r="BY212" s="65">
        <v>18150</v>
      </c>
      <c r="BZ212" s="81">
        <v>33.333333333333329</v>
      </c>
    </row>
    <row r="213" spans="1:78" x14ac:dyDescent="0.15">
      <c r="A213" s="60">
        <v>1</v>
      </c>
      <c r="B213" s="61">
        <v>44551</v>
      </c>
      <c r="C213" s="61">
        <v>44554</v>
      </c>
      <c r="F213" s="61" t="s">
        <v>309</v>
      </c>
      <c r="H213" s="61" t="s">
        <v>309</v>
      </c>
      <c r="J213" s="60">
        <v>3</v>
      </c>
      <c r="L213" s="60">
        <v>0</v>
      </c>
      <c r="M213" s="61">
        <v>44509</v>
      </c>
      <c r="O213" s="62" t="s">
        <v>331</v>
      </c>
      <c r="P213" s="60" t="s">
        <v>6</v>
      </c>
      <c r="Q213" s="62" t="s">
        <v>120</v>
      </c>
      <c r="R213" s="62" t="s">
        <v>787</v>
      </c>
      <c r="S213" s="63" t="s">
        <v>788</v>
      </c>
      <c r="T213" s="63" t="s">
        <v>463</v>
      </c>
      <c r="U213" s="64">
        <v>9000</v>
      </c>
      <c r="V213" s="64">
        <v>9900</v>
      </c>
      <c r="W213" s="64">
        <v>0</v>
      </c>
      <c r="X213" s="64">
        <v>0</v>
      </c>
      <c r="Y213" s="64">
        <v>9000</v>
      </c>
      <c r="Z213" s="64">
        <v>9900</v>
      </c>
      <c r="AD213" s="60">
        <v>0</v>
      </c>
      <c r="AG213" s="60">
        <v>0</v>
      </c>
      <c r="AJ213" s="60">
        <v>0</v>
      </c>
      <c r="AN213" s="60" t="s">
        <v>309</v>
      </c>
      <c r="AQ213" s="60" t="s">
        <v>874</v>
      </c>
      <c r="AR213" s="61">
        <v>44517</v>
      </c>
      <c r="AS213" s="60">
        <v>6001958882</v>
      </c>
      <c r="AT213" s="61">
        <v>44517</v>
      </c>
      <c r="AU213" s="60" t="s">
        <v>881</v>
      </c>
      <c r="AV213" s="61">
        <v>44554</v>
      </c>
      <c r="AW213" s="91">
        <v>44561</v>
      </c>
      <c r="AX213" s="91">
        <v>44581</v>
      </c>
      <c r="AY213" s="99">
        <v>8640</v>
      </c>
      <c r="AZ213" s="99">
        <f>ROUNDDOWN(AY213+(AY213*MASTER!$A$2/100),0)</f>
        <v>9504</v>
      </c>
      <c r="BC213" s="64">
        <v>0</v>
      </c>
      <c r="BG213" s="64">
        <v>0</v>
      </c>
      <c r="BK213" s="64">
        <v>0</v>
      </c>
      <c r="BS213" s="64">
        <v>0</v>
      </c>
      <c r="BV213" s="65">
        <v>0</v>
      </c>
      <c r="BW213" s="65">
        <v>0</v>
      </c>
      <c r="BX213" s="65">
        <v>44509</v>
      </c>
      <c r="BY213" s="65">
        <v>0</v>
      </c>
      <c r="BZ213" s="81" t="s">
        <v>309</v>
      </c>
    </row>
    <row r="214" spans="1:78" x14ac:dyDescent="0.15">
      <c r="A214" s="60">
        <v>2</v>
      </c>
      <c r="B214" s="61">
        <v>44532</v>
      </c>
      <c r="C214" s="61">
        <v>44536</v>
      </c>
      <c r="D214" s="61">
        <v>44564</v>
      </c>
      <c r="E214" s="61">
        <v>44544</v>
      </c>
      <c r="F214" s="61">
        <v>44543</v>
      </c>
      <c r="G214" s="61">
        <v>44536</v>
      </c>
      <c r="H214" s="61">
        <v>44539</v>
      </c>
      <c r="I214" s="60" t="s">
        <v>612</v>
      </c>
      <c r="J214" s="60">
        <v>1</v>
      </c>
      <c r="L214" s="60">
        <v>0</v>
      </c>
      <c r="M214" s="61">
        <v>44509</v>
      </c>
      <c r="O214" s="62" t="s">
        <v>331</v>
      </c>
      <c r="P214" s="60" t="s">
        <v>26</v>
      </c>
      <c r="Q214" s="62" t="s">
        <v>120</v>
      </c>
      <c r="R214" s="62" t="s">
        <v>760</v>
      </c>
      <c r="S214" s="63" t="s">
        <v>757</v>
      </c>
      <c r="T214" s="63" t="s">
        <v>759</v>
      </c>
      <c r="U214" s="64">
        <v>273500</v>
      </c>
      <c r="V214" s="64">
        <v>300850</v>
      </c>
      <c r="W214" s="64">
        <v>110000</v>
      </c>
      <c r="X214" s="64">
        <v>121000</v>
      </c>
      <c r="Y214" s="64">
        <v>163500</v>
      </c>
      <c r="Z214" s="64">
        <v>179850</v>
      </c>
      <c r="AA214" s="61">
        <v>44535</v>
      </c>
      <c r="AB214" s="61">
        <v>44536</v>
      </c>
      <c r="AC214" s="61">
        <v>44536</v>
      </c>
      <c r="AD214" s="60">
        <v>0</v>
      </c>
      <c r="AG214" s="60">
        <v>0</v>
      </c>
      <c r="AJ214" s="60">
        <v>0</v>
      </c>
      <c r="AM214" s="60" t="s">
        <v>273</v>
      </c>
      <c r="AN214" s="60" t="s">
        <v>761</v>
      </c>
      <c r="AQ214" s="60" t="s">
        <v>1102</v>
      </c>
      <c r="AR214" s="61">
        <v>44529</v>
      </c>
      <c r="AS214" s="60">
        <v>6001963225</v>
      </c>
      <c r="AT214" s="61">
        <v>44530</v>
      </c>
      <c r="AU214" s="60" t="s">
        <v>1077</v>
      </c>
      <c r="AV214" s="61">
        <v>44536</v>
      </c>
      <c r="AW214" s="91">
        <v>44561</v>
      </c>
      <c r="AX214" s="91">
        <v>44581</v>
      </c>
      <c r="AY214" s="99">
        <v>262560</v>
      </c>
      <c r="AZ214" s="99">
        <f>ROUNDDOWN(AY214+(AY214*MASTER!$A$2/100),0)</f>
        <v>288816</v>
      </c>
      <c r="BA214" s="60" t="s">
        <v>317</v>
      </c>
      <c r="BB214" s="64">
        <v>35000</v>
      </c>
      <c r="BC214" s="64">
        <v>38500</v>
      </c>
      <c r="BD214" s="60" t="s">
        <v>184</v>
      </c>
      <c r="BG214" s="64">
        <v>0</v>
      </c>
      <c r="BI214" s="60" t="s">
        <v>267</v>
      </c>
      <c r="BJ214" s="64">
        <v>106275</v>
      </c>
      <c r="BK214" s="64">
        <v>116902.5</v>
      </c>
      <c r="BL214" s="60" t="s">
        <v>1366</v>
      </c>
      <c r="BS214" s="64">
        <v>0</v>
      </c>
      <c r="BV214" s="65">
        <v>121000</v>
      </c>
      <c r="BW214" s="65">
        <v>155402.5</v>
      </c>
      <c r="BX214" s="65">
        <v>44509</v>
      </c>
      <c r="BY214" s="65">
        <v>-34402.5</v>
      </c>
      <c r="BZ214" s="81">
        <v>-28.43181818181818</v>
      </c>
    </row>
    <row r="215" spans="1:78" x14ac:dyDescent="0.15">
      <c r="A215" s="60">
        <v>2</v>
      </c>
      <c r="B215" s="61">
        <v>44546</v>
      </c>
      <c r="C215" s="61">
        <v>44550</v>
      </c>
      <c r="D215" s="61">
        <v>44564</v>
      </c>
      <c r="E215" s="61">
        <v>44552</v>
      </c>
      <c r="F215" s="61">
        <v>44557</v>
      </c>
      <c r="G215" s="61">
        <v>44550</v>
      </c>
      <c r="H215" s="61">
        <v>44553</v>
      </c>
      <c r="I215" s="60" t="s">
        <v>612</v>
      </c>
      <c r="J215" s="60">
        <v>1</v>
      </c>
      <c r="L215" s="60">
        <v>0</v>
      </c>
      <c r="M215" s="61">
        <v>44509</v>
      </c>
      <c r="O215" s="62" t="s">
        <v>331</v>
      </c>
      <c r="P215" s="60" t="s">
        <v>26</v>
      </c>
      <c r="Q215" s="62" t="s">
        <v>120</v>
      </c>
      <c r="R215" s="62" t="s">
        <v>763</v>
      </c>
      <c r="S215" s="63" t="s">
        <v>758</v>
      </c>
      <c r="T215" s="63" t="s">
        <v>762</v>
      </c>
      <c r="U215" s="64">
        <v>273500</v>
      </c>
      <c r="V215" s="64">
        <v>300850</v>
      </c>
      <c r="W215" s="64">
        <v>110000</v>
      </c>
      <c r="X215" s="64">
        <v>121000</v>
      </c>
      <c r="Y215" s="64">
        <v>163500</v>
      </c>
      <c r="Z215" s="64">
        <v>179850</v>
      </c>
      <c r="AA215" s="61">
        <v>44549</v>
      </c>
      <c r="AB215" s="61">
        <v>44550</v>
      </c>
      <c r="AC215" s="61">
        <v>44550</v>
      </c>
      <c r="AD215" s="60">
        <v>0</v>
      </c>
      <c r="AG215" s="60">
        <v>0</v>
      </c>
      <c r="AJ215" s="60">
        <v>0</v>
      </c>
      <c r="AM215" s="60" t="s">
        <v>273</v>
      </c>
      <c r="AN215" s="60" t="s">
        <v>1007</v>
      </c>
      <c r="AQ215" s="60" t="s">
        <v>1318</v>
      </c>
      <c r="AR215" s="61">
        <v>44529</v>
      </c>
      <c r="AS215" s="60">
        <v>6001963225</v>
      </c>
      <c r="AT215" s="61">
        <v>44530</v>
      </c>
      <c r="AU215" s="60" t="s">
        <v>1077</v>
      </c>
      <c r="AV215" s="61">
        <v>44550</v>
      </c>
      <c r="AW215" s="91">
        <v>44561</v>
      </c>
      <c r="AX215" s="91">
        <v>44581</v>
      </c>
      <c r="AY215" s="99">
        <v>262560</v>
      </c>
      <c r="AZ215" s="99">
        <f>ROUNDDOWN(AY215+(AY215*MASTER!$A$2/100),0)</f>
        <v>288816</v>
      </c>
      <c r="BA215" s="60" t="s">
        <v>317</v>
      </c>
      <c r="BB215" s="64">
        <v>35000</v>
      </c>
      <c r="BC215" s="64">
        <v>38500</v>
      </c>
      <c r="BD215" s="60" t="s">
        <v>184</v>
      </c>
      <c r="BG215" s="64">
        <v>0</v>
      </c>
      <c r="BI215" s="60" t="s">
        <v>267</v>
      </c>
      <c r="BJ215" s="64">
        <v>106275</v>
      </c>
      <c r="BK215" s="64">
        <v>116902.5</v>
      </c>
      <c r="BL215" s="60" t="s">
        <v>1366</v>
      </c>
      <c r="BS215" s="64">
        <v>0</v>
      </c>
      <c r="BV215" s="65">
        <v>121000</v>
      </c>
      <c r="BW215" s="65">
        <v>155402.5</v>
      </c>
      <c r="BX215" s="65">
        <v>44509</v>
      </c>
      <c r="BY215" s="65">
        <v>-34402.5</v>
      </c>
      <c r="BZ215" s="81">
        <v>-28.43181818181818</v>
      </c>
    </row>
    <row r="216" spans="1:78" x14ac:dyDescent="0.15">
      <c r="A216" s="60">
        <v>2</v>
      </c>
      <c r="B216" s="61">
        <v>44551</v>
      </c>
      <c r="C216" s="61">
        <v>44555</v>
      </c>
      <c r="D216" s="61">
        <v>44574</v>
      </c>
      <c r="E216" s="61">
        <v>44558</v>
      </c>
      <c r="F216" s="61">
        <v>44562</v>
      </c>
      <c r="G216" s="61">
        <v>44558</v>
      </c>
      <c r="H216" s="61">
        <v>44558</v>
      </c>
      <c r="I216" s="60" t="s">
        <v>511</v>
      </c>
      <c r="J216" s="60">
        <v>1</v>
      </c>
      <c r="L216" s="60">
        <v>0</v>
      </c>
      <c r="M216" s="61">
        <v>44510</v>
      </c>
      <c r="O216" s="62" t="s">
        <v>331</v>
      </c>
      <c r="P216" s="60" t="s">
        <v>26</v>
      </c>
      <c r="Q216" s="62" t="s">
        <v>120</v>
      </c>
      <c r="R216" s="62" t="s">
        <v>1380</v>
      </c>
      <c r="S216" s="63" t="s">
        <v>1381</v>
      </c>
      <c r="T216" s="63" t="s">
        <v>498</v>
      </c>
      <c r="U216" s="64">
        <v>76200</v>
      </c>
      <c r="V216" s="64">
        <v>83820</v>
      </c>
      <c r="W216" s="64">
        <v>47000</v>
      </c>
      <c r="X216" s="64">
        <v>51700</v>
      </c>
      <c r="Y216" s="64">
        <v>29200</v>
      </c>
      <c r="Z216" s="64">
        <v>32120</v>
      </c>
      <c r="AA216" s="61">
        <v>44553</v>
      </c>
      <c r="AB216" s="61">
        <v>44555</v>
      </c>
      <c r="AC216" s="61">
        <v>44555</v>
      </c>
      <c r="AD216" s="60">
        <v>0</v>
      </c>
      <c r="AG216" s="60">
        <v>0</v>
      </c>
      <c r="AJ216" s="60">
        <v>0</v>
      </c>
      <c r="AM216" s="60" t="s">
        <v>273</v>
      </c>
      <c r="AN216" s="60" t="s">
        <v>1382</v>
      </c>
      <c r="AQ216" s="60" t="s">
        <v>937</v>
      </c>
      <c r="AR216" s="61">
        <v>44525</v>
      </c>
      <c r="AS216" s="60">
        <v>6001962042</v>
      </c>
      <c r="AT216" s="61">
        <v>44525</v>
      </c>
      <c r="AU216" s="60" t="s">
        <v>941</v>
      </c>
      <c r="AV216" s="61">
        <v>44555</v>
      </c>
      <c r="AW216" s="91">
        <v>44561</v>
      </c>
      <c r="AX216" s="91">
        <v>44581</v>
      </c>
      <c r="AY216" s="99">
        <v>73152</v>
      </c>
      <c r="AZ216" s="99">
        <f>ROUNDDOWN(AY216+(AY216*MASTER!$A$2/100),0)</f>
        <v>80467</v>
      </c>
      <c r="BA216" s="60" t="s">
        <v>765</v>
      </c>
      <c r="BC216" s="64">
        <v>0</v>
      </c>
      <c r="BG216" s="64">
        <v>0</v>
      </c>
      <c r="BI216" s="60" t="s">
        <v>748</v>
      </c>
      <c r="BJ216" s="64">
        <v>18980</v>
      </c>
      <c r="BK216" s="64">
        <v>20878</v>
      </c>
      <c r="BL216" s="60" t="s">
        <v>184</v>
      </c>
      <c r="BS216" s="64">
        <v>0</v>
      </c>
      <c r="BV216" s="65">
        <v>51700</v>
      </c>
      <c r="BW216" s="65">
        <v>20878</v>
      </c>
      <c r="BX216" s="65">
        <v>44510</v>
      </c>
      <c r="BY216" s="65">
        <v>30822</v>
      </c>
      <c r="BZ216" s="81">
        <v>59.61702127659575</v>
      </c>
    </row>
    <row r="217" spans="1:78" x14ac:dyDescent="0.15">
      <c r="A217" s="60">
        <v>2</v>
      </c>
      <c r="B217" s="61">
        <v>44543</v>
      </c>
      <c r="C217" s="61">
        <v>44546</v>
      </c>
      <c r="D217" s="61" t="s">
        <v>764</v>
      </c>
      <c r="E217" s="61">
        <v>44551</v>
      </c>
      <c r="F217" s="61">
        <v>44553</v>
      </c>
      <c r="G217" s="61">
        <v>44551</v>
      </c>
      <c r="H217" s="61">
        <v>44549</v>
      </c>
      <c r="I217" s="60" t="s">
        <v>511</v>
      </c>
      <c r="J217" s="60">
        <v>1</v>
      </c>
      <c r="L217" s="60">
        <v>0</v>
      </c>
      <c r="M217" s="61">
        <v>44510</v>
      </c>
      <c r="O217" s="62" t="s">
        <v>331</v>
      </c>
      <c r="P217" s="60" t="s">
        <v>26</v>
      </c>
      <c r="Q217" s="62" t="s">
        <v>120</v>
      </c>
      <c r="R217" s="62" t="s">
        <v>1258</v>
      </c>
      <c r="S217" s="63" t="s">
        <v>1259</v>
      </c>
      <c r="T217" s="63" t="s">
        <v>1260</v>
      </c>
      <c r="U217" s="64">
        <v>23900</v>
      </c>
      <c r="V217" s="64">
        <v>26290</v>
      </c>
      <c r="W217" s="64">
        <v>14700</v>
      </c>
      <c r="X217" s="64">
        <v>16170</v>
      </c>
      <c r="Y217" s="64">
        <v>9200</v>
      </c>
      <c r="Z217" s="64">
        <v>10120</v>
      </c>
      <c r="AA217" s="61">
        <v>44545</v>
      </c>
      <c r="AB217" s="61">
        <v>44546</v>
      </c>
      <c r="AC217" s="61">
        <v>44546</v>
      </c>
      <c r="AD217" s="60">
        <v>0</v>
      </c>
      <c r="AG217" s="60">
        <v>0</v>
      </c>
      <c r="AJ217" s="60">
        <v>0</v>
      </c>
      <c r="AM217" s="60" t="s">
        <v>273</v>
      </c>
      <c r="AN217" s="60" t="s">
        <v>1261</v>
      </c>
      <c r="AQ217" s="60" t="s">
        <v>934</v>
      </c>
      <c r="AR217" s="61">
        <v>44525</v>
      </c>
      <c r="AS217" s="60">
        <v>6001962042</v>
      </c>
      <c r="AT217" s="61">
        <v>44525</v>
      </c>
      <c r="AU217" s="60" t="s">
        <v>941</v>
      </c>
      <c r="AV217" s="61">
        <v>44546</v>
      </c>
      <c r="AW217" s="91">
        <v>44561</v>
      </c>
      <c r="AX217" s="91">
        <v>44581</v>
      </c>
      <c r="AY217" s="99">
        <v>22944</v>
      </c>
      <c r="AZ217" s="99">
        <f>ROUNDDOWN(AY217+(AY217*MASTER!$A$2/100),0)</f>
        <v>25238</v>
      </c>
      <c r="BA217" s="60" t="s">
        <v>765</v>
      </c>
      <c r="BC217" s="64">
        <v>0</v>
      </c>
      <c r="BG217" s="64">
        <v>0</v>
      </c>
      <c r="BI217" s="60" t="s">
        <v>267</v>
      </c>
      <c r="BJ217" s="64">
        <v>5980</v>
      </c>
      <c r="BK217" s="64">
        <v>6578</v>
      </c>
      <c r="BL217" s="60" t="s">
        <v>184</v>
      </c>
      <c r="BS217" s="64">
        <v>0</v>
      </c>
      <c r="BV217" s="65">
        <v>16170</v>
      </c>
      <c r="BW217" s="65">
        <v>6578</v>
      </c>
      <c r="BX217" s="65">
        <v>44510</v>
      </c>
      <c r="BY217" s="65">
        <v>9592</v>
      </c>
      <c r="BZ217" s="81">
        <v>59.319727891156461</v>
      </c>
    </row>
    <row r="218" spans="1:78" x14ac:dyDescent="0.15">
      <c r="A218" s="60">
        <v>2</v>
      </c>
      <c r="B218" s="61">
        <v>44536</v>
      </c>
      <c r="C218" s="61">
        <v>44540</v>
      </c>
      <c r="D218" s="61">
        <v>44564</v>
      </c>
      <c r="E218" s="61">
        <v>44545</v>
      </c>
      <c r="F218" s="61">
        <v>44547</v>
      </c>
      <c r="G218" s="61">
        <v>44539</v>
      </c>
      <c r="H218" s="61">
        <v>44543</v>
      </c>
      <c r="I218" s="60" t="s">
        <v>612</v>
      </c>
      <c r="J218" s="60">
        <v>1</v>
      </c>
      <c r="L218" s="60">
        <v>0</v>
      </c>
      <c r="M218" s="61">
        <v>44510</v>
      </c>
      <c r="O218" s="62" t="s">
        <v>331</v>
      </c>
      <c r="P218" s="60" t="s">
        <v>26</v>
      </c>
      <c r="Q218" s="62" t="s">
        <v>120</v>
      </c>
      <c r="R218" s="62" t="s">
        <v>1148</v>
      </c>
      <c r="S218" s="63" t="s">
        <v>1028</v>
      </c>
      <c r="T218" s="63" t="s">
        <v>1149</v>
      </c>
      <c r="U218" s="64">
        <v>178500</v>
      </c>
      <c r="V218" s="64">
        <v>196350</v>
      </c>
      <c r="W218" s="64">
        <v>86000</v>
      </c>
      <c r="X218" s="64">
        <v>94600</v>
      </c>
      <c r="Y218" s="64">
        <v>92500</v>
      </c>
      <c r="Z218" s="64">
        <v>101750</v>
      </c>
      <c r="AA218" s="61">
        <v>44538</v>
      </c>
      <c r="AB218" s="61">
        <v>44540</v>
      </c>
      <c r="AC218" s="61">
        <v>44540</v>
      </c>
      <c r="AD218" s="60">
        <v>0</v>
      </c>
      <c r="AG218" s="60">
        <v>0</v>
      </c>
      <c r="AJ218" s="60">
        <v>0</v>
      </c>
      <c r="AM218" s="60" t="s">
        <v>273</v>
      </c>
      <c r="AN218" s="60" t="s">
        <v>1150</v>
      </c>
      <c r="AQ218" s="60" t="s">
        <v>938</v>
      </c>
      <c r="AR218" s="61">
        <v>44525</v>
      </c>
      <c r="AS218" s="60">
        <v>6001962042</v>
      </c>
      <c r="AT218" s="61">
        <v>44525</v>
      </c>
      <c r="AU218" s="60" t="s">
        <v>941</v>
      </c>
      <c r="AV218" s="61">
        <v>44540</v>
      </c>
      <c r="AW218" s="91">
        <v>44561</v>
      </c>
      <c r="AX218" s="91">
        <v>44581</v>
      </c>
      <c r="AY218" s="99">
        <v>171360</v>
      </c>
      <c r="AZ218" s="99">
        <f>ROUNDDOWN(AY218+(AY218*MASTER!$A$2/100),0)</f>
        <v>188496</v>
      </c>
      <c r="BA218" s="60" t="s">
        <v>317</v>
      </c>
      <c r="BB218" s="64">
        <v>35000</v>
      </c>
      <c r="BC218" s="64">
        <v>38500</v>
      </c>
      <c r="BD218" s="60" t="s">
        <v>184</v>
      </c>
      <c r="BG218" s="64">
        <v>0</v>
      </c>
      <c r="BI218" s="60" t="s">
        <v>267</v>
      </c>
      <c r="BJ218" s="64">
        <v>60125</v>
      </c>
      <c r="BK218" s="64">
        <v>66137.5</v>
      </c>
      <c r="BL218" s="60" t="s">
        <v>1366</v>
      </c>
      <c r="BS218" s="64">
        <v>0</v>
      </c>
      <c r="BV218" s="65">
        <v>94600</v>
      </c>
      <c r="BW218" s="65">
        <v>104637.5</v>
      </c>
      <c r="BX218" s="65">
        <v>44510</v>
      </c>
      <c r="BY218" s="65">
        <v>-10037.5</v>
      </c>
      <c r="BZ218" s="81">
        <v>-10.61046511627907</v>
      </c>
    </row>
    <row r="219" spans="1:78" x14ac:dyDescent="0.15">
      <c r="A219" s="60">
        <v>2</v>
      </c>
      <c r="B219" s="61">
        <v>44546</v>
      </c>
      <c r="C219" s="61">
        <v>44551</v>
      </c>
      <c r="D219" s="61">
        <v>44564</v>
      </c>
      <c r="E219" s="61">
        <v>44552</v>
      </c>
      <c r="F219" s="61">
        <v>44558</v>
      </c>
      <c r="G219" s="61">
        <v>44551</v>
      </c>
      <c r="H219" s="61">
        <v>44554</v>
      </c>
      <c r="I219" s="60" t="s">
        <v>612</v>
      </c>
      <c r="J219" s="60">
        <v>1</v>
      </c>
      <c r="L219" s="60">
        <v>0</v>
      </c>
      <c r="M219" s="61">
        <v>44510</v>
      </c>
      <c r="O219" s="62" t="s">
        <v>331</v>
      </c>
      <c r="P219" s="60" t="s">
        <v>26</v>
      </c>
      <c r="Q219" s="62" t="s">
        <v>120</v>
      </c>
      <c r="R219" s="62" t="s">
        <v>1319</v>
      </c>
      <c r="S219" s="63" t="s">
        <v>702</v>
      </c>
      <c r="T219" s="63" t="s">
        <v>1320</v>
      </c>
      <c r="U219" s="64">
        <v>174500</v>
      </c>
      <c r="V219" s="64">
        <v>191950</v>
      </c>
      <c r="W219" s="64">
        <v>86000</v>
      </c>
      <c r="X219" s="64">
        <v>94600</v>
      </c>
      <c r="Y219" s="64">
        <v>88500</v>
      </c>
      <c r="Z219" s="64">
        <v>97350</v>
      </c>
      <c r="AA219" s="61">
        <v>44550</v>
      </c>
      <c r="AB219" s="61">
        <v>44551</v>
      </c>
      <c r="AC219" s="61">
        <v>44551</v>
      </c>
      <c r="AD219" s="60">
        <v>0</v>
      </c>
      <c r="AG219" s="60">
        <v>0</v>
      </c>
      <c r="AJ219" s="60">
        <v>0</v>
      </c>
      <c r="AM219" s="60" t="s">
        <v>273</v>
      </c>
      <c r="AN219" s="60" t="s">
        <v>1321</v>
      </c>
      <c r="AQ219" s="60" t="s">
        <v>958</v>
      </c>
      <c r="AR219" s="61">
        <v>44526</v>
      </c>
      <c r="AS219" s="60">
        <v>6001962384</v>
      </c>
      <c r="AT219" s="61">
        <v>44529</v>
      </c>
      <c r="AU219" s="60" t="s">
        <v>995</v>
      </c>
      <c r="AV219" s="61">
        <v>44551</v>
      </c>
      <c r="AW219" s="91">
        <v>44561</v>
      </c>
      <c r="AX219" s="91">
        <v>44581</v>
      </c>
      <c r="AY219" s="99">
        <v>167520</v>
      </c>
      <c r="AZ219" s="99">
        <f>ROUNDDOWN(AY219+(AY219*MASTER!$A$2/100),0)</f>
        <v>184272</v>
      </c>
      <c r="BA219" s="60" t="s">
        <v>317</v>
      </c>
      <c r="BB219" s="64">
        <v>44000</v>
      </c>
      <c r="BC219" s="64">
        <v>48400</v>
      </c>
      <c r="BD219" s="60" t="s">
        <v>184</v>
      </c>
      <c r="BG219" s="64">
        <v>0</v>
      </c>
      <c r="BI219" s="60" t="s">
        <v>267</v>
      </c>
      <c r="BJ219" s="64">
        <v>57525</v>
      </c>
      <c r="BK219" s="64">
        <v>63277.5</v>
      </c>
      <c r="BL219" s="60" t="s">
        <v>1366</v>
      </c>
      <c r="BS219" s="64">
        <v>0</v>
      </c>
      <c r="BV219" s="65">
        <v>94600</v>
      </c>
      <c r="BW219" s="65">
        <v>111677.5</v>
      </c>
      <c r="BX219" s="65">
        <v>44510</v>
      </c>
      <c r="BY219" s="65">
        <v>-17077.5</v>
      </c>
      <c r="BZ219" s="81">
        <v>-18.052325581395348</v>
      </c>
    </row>
    <row r="220" spans="1:78" x14ac:dyDescent="0.15">
      <c r="A220" s="60">
        <v>2</v>
      </c>
      <c r="B220" s="61">
        <v>44546</v>
      </c>
      <c r="C220" s="61">
        <v>44551</v>
      </c>
      <c r="D220" s="61" t="s">
        <v>764</v>
      </c>
      <c r="E220" s="61">
        <v>44558</v>
      </c>
      <c r="F220" s="61">
        <v>44558</v>
      </c>
      <c r="G220" s="61">
        <v>44558</v>
      </c>
      <c r="H220" s="61">
        <v>44554</v>
      </c>
      <c r="I220" s="60" t="s">
        <v>511</v>
      </c>
      <c r="J220" s="60">
        <v>1</v>
      </c>
      <c r="L220" s="60">
        <v>0</v>
      </c>
      <c r="M220" s="61">
        <v>44510</v>
      </c>
      <c r="O220" s="62" t="s">
        <v>331</v>
      </c>
      <c r="P220" s="60" t="s">
        <v>26</v>
      </c>
      <c r="Q220" s="62" t="s">
        <v>120</v>
      </c>
      <c r="R220" s="62" t="s">
        <v>1322</v>
      </c>
      <c r="S220" s="63" t="s">
        <v>1323</v>
      </c>
      <c r="T220" s="63" t="s">
        <v>502</v>
      </c>
      <c r="U220" s="64">
        <v>23900</v>
      </c>
      <c r="V220" s="64">
        <v>26290</v>
      </c>
      <c r="W220" s="64">
        <v>14700</v>
      </c>
      <c r="X220" s="64">
        <v>16170</v>
      </c>
      <c r="Y220" s="64">
        <v>9200</v>
      </c>
      <c r="Z220" s="64">
        <v>10120</v>
      </c>
      <c r="AA220" s="61">
        <v>44550</v>
      </c>
      <c r="AB220" s="61">
        <v>44551</v>
      </c>
      <c r="AC220" s="61">
        <v>44551</v>
      </c>
      <c r="AD220" s="60">
        <v>0</v>
      </c>
      <c r="AG220" s="60">
        <v>0</v>
      </c>
      <c r="AJ220" s="60">
        <v>0</v>
      </c>
      <c r="AM220" s="60" t="s">
        <v>273</v>
      </c>
      <c r="AN220" s="60" t="s">
        <v>1324</v>
      </c>
      <c r="AQ220" s="60" t="s">
        <v>936</v>
      </c>
      <c r="AR220" s="61">
        <v>44525</v>
      </c>
      <c r="AS220" s="60">
        <v>6001962042</v>
      </c>
      <c r="AT220" s="61">
        <v>44525</v>
      </c>
      <c r="AU220" s="60" t="s">
        <v>941</v>
      </c>
      <c r="AV220" s="61">
        <v>44551</v>
      </c>
      <c r="AW220" s="91">
        <v>44561</v>
      </c>
      <c r="AX220" s="91">
        <v>44581</v>
      </c>
      <c r="AY220" s="99">
        <v>22944</v>
      </c>
      <c r="AZ220" s="99">
        <f>ROUNDDOWN(AY220+(AY220*MASTER!$A$2/100),0)</f>
        <v>25238</v>
      </c>
      <c r="BA220" s="60" t="s">
        <v>765</v>
      </c>
      <c r="BC220" s="64">
        <v>0</v>
      </c>
      <c r="BG220" s="64">
        <v>0</v>
      </c>
      <c r="BI220" s="60" t="s">
        <v>267</v>
      </c>
      <c r="BJ220" s="64">
        <v>5980</v>
      </c>
      <c r="BK220" s="64">
        <v>6578</v>
      </c>
      <c r="BL220" s="60" t="s">
        <v>1366</v>
      </c>
      <c r="BS220" s="64">
        <v>0</v>
      </c>
      <c r="BV220" s="65">
        <v>16170</v>
      </c>
      <c r="BW220" s="65">
        <v>6578</v>
      </c>
      <c r="BX220" s="65">
        <v>44510</v>
      </c>
      <c r="BY220" s="65">
        <v>9592</v>
      </c>
      <c r="BZ220" s="81">
        <v>59.319727891156461</v>
      </c>
    </row>
    <row r="221" spans="1:78" x14ac:dyDescent="0.15">
      <c r="A221" s="60">
        <v>1</v>
      </c>
      <c r="B221" s="61">
        <v>44544</v>
      </c>
      <c r="C221" s="61">
        <v>44544</v>
      </c>
      <c r="F221" s="61" t="s">
        <v>309</v>
      </c>
      <c r="H221" s="61" t="s">
        <v>309</v>
      </c>
      <c r="J221" s="60">
        <v>2</v>
      </c>
      <c r="L221" s="60">
        <v>0</v>
      </c>
      <c r="M221" s="61">
        <v>44510</v>
      </c>
      <c r="O221" s="62" t="s">
        <v>331</v>
      </c>
      <c r="P221" s="60" t="s">
        <v>77</v>
      </c>
      <c r="Q221" s="62" t="s">
        <v>120</v>
      </c>
      <c r="R221" s="62" t="s">
        <v>1229</v>
      </c>
      <c r="S221" s="63" t="s">
        <v>1230</v>
      </c>
      <c r="T221" s="63" t="s">
        <v>1231</v>
      </c>
      <c r="U221" s="64">
        <v>35000</v>
      </c>
      <c r="V221" s="64">
        <v>38500</v>
      </c>
      <c r="W221" s="64">
        <v>35000</v>
      </c>
      <c r="X221" s="64">
        <v>38500</v>
      </c>
      <c r="Y221" s="64">
        <v>0</v>
      </c>
      <c r="Z221" s="64">
        <v>0</v>
      </c>
      <c r="AA221" s="61">
        <v>44507</v>
      </c>
      <c r="AB221" s="61">
        <v>44507</v>
      </c>
      <c r="AD221" s="60">
        <v>0</v>
      </c>
      <c r="AG221" s="60">
        <v>0</v>
      </c>
      <c r="AJ221" s="60">
        <v>0</v>
      </c>
      <c r="AN221" s="60" t="s">
        <v>309</v>
      </c>
      <c r="AQ221" s="60" t="s">
        <v>1234</v>
      </c>
      <c r="AR221" s="61">
        <v>44543</v>
      </c>
      <c r="AS221" s="60">
        <v>6001969003</v>
      </c>
      <c r="AT221" s="61">
        <v>44543</v>
      </c>
      <c r="AU221" s="60" t="s">
        <v>1247</v>
      </c>
      <c r="AV221" s="61">
        <v>44544</v>
      </c>
      <c r="AW221" s="91">
        <v>44561</v>
      </c>
      <c r="AX221" s="91">
        <v>44581</v>
      </c>
      <c r="AY221" s="107">
        <v>35000</v>
      </c>
      <c r="AZ221" s="107">
        <f>ROUNDDOWN(AY221+(AY221*MASTER!$A$2/100),0)</f>
        <v>38500</v>
      </c>
      <c r="BC221" s="64">
        <v>0</v>
      </c>
      <c r="BG221" s="64">
        <v>0</v>
      </c>
      <c r="BK221" s="64">
        <v>0</v>
      </c>
      <c r="BS221" s="64">
        <v>0</v>
      </c>
      <c r="BV221" s="65">
        <v>38500</v>
      </c>
      <c r="BW221" s="65">
        <v>0</v>
      </c>
      <c r="BX221" s="65">
        <v>44510</v>
      </c>
      <c r="BY221" s="65">
        <v>38500</v>
      </c>
      <c r="BZ221" s="81">
        <v>100</v>
      </c>
    </row>
    <row r="222" spans="1:78" x14ac:dyDescent="0.15">
      <c r="A222" s="60">
        <v>2</v>
      </c>
      <c r="B222" s="61">
        <v>44526</v>
      </c>
      <c r="C222" s="61">
        <v>44533</v>
      </c>
      <c r="D222" s="61">
        <v>44540</v>
      </c>
      <c r="E222" s="61">
        <v>44530</v>
      </c>
      <c r="F222" s="61">
        <v>44530</v>
      </c>
      <c r="G222" s="61">
        <v>44524</v>
      </c>
      <c r="H222" s="61">
        <v>44526</v>
      </c>
      <c r="I222" s="60" t="s">
        <v>511</v>
      </c>
      <c r="J222" s="60">
        <v>1</v>
      </c>
      <c r="L222" s="60">
        <v>0</v>
      </c>
      <c r="M222" s="61">
        <v>44511</v>
      </c>
      <c r="O222" s="62" t="s">
        <v>331</v>
      </c>
      <c r="P222" s="60" t="s">
        <v>26</v>
      </c>
      <c r="Q222" s="62" t="s">
        <v>120</v>
      </c>
      <c r="R222" s="62" t="s">
        <v>781</v>
      </c>
      <c r="S222" s="63" t="s">
        <v>782</v>
      </c>
      <c r="T222" s="63" t="s">
        <v>783</v>
      </c>
      <c r="U222" s="64">
        <v>56000</v>
      </c>
      <c r="V222" s="64">
        <v>61600</v>
      </c>
      <c r="W222" s="64">
        <v>47000</v>
      </c>
      <c r="X222" s="64">
        <v>51700</v>
      </c>
      <c r="Y222" s="64">
        <v>9000</v>
      </c>
      <c r="Z222" s="64">
        <v>9900</v>
      </c>
      <c r="AA222" s="61">
        <v>44522</v>
      </c>
      <c r="AB222" s="61">
        <v>44523</v>
      </c>
      <c r="AC222" s="61">
        <v>44523</v>
      </c>
      <c r="AD222" s="60">
        <v>0</v>
      </c>
      <c r="AG222" s="60">
        <v>0</v>
      </c>
      <c r="AJ222" s="60">
        <v>0</v>
      </c>
      <c r="AN222" s="60" t="s">
        <v>309</v>
      </c>
      <c r="AQ222" s="60" t="s">
        <v>807</v>
      </c>
      <c r="AR222" s="61">
        <v>44512</v>
      </c>
      <c r="AS222" s="60">
        <v>6001957224</v>
      </c>
      <c r="AT222" s="61">
        <v>44512</v>
      </c>
      <c r="AU222" s="60" t="s">
        <v>819</v>
      </c>
      <c r="AV222" s="61">
        <v>44533</v>
      </c>
      <c r="AW222" s="91">
        <v>44530</v>
      </c>
      <c r="AX222" s="91">
        <v>44550</v>
      </c>
      <c r="AY222" s="99">
        <v>53760</v>
      </c>
      <c r="AZ222" s="99">
        <f>ROUNDDOWN(AY222+(AY222*MASTER!$A$2/100),0)</f>
        <v>59136</v>
      </c>
      <c r="BA222" s="60" t="s">
        <v>582</v>
      </c>
      <c r="BB222" s="64">
        <v>23000</v>
      </c>
      <c r="BC222" s="64">
        <v>25300</v>
      </c>
      <c r="BD222" s="60" t="s">
        <v>183</v>
      </c>
      <c r="BG222" s="64">
        <v>0</v>
      </c>
      <c r="BI222" s="60" t="s">
        <v>748</v>
      </c>
      <c r="BJ222" s="64">
        <v>5850</v>
      </c>
      <c r="BK222" s="64">
        <v>6435</v>
      </c>
      <c r="BL222" s="60" t="s">
        <v>183</v>
      </c>
      <c r="BS222" s="64">
        <v>0</v>
      </c>
      <c r="BV222" s="65">
        <v>51700</v>
      </c>
      <c r="BW222" s="65">
        <v>31735</v>
      </c>
      <c r="BX222" s="65">
        <v>44511</v>
      </c>
      <c r="BY222" s="65">
        <v>19965</v>
      </c>
      <c r="BZ222" s="81">
        <v>38.617021276595743</v>
      </c>
    </row>
    <row r="223" spans="1:78" x14ac:dyDescent="0.15">
      <c r="A223" s="60">
        <v>2</v>
      </c>
      <c r="B223" s="61">
        <v>44621</v>
      </c>
      <c r="C223" s="61">
        <v>44651</v>
      </c>
      <c r="D223" s="61">
        <v>44635</v>
      </c>
      <c r="F223" s="61">
        <v>44636</v>
      </c>
      <c r="G223" s="61">
        <v>44634</v>
      </c>
      <c r="H223" s="61">
        <v>44632</v>
      </c>
      <c r="J223" s="60">
        <v>2</v>
      </c>
      <c r="L223" s="60">
        <v>0</v>
      </c>
      <c r="M223" s="61">
        <v>44511</v>
      </c>
      <c r="O223" s="62" t="s">
        <v>331</v>
      </c>
      <c r="P223" s="60" t="s">
        <v>26</v>
      </c>
      <c r="Q223" s="62" t="s">
        <v>120</v>
      </c>
      <c r="R223" s="62" t="s">
        <v>785</v>
      </c>
      <c r="S223" s="63" t="s">
        <v>786</v>
      </c>
      <c r="T223" s="63" t="s">
        <v>784</v>
      </c>
      <c r="U223" s="64">
        <v>194000</v>
      </c>
      <c r="V223" s="64">
        <v>213400</v>
      </c>
      <c r="W223" s="64">
        <v>194000</v>
      </c>
      <c r="X223" s="64">
        <v>213400</v>
      </c>
      <c r="Y223" s="64">
        <v>0</v>
      </c>
      <c r="Z223" s="64">
        <v>0</v>
      </c>
      <c r="AA223" s="61">
        <v>44628</v>
      </c>
      <c r="AB223" s="61">
        <v>44629</v>
      </c>
      <c r="AC223" s="61">
        <v>44629</v>
      </c>
      <c r="AD223" s="60">
        <v>0</v>
      </c>
      <c r="AG223" s="60">
        <v>0</v>
      </c>
      <c r="AJ223" s="60">
        <v>0</v>
      </c>
      <c r="AM223" s="60" t="s">
        <v>273</v>
      </c>
      <c r="AN223" s="60">
        <v>6587</v>
      </c>
      <c r="AQ223" s="60" t="s">
        <v>1449</v>
      </c>
      <c r="AR223" s="61">
        <v>44554</v>
      </c>
      <c r="AS223" s="60">
        <v>6001974754</v>
      </c>
      <c r="AT223" s="61">
        <v>44554</v>
      </c>
      <c r="AU223" s="60" t="s">
        <v>1460</v>
      </c>
      <c r="AV223" s="155">
        <v>44651</v>
      </c>
      <c r="AW223" s="91">
        <v>44651</v>
      </c>
      <c r="AX223" s="91">
        <v>44671</v>
      </c>
      <c r="AY223" s="107">
        <v>194000</v>
      </c>
      <c r="AZ223" s="107">
        <f>ROUNDDOWN(AY223+(AY223*MASTER!$A$2/100),0)</f>
        <v>213400</v>
      </c>
      <c r="BA223" s="60" t="s">
        <v>613</v>
      </c>
      <c r="BB223" s="64">
        <v>82000</v>
      </c>
      <c r="BC223" s="64">
        <v>90200</v>
      </c>
      <c r="BD223" s="60" t="s">
        <v>2107</v>
      </c>
      <c r="BG223" s="64">
        <v>0</v>
      </c>
      <c r="BK223" s="64">
        <v>0</v>
      </c>
      <c r="BS223" s="64">
        <v>0</v>
      </c>
      <c r="BV223" s="65">
        <v>213400</v>
      </c>
      <c r="BW223" s="65">
        <v>90200</v>
      </c>
      <c r="BX223" s="65">
        <v>44511</v>
      </c>
      <c r="BY223" s="65">
        <v>123200</v>
      </c>
      <c r="BZ223" s="81">
        <v>57.731958762886592</v>
      </c>
    </row>
    <row r="224" spans="1:78" x14ac:dyDescent="0.15">
      <c r="A224" s="60">
        <v>2</v>
      </c>
      <c r="B224" s="61">
        <v>44518</v>
      </c>
      <c r="C224" s="61">
        <v>44519</v>
      </c>
      <c r="D224" s="61">
        <v>44517</v>
      </c>
      <c r="E224" s="61">
        <v>44517</v>
      </c>
      <c r="F224" s="61" t="s">
        <v>309</v>
      </c>
      <c r="G224" s="61">
        <v>44517</v>
      </c>
      <c r="H224" s="61" t="s">
        <v>309</v>
      </c>
      <c r="I224" s="60" t="s">
        <v>766</v>
      </c>
      <c r="J224" s="60">
        <v>2</v>
      </c>
      <c r="L224" s="60">
        <v>0</v>
      </c>
      <c r="M224" s="61">
        <v>44512</v>
      </c>
      <c r="O224" s="62" t="s">
        <v>331</v>
      </c>
      <c r="P224" s="60" t="s">
        <v>6</v>
      </c>
      <c r="Q224" s="62" t="s">
        <v>120</v>
      </c>
      <c r="R224" s="62" t="s">
        <v>800</v>
      </c>
      <c r="S224" s="63" t="s">
        <v>801</v>
      </c>
      <c r="T224" s="63" t="s">
        <v>364</v>
      </c>
      <c r="U224" s="64">
        <v>35000</v>
      </c>
      <c r="V224" s="64">
        <v>38500</v>
      </c>
      <c r="W224" s="64">
        <v>35000</v>
      </c>
      <c r="X224" s="64">
        <v>38500</v>
      </c>
      <c r="Z224" s="64">
        <v>0</v>
      </c>
      <c r="AA224" s="61">
        <v>44515</v>
      </c>
      <c r="AB224" s="61">
        <v>44515</v>
      </c>
      <c r="AD224" s="60">
        <v>0</v>
      </c>
      <c r="AG224" s="60">
        <v>0</v>
      </c>
      <c r="AJ224" s="60">
        <v>0</v>
      </c>
      <c r="AN224" s="60" t="s">
        <v>309</v>
      </c>
      <c r="AQ224" s="60" t="s">
        <v>873</v>
      </c>
      <c r="AR224" s="61">
        <v>44517</v>
      </c>
      <c r="AS224" s="60">
        <v>6001958882</v>
      </c>
      <c r="AT224" s="61">
        <v>44517</v>
      </c>
      <c r="AU224" s="60" t="s">
        <v>881</v>
      </c>
      <c r="AV224" s="61">
        <v>44519</v>
      </c>
      <c r="AW224" s="91">
        <v>44530</v>
      </c>
      <c r="AX224" s="91">
        <v>44550</v>
      </c>
      <c r="AY224" s="99">
        <v>33600</v>
      </c>
      <c r="AZ224" s="99">
        <f>ROUNDDOWN(AY224+(AY224*MASTER!$A$2/100),0)</f>
        <v>36960</v>
      </c>
      <c r="BA224" s="60" t="s">
        <v>613</v>
      </c>
      <c r="BB224" s="64">
        <v>26000</v>
      </c>
      <c r="BC224" s="64">
        <v>28600</v>
      </c>
      <c r="BD224" s="60" t="s">
        <v>183</v>
      </c>
      <c r="BG224" s="64">
        <v>0</v>
      </c>
      <c r="BK224" s="64">
        <v>0</v>
      </c>
      <c r="BS224" s="64">
        <v>0</v>
      </c>
      <c r="BV224" s="65">
        <v>38500</v>
      </c>
      <c r="BW224" s="65">
        <v>28600</v>
      </c>
      <c r="BX224" s="65">
        <v>44512</v>
      </c>
      <c r="BY224" s="65">
        <v>9900</v>
      </c>
      <c r="BZ224" s="81">
        <v>25.714285714285712</v>
      </c>
    </row>
    <row r="225" spans="1:82" x14ac:dyDescent="0.15">
      <c r="A225" s="60">
        <v>2</v>
      </c>
      <c r="B225" s="61">
        <v>44525</v>
      </c>
      <c r="C225" s="61">
        <v>44530</v>
      </c>
      <c r="D225" s="61">
        <v>44526</v>
      </c>
      <c r="E225" s="61">
        <v>44526</v>
      </c>
      <c r="F225" s="61" t="s">
        <v>309</v>
      </c>
      <c r="G225" s="61">
        <v>44526</v>
      </c>
      <c r="H225" s="61" t="s">
        <v>309</v>
      </c>
      <c r="I225" s="60" t="s">
        <v>494</v>
      </c>
      <c r="J225" s="60">
        <v>2</v>
      </c>
      <c r="L225" s="60">
        <v>0</v>
      </c>
      <c r="M225" s="61">
        <v>44512</v>
      </c>
      <c r="O225" s="62" t="s">
        <v>331</v>
      </c>
      <c r="P225" s="60" t="s">
        <v>6</v>
      </c>
      <c r="Q225" s="62" t="s">
        <v>120</v>
      </c>
      <c r="R225" s="62" t="s">
        <v>811</v>
      </c>
      <c r="S225" s="63" t="s">
        <v>363</v>
      </c>
      <c r="T225" s="63" t="s">
        <v>364</v>
      </c>
      <c r="U225" s="64">
        <v>35000</v>
      </c>
      <c r="V225" s="64">
        <v>38500</v>
      </c>
      <c r="W225" s="64">
        <v>35000</v>
      </c>
      <c r="X225" s="64">
        <v>38500</v>
      </c>
      <c r="Z225" s="64">
        <v>0</v>
      </c>
      <c r="AA225" s="61">
        <v>44524</v>
      </c>
      <c r="AB225" s="61">
        <v>44524</v>
      </c>
      <c r="AD225" s="60">
        <v>0</v>
      </c>
      <c r="AG225" s="60">
        <v>0</v>
      </c>
      <c r="AJ225" s="60">
        <v>0</v>
      </c>
      <c r="AN225" s="60" t="s">
        <v>309</v>
      </c>
      <c r="AQ225" s="60" t="s">
        <v>887</v>
      </c>
      <c r="AR225" s="61">
        <v>44518</v>
      </c>
      <c r="AS225" s="60">
        <v>6001959625</v>
      </c>
      <c r="AT225" s="61">
        <v>44518</v>
      </c>
      <c r="AU225" s="60" t="s">
        <v>898</v>
      </c>
      <c r="AV225" s="61">
        <v>44530</v>
      </c>
      <c r="AW225" s="91">
        <v>44530</v>
      </c>
      <c r="AX225" s="91">
        <v>44550</v>
      </c>
      <c r="AY225" s="99">
        <v>33600</v>
      </c>
      <c r="AZ225" s="99">
        <f>ROUNDDOWN(AY225+(AY225*MASTER!$A$2/100),0)</f>
        <v>36960</v>
      </c>
      <c r="BA225" s="60" t="s">
        <v>970</v>
      </c>
      <c r="BB225" s="64">
        <v>33000</v>
      </c>
      <c r="BC225" s="64">
        <v>36300</v>
      </c>
      <c r="BD225" s="60" t="s">
        <v>493</v>
      </c>
      <c r="BG225" s="64">
        <v>0</v>
      </c>
      <c r="BK225" s="64">
        <v>0</v>
      </c>
      <c r="BS225" s="64">
        <v>0</v>
      </c>
      <c r="BV225" s="65">
        <v>38500</v>
      </c>
      <c r="BW225" s="65">
        <v>36300</v>
      </c>
      <c r="BX225" s="65">
        <v>44512</v>
      </c>
      <c r="BY225" s="65">
        <v>2200</v>
      </c>
      <c r="BZ225" s="81">
        <v>5.7142857142857144</v>
      </c>
    </row>
    <row r="226" spans="1:82" x14ac:dyDescent="0.15">
      <c r="A226" s="60">
        <v>2</v>
      </c>
      <c r="B226" s="61">
        <v>44546</v>
      </c>
      <c r="C226" s="61">
        <v>44551</v>
      </c>
      <c r="D226" s="61">
        <v>44564</v>
      </c>
      <c r="E226" s="61">
        <v>44558</v>
      </c>
      <c r="F226" s="61">
        <v>44558</v>
      </c>
      <c r="G226" s="61">
        <v>44551</v>
      </c>
      <c r="H226" s="61">
        <v>44554</v>
      </c>
      <c r="I226" s="60" t="s">
        <v>612</v>
      </c>
      <c r="J226" s="60">
        <v>1</v>
      </c>
      <c r="L226" s="60">
        <v>0</v>
      </c>
      <c r="M226" s="61">
        <v>44512</v>
      </c>
      <c r="O226" s="62" t="s">
        <v>331</v>
      </c>
      <c r="P226" s="60" t="s">
        <v>26</v>
      </c>
      <c r="Q226" s="62" t="s">
        <v>120</v>
      </c>
      <c r="R226" s="62" t="s">
        <v>1244</v>
      </c>
      <c r="S226" s="63" t="s">
        <v>707</v>
      </c>
      <c r="T226" s="63" t="s">
        <v>1245</v>
      </c>
      <c r="U226" s="64">
        <v>172700</v>
      </c>
      <c r="V226" s="64">
        <v>189970</v>
      </c>
      <c r="W226" s="64">
        <v>78000</v>
      </c>
      <c r="X226" s="64">
        <v>85800</v>
      </c>
      <c r="Y226" s="64">
        <v>94700</v>
      </c>
      <c r="Z226" s="64">
        <v>104170</v>
      </c>
      <c r="AA226" s="61">
        <v>44550</v>
      </c>
      <c r="AB226" s="61">
        <v>44551</v>
      </c>
      <c r="AC226" s="61">
        <v>44551</v>
      </c>
      <c r="AD226" s="60">
        <v>0</v>
      </c>
      <c r="AG226" s="60">
        <v>0</v>
      </c>
      <c r="AJ226" s="60">
        <v>0</v>
      </c>
      <c r="AM226" s="60" t="s">
        <v>273</v>
      </c>
      <c r="AN226" s="60" t="s">
        <v>1246</v>
      </c>
      <c r="AQ226" s="60" t="s">
        <v>1242</v>
      </c>
      <c r="AR226" s="61">
        <v>44543</v>
      </c>
      <c r="AS226" s="60">
        <v>6001969087</v>
      </c>
      <c r="AT226" s="61">
        <v>44544</v>
      </c>
      <c r="AU226" s="60" t="s">
        <v>1297</v>
      </c>
      <c r="AV226" s="61">
        <v>44551</v>
      </c>
      <c r="AW226" s="91">
        <v>44561</v>
      </c>
      <c r="AX226" s="91">
        <v>44581</v>
      </c>
      <c r="AY226" s="99">
        <v>165792</v>
      </c>
      <c r="AZ226" s="99">
        <f>ROUNDDOWN(AY226+(AY226*MASTER!$A$2/100),0)</f>
        <v>182371</v>
      </c>
      <c r="BA226" s="60" t="s">
        <v>317</v>
      </c>
      <c r="BB226" s="64">
        <v>46000</v>
      </c>
      <c r="BC226" s="64">
        <v>50600</v>
      </c>
      <c r="BD226" s="60" t="s">
        <v>184</v>
      </c>
      <c r="BG226" s="64">
        <v>0</v>
      </c>
      <c r="BI226" s="60" t="s">
        <v>267</v>
      </c>
      <c r="BJ226" s="64">
        <v>61555</v>
      </c>
      <c r="BK226" s="64">
        <v>67710.5</v>
      </c>
      <c r="BL226" s="60" t="s">
        <v>1366</v>
      </c>
      <c r="BS226" s="64">
        <v>0</v>
      </c>
      <c r="BV226" s="65">
        <v>85800</v>
      </c>
      <c r="BW226" s="65">
        <v>118310.5</v>
      </c>
      <c r="BX226" s="65">
        <v>44512</v>
      </c>
      <c r="BY226" s="65">
        <v>-32510.5</v>
      </c>
      <c r="BZ226" s="81">
        <v>-37.891025641025635</v>
      </c>
    </row>
    <row r="227" spans="1:82" x14ac:dyDescent="0.15">
      <c r="A227" s="60">
        <v>2</v>
      </c>
      <c r="B227" s="61">
        <v>44536</v>
      </c>
      <c r="C227" s="61">
        <v>44540</v>
      </c>
      <c r="D227" s="61">
        <v>44564</v>
      </c>
      <c r="E227" s="61">
        <v>44545</v>
      </c>
      <c r="F227" s="61">
        <v>44547</v>
      </c>
      <c r="G227" s="61">
        <v>44539</v>
      </c>
      <c r="H227" s="61">
        <v>44543</v>
      </c>
      <c r="I227" s="60" t="s">
        <v>612</v>
      </c>
      <c r="J227" s="60">
        <v>1</v>
      </c>
      <c r="L227" s="60">
        <v>0</v>
      </c>
      <c r="M227" s="61">
        <v>44512</v>
      </c>
      <c r="O227" s="62" t="s">
        <v>331</v>
      </c>
      <c r="P227" s="60" t="s">
        <v>26</v>
      </c>
      <c r="Q227" s="62" t="s">
        <v>120</v>
      </c>
      <c r="R227" s="62" t="s">
        <v>812</v>
      </c>
      <c r="S227" s="63" t="s">
        <v>813</v>
      </c>
      <c r="T227" s="63" t="s">
        <v>814</v>
      </c>
      <c r="U227" s="64">
        <v>178500</v>
      </c>
      <c r="V227" s="64">
        <v>196350</v>
      </c>
      <c r="W227" s="64">
        <v>86000</v>
      </c>
      <c r="X227" s="64">
        <v>94600</v>
      </c>
      <c r="Y227" s="64">
        <v>92500</v>
      </c>
      <c r="Z227" s="64">
        <v>101750</v>
      </c>
      <c r="AA227" s="61">
        <v>44538</v>
      </c>
      <c r="AB227" s="61">
        <v>44540</v>
      </c>
      <c r="AC227" s="61">
        <v>44540</v>
      </c>
      <c r="AD227" s="60">
        <v>0</v>
      </c>
      <c r="AG227" s="60">
        <v>0</v>
      </c>
      <c r="AJ227" s="60">
        <v>0</v>
      </c>
      <c r="AM227" s="60" t="s">
        <v>273</v>
      </c>
      <c r="AN227" s="60" t="s">
        <v>815</v>
      </c>
      <c r="AQ227" s="60" t="s">
        <v>1147</v>
      </c>
      <c r="AR227" s="61">
        <v>44529</v>
      </c>
      <c r="AS227" s="60">
        <v>6001963225</v>
      </c>
      <c r="AT227" s="61">
        <v>44530</v>
      </c>
      <c r="AU227" s="60" t="s">
        <v>1077</v>
      </c>
      <c r="AV227" s="61">
        <v>44540</v>
      </c>
      <c r="AW227" s="91">
        <v>44561</v>
      </c>
      <c r="AX227" s="91">
        <v>44581</v>
      </c>
      <c r="AY227" s="99">
        <v>171360</v>
      </c>
      <c r="AZ227" s="99">
        <f>ROUNDDOWN(AY227+(AY227*MASTER!$A$2/100),0)</f>
        <v>188496</v>
      </c>
      <c r="BA227" s="60" t="s">
        <v>317</v>
      </c>
      <c r="BB227" s="64">
        <v>35000</v>
      </c>
      <c r="BC227" s="64">
        <v>38500</v>
      </c>
      <c r="BD227" s="60" t="s">
        <v>184</v>
      </c>
      <c r="BG227" s="64">
        <v>0</v>
      </c>
      <c r="BI227" s="60" t="s">
        <v>267</v>
      </c>
      <c r="BJ227" s="64">
        <v>60125</v>
      </c>
      <c r="BK227" s="64">
        <v>66137.5</v>
      </c>
      <c r="BL227" s="60" t="s">
        <v>1366</v>
      </c>
      <c r="BS227" s="64">
        <v>0</v>
      </c>
      <c r="BV227" s="65">
        <v>94600</v>
      </c>
      <c r="BW227" s="65">
        <v>104637.5</v>
      </c>
      <c r="BX227" s="65">
        <v>44512</v>
      </c>
      <c r="BY227" s="65">
        <v>-10037.5</v>
      </c>
      <c r="BZ227" s="81">
        <v>-10.61046511627907</v>
      </c>
    </row>
    <row r="228" spans="1:82" x14ac:dyDescent="0.15">
      <c r="A228" s="60">
        <v>2</v>
      </c>
      <c r="B228" s="61">
        <v>44532</v>
      </c>
      <c r="C228" s="61">
        <v>44536</v>
      </c>
      <c r="D228" s="61" t="s">
        <v>764</v>
      </c>
      <c r="E228" s="61">
        <v>44543</v>
      </c>
      <c r="F228" s="61">
        <v>44543</v>
      </c>
      <c r="G228" s="61">
        <v>44537</v>
      </c>
      <c r="H228" s="61">
        <v>44539</v>
      </c>
      <c r="I228" s="60" t="s">
        <v>612</v>
      </c>
      <c r="J228" s="60">
        <v>1</v>
      </c>
      <c r="L228" s="60">
        <v>0</v>
      </c>
      <c r="M228" s="61">
        <v>44512</v>
      </c>
      <c r="O228" s="62" t="s">
        <v>331</v>
      </c>
      <c r="P228" s="60" t="s">
        <v>26</v>
      </c>
      <c r="Q228" s="62" t="s">
        <v>120</v>
      </c>
      <c r="R228" s="62" t="s">
        <v>1103</v>
      </c>
      <c r="S228" s="63" t="s">
        <v>1104</v>
      </c>
      <c r="T228" s="63" t="s">
        <v>1105</v>
      </c>
      <c r="U228" s="64">
        <v>23900</v>
      </c>
      <c r="V228" s="64">
        <v>26290</v>
      </c>
      <c r="W228" s="64">
        <v>14700</v>
      </c>
      <c r="X228" s="64">
        <v>16170</v>
      </c>
      <c r="Y228" s="64">
        <v>9200</v>
      </c>
      <c r="Z228" s="64">
        <v>10120</v>
      </c>
      <c r="AA228" s="61">
        <v>44535</v>
      </c>
      <c r="AB228" s="61">
        <v>44536</v>
      </c>
      <c r="AC228" s="61">
        <v>44536</v>
      </c>
      <c r="AD228" s="60">
        <v>0</v>
      </c>
      <c r="AG228" s="60">
        <v>0</v>
      </c>
      <c r="AJ228" s="60">
        <v>0</v>
      </c>
      <c r="AM228" s="60" t="s">
        <v>273</v>
      </c>
      <c r="AN228" s="60" t="s">
        <v>1106</v>
      </c>
      <c r="AQ228" s="60" t="s">
        <v>957</v>
      </c>
      <c r="AR228" s="61">
        <v>44526</v>
      </c>
      <c r="AS228" s="60">
        <v>6001962384</v>
      </c>
      <c r="AT228" s="61">
        <v>44529</v>
      </c>
      <c r="AU228" s="60" t="s">
        <v>995</v>
      </c>
      <c r="AV228" s="61">
        <v>44536</v>
      </c>
      <c r="AW228" s="91">
        <v>44561</v>
      </c>
      <c r="AX228" s="91">
        <v>44581</v>
      </c>
      <c r="AY228" s="99">
        <v>22944</v>
      </c>
      <c r="AZ228" s="99">
        <f>ROUNDDOWN(AY228+(AY228*MASTER!$A$2/100),0)</f>
        <v>25238</v>
      </c>
      <c r="BA228" s="60" t="s">
        <v>765</v>
      </c>
      <c r="BC228" s="64">
        <v>0</v>
      </c>
      <c r="BG228" s="64">
        <v>0</v>
      </c>
      <c r="BI228" s="60" t="s">
        <v>267</v>
      </c>
      <c r="BJ228" s="64">
        <v>5980</v>
      </c>
      <c r="BK228" s="64">
        <v>6578</v>
      </c>
      <c r="BL228" s="60" t="s">
        <v>1366</v>
      </c>
      <c r="BS228" s="64">
        <v>0</v>
      </c>
      <c r="BV228" s="65">
        <v>16170</v>
      </c>
      <c r="BW228" s="65">
        <v>6578</v>
      </c>
      <c r="BX228" s="65">
        <v>44512</v>
      </c>
      <c r="BY228" s="65">
        <v>9592</v>
      </c>
      <c r="BZ228" s="81">
        <v>59.319727891156461</v>
      </c>
    </row>
    <row r="229" spans="1:82" x14ac:dyDescent="0.15">
      <c r="A229" s="60">
        <v>1</v>
      </c>
      <c r="B229" s="61">
        <v>44519</v>
      </c>
      <c r="C229" s="61">
        <v>44523</v>
      </c>
      <c r="F229" s="61" t="s">
        <v>309</v>
      </c>
      <c r="H229" s="61" t="s">
        <v>309</v>
      </c>
      <c r="J229" s="60">
        <v>2</v>
      </c>
      <c r="L229" s="60">
        <v>0</v>
      </c>
      <c r="M229" s="61">
        <v>44512</v>
      </c>
      <c r="O229" s="62" t="s">
        <v>331</v>
      </c>
      <c r="P229" s="60" t="s">
        <v>77</v>
      </c>
      <c r="Q229" s="62" t="s">
        <v>120</v>
      </c>
      <c r="R229" s="62" t="s">
        <v>816</v>
      </c>
      <c r="S229" s="63" t="s">
        <v>489</v>
      </c>
      <c r="T229" s="63" t="s">
        <v>490</v>
      </c>
      <c r="U229" s="64">
        <v>9880</v>
      </c>
      <c r="V229" s="64">
        <v>10868</v>
      </c>
      <c r="W229" s="64">
        <v>9880</v>
      </c>
      <c r="X229" s="64">
        <v>10868</v>
      </c>
      <c r="Y229" s="64">
        <v>0</v>
      </c>
      <c r="Z229" s="64">
        <v>0</v>
      </c>
      <c r="AD229" s="60">
        <v>0</v>
      </c>
      <c r="AG229" s="60">
        <v>0</v>
      </c>
      <c r="AJ229" s="60">
        <v>0</v>
      </c>
      <c r="AQ229" s="60" t="s">
        <v>817</v>
      </c>
      <c r="AR229" s="61">
        <v>44512</v>
      </c>
      <c r="AS229" s="60">
        <v>6001957399</v>
      </c>
      <c r="AT229" s="61">
        <v>44512</v>
      </c>
      <c r="AU229" s="60" t="s">
        <v>818</v>
      </c>
      <c r="AV229" s="61">
        <v>44523</v>
      </c>
      <c r="AW229" s="91">
        <v>44530</v>
      </c>
      <c r="AX229" s="91">
        <v>44550</v>
      </c>
      <c r="AY229" s="107">
        <v>9880</v>
      </c>
      <c r="AZ229" s="107">
        <f>ROUNDDOWN(AY229+(AY229*MASTER!$A$2/100),0)</f>
        <v>10868</v>
      </c>
      <c r="BC229" s="64">
        <v>0</v>
      </c>
      <c r="BG229" s="64">
        <v>0</v>
      </c>
      <c r="BK229" s="64">
        <v>0</v>
      </c>
      <c r="BS229" s="64">
        <v>0</v>
      </c>
      <c r="BV229" s="65">
        <v>10868</v>
      </c>
      <c r="BW229" s="65">
        <v>0</v>
      </c>
      <c r="BX229" s="65">
        <v>44512</v>
      </c>
      <c r="BY229" s="65">
        <v>10868</v>
      </c>
      <c r="BZ229" s="81">
        <v>100</v>
      </c>
    </row>
    <row r="230" spans="1:82" x14ac:dyDescent="0.15">
      <c r="A230" s="60">
        <v>1</v>
      </c>
      <c r="B230" s="61">
        <v>44532</v>
      </c>
      <c r="C230" s="61">
        <v>44540</v>
      </c>
      <c r="F230" s="61" t="s">
        <v>309</v>
      </c>
      <c r="G230" s="61">
        <v>44543</v>
      </c>
      <c r="H230" s="61" t="s">
        <v>309</v>
      </c>
      <c r="J230" s="60">
        <v>3</v>
      </c>
      <c r="L230" s="60">
        <v>0</v>
      </c>
      <c r="M230" s="61">
        <v>44515</v>
      </c>
      <c r="O230" s="62" t="s">
        <v>331</v>
      </c>
      <c r="P230" s="60" t="s">
        <v>26</v>
      </c>
      <c r="Q230" s="62" t="s">
        <v>120</v>
      </c>
      <c r="R230" s="62" t="s">
        <v>1116</v>
      </c>
      <c r="S230" s="63" t="s">
        <v>1113</v>
      </c>
      <c r="T230" s="63" t="s">
        <v>1117</v>
      </c>
      <c r="U230" s="64">
        <v>12000</v>
      </c>
      <c r="V230" s="64">
        <v>13200</v>
      </c>
      <c r="X230" s="64">
        <v>0</v>
      </c>
      <c r="Y230" s="64">
        <v>12000</v>
      </c>
      <c r="Z230" s="64">
        <v>13200</v>
      </c>
      <c r="AA230" s="61">
        <v>44536</v>
      </c>
      <c r="AB230" s="61">
        <v>44540</v>
      </c>
      <c r="AD230" s="60">
        <v>0</v>
      </c>
      <c r="AG230" s="60">
        <v>0</v>
      </c>
      <c r="AJ230" s="60">
        <v>0</v>
      </c>
      <c r="AM230" s="60" t="s">
        <v>273</v>
      </c>
      <c r="AN230" s="60" t="s">
        <v>1118</v>
      </c>
      <c r="AQ230" s="60" t="s">
        <v>768</v>
      </c>
      <c r="AR230" s="61">
        <v>44517</v>
      </c>
      <c r="AS230" s="60">
        <v>6001958882</v>
      </c>
      <c r="AT230" s="61">
        <v>44517</v>
      </c>
      <c r="AU230" s="60" t="s">
        <v>881</v>
      </c>
      <c r="AV230" s="61">
        <v>44540</v>
      </c>
      <c r="AW230" s="91">
        <v>44561</v>
      </c>
      <c r="AX230" s="91">
        <v>44581</v>
      </c>
      <c r="AY230" s="107">
        <v>12000</v>
      </c>
      <c r="AZ230" s="107">
        <f>ROUNDDOWN(AY230+(AY230*MASTER!$A$2/100),0)</f>
        <v>13200</v>
      </c>
      <c r="BC230" s="64">
        <v>0</v>
      </c>
      <c r="BG230" s="64">
        <v>0</v>
      </c>
      <c r="BI230" s="60" t="s">
        <v>267</v>
      </c>
      <c r="BJ230" s="64">
        <v>7800</v>
      </c>
      <c r="BK230" s="64">
        <v>8580</v>
      </c>
      <c r="BL230" s="60" t="s">
        <v>1366</v>
      </c>
      <c r="BS230" s="64">
        <v>0</v>
      </c>
      <c r="BV230" s="65">
        <v>0</v>
      </c>
      <c r="BW230" s="65">
        <v>8580</v>
      </c>
      <c r="BX230" s="65">
        <v>44515</v>
      </c>
      <c r="BY230" s="65">
        <v>-8580</v>
      </c>
      <c r="BZ230" s="81" t="s">
        <v>309</v>
      </c>
    </row>
    <row r="231" spans="1:82" x14ac:dyDescent="0.15">
      <c r="A231" s="60">
        <v>2</v>
      </c>
      <c r="B231" s="61">
        <v>44551</v>
      </c>
      <c r="C231" s="61">
        <v>44533</v>
      </c>
      <c r="D231" s="61">
        <v>44574</v>
      </c>
      <c r="F231" s="61">
        <v>44564</v>
      </c>
      <c r="G231" s="61">
        <v>44558</v>
      </c>
      <c r="H231" s="61">
        <v>44560</v>
      </c>
      <c r="I231" s="60" t="s">
        <v>511</v>
      </c>
      <c r="J231" s="60">
        <v>1</v>
      </c>
      <c r="L231" s="60">
        <v>0</v>
      </c>
      <c r="M231" s="61">
        <v>44515</v>
      </c>
      <c r="O231" s="62" t="s">
        <v>331</v>
      </c>
      <c r="P231" s="60" t="s">
        <v>26</v>
      </c>
      <c r="Q231" s="62" t="s">
        <v>120</v>
      </c>
      <c r="R231" s="62" t="s">
        <v>1383</v>
      </c>
      <c r="S231" s="63" t="s">
        <v>363</v>
      </c>
      <c r="T231" s="63" t="s">
        <v>1384</v>
      </c>
      <c r="U231" s="64">
        <v>72000</v>
      </c>
      <c r="V231" s="64">
        <v>79200</v>
      </c>
      <c r="W231" s="64">
        <v>63000</v>
      </c>
      <c r="X231" s="64">
        <v>69300</v>
      </c>
      <c r="Y231" s="64">
        <v>9000</v>
      </c>
      <c r="Z231" s="64">
        <v>9900</v>
      </c>
      <c r="AA231" s="61">
        <v>44556</v>
      </c>
      <c r="AB231" s="61">
        <v>44557</v>
      </c>
      <c r="AC231" s="61">
        <v>44557</v>
      </c>
      <c r="AD231" s="60">
        <v>0</v>
      </c>
      <c r="AG231" s="60">
        <v>0</v>
      </c>
      <c r="AJ231" s="60">
        <v>0</v>
      </c>
      <c r="AM231" s="60" t="s">
        <v>273</v>
      </c>
      <c r="AN231" s="60" t="s">
        <v>1385</v>
      </c>
      <c r="AQ231" s="60" t="s">
        <v>932</v>
      </c>
      <c r="AR231" s="61">
        <v>44525</v>
      </c>
      <c r="AS231" s="60">
        <v>6001961857</v>
      </c>
      <c r="AT231" s="61">
        <v>44525</v>
      </c>
      <c r="AU231" s="60" t="s">
        <v>933</v>
      </c>
      <c r="AV231" s="61">
        <v>44533</v>
      </c>
      <c r="AW231" s="91">
        <v>44561</v>
      </c>
      <c r="AX231" s="91">
        <v>44581</v>
      </c>
      <c r="AY231" s="99">
        <v>69120</v>
      </c>
      <c r="AZ231" s="141">
        <f>ROUNDDOWN(AY231+(AY231*MASTER!$A$2/100),0)</f>
        <v>76032</v>
      </c>
      <c r="BA231" s="60" t="s">
        <v>765</v>
      </c>
      <c r="BC231" s="64">
        <v>0</v>
      </c>
      <c r="BG231" s="64">
        <v>0</v>
      </c>
      <c r="BI231" s="60" t="s">
        <v>748</v>
      </c>
      <c r="BJ231" s="64">
        <v>5850</v>
      </c>
      <c r="BK231" s="64">
        <v>6435</v>
      </c>
      <c r="BL231" s="60" t="s">
        <v>184</v>
      </c>
      <c r="BS231" s="64">
        <v>0</v>
      </c>
      <c r="BV231" s="65">
        <v>69300</v>
      </c>
      <c r="BW231" s="65">
        <v>6435</v>
      </c>
      <c r="BX231" s="65">
        <v>44515</v>
      </c>
      <c r="BY231" s="65">
        <v>62865</v>
      </c>
      <c r="BZ231" s="81">
        <v>90.714285714285708</v>
      </c>
    </row>
    <row r="232" spans="1:82" x14ac:dyDescent="0.15">
      <c r="A232" s="60">
        <v>2</v>
      </c>
      <c r="B232" s="61">
        <v>44543</v>
      </c>
      <c r="C232" s="61">
        <v>44554</v>
      </c>
      <c r="E232" s="61">
        <v>44551</v>
      </c>
      <c r="F232" s="61" t="s">
        <v>309</v>
      </c>
      <c r="G232" s="61">
        <v>44531</v>
      </c>
      <c r="H232" s="61" t="s">
        <v>309</v>
      </c>
      <c r="I232" s="60" t="s">
        <v>511</v>
      </c>
      <c r="J232" s="60">
        <v>1</v>
      </c>
      <c r="L232" s="60">
        <v>0</v>
      </c>
      <c r="M232" s="61">
        <v>44515</v>
      </c>
      <c r="O232" s="62" t="s">
        <v>331</v>
      </c>
      <c r="P232" s="60" t="s">
        <v>26</v>
      </c>
      <c r="Q232" s="62" t="s">
        <v>120</v>
      </c>
      <c r="R232" s="62" t="s">
        <v>1008</v>
      </c>
      <c r="S232" s="63" t="s">
        <v>1009</v>
      </c>
      <c r="T232" s="63" t="s">
        <v>1010</v>
      </c>
      <c r="U232" s="64">
        <v>59000</v>
      </c>
      <c r="V232" s="64">
        <v>64900</v>
      </c>
      <c r="W232" s="64">
        <v>47000</v>
      </c>
      <c r="X232" s="64">
        <v>51700</v>
      </c>
      <c r="Y232" s="64">
        <v>12000</v>
      </c>
      <c r="Z232" s="64">
        <v>13200</v>
      </c>
      <c r="AA232" s="61">
        <v>44530</v>
      </c>
      <c r="AB232" s="61">
        <v>44530</v>
      </c>
      <c r="AD232" s="60">
        <v>0</v>
      </c>
      <c r="AG232" s="60">
        <v>0</v>
      </c>
      <c r="AJ232" s="60">
        <v>0</v>
      </c>
      <c r="AM232" s="60" t="s">
        <v>273</v>
      </c>
      <c r="AN232" s="60" t="s">
        <v>1011</v>
      </c>
      <c r="AQ232" s="60" t="s">
        <v>1161</v>
      </c>
      <c r="AR232" s="61">
        <v>44529</v>
      </c>
      <c r="AS232" s="60">
        <v>6001963225</v>
      </c>
      <c r="AT232" s="61">
        <v>44530</v>
      </c>
      <c r="AU232" s="60" t="s">
        <v>1077</v>
      </c>
      <c r="AV232" s="61">
        <v>44554</v>
      </c>
      <c r="AW232" s="91">
        <v>44561</v>
      </c>
      <c r="AX232" s="91">
        <v>44581</v>
      </c>
      <c r="AY232" s="99">
        <v>56640</v>
      </c>
      <c r="AZ232" s="141">
        <f>ROUNDDOWN(AY232+(AY232*MASTER!$A$2/100),0)</f>
        <v>62304</v>
      </c>
      <c r="BA232" s="60" t="s">
        <v>318</v>
      </c>
      <c r="BB232" s="64">
        <v>48000</v>
      </c>
      <c r="BC232" s="64">
        <v>52800</v>
      </c>
      <c r="BD232" s="60" t="s">
        <v>183</v>
      </c>
      <c r="BG232" s="64">
        <v>0</v>
      </c>
      <c r="BI232" s="60" t="s">
        <v>267</v>
      </c>
      <c r="BJ232" s="64">
        <v>7800</v>
      </c>
      <c r="BK232" s="64">
        <v>8580</v>
      </c>
      <c r="BL232" s="60" t="s">
        <v>1366</v>
      </c>
      <c r="BS232" s="64">
        <v>0</v>
      </c>
      <c r="BV232" s="65">
        <v>51700</v>
      </c>
      <c r="BW232" s="65">
        <v>61380</v>
      </c>
      <c r="BX232" s="65">
        <v>44515</v>
      </c>
      <c r="BY232" s="65">
        <v>-9680</v>
      </c>
      <c r="BZ232" s="81">
        <v>-18.723404255319149</v>
      </c>
    </row>
    <row r="233" spans="1:82" x14ac:dyDescent="0.15">
      <c r="A233" s="60">
        <v>2</v>
      </c>
      <c r="B233" s="61">
        <v>44525</v>
      </c>
      <c r="C233" s="61">
        <v>44525</v>
      </c>
      <c r="D233" s="61">
        <v>44515</v>
      </c>
      <c r="E233" s="61">
        <v>44515</v>
      </c>
      <c r="F233" s="61" t="s">
        <v>309</v>
      </c>
      <c r="G233" s="61">
        <v>44515</v>
      </c>
      <c r="H233" s="61" t="s">
        <v>309</v>
      </c>
      <c r="I233" s="60" t="s">
        <v>494</v>
      </c>
      <c r="J233" s="60">
        <v>2</v>
      </c>
      <c r="L233" s="60">
        <v>0</v>
      </c>
      <c r="M233" s="61">
        <v>44515</v>
      </c>
      <c r="O233" s="62" t="s">
        <v>331</v>
      </c>
      <c r="P233" s="60" t="s">
        <v>6</v>
      </c>
      <c r="Q233" s="62" t="s">
        <v>120</v>
      </c>
      <c r="R233" s="62" t="s">
        <v>827</v>
      </c>
      <c r="S233" s="63" t="s">
        <v>828</v>
      </c>
      <c r="T233" s="63" t="s">
        <v>364</v>
      </c>
      <c r="U233" s="64">
        <v>35000</v>
      </c>
      <c r="V233" s="64">
        <v>38500</v>
      </c>
      <c r="W233" s="64">
        <v>35000</v>
      </c>
      <c r="X233" s="64">
        <v>38500</v>
      </c>
      <c r="Z233" s="64">
        <v>0</v>
      </c>
      <c r="AA233" s="61">
        <v>44514</v>
      </c>
      <c r="AB233" s="61">
        <v>44514</v>
      </c>
      <c r="AD233" s="60">
        <v>0</v>
      </c>
      <c r="AG233" s="60">
        <v>0</v>
      </c>
      <c r="AJ233" s="60">
        <v>0</v>
      </c>
      <c r="AN233" s="60" t="s">
        <v>309</v>
      </c>
      <c r="AQ233" s="60" t="s">
        <v>967</v>
      </c>
      <c r="AR233" s="61">
        <v>44522</v>
      </c>
      <c r="AS233" s="60">
        <v>6001960981</v>
      </c>
      <c r="AT233" s="61">
        <v>44524</v>
      </c>
      <c r="AU233" s="60" t="s">
        <v>930</v>
      </c>
      <c r="AV233" s="61">
        <v>44525</v>
      </c>
      <c r="AW233" s="91">
        <v>44530</v>
      </c>
      <c r="AX233" s="91">
        <v>44550</v>
      </c>
      <c r="AY233" s="99">
        <v>33600</v>
      </c>
      <c r="AZ233" s="141">
        <f>ROUNDDOWN(AY233+(AY233*MASTER!$A$2/100),0)</f>
        <v>36960</v>
      </c>
      <c r="BA233" s="60" t="s">
        <v>492</v>
      </c>
      <c r="BB233" s="64">
        <v>23000</v>
      </c>
      <c r="BC233" s="64">
        <v>25300</v>
      </c>
      <c r="BD233" s="60" t="s">
        <v>493</v>
      </c>
      <c r="BG233" s="64">
        <v>0</v>
      </c>
      <c r="BK233" s="64">
        <v>0</v>
      </c>
      <c r="BS233" s="64">
        <v>0</v>
      </c>
      <c r="BV233" s="65">
        <v>38500</v>
      </c>
      <c r="BW233" s="65">
        <v>25300</v>
      </c>
      <c r="BX233" s="65">
        <v>44515</v>
      </c>
      <c r="BY233" s="65">
        <v>13200</v>
      </c>
      <c r="BZ233" s="81">
        <v>34.285714285714285</v>
      </c>
    </row>
    <row r="234" spans="1:82" x14ac:dyDescent="0.15">
      <c r="A234" s="60">
        <v>2</v>
      </c>
      <c r="B234" s="61">
        <v>44546</v>
      </c>
      <c r="C234" s="61">
        <v>44549</v>
      </c>
      <c r="D234" s="61">
        <v>44565</v>
      </c>
      <c r="E234" s="61">
        <v>44551</v>
      </c>
      <c r="F234" s="61">
        <v>44556</v>
      </c>
      <c r="G234" s="61">
        <v>44550</v>
      </c>
      <c r="H234" s="61">
        <v>44552</v>
      </c>
      <c r="I234" s="60" t="s">
        <v>511</v>
      </c>
      <c r="J234" s="60">
        <v>2</v>
      </c>
      <c r="L234" s="60">
        <v>0</v>
      </c>
      <c r="M234" s="61">
        <v>44515</v>
      </c>
      <c r="O234" s="62" t="s">
        <v>331</v>
      </c>
      <c r="P234" s="60" t="s">
        <v>26</v>
      </c>
      <c r="Q234" s="62" t="s">
        <v>120</v>
      </c>
      <c r="R234" s="62" t="s">
        <v>829</v>
      </c>
      <c r="S234" s="63" t="s">
        <v>830</v>
      </c>
      <c r="T234" s="63" t="s">
        <v>831</v>
      </c>
      <c r="U234" s="64">
        <v>337475</v>
      </c>
      <c r="V234" s="64">
        <v>371222.5</v>
      </c>
      <c r="W234" s="64">
        <v>337475</v>
      </c>
      <c r="X234" s="64">
        <v>371222.5</v>
      </c>
      <c r="Z234" s="64">
        <v>0</v>
      </c>
      <c r="AA234" s="61">
        <v>44547</v>
      </c>
      <c r="AB234" s="61">
        <v>44549</v>
      </c>
      <c r="AC234" s="61">
        <v>44549</v>
      </c>
      <c r="AD234" s="60">
        <v>0</v>
      </c>
      <c r="AG234" s="60">
        <v>0</v>
      </c>
      <c r="AJ234" s="60">
        <v>0</v>
      </c>
      <c r="AM234" s="60" t="s">
        <v>273</v>
      </c>
      <c r="AN234" s="60" t="s">
        <v>832</v>
      </c>
      <c r="AQ234" s="60" t="s">
        <v>1196</v>
      </c>
      <c r="AR234" s="61">
        <v>44539</v>
      </c>
      <c r="AS234" s="60">
        <v>6001967770</v>
      </c>
      <c r="AT234" s="61">
        <v>44540</v>
      </c>
      <c r="AU234" s="60" t="s">
        <v>1216</v>
      </c>
      <c r="AV234" s="61">
        <v>44549</v>
      </c>
      <c r="AW234" s="91">
        <v>44561</v>
      </c>
      <c r="AX234" s="91">
        <v>44581</v>
      </c>
      <c r="AY234" s="99">
        <v>323976</v>
      </c>
      <c r="AZ234" s="141">
        <v>356374</v>
      </c>
      <c r="BA234" s="60" t="s">
        <v>318</v>
      </c>
      <c r="BB234" s="64">
        <v>225000</v>
      </c>
      <c r="BC234" s="64">
        <v>247500</v>
      </c>
      <c r="BD234" s="60" t="s">
        <v>184</v>
      </c>
      <c r="BG234" s="64">
        <v>0</v>
      </c>
      <c r="BK234" s="64">
        <v>0</v>
      </c>
      <c r="BS234" s="64">
        <v>0</v>
      </c>
      <c r="BV234" s="65">
        <v>371222.5</v>
      </c>
      <c r="BW234" s="65">
        <v>247500</v>
      </c>
      <c r="BX234" s="65">
        <v>44515</v>
      </c>
      <c r="BY234" s="65">
        <v>123722.5</v>
      </c>
      <c r="BZ234" s="81">
        <v>33.328394695903398</v>
      </c>
    </row>
    <row r="235" spans="1:82" x14ac:dyDescent="0.15">
      <c r="A235" s="60">
        <v>1</v>
      </c>
      <c r="B235" s="61">
        <v>44519</v>
      </c>
      <c r="C235" s="61">
        <v>44529</v>
      </c>
      <c r="F235" s="61" t="s">
        <v>309</v>
      </c>
      <c r="H235" s="61" t="s">
        <v>309</v>
      </c>
      <c r="J235" s="60">
        <v>2</v>
      </c>
      <c r="L235" s="60">
        <v>0</v>
      </c>
      <c r="M235" s="61">
        <v>44515</v>
      </c>
      <c r="O235" s="62" t="s">
        <v>331</v>
      </c>
      <c r="P235" s="60" t="s">
        <v>77</v>
      </c>
      <c r="Q235" s="62" t="s">
        <v>120</v>
      </c>
      <c r="R235" s="62" t="s">
        <v>851</v>
      </c>
      <c r="S235" s="63" t="s">
        <v>489</v>
      </c>
      <c r="T235" s="63" t="s">
        <v>490</v>
      </c>
      <c r="U235" s="64">
        <v>9880</v>
      </c>
      <c r="V235" s="64">
        <v>10868</v>
      </c>
      <c r="W235" s="64">
        <v>9880</v>
      </c>
      <c r="X235" s="64">
        <v>10868</v>
      </c>
      <c r="Y235" s="64">
        <v>0</v>
      </c>
      <c r="Z235" s="64">
        <v>0</v>
      </c>
      <c r="AD235" s="60">
        <v>0</v>
      </c>
      <c r="AG235" s="60">
        <v>0</v>
      </c>
      <c r="AJ235" s="60">
        <v>0</v>
      </c>
      <c r="AQ235" s="60" t="s">
        <v>854</v>
      </c>
      <c r="AR235" s="61">
        <v>44515</v>
      </c>
      <c r="AS235" s="60">
        <v>6001958208</v>
      </c>
      <c r="AT235" s="61">
        <v>44515</v>
      </c>
      <c r="AU235" s="60" t="s">
        <v>852</v>
      </c>
      <c r="AV235" s="61">
        <v>44529</v>
      </c>
      <c r="AW235" s="91">
        <v>44530</v>
      </c>
      <c r="AX235" s="91">
        <v>44550</v>
      </c>
      <c r="AY235" s="107">
        <v>9880</v>
      </c>
      <c r="AZ235" s="107">
        <f>ROUNDDOWN(AY235+(AY235*MASTER!$A$2/100),0)</f>
        <v>10868</v>
      </c>
      <c r="BC235" s="64">
        <v>0</v>
      </c>
      <c r="BG235" s="64">
        <v>0</v>
      </c>
      <c r="BK235" s="64">
        <v>0</v>
      </c>
      <c r="BS235" s="64">
        <v>0</v>
      </c>
      <c r="BV235" s="65">
        <v>10868</v>
      </c>
      <c r="BW235" s="65">
        <v>0</v>
      </c>
      <c r="BX235" s="65">
        <v>44515</v>
      </c>
      <c r="BY235" s="65">
        <v>10868</v>
      </c>
      <c r="BZ235" s="81">
        <v>100</v>
      </c>
    </row>
    <row r="236" spans="1:82" x14ac:dyDescent="0.15">
      <c r="A236" s="60">
        <v>2</v>
      </c>
      <c r="B236" s="61">
        <v>44540</v>
      </c>
      <c r="C236" s="61">
        <v>44544</v>
      </c>
      <c r="D236" s="61">
        <v>44568</v>
      </c>
      <c r="E236" s="61">
        <v>44544</v>
      </c>
      <c r="F236" s="61" t="s">
        <v>309</v>
      </c>
      <c r="G236" s="61">
        <v>44544</v>
      </c>
      <c r="H236" s="61" t="s">
        <v>309</v>
      </c>
      <c r="I236" s="60" t="s">
        <v>511</v>
      </c>
      <c r="J236" s="60">
        <v>1</v>
      </c>
      <c r="L236" s="60">
        <v>0</v>
      </c>
      <c r="M236" s="61">
        <v>44516</v>
      </c>
      <c r="O236" s="62" t="s">
        <v>331</v>
      </c>
      <c r="P236" s="60" t="s">
        <v>26</v>
      </c>
      <c r="Q236" s="62" t="s">
        <v>120</v>
      </c>
      <c r="R236" s="62" t="s">
        <v>999</v>
      </c>
      <c r="S236" s="63" t="s">
        <v>1000</v>
      </c>
      <c r="T236" s="63" t="s">
        <v>1001</v>
      </c>
      <c r="U236" s="64">
        <v>56000</v>
      </c>
      <c r="V236" s="64">
        <v>61600</v>
      </c>
      <c r="W236" s="64">
        <v>47000</v>
      </c>
      <c r="X236" s="64">
        <v>51700</v>
      </c>
      <c r="Y236" s="64">
        <v>9000</v>
      </c>
      <c r="Z236" s="64">
        <v>9900</v>
      </c>
      <c r="AA236" s="61">
        <v>44543</v>
      </c>
      <c r="AB236" s="61">
        <v>44544</v>
      </c>
      <c r="AD236" s="60">
        <v>0</v>
      </c>
      <c r="AG236" s="60">
        <v>0</v>
      </c>
      <c r="AJ236" s="60">
        <v>0</v>
      </c>
      <c r="AM236" s="60" t="s">
        <v>273</v>
      </c>
      <c r="AN236" s="60" t="s">
        <v>1002</v>
      </c>
      <c r="AQ236" s="60" t="s">
        <v>1215</v>
      </c>
      <c r="AR236" s="61">
        <v>44529</v>
      </c>
      <c r="AS236" s="60">
        <v>6001963225</v>
      </c>
      <c r="AT236" s="61">
        <v>44530</v>
      </c>
      <c r="AU236" s="60" t="s">
        <v>1077</v>
      </c>
      <c r="AV236" s="61">
        <v>44544</v>
      </c>
      <c r="AW236" s="91">
        <v>44561</v>
      </c>
      <c r="AX236" s="91">
        <v>44581</v>
      </c>
      <c r="AY236" s="99">
        <v>53760</v>
      </c>
      <c r="AZ236" s="99">
        <f>ROUNDDOWN(AY236+(AY236*MASTER!$A$2/100),0)</f>
        <v>59136</v>
      </c>
      <c r="BA236" s="60" t="s">
        <v>582</v>
      </c>
      <c r="BB236" s="64">
        <v>46000</v>
      </c>
      <c r="BC236" s="64">
        <v>50600</v>
      </c>
      <c r="BD236" s="60" t="s">
        <v>184</v>
      </c>
      <c r="BG236" s="64">
        <v>0</v>
      </c>
      <c r="BI236" s="60" t="s">
        <v>748</v>
      </c>
      <c r="BJ236" s="64">
        <v>5850</v>
      </c>
      <c r="BK236" s="64">
        <v>6435</v>
      </c>
      <c r="BL236" s="60" t="s">
        <v>184</v>
      </c>
      <c r="BS236" s="64">
        <v>0</v>
      </c>
      <c r="BV236" s="65">
        <v>51700</v>
      </c>
      <c r="BW236" s="65">
        <v>57035</v>
      </c>
      <c r="BX236" s="65">
        <v>44516</v>
      </c>
      <c r="BY236" s="65">
        <v>-5335</v>
      </c>
      <c r="BZ236" s="81">
        <v>-10.319148936170212</v>
      </c>
    </row>
    <row r="237" spans="1:82" x14ac:dyDescent="0.15">
      <c r="A237" s="60">
        <v>2</v>
      </c>
      <c r="B237" s="61">
        <v>44543</v>
      </c>
      <c r="C237" s="61">
        <v>44547</v>
      </c>
      <c r="E237" s="61">
        <v>44550</v>
      </c>
      <c r="F237" s="61">
        <v>44554</v>
      </c>
      <c r="G237" s="61">
        <v>44547</v>
      </c>
      <c r="H237" s="61">
        <v>44550</v>
      </c>
      <c r="I237" s="60" t="s">
        <v>612</v>
      </c>
      <c r="J237" s="60">
        <v>1</v>
      </c>
      <c r="L237" s="60">
        <v>0</v>
      </c>
      <c r="M237" s="61">
        <v>44516</v>
      </c>
      <c r="O237" s="62" t="s">
        <v>331</v>
      </c>
      <c r="P237" s="60" t="s">
        <v>26</v>
      </c>
      <c r="Q237" s="62" t="s">
        <v>120</v>
      </c>
      <c r="R237" s="62" t="s">
        <v>1262</v>
      </c>
      <c r="S237" s="63" t="s">
        <v>1166</v>
      </c>
      <c r="T237" s="63" t="s">
        <v>1263</v>
      </c>
      <c r="U237" s="64">
        <v>210500</v>
      </c>
      <c r="V237" s="64">
        <v>231550</v>
      </c>
      <c r="W237" s="64">
        <v>118000</v>
      </c>
      <c r="X237" s="64">
        <v>129800</v>
      </c>
      <c r="Y237" s="64">
        <v>92500</v>
      </c>
      <c r="Z237" s="64">
        <v>101750</v>
      </c>
      <c r="AA237" s="61">
        <v>44546</v>
      </c>
      <c r="AB237" s="61">
        <v>44547</v>
      </c>
      <c r="AC237" s="61">
        <v>44547</v>
      </c>
      <c r="AD237" s="60">
        <v>0</v>
      </c>
      <c r="AG237" s="60">
        <v>0</v>
      </c>
      <c r="AJ237" s="60">
        <v>0</v>
      </c>
      <c r="AM237" s="60" t="s">
        <v>273</v>
      </c>
      <c r="AN237" s="60" t="s">
        <v>1264</v>
      </c>
      <c r="AQ237" s="153" t="s">
        <v>960</v>
      </c>
      <c r="AR237" s="61">
        <v>44526</v>
      </c>
      <c r="AS237" s="60">
        <v>6001962384</v>
      </c>
      <c r="AT237" s="61">
        <v>44529</v>
      </c>
      <c r="AU237" s="60" t="s">
        <v>995</v>
      </c>
      <c r="AV237" s="61">
        <v>44547</v>
      </c>
      <c r="AW237" s="91">
        <v>44561</v>
      </c>
      <c r="AX237" s="91">
        <v>44581</v>
      </c>
      <c r="AY237" s="99">
        <v>202080</v>
      </c>
      <c r="AZ237" s="99">
        <f>ROUNDDOWN(AY237+(AY237*MASTER!$A$2/100),0)</f>
        <v>222288</v>
      </c>
      <c r="BA237" s="60" t="s">
        <v>780</v>
      </c>
      <c r="BB237" s="64">
        <v>27000</v>
      </c>
      <c r="BC237" s="64">
        <v>29700</v>
      </c>
      <c r="BD237" s="60" t="s">
        <v>184</v>
      </c>
      <c r="BG237" s="64">
        <v>0</v>
      </c>
      <c r="BI237" s="60" t="s">
        <v>267</v>
      </c>
      <c r="BJ237" s="64">
        <v>60125</v>
      </c>
      <c r="BK237" s="64">
        <v>66137.5</v>
      </c>
      <c r="BL237" s="60" t="s">
        <v>1366</v>
      </c>
      <c r="BS237" s="64">
        <v>0</v>
      </c>
      <c r="BV237" s="65">
        <v>129800</v>
      </c>
      <c r="BW237" s="65">
        <v>95837.5</v>
      </c>
      <c r="BX237" s="65">
        <v>44516</v>
      </c>
      <c r="BY237" s="65">
        <v>33962.5</v>
      </c>
      <c r="BZ237" s="81">
        <v>26.165254237288138</v>
      </c>
    </row>
    <row r="238" spans="1:82" x14ac:dyDescent="0.15">
      <c r="A238" s="60">
        <v>2</v>
      </c>
      <c r="B238" s="61">
        <v>44551</v>
      </c>
      <c r="C238" s="61">
        <v>44557</v>
      </c>
      <c r="D238" s="61">
        <v>44574</v>
      </c>
      <c r="E238" s="61">
        <v>44558</v>
      </c>
      <c r="F238" s="61">
        <v>44565</v>
      </c>
      <c r="G238" s="61">
        <v>44565</v>
      </c>
      <c r="H238" s="61">
        <v>44561</v>
      </c>
      <c r="I238" s="60" t="s">
        <v>511</v>
      </c>
      <c r="J238" s="60">
        <v>1</v>
      </c>
      <c r="L238" s="60">
        <v>0</v>
      </c>
      <c r="M238" s="61">
        <v>44516</v>
      </c>
      <c r="O238" s="62" t="s">
        <v>331</v>
      </c>
      <c r="P238" s="60" t="s">
        <v>26</v>
      </c>
      <c r="Q238" s="62" t="s">
        <v>120</v>
      </c>
      <c r="R238" s="62" t="s">
        <v>1364</v>
      </c>
      <c r="S238" s="63" t="s">
        <v>1203</v>
      </c>
      <c r="T238" s="63" t="s">
        <v>667</v>
      </c>
      <c r="U238" s="64">
        <v>76200</v>
      </c>
      <c r="V238" s="64">
        <v>83820</v>
      </c>
      <c r="W238" s="64">
        <v>47000</v>
      </c>
      <c r="X238" s="64">
        <v>51700</v>
      </c>
      <c r="Y238" s="64">
        <v>29200</v>
      </c>
      <c r="Z238" s="64">
        <v>32120</v>
      </c>
      <c r="AA238" s="61">
        <v>44557</v>
      </c>
      <c r="AB238" s="61">
        <v>44558</v>
      </c>
      <c r="AC238" s="61">
        <v>44558</v>
      </c>
      <c r="AD238" s="60">
        <v>0</v>
      </c>
      <c r="AG238" s="60">
        <v>0</v>
      </c>
      <c r="AJ238" s="60">
        <v>0</v>
      </c>
      <c r="AM238" s="60" t="s">
        <v>273</v>
      </c>
      <c r="AN238" s="60" t="s">
        <v>1365</v>
      </c>
      <c r="AQ238" s="60" t="s">
        <v>1200</v>
      </c>
      <c r="AR238" s="61">
        <v>44539</v>
      </c>
      <c r="AS238" s="60">
        <v>6001967770</v>
      </c>
      <c r="AT238" s="61">
        <v>44540</v>
      </c>
      <c r="AU238" s="60" t="s">
        <v>1216</v>
      </c>
      <c r="AV238" s="61">
        <v>44557</v>
      </c>
      <c r="AW238" s="91">
        <v>44561</v>
      </c>
      <c r="AX238" s="91">
        <v>44581</v>
      </c>
      <c r="AY238" s="99">
        <v>73152</v>
      </c>
      <c r="AZ238" s="99">
        <f>ROUNDDOWN(AY238+(AY238*MASTER!$A$2/100),0)</f>
        <v>80467</v>
      </c>
      <c r="BA238" s="60" t="s">
        <v>613</v>
      </c>
      <c r="BB238" s="64">
        <v>32000</v>
      </c>
      <c r="BC238" s="64">
        <v>35200</v>
      </c>
      <c r="BD238" s="60" t="s">
        <v>184</v>
      </c>
      <c r="BG238" s="64">
        <v>0</v>
      </c>
      <c r="BI238" s="60" t="s">
        <v>1519</v>
      </c>
      <c r="BK238" s="64">
        <v>0</v>
      </c>
      <c r="BS238" s="64">
        <v>0</v>
      </c>
      <c r="BV238" s="65">
        <v>51700</v>
      </c>
      <c r="BW238" s="65">
        <v>35200</v>
      </c>
      <c r="BX238" s="65">
        <v>44516</v>
      </c>
      <c r="BY238" s="65">
        <v>16500</v>
      </c>
      <c r="BZ238" s="81">
        <v>31.914893617021278</v>
      </c>
    </row>
    <row r="239" spans="1:82" x14ac:dyDescent="0.15">
      <c r="A239" s="60">
        <v>2</v>
      </c>
      <c r="B239" s="61">
        <v>44546</v>
      </c>
      <c r="C239" s="61">
        <v>44552</v>
      </c>
      <c r="D239" s="61">
        <v>44574</v>
      </c>
      <c r="E239" s="61">
        <v>44558</v>
      </c>
      <c r="F239" s="61">
        <v>44559</v>
      </c>
      <c r="G239" s="61">
        <v>44551</v>
      </c>
      <c r="H239" s="61">
        <v>44555</v>
      </c>
      <c r="I239" s="60" t="s">
        <v>511</v>
      </c>
      <c r="J239" s="60">
        <v>1</v>
      </c>
      <c r="L239" s="60">
        <v>0</v>
      </c>
      <c r="M239" s="61">
        <v>44516</v>
      </c>
      <c r="O239" s="62" t="s">
        <v>331</v>
      </c>
      <c r="P239" s="60" t="s">
        <v>26</v>
      </c>
      <c r="Q239" s="62" t="s">
        <v>120</v>
      </c>
      <c r="R239" s="62" t="s">
        <v>855</v>
      </c>
      <c r="S239" s="63" t="s">
        <v>856</v>
      </c>
      <c r="T239" s="63" t="s">
        <v>857</v>
      </c>
      <c r="U239" s="64">
        <v>59200</v>
      </c>
      <c r="V239" s="64">
        <v>65120</v>
      </c>
      <c r="W239" s="64">
        <v>47000</v>
      </c>
      <c r="X239" s="64">
        <v>51700</v>
      </c>
      <c r="Y239" s="64">
        <v>12200</v>
      </c>
      <c r="Z239" s="64">
        <v>13420</v>
      </c>
      <c r="AA239" s="61">
        <v>44550</v>
      </c>
      <c r="AB239" s="61">
        <v>44552</v>
      </c>
      <c r="AC239" s="61">
        <v>44552</v>
      </c>
      <c r="AD239" s="60">
        <v>0</v>
      </c>
      <c r="AG239" s="60">
        <v>0</v>
      </c>
      <c r="AJ239" s="60">
        <v>0</v>
      </c>
      <c r="AM239" s="60" t="s">
        <v>273</v>
      </c>
      <c r="AN239" s="60" t="s">
        <v>858</v>
      </c>
      <c r="AQ239" s="60" t="s">
        <v>1003</v>
      </c>
      <c r="AR239" s="61">
        <v>44529</v>
      </c>
      <c r="AS239" s="60">
        <v>6001963225</v>
      </c>
      <c r="AT239" s="61">
        <v>44530</v>
      </c>
      <c r="AU239" s="60" t="s">
        <v>1077</v>
      </c>
      <c r="AV239" s="61">
        <v>44552</v>
      </c>
      <c r="AW239" s="91">
        <v>44561</v>
      </c>
      <c r="AX239" s="91">
        <v>44581</v>
      </c>
      <c r="AY239" s="99">
        <v>56832</v>
      </c>
      <c r="AZ239" s="99">
        <f>ROUNDDOWN(AY239+(AY239*MASTER!$A$2/100),0)</f>
        <v>62515</v>
      </c>
      <c r="BA239" s="60" t="s">
        <v>613</v>
      </c>
      <c r="BB239" s="64">
        <v>32000</v>
      </c>
      <c r="BC239" s="64">
        <v>35200</v>
      </c>
      <c r="BD239" s="60" t="s">
        <v>184</v>
      </c>
      <c r="BG239" s="64">
        <v>0</v>
      </c>
      <c r="BI239" s="60" t="s">
        <v>748</v>
      </c>
      <c r="BJ239" s="64">
        <v>7930</v>
      </c>
      <c r="BK239" s="64">
        <v>8723</v>
      </c>
      <c r="BL239" s="60" t="s">
        <v>184</v>
      </c>
      <c r="BS239" s="64">
        <v>0</v>
      </c>
      <c r="BV239" s="65">
        <v>51700</v>
      </c>
      <c r="BW239" s="65">
        <v>43923</v>
      </c>
      <c r="BX239" s="65">
        <v>44516</v>
      </c>
      <c r="BY239" s="65">
        <v>7777</v>
      </c>
      <c r="BZ239" s="81">
        <v>15.042553191489361</v>
      </c>
    </row>
    <row r="240" spans="1:82" x14ac:dyDescent="0.15">
      <c r="A240" s="60">
        <v>2</v>
      </c>
      <c r="B240" s="61">
        <v>44518</v>
      </c>
      <c r="C240" s="61">
        <v>44519</v>
      </c>
      <c r="F240" s="61" t="s">
        <v>309</v>
      </c>
      <c r="H240" s="61" t="s">
        <v>309</v>
      </c>
      <c r="J240" s="60">
        <v>2</v>
      </c>
      <c r="L240" s="60">
        <v>0</v>
      </c>
      <c r="M240" s="61">
        <v>44516</v>
      </c>
      <c r="O240" s="62" t="s">
        <v>331</v>
      </c>
      <c r="P240" s="60" t="s">
        <v>6</v>
      </c>
      <c r="Q240" s="62" t="s">
        <v>120</v>
      </c>
      <c r="R240" s="62" t="s">
        <v>865</v>
      </c>
      <c r="S240" s="63" t="s">
        <v>866</v>
      </c>
      <c r="T240" s="63" t="s">
        <v>364</v>
      </c>
      <c r="U240" s="64">
        <v>23000</v>
      </c>
      <c r="V240" s="64">
        <v>25300</v>
      </c>
      <c r="W240" s="64">
        <v>23000</v>
      </c>
      <c r="X240" s="64">
        <v>25300</v>
      </c>
      <c r="Y240" s="64">
        <v>0</v>
      </c>
      <c r="Z240" s="64">
        <v>0</v>
      </c>
      <c r="AA240" s="61">
        <v>44519</v>
      </c>
      <c r="AB240" s="61">
        <v>44519</v>
      </c>
      <c r="AD240" s="60">
        <v>0</v>
      </c>
      <c r="AG240" s="60">
        <v>0</v>
      </c>
      <c r="AJ240" s="60">
        <v>0</v>
      </c>
      <c r="AN240" s="60" t="s">
        <v>309</v>
      </c>
      <c r="AQ240" s="60" t="s">
        <v>877</v>
      </c>
      <c r="AR240" s="61">
        <v>44517</v>
      </c>
      <c r="AS240" s="60">
        <v>6001959034</v>
      </c>
      <c r="AT240" s="61">
        <v>44517</v>
      </c>
      <c r="AU240" s="60" t="s">
        <v>882</v>
      </c>
      <c r="AV240" s="61">
        <v>44519</v>
      </c>
      <c r="AW240" s="91">
        <v>44530</v>
      </c>
      <c r="AX240" s="91">
        <v>44550</v>
      </c>
      <c r="AY240" s="99">
        <v>22080</v>
      </c>
      <c r="AZ240" s="141">
        <f>ROUNDDOWN(AY240+(AY240*MASTER!$A$2/100),0)</f>
        <v>24288</v>
      </c>
      <c r="BA240" s="60" t="s">
        <v>318</v>
      </c>
      <c r="BB240" s="64">
        <v>36000</v>
      </c>
      <c r="BC240" s="64">
        <v>39600</v>
      </c>
      <c r="BD240" s="60" t="s">
        <v>183</v>
      </c>
      <c r="BG240" s="64">
        <v>0</v>
      </c>
      <c r="BK240" s="64">
        <v>0</v>
      </c>
      <c r="BS240" s="64">
        <v>0</v>
      </c>
      <c r="BV240" s="65">
        <v>25300</v>
      </c>
      <c r="BW240" s="65">
        <v>39600</v>
      </c>
      <c r="BX240" s="65">
        <v>44516</v>
      </c>
      <c r="BY240" s="65">
        <v>-14300</v>
      </c>
      <c r="BZ240" s="81">
        <v>-56.521739130434781</v>
      </c>
      <c r="CD240" s="63" t="s">
        <v>867</v>
      </c>
    </row>
    <row r="241" spans="1:89" x14ac:dyDescent="0.15">
      <c r="A241" s="60">
        <v>1</v>
      </c>
      <c r="B241" s="61">
        <v>44530</v>
      </c>
      <c r="C241" s="61">
        <v>44525</v>
      </c>
      <c r="F241" s="61" t="s">
        <v>309</v>
      </c>
      <c r="H241" s="61" t="s">
        <v>309</v>
      </c>
      <c r="J241" s="60">
        <v>2</v>
      </c>
      <c r="L241" s="60">
        <v>0</v>
      </c>
      <c r="M241" s="61">
        <v>44516</v>
      </c>
      <c r="O241" s="62" t="s">
        <v>331</v>
      </c>
      <c r="P241" s="60" t="s">
        <v>26</v>
      </c>
      <c r="Q241" s="62" t="s">
        <v>120</v>
      </c>
      <c r="R241" s="62" t="s">
        <v>869</v>
      </c>
      <c r="S241" s="63" t="s">
        <v>326</v>
      </c>
      <c r="T241" s="63" t="s">
        <v>868</v>
      </c>
      <c r="U241" s="64">
        <v>96000</v>
      </c>
      <c r="V241" s="64">
        <v>105600</v>
      </c>
      <c r="W241" s="64">
        <v>96000</v>
      </c>
      <c r="X241" s="64">
        <v>105600</v>
      </c>
      <c r="Y241" s="64">
        <v>0</v>
      </c>
      <c r="Z241" s="64">
        <v>0</v>
      </c>
      <c r="AA241" s="61">
        <v>44510</v>
      </c>
      <c r="AB241" s="61">
        <v>44530</v>
      </c>
      <c r="AD241" s="60">
        <v>0</v>
      </c>
      <c r="AG241" s="60">
        <v>0</v>
      </c>
      <c r="AJ241" s="60">
        <v>0</v>
      </c>
      <c r="AQ241" s="60" t="s">
        <v>746</v>
      </c>
      <c r="AR241" s="61">
        <v>44518</v>
      </c>
      <c r="AS241" s="60">
        <v>6001959625</v>
      </c>
      <c r="AT241" s="61">
        <v>44518</v>
      </c>
      <c r="AU241" s="60" t="s">
        <v>898</v>
      </c>
      <c r="AV241" s="61">
        <v>44525</v>
      </c>
      <c r="AW241" s="91">
        <v>44530</v>
      </c>
      <c r="AX241" s="91">
        <v>44550</v>
      </c>
      <c r="AY241" s="107">
        <v>96000</v>
      </c>
      <c r="AZ241" s="107">
        <f>ROUNDDOWN(AY241+(AY241*MASTER!$A$2/100),0)</f>
        <v>105600</v>
      </c>
      <c r="BC241" s="64">
        <v>0</v>
      </c>
      <c r="BG241" s="64">
        <v>0</v>
      </c>
      <c r="BK241" s="64">
        <v>0</v>
      </c>
      <c r="BS241" s="64">
        <v>0</v>
      </c>
      <c r="BV241" s="65">
        <v>105600</v>
      </c>
      <c r="BW241" s="65">
        <v>0</v>
      </c>
      <c r="BX241" s="65">
        <v>44516</v>
      </c>
      <c r="BY241" s="65">
        <v>105600</v>
      </c>
      <c r="BZ241" s="81">
        <v>100</v>
      </c>
    </row>
    <row r="242" spans="1:89" x14ac:dyDescent="0.15">
      <c r="A242" s="60">
        <v>1</v>
      </c>
      <c r="B242" s="61">
        <v>44567</v>
      </c>
      <c r="C242" s="61">
        <v>44581</v>
      </c>
      <c r="F242" s="61" t="s">
        <v>309</v>
      </c>
      <c r="H242" s="61" t="s">
        <v>309</v>
      </c>
      <c r="J242" s="60">
        <v>3</v>
      </c>
      <c r="L242" s="60">
        <v>0</v>
      </c>
      <c r="M242" s="61">
        <v>44516</v>
      </c>
      <c r="O242" s="62" t="s">
        <v>331</v>
      </c>
      <c r="P242" s="60" t="s">
        <v>26</v>
      </c>
      <c r="Q242" s="62" t="s">
        <v>120</v>
      </c>
      <c r="R242" s="62" t="s">
        <v>870</v>
      </c>
      <c r="S242" s="63" t="s">
        <v>871</v>
      </c>
      <c r="T242" s="63" t="s">
        <v>463</v>
      </c>
      <c r="U242" s="64">
        <v>9000</v>
      </c>
      <c r="V242" s="64">
        <v>9900</v>
      </c>
      <c r="W242" s="64">
        <v>0</v>
      </c>
      <c r="X242" s="64">
        <v>0</v>
      </c>
      <c r="Y242" s="64">
        <v>9000</v>
      </c>
      <c r="Z242" s="64">
        <v>9900</v>
      </c>
      <c r="AD242" s="60">
        <v>0</v>
      </c>
      <c r="AG242" s="60">
        <v>0</v>
      </c>
      <c r="AJ242" s="60">
        <v>0</v>
      </c>
      <c r="AQ242" s="60" t="s">
        <v>1640</v>
      </c>
      <c r="AR242" s="61">
        <v>44529</v>
      </c>
      <c r="AS242" s="60">
        <v>6001963225</v>
      </c>
      <c r="AT242" s="61">
        <v>44530</v>
      </c>
      <c r="AU242" s="60" t="s">
        <v>1077</v>
      </c>
      <c r="AV242" s="61">
        <v>44581</v>
      </c>
      <c r="AW242" s="91">
        <v>44592</v>
      </c>
      <c r="AX242" s="91">
        <v>44612</v>
      </c>
      <c r="AY242" s="99">
        <v>8640</v>
      </c>
      <c r="AZ242" s="99">
        <f>ROUNDDOWN(AY242+(AY242*MASTER!$A$2/100),0)</f>
        <v>9504</v>
      </c>
      <c r="BC242" s="64">
        <v>0</v>
      </c>
      <c r="BG242" s="64">
        <v>0</v>
      </c>
      <c r="BK242" s="64">
        <v>0</v>
      </c>
      <c r="BS242" s="64">
        <v>0</v>
      </c>
      <c r="BV242" s="65">
        <v>0</v>
      </c>
      <c r="BW242" s="65">
        <v>0</v>
      </c>
      <c r="BX242" s="65">
        <v>44516</v>
      </c>
      <c r="BY242" s="65">
        <v>0</v>
      </c>
      <c r="BZ242" s="81" t="s">
        <v>309</v>
      </c>
    </row>
    <row r="243" spans="1:89" x14ac:dyDescent="0.15">
      <c r="A243" s="60">
        <v>2</v>
      </c>
      <c r="B243" s="61">
        <v>44525</v>
      </c>
      <c r="C243" s="61">
        <v>44525</v>
      </c>
      <c r="D243" s="61">
        <v>44517</v>
      </c>
      <c r="E243" s="61">
        <v>44517</v>
      </c>
      <c r="F243" s="61" t="s">
        <v>309</v>
      </c>
      <c r="G243" s="61">
        <v>44517</v>
      </c>
      <c r="H243" s="61" t="s">
        <v>309</v>
      </c>
      <c r="I243" s="60" t="s">
        <v>766</v>
      </c>
      <c r="J243" s="60">
        <v>2</v>
      </c>
      <c r="L243" s="60">
        <v>0</v>
      </c>
      <c r="M243" s="61">
        <v>44517</v>
      </c>
      <c r="O243" s="62" t="s">
        <v>331</v>
      </c>
      <c r="P243" s="60" t="s">
        <v>6</v>
      </c>
      <c r="Q243" s="62" t="s">
        <v>120</v>
      </c>
      <c r="R243" s="62" t="s">
        <v>879</v>
      </c>
      <c r="S243" s="63" t="s">
        <v>880</v>
      </c>
      <c r="T243" s="63" t="s">
        <v>364</v>
      </c>
      <c r="U243" s="64">
        <v>35000</v>
      </c>
      <c r="V243" s="64">
        <v>38500</v>
      </c>
      <c r="W243" s="64">
        <v>35000</v>
      </c>
      <c r="X243" s="64">
        <v>38500</v>
      </c>
      <c r="Z243" s="64">
        <v>0</v>
      </c>
      <c r="AA243" s="61">
        <v>44516</v>
      </c>
      <c r="AB243" s="61">
        <v>44516</v>
      </c>
      <c r="AD243" s="60">
        <v>0</v>
      </c>
      <c r="AG243" s="60">
        <v>0</v>
      </c>
      <c r="AJ243" s="60">
        <v>0</v>
      </c>
      <c r="AN243" s="60" t="s">
        <v>309</v>
      </c>
      <c r="AQ243" s="60" t="s">
        <v>968</v>
      </c>
      <c r="AR243" s="61">
        <v>44522</v>
      </c>
      <c r="AS243" s="60">
        <v>6001960981</v>
      </c>
      <c r="AT243" s="61">
        <v>44524</v>
      </c>
      <c r="AU243" s="60" t="s">
        <v>930</v>
      </c>
      <c r="AV243" s="61">
        <v>44525</v>
      </c>
      <c r="AW243" s="91">
        <v>44530</v>
      </c>
      <c r="AX243" s="91">
        <v>44550</v>
      </c>
      <c r="AY243" s="99">
        <v>33600</v>
      </c>
      <c r="AZ243" s="99">
        <f>ROUNDDOWN(AY243+(AY243*MASTER!$A$2/100),0)</f>
        <v>36960</v>
      </c>
      <c r="BA243" s="60" t="s">
        <v>613</v>
      </c>
      <c r="BB243" s="64">
        <v>32000</v>
      </c>
      <c r="BC243" s="64">
        <v>35200</v>
      </c>
      <c r="BD243" s="60" t="s">
        <v>183</v>
      </c>
      <c r="BG243" s="64">
        <v>0</v>
      </c>
      <c r="BK243" s="64">
        <v>0</v>
      </c>
      <c r="BS243" s="64">
        <v>0</v>
      </c>
      <c r="BV243" s="65">
        <v>38500</v>
      </c>
      <c r="BW243" s="65">
        <v>35200</v>
      </c>
      <c r="BX243" s="65">
        <v>44517</v>
      </c>
      <c r="BY243" s="65">
        <v>3300</v>
      </c>
      <c r="BZ243" s="81">
        <v>8.5714285714285712</v>
      </c>
    </row>
    <row r="244" spans="1:89" x14ac:dyDescent="0.15">
      <c r="A244" s="60">
        <v>1</v>
      </c>
      <c r="C244" s="61" t="s">
        <v>309</v>
      </c>
      <c r="F244" s="61" t="s">
        <v>309</v>
      </c>
      <c r="H244" s="61" t="s">
        <v>309</v>
      </c>
      <c r="J244" s="60">
        <v>4</v>
      </c>
      <c r="L244" s="60">
        <v>0</v>
      </c>
      <c r="M244" s="61">
        <v>44517</v>
      </c>
      <c r="O244" s="62" t="s">
        <v>331</v>
      </c>
      <c r="P244" s="60" t="s">
        <v>6</v>
      </c>
      <c r="Q244" s="62" t="s">
        <v>120</v>
      </c>
      <c r="R244" s="62" t="s">
        <v>971</v>
      </c>
      <c r="S244" s="63" t="s">
        <v>515</v>
      </c>
      <c r="T244" s="63" t="s">
        <v>972</v>
      </c>
      <c r="U244" s="64">
        <v>0</v>
      </c>
      <c r="V244" s="64">
        <v>0</v>
      </c>
      <c r="W244" s="64">
        <v>0</v>
      </c>
      <c r="X244" s="64">
        <v>0</v>
      </c>
      <c r="Z244" s="64">
        <v>0</v>
      </c>
      <c r="AA244" s="61">
        <v>44520</v>
      </c>
      <c r="AB244" s="61">
        <v>44520</v>
      </c>
      <c r="AD244" s="60">
        <v>0</v>
      </c>
      <c r="AG244" s="60">
        <v>0</v>
      </c>
      <c r="AJ244" s="60">
        <v>0</v>
      </c>
      <c r="AN244" s="60" t="s">
        <v>309</v>
      </c>
      <c r="AY244" s="99">
        <v>0</v>
      </c>
      <c r="AZ244" s="99">
        <f>ROUNDDOWN(AY244+(AY244*MASTER!$A$2/100),0)</f>
        <v>0</v>
      </c>
      <c r="BA244" s="60" t="s">
        <v>970</v>
      </c>
      <c r="BB244" s="64">
        <v>21000</v>
      </c>
      <c r="BC244" s="64">
        <v>23100</v>
      </c>
      <c r="BD244" s="60" t="s">
        <v>493</v>
      </c>
      <c r="BG244" s="64">
        <v>0</v>
      </c>
      <c r="BK244" s="64">
        <v>0</v>
      </c>
      <c r="BS244" s="64">
        <v>0</v>
      </c>
      <c r="BV244" s="65">
        <v>0</v>
      </c>
      <c r="BW244" s="65">
        <v>23100</v>
      </c>
      <c r="BX244" s="65">
        <v>44517</v>
      </c>
      <c r="BY244" s="65">
        <v>-23100</v>
      </c>
      <c r="BZ244" s="81" t="s">
        <v>309</v>
      </c>
    </row>
    <row r="245" spans="1:89" x14ac:dyDescent="0.15">
      <c r="A245" s="60">
        <v>2</v>
      </c>
      <c r="B245" s="61">
        <v>44546</v>
      </c>
      <c r="C245" s="61">
        <v>44551</v>
      </c>
      <c r="D245" s="61">
        <v>44564</v>
      </c>
      <c r="E245" s="61">
        <v>44552</v>
      </c>
      <c r="F245" s="61">
        <v>44558</v>
      </c>
      <c r="G245" s="61">
        <v>44550</v>
      </c>
      <c r="H245" s="61">
        <v>44554</v>
      </c>
      <c r="I245" s="60" t="s">
        <v>612</v>
      </c>
      <c r="J245" s="60">
        <v>1</v>
      </c>
      <c r="L245" s="60">
        <v>0</v>
      </c>
      <c r="M245" s="61">
        <v>44517</v>
      </c>
      <c r="O245" s="62" t="s">
        <v>331</v>
      </c>
      <c r="P245" s="60" t="s">
        <v>26</v>
      </c>
      <c r="Q245" s="62" t="s">
        <v>120</v>
      </c>
      <c r="R245" s="62" t="s">
        <v>1325</v>
      </c>
      <c r="S245" s="63" t="s">
        <v>1326</v>
      </c>
      <c r="T245" s="63" t="s">
        <v>1327</v>
      </c>
      <c r="U245" s="64">
        <v>172700</v>
      </c>
      <c r="V245" s="64">
        <v>189970</v>
      </c>
      <c r="W245" s="64">
        <v>78000</v>
      </c>
      <c r="X245" s="64">
        <v>85800</v>
      </c>
      <c r="Y245" s="64">
        <v>94700</v>
      </c>
      <c r="Z245" s="64">
        <v>104170</v>
      </c>
      <c r="AA245" s="61">
        <v>44549</v>
      </c>
      <c r="AB245" s="61">
        <v>44551</v>
      </c>
      <c r="AC245" s="61">
        <v>44551</v>
      </c>
      <c r="AD245" s="60">
        <v>0</v>
      </c>
      <c r="AG245" s="60">
        <v>0</v>
      </c>
      <c r="AJ245" s="60">
        <v>0</v>
      </c>
      <c r="AM245" s="60" t="s">
        <v>273</v>
      </c>
      <c r="AN245" s="60" t="s">
        <v>1328</v>
      </c>
      <c r="AQ245" s="60" t="s">
        <v>1199</v>
      </c>
      <c r="AR245" s="61">
        <v>44539</v>
      </c>
      <c r="AS245" s="60">
        <v>6001967770</v>
      </c>
      <c r="AT245" s="61">
        <v>44540</v>
      </c>
      <c r="AU245" s="60" t="s">
        <v>1216</v>
      </c>
      <c r="AV245" s="61">
        <v>44551</v>
      </c>
      <c r="AW245" s="91">
        <v>44561</v>
      </c>
      <c r="AX245" s="91">
        <v>44581</v>
      </c>
      <c r="AY245" s="99">
        <v>165792</v>
      </c>
      <c r="AZ245" s="99">
        <f>ROUNDDOWN(AY245+(AY245*MASTER!$A$2/100),0)</f>
        <v>182371</v>
      </c>
      <c r="BA245" s="60" t="s">
        <v>317</v>
      </c>
      <c r="BB245" s="64">
        <v>35000</v>
      </c>
      <c r="BC245" s="64">
        <v>38500</v>
      </c>
      <c r="BD245" s="60" t="s">
        <v>184</v>
      </c>
      <c r="BG245" s="64">
        <v>0</v>
      </c>
      <c r="BI245" s="60" t="s">
        <v>267</v>
      </c>
      <c r="BJ245" s="64">
        <v>61555</v>
      </c>
      <c r="BK245" s="64">
        <v>67710.5</v>
      </c>
      <c r="BL245" s="60" t="s">
        <v>1366</v>
      </c>
      <c r="BS245" s="64">
        <v>0</v>
      </c>
      <c r="BV245" s="65">
        <v>85800</v>
      </c>
      <c r="BW245" s="65">
        <v>106210.5</v>
      </c>
      <c r="BX245" s="65">
        <v>44517</v>
      </c>
      <c r="BY245" s="65">
        <v>-20410.5</v>
      </c>
      <c r="BZ245" s="81">
        <v>-23.78846153846154</v>
      </c>
    </row>
    <row r="246" spans="1:89" x14ac:dyDescent="0.15">
      <c r="A246" s="60">
        <v>1</v>
      </c>
      <c r="B246" s="61">
        <v>44519</v>
      </c>
      <c r="C246" s="61">
        <v>44526</v>
      </c>
      <c r="F246" s="61" t="s">
        <v>309</v>
      </c>
      <c r="H246" s="61" t="s">
        <v>309</v>
      </c>
      <c r="J246" s="60">
        <v>2</v>
      </c>
      <c r="L246" s="60">
        <v>0</v>
      </c>
      <c r="M246" s="61">
        <v>44518</v>
      </c>
      <c r="O246" s="62" t="s">
        <v>331</v>
      </c>
      <c r="P246" s="60" t="s">
        <v>77</v>
      </c>
      <c r="Q246" s="62" t="s">
        <v>120</v>
      </c>
      <c r="R246" s="62" t="s">
        <v>884</v>
      </c>
      <c r="S246" s="63" t="s">
        <v>489</v>
      </c>
      <c r="T246" s="63" t="s">
        <v>883</v>
      </c>
      <c r="U246" s="64">
        <v>7020</v>
      </c>
      <c r="V246" s="64">
        <v>7722</v>
      </c>
      <c r="W246" s="64">
        <v>7020</v>
      </c>
      <c r="X246" s="64">
        <v>7722</v>
      </c>
      <c r="Z246" s="64">
        <v>0</v>
      </c>
      <c r="AD246" s="60">
        <v>0</v>
      </c>
      <c r="AG246" s="60">
        <v>0</v>
      </c>
      <c r="AJ246" s="60">
        <v>0</v>
      </c>
      <c r="AQ246" s="60" t="s">
        <v>885</v>
      </c>
      <c r="AR246" s="61">
        <v>44517</v>
      </c>
      <c r="AS246" s="60">
        <v>6001959544</v>
      </c>
      <c r="AT246" s="61">
        <v>44518</v>
      </c>
      <c r="AU246" s="60" t="s">
        <v>902</v>
      </c>
      <c r="AV246" s="61">
        <v>44526</v>
      </c>
      <c r="AW246" s="91">
        <v>44530</v>
      </c>
      <c r="AX246" s="91">
        <v>44550</v>
      </c>
      <c r="AY246" s="107">
        <v>7020</v>
      </c>
      <c r="AZ246" s="107">
        <f>ROUNDDOWN(AY246+(AY246*MASTER!$A$2/100),0)</f>
        <v>7722</v>
      </c>
      <c r="BC246" s="64">
        <v>0</v>
      </c>
      <c r="BG246" s="64">
        <v>0</v>
      </c>
      <c r="BK246" s="64">
        <v>0</v>
      </c>
      <c r="BS246" s="64">
        <v>0</v>
      </c>
      <c r="BV246" s="65">
        <v>7722</v>
      </c>
      <c r="BW246" s="65">
        <v>0</v>
      </c>
      <c r="BX246" s="65">
        <v>44518</v>
      </c>
      <c r="BY246" s="65">
        <v>7722</v>
      </c>
      <c r="BZ246" s="81">
        <v>100</v>
      </c>
    </row>
    <row r="247" spans="1:89" x14ac:dyDescent="0.15">
      <c r="A247" s="60">
        <v>2</v>
      </c>
      <c r="B247" s="61">
        <v>44546</v>
      </c>
      <c r="C247" s="61">
        <v>44551</v>
      </c>
      <c r="D247" s="61">
        <v>44564</v>
      </c>
      <c r="E247" s="61">
        <v>44558</v>
      </c>
      <c r="F247" s="61">
        <v>44558</v>
      </c>
      <c r="G247" s="61">
        <v>44554</v>
      </c>
      <c r="H247" s="61">
        <v>44554</v>
      </c>
      <c r="I247" s="60" t="s">
        <v>612</v>
      </c>
      <c r="J247" s="60">
        <v>1</v>
      </c>
      <c r="L247" s="60">
        <v>0</v>
      </c>
      <c r="M247" s="61">
        <v>44518</v>
      </c>
      <c r="O247" s="62" t="s">
        <v>331</v>
      </c>
      <c r="P247" s="60" t="s">
        <v>26</v>
      </c>
      <c r="Q247" s="62" t="s">
        <v>120</v>
      </c>
      <c r="R247" s="62" t="s">
        <v>1329</v>
      </c>
      <c r="S247" s="63" t="s">
        <v>838</v>
      </c>
      <c r="T247" s="63" t="s">
        <v>1330</v>
      </c>
      <c r="U247" s="64">
        <v>188700</v>
      </c>
      <c r="V247" s="64">
        <v>207570</v>
      </c>
      <c r="W247" s="64">
        <v>94000</v>
      </c>
      <c r="X247" s="64">
        <v>103400</v>
      </c>
      <c r="Y247" s="64">
        <v>94700</v>
      </c>
      <c r="Z247" s="64">
        <v>104170</v>
      </c>
      <c r="AA247" s="61">
        <v>44550</v>
      </c>
      <c r="AB247" s="61">
        <v>44551</v>
      </c>
      <c r="AC247" s="61">
        <v>44551</v>
      </c>
      <c r="AD247" s="60">
        <v>0</v>
      </c>
      <c r="AG247" s="60">
        <v>0</v>
      </c>
      <c r="AJ247" s="60">
        <v>0</v>
      </c>
      <c r="AM247" s="60" t="s">
        <v>273</v>
      </c>
      <c r="AN247" s="60" t="s">
        <v>1331</v>
      </c>
      <c r="AQ247" s="60" t="s">
        <v>1186</v>
      </c>
      <c r="AR247" s="61">
        <v>44540</v>
      </c>
      <c r="AS247" s="60">
        <v>6001968038</v>
      </c>
      <c r="AT247" s="61">
        <v>44540</v>
      </c>
      <c r="AU247" s="60" t="s">
        <v>1218</v>
      </c>
      <c r="AV247" s="61">
        <v>44551</v>
      </c>
      <c r="AW247" s="91">
        <v>44561</v>
      </c>
      <c r="AX247" s="91">
        <v>44581</v>
      </c>
      <c r="AY247" s="99">
        <v>181152</v>
      </c>
      <c r="AZ247" s="99">
        <f>ROUNDDOWN(AY247+(AY247*MASTER!$A$2/100),0)</f>
        <v>199267</v>
      </c>
      <c r="BA247" s="60" t="s">
        <v>317</v>
      </c>
      <c r="BB247" s="64">
        <v>53000</v>
      </c>
      <c r="BC247" s="64">
        <v>58300</v>
      </c>
      <c r="BD247" s="60" t="s">
        <v>184</v>
      </c>
      <c r="BG247" s="64">
        <v>0</v>
      </c>
      <c r="BI247" s="60" t="s">
        <v>267</v>
      </c>
      <c r="BJ247" s="64">
        <v>61555</v>
      </c>
      <c r="BK247" s="64">
        <v>67710.5</v>
      </c>
      <c r="BL247" s="60" t="s">
        <v>1366</v>
      </c>
      <c r="BS247" s="64">
        <v>0</v>
      </c>
      <c r="BV247" s="65">
        <v>103400</v>
      </c>
      <c r="BW247" s="65">
        <v>126010.5</v>
      </c>
      <c r="BX247" s="65">
        <v>44518</v>
      </c>
      <c r="BY247" s="65">
        <v>-22610.5</v>
      </c>
      <c r="BZ247" s="81">
        <v>-21.867021276595743</v>
      </c>
    </row>
    <row r="248" spans="1:89" x14ac:dyDescent="0.15">
      <c r="A248" s="60">
        <v>2</v>
      </c>
      <c r="B248" s="61">
        <v>44551</v>
      </c>
      <c r="C248" s="61">
        <v>44553</v>
      </c>
      <c r="D248" s="61" t="s">
        <v>764</v>
      </c>
      <c r="E248" s="61">
        <v>44558</v>
      </c>
      <c r="F248" s="61">
        <v>44560</v>
      </c>
      <c r="G248" s="61">
        <v>44553</v>
      </c>
      <c r="H248" s="61">
        <v>44556</v>
      </c>
      <c r="I248" s="60" t="s">
        <v>612</v>
      </c>
      <c r="J248" s="60">
        <v>1</v>
      </c>
      <c r="L248" s="60">
        <v>0</v>
      </c>
      <c r="M248" s="61">
        <v>44518</v>
      </c>
      <c r="O248" s="62" t="s">
        <v>331</v>
      </c>
      <c r="P248" s="60" t="s">
        <v>26</v>
      </c>
      <c r="Q248" s="62" t="s">
        <v>120</v>
      </c>
      <c r="R248" s="62" t="s">
        <v>888</v>
      </c>
      <c r="S248" s="63" t="s">
        <v>889</v>
      </c>
      <c r="T248" s="63" t="s">
        <v>890</v>
      </c>
      <c r="U248" s="64">
        <v>23900</v>
      </c>
      <c r="V248" s="64">
        <v>26290</v>
      </c>
      <c r="W248" s="64">
        <v>14700</v>
      </c>
      <c r="X248" s="64">
        <v>16170</v>
      </c>
      <c r="Y248" s="64">
        <v>9200</v>
      </c>
      <c r="Z248" s="64">
        <v>10120</v>
      </c>
      <c r="AA248" s="61">
        <v>44551</v>
      </c>
      <c r="AB248" s="61">
        <v>44553</v>
      </c>
      <c r="AC248" s="61">
        <v>44553</v>
      </c>
      <c r="AD248" s="60">
        <v>0</v>
      </c>
      <c r="AG248" s="60">
        <v>0</v>
      </c>
      <c r="AJ248" s="60">
        <v>0</v>
      </c>
      <c r="AM248" s="60" t="s">
        <v>273</v>
      </c>
      <c r="AN248" s="60" t="s">
        <v>891</v>
      </c>
      <c r="AQ248" s="60" t="s">
        <v>1179</v>
      </c>
      <c r="AR248" s="61">
        <v>44539</v>
      </c>
      <c r="AS248" s="60">
        <v>6001967768</v>
      </c>
      <c r="AT248" s="61">
        <v>44540</v>
      </c>
      <c r="AU248" s="60" t="s">
        <v>1210</v>
      </c>
      <c r="AV248" s="61">
        <v>44553</v>
      </c>
      <c r="AW248" s="91">
        <v>44561</v>
      </c>
      <c r="AX248" s="91">
        <v>44581</v>
      </c>
      <c r="AY248" s="99">
        <v>22944</v>
      </c>
      <c r="AZ248" s="99">
        <f>ROUNDDOWN(AY248+(AY248*MASTER!$A$2/100),0)</f>
        <v>25238</v>
      </c>
      <c r="BA248" s="60" t="s">
        <v>765</v>
      </c>
      <c r="BC248" s="64">
        <v>0</v>
      </c>
      <c r="BG248" s="64">
        <v>0</v>
      </c>
      <c r="BI248" s="60" t="s">
        <v>267</v>
      </c>
      <c r="BJ248" s="64">
        <v>5980</v>
      </c>
      <c r="BK248" s="64">
        <v>6578</v>
      </c>
      <c r="BL248" s="60" t="s">
        <v>1366</v>
      </c>
      <c r="BS248" s="64">
        <v>0</v>
      </c>
      <c r="BV248" s="65">
        <v>16170</v>
      </c>
      <c r="BW248" s="65">
        <v>6578</v>
      </c>
      <c r="BX248" s="65">
        <v>44518</v>
      </c>
      <c r="BY248" s="65">
        <v>9592</v>
      </c>
      <c r="BZ248" s="81">
        <v>59.319727891156461</v>
      </c>
    </row>
    <row r="249" spans="1:89" x14ac:dyDescent="0.15">
      <c r="A249" s="60">
        <v>2</v>
      </c>
      <c r="B249" s="61">
        <v>44551</v>
      </c>
      <c r="C249" s="61">
        <v>44555</v>
      </c>
      <c r="D249" s="61">
        <v>44574</v>
      </c>
      <c r="E249" s="61">
        <v>44558</v>
      </c>
      <c r="F249" s="61">
        <v>44562</v>
      </c>
      <c r="G249" s="61">
        <v>44557</v>
      </c>
      <c r="H249" s="61">
        <v>44558</v>
      </c>
      <c r="I249" s="60" t="s">
        <v>511</v>
      </c>
      <c r="J249" s="60">
        <v>1</v>
      </c>
      <c r="L249" s="60">
        <v>0</v>
      </c>
      <c r="M249" s="61">
        <v>44518</v>
      </c>
      <c r="O249" s="62" t="s">
        <v>331</v>
      </c>
      <c r="P249" s="60" t="s">
        <v>26</v>
      </c>
      <c r="Q249" s="62" t="s">
        <v>120</v>
      </c>
      <c r="R249" s="62" t="s">
        <v>892</v>
      </c>
      <c r="S249" s="63" t="s">
        <v>893</v>
      </c>
      <c r="T249" s="63" t="s">
        <v>894</v>
      </c>
      <c r="U249" s="64">
        <v>526155</v>
      </c>
      <c r="V249" s="64">
        <v>578770.5</v>
      </c>
      <c r="W249" s="64">
        <v>452455</v>
      </c>
      <c r="X249" s="64">
        <v>497700.5</v>
      </c>
      <c r="Y249" s="64">
        <v>73700</v>
      </c>
      <c r="Z249" s="64">
        <v>81070</v>
      </c>
      <c r="AA249" s="61">
        <v>44551</v>
      </c>
      <c r="AB249" s="61">
        <v>44555</v>
      </c>
      <c r="AC249" s="61">
        <v>44555</v>
      </c>
      <c r="AD249" s="60">
        <v>0</v>
      </c>
      <c r="AG249" s="60">
        <v>0</v>
      </c>
      <c r="AJ249" s="60">
        <v>0</v>
      </c>
      <c r="AM249" s="60" t="s">
        <v>273</v>
      </c>
      <c r="AN249" s="60" t="s">
        <v>895</v>
      </c>
      <c r="AQ249" s="60" t="s">
        <v>1127</v>
      </c>
      <c r="AR249" s="61">
        <v>44533</v>
      </c>
      <c r="AS249" s="60">
        <v>6001965090</v>
      </c>
      <c r="AT249" s="61">
        <v>44533</v>
      </c>
      <c r="AU249" s="60" t="s">
        <v>1132</v>
      </c>
      <c r="AV249" s="61">
        <v>44555</v>
      </c>
      <c r="AW249" s="91">
        <v>44561</v>
      </c>
      <c r="AX249" s="91">
        <v>44581</v>
      </c>
      <c r="AY249" s="99">
        <v>505109</v>
      </c>
      <c r="AZ249" s="99">
        <v>555620</v>
      </c>
      <c r="BA249" s="60" t="s">
        <v>613</v>
      </c>
      <c r="BB249" s="64">
        <v>234000</v>
      </c>
      <c r="BC249" s="64">
        <v>257400</v>
      </c>
      <c r="BD249" s="60" t="s">
        <v>184</v>
      </c>
      <c r="BG249" s="64">
        <v>0</v>
      </c>
      <c r="BI249" s="60" t="s">
        <v>748</v>
      </c>
      <c r="BJ249" s="64">
        <v>47905</v>
      </c>
      <c r="BK249" s="64">
        <v>52695.5</v>
      </c>
      <c r="BL249" s="60" t="s">
        <v>184</v>
      </c>
      <c r="BS249" s="64">
        <v>0</v>
      </c>
      <c r="BV249" s="65">
        <v>497700.5</v>
      </c>
      <c r="BW249" s="65">
        <v>310095.5</v>
      </c>
      <c r="BX249" s="65">
        <v>44518</v>
      </c>
      <c r="BY249" s="65">
        <v>187605</v>
      </c>
      <c r="BZ249" s="81">
        <v>37.69435634482987</v>
      </c>
    </row>
    <row r="250" spans="1:89" x14ac:dyDescent="0.15">
      <c r="A250" s="60">
        <v>2</v>
      </c>
      <c r="B250" s="61">
        <v>44551</v>
      </c>
      <c r="C250" s="61">
        <v>44555</v>
      </c>
      <c r="D250" s="61">
        <v>44574</v>
      </c>
      <c r="E250" s="61">
        <v>44558</v>
      </c>
      <c r="F250" s="61">
        <v>44562</v>
      </c>
      <c r="G250" s="61">
        <v>44557</v>
      </c>
      <c r="H250" s="61">
        <v>44558</v>
      </c>
      <c r="I250" s="60" t="s">
        <v>511</v>
      </c>
      <c r="J250" s="60">
        <v>1</v>
      </c>
      <c r="L250" s="60">
        <v>0</v>
      </c>
      <c r="M250" s="61">
        <v>44518</v>
      </c>
      <c r="O250" s="62" t="s">
        <v>331</v>
      </c>
      <c r="P250" s="60" t="s">
        <v>26</v>
      </c>
      <c r="Q250" s="62" t="s">
        <v>120</v>
      </c>
      <c r="R250" s="62" t="s">
        <v>1386</v>
      </c>
      <c r="S250" s="63" t="s">
        <v>1387</v>
      </c>
      <c r="T250" s="63" t="s">
        <v>1388</v>
      </c>
      <c r="U250" s="64">
        <v>519155</v>
      </c>
      <c r="V250" s="64">
        <v>571070.5</v>
      </c>
      <c r="W250" s="64">
        <v>420455</v>
      </c>
      <c r="X250" s="64">
        <v>462500.5</v>
      </c>
      <c r="Y250" s="64">
        <v>98700</v>
      </c>
      <c r="Z250" s="64">
        <v>108570</v>
      </c>
      <c r="AA250" s="61">
        <v>44551</v>
      </c>
      <c r="AB250" s="61">
        <v>44555</v>
      </c>
      <c r="AC250" s="61">
        <v>44555</v>
      </c>
      <c r="AD250" s="60">
        <v>0</v>
      </c>
      <c r="AG250" s="60">
        <v>0</v>
      </c>
      <c r="AJ250" s="60">
        <v>0</v>
      </c>
      <c r="AM250" s="60" t="s">
        <v>273</v>
      </c>
      <c r="AN250" s="60" t="s">
        <v>1389</v>
      </c>
      <c r="AQ250" s="60" t="s">
        <v>1197</v>
      </c>
      <c r="AR250" s="61">
        <v>44539</v>
      </c>
      <c r="AS250" s="60">
        <v>6001967770</v>
      </c>
      <c r="AT250" s="61">
        <v>44540</v>
      </c>
      <c r="AU250" s="60" t="s">
        <v>1216</v>
      </c>
      <c r="AV250" s="61">
        <v>44555</v>
      </c>
      <c r="AW250" s="91">
        <v>44561</v>
      </c>
      <c r="AX250" s="91">
        <v>44581</v>
      </c>
      <c r="AY250" s="99">
        <v>498389</v>
      </c>
      <c r="AZ250" s="99">
        <v>548228</v>
      </c>
      <c r="BA250" s="60" t="s">
        <v>613</v>
      </c>
      <c r="BB250" s="64">
        <v>184000</v>
      </c>
      <c r="BC250" s="64">
        <v>202400</v>
      </c>
      <c r="BD250" s="60" t="s">
        <v>184</v>
      </c>
      <c r="BG250" s="64">
        <v>0</v>
      </c>
      <c r="BI250" s="60" t="s">
        <v>748</v>
      </c>
      <c r="BJ250" s="64">
        <v>64155</v>
      </c>
      <c r="BK250" s="64">
        <v>70570.5</v>
      </c>
      <c r="BL250" s="60" t="s">
        <v>184</v>
      </c>
      <c r="BS250" s="64">
        <v>0</v>
      </c>
      <c r="BV250" s="65">
        <v>462500.5</v>
      </c>
      <c r="BW250" s="65">
        <v>272970.5</v>
      </c>
      <c r="BX250" s="65">
        <v>44518</v>
      </c>
      <c r="BY250" s="65">
        <v>189530</v>
      </c>
      <c r="BZ250" s="81">
        <v>40.97941515738902</v>
      </c>
    </row>
    <row r="251" spans="1:89" s="168" customFormat="1" x14ac:dyDescent="0.15">
      <c r="A251" s="158">
        <v>3</v>
      </c>
      <c r="B251" s="159"/>
      <c r="C251" s="159" t="s">
        <v>309</v>
      </c>
      <c r="D251" s="159"/>
      <c r="E251" s="159"/>
      <c r="F251" s="159" t="s">
        <v>309</v>
      </c>
      <c r="G251" s="159"/>
      <c r="H251" s="159" t="s">
        <v>309</v>
      </c>
      <c r="I251" s="158"/>
      <c r="J251" s="158">
        <v>2</v>
      </c>
      <c r="K251" s="159"/>
      <c r="L251" s="158">
        <v>0</v>
      </c>
      <c r="M251" s="159">
        <v>44518</v>
      </c>
      <c r="N251" s="159"/>
      <c r="O251" s="160" t="s">
        <v>331</v>
      </c>
      <c r="P251" s="158" t="s">
        <v>26</v>
      </c>
      <c r="Q251" s="160" t="s">
        <v>120</v>
      </c>
      <c r="R251" s="160" t="s">
        <v>1928</v>
      </c>
      <c r="S251" s="161" t="s">
        <v>1028</v>
      </c>
      <c r="T251" s="161" t="s">
        <v>1929</v>
      </c>
      <c r="U251" s="162">
        <v>378475</v>
      </c>
      <c r="V251" s="162">
        <v>416322.5</v>
      </c>
      <c r="W251" s="162">
        <v>378475</v>
      </c>
      <c r="X251" s="162">
        <v>416322.5</v>
      </c>
      <c r="Y251" s="162"/>
      <c r="Z251" s="162">
        <v>0</v>
      </c>
      <c r="AA251" s="159"/>
      <c r="AB251" s="159"/>
      <c r="AC251" s="159"/>
      <c r="AD251" s="158">
        <v>0</v>
      </c>
      <c r="AE251" s="158"/>
      <c r="AF251" s="158"/>
      <c r="AG251" s="158">
        <v>0</v>
      </c>
      <c r="AH251" s="158"/>
      <c r="AI251" s="158"/>
      <c r="AJ251" s="158">
        <v>0</v>
      </c>
      <c r="AK251" s="158"/>
      <c r="AL251" s="158"/>
      <c r="AM251" s="158" t="s">
        <v>273</v>
      </c>
      <c r="AN251" s="158" t="s">
        <v>1930</v>
      </c>
      <c r="AO251" s="159"/>
      <c r="AP251" s="158"/>
      <c r="AQ251" s="158"/>
      <c r="AR251" s="159"/>
      <c r="AS251" s="158"/>
      <c r="AT251" s="159"/>
      <c r="AU251" s="158"/>
      <c r="AV251" s="159"/>
      <c r="AW251" s="163"/>
      <c r="AX251" s="163"/>
      <c r="AY251" s="164">
        <v>363336</v>
      </c>
      <c r="AZ251" s="164">
        <f>ROUNDDOWN(AY251+(AY251*MASTER!$A$2/100),0)</f>
        <v>399669</v>
      </c>
      <c r="BA251" s="158"/>
      <c r="BB251" s="162"/>
      <c r="BC251" s="162">
        <v>0</v>
      </c>
      <c r="BD251" s="158"/>
      <c r="BE251" s="158"/>
      <c r="BF251" s="162"/>
      <c r="BG251" s="162">
        <v>0</v>
      </c>
      <c r="BH251" s="158"/>
      <c r="BI251" s="158"/>
      <c r="BJ251" s="162"/>
      <c r="BK251" s="162">
        <v>0</v>
      </c>
      <c r="BL251" s="158"/>
      <c r="BM251" s="162"/>
      <c r="BN251" s="162"/>
      <c r="BO251" s="162"/>
      <c r="BP251" s="162"/>
      <c r="BQ251" s="162"/>
      <c r="BR251" s="162"/>
      <c r="BS251" s="162">
        <v>0</v>
      </c>
      <c r="BT251" s="165"/>
      <c r="BU251" s="165"/>
      <c r="BV251" s="166">
        <v>416322.5</v>
      </c>
      <c r="BW251" s="166">
        <v>0</v>
      </c>
      <c r="BX251" s="166">
        <v>44518</v>
      </c>
      <c r="BY251" s="166">
        <v>416322.5</v>
      </c>
      <c r="BZ251" s="167">
        <v>100</v>
      </c>
      <c r="CA251" s="158"/>
      <c r="CB251" s="158"/>
      <c r="CC251" s="158"/>
      <c r="CD251" s="161" t="s">
        <v>1931</v>
      </c>
      <c r="CE251" s="159"/>
      <c r="CF251" s="159"/>
      <c r="CG251" s="159"/>
      <c r="CH251" s="159"/>
      <c r="CI251" s="159"/>
      <c r="CJ251" s="159"/>
      <c r="CK251" s="162"/>
    </row>
    <row r="252" spans="1:89" x14ac:dyDescent="0.15">
      <c r="A252" s="60">
        <v>1</v>
      </c>
      <c r="B252" s="61">
        <v>44567</v>
      </c>
      <c r="C252" s="61">
        <v>44581</v>
      </c>
      <c r="F252" s="61" t="s">
        <v>309</v>
      </c>
      <c r="H252" s="61" t="s">
        <v>309</v>
      </c>
      <c r="J252" s="60">
        <v>3</v>
      </c>
      <c r="L252" s="60">
        <v>0</v>
      </c>
      <c r="M252" s="61">
        <v>44518</v>
      </c>
      <c r="O252" s="62" t="s">
        <v>331</v>
      </c>
      <c r="P252" s="60" t="s">
        <v>6</v>
      </c>
      <c r="Q252" s="62" t="s">
        <v>120</v>
      </c>
      <c r="R252" s="62" t="s">
        <v>896</v>
      </c>
      <c r="S252" s="63" t="s">
        <v>897</v>
      </c>
      <c r="T252" s="63" t="s">
        <v>463</v>
      </c>
      <c r="U252" s="64">
        <v>9000</v>
      </c>
      <c r="V252" s="64">
        <v>9900</v>
      </c>
      <c r="W252" s="64">
        <v>0</v>
      </c>
      <c r="X252" s="64">
        <v>0</v>
      </c>
      <c r="Y252" s="64">
        <v>9000</v>
      </c>
      <c r="Z252" s="64">
        <v>9900</v>
      </c>
      <c r="AD252" s="60">
        <v>0</v>
      </c>
      <c r="AG252" s="60">
        <v>0</v>
      </c>
      <c r="AJ252" s="60">
        <v>0</v>
      </c>
      <c r="AN252" s="60" t="s">
        <v>309</v>
      </c>
      <c r="AQ252" s="60" t="s">
        <v>998</v>
      </c>
      <c r="AR252" s="61">
        <v>44529</v>
      </c>
      <c r="AS252" s="60">
        <v>6001963225</v>
      </c>
      <c r="AT252" s="61">
        <v>44530</v>
      </c>
      <c r="AU252" s="60" t="s">
        <v>1077</v>
      </c>
      <c r="AV252" s="61">
        <v>44581</v>
      </c>
      <c r="AW252" s="91">
        <v>44592</v>
      </c>
      <c r="AX252" s="91">
        <v>44612</v>
      </c>
      <c r="AY252" s="99">
        <v>8640</v>
      </c>
      <c r="AZ252" s="99">
        <f>ROUNDDOWN(AY252+(AY252*MASTER!$A$2/100),0)</f>
        <v>9504</v>
      </c>
      <c r="BC252" s="64">
        <v>0</v>
      </c>
      <c r="BG252" s="64">
        <v>0</v>
      </c>
      <c r="BK252" s="64">
        <v>0</v>
      </c>
      <c r="BS252" s="64">
        <v>0</v>
      </c>
      <c r="BV252" s="65">
        <v>0</v>
      </c>
      <c r="BW252" s="65">
        <v>0</v>
      </c>
      <c r="BX252" s="65">
        <v>44518</v>
      </c>
      <c r="BY252" s="65">
        <v>0</v>
      </c>
      <c r="BZ252" s="81" t="s">
        <v>309</v>
      </c>
    </row>
    <row r="253" spans="1:89" x14ac:dyDescent="0.15">
      <c r="A253" s="60">
        <v>2</v>
      </c>
      <c r="B253" s="61">
        <v>44637</v>
      </c>
      <c r="C253" s="61">
        <v>44645</v>
      </c>
      <c r="D253" s="61">
        <v>44545</v>
      </c>
      <c r="E253" s="61">
        <v>44530</v>
      </c>
      <c r="F253" s="61">
        <v>44533</v>
      </c>
      <c r="G253" s="61">
        <v>44525</v>
      </c>
      <c r="H253" s="61">
        <v>44529</v>
      </c>
      <c r="I253" s="60" t="s">
        <v>511</v>
      </c>
      <c r="J253" s="60">
        <v>1</v>
      </c>
      <c r="L253" s="60">
        <v>0</v>
      </c>
      <c r="M253" s="61">
        <v>44518</v>
      </c>
      <c r="O253" s="62" t="s">
        <v>331</v>
      </c>
      <c r="P253" s="60" t="s">
        <v>26</v>
      </c>
      <c r="Q253" s="62" t="s">
        <v>120</v>
      </c>
      <c r="R253" s="62" t="s">
        <v>899</v>
      </c>
      <c r="S253" s="63" t="s">
        <v>900</v>
      </c>
      <c r="T253" s="63" t="s">
        <v>442</v>
      </c>
      <c r="U253" s="64">
        <v>59000</v>
      </c>
      <c r="V253" s="64">
        <v>64900</v>
      </c>
      <c r="W253" s="64">
        <v>47000</v>
      </c>
      <c r="X253" s="64">
        <v>51700</v>
      </c>
      <c r="Y253" s="64">
        <v>12000</v>
      </c>
      <c r="Z253" s="64">
        <v>13200</v>
      </c>
      <c r="AA253" s="61">
        <v>44524</v>
      </c>
      <c r="AB253" s="61">
        <v>44526</v>
      </c>
      <c r="AC253" s="61">
        <v>44526</v>
      </c>
      <c r="AD253" s="60">
        <v>0</v>
      </c>
      <c r="AG253" s="60">
        <v>0</v>
      </c>
      <c r="AJ253" s="60">
        <v>0</v>
      </c>
      <c r="AM253" s="60" t="s">
        <v>273</v>
      </c>
      <c r="AN253" s="60" t="s">
        <v>1034</v>
      </c>
      <c r="AQ253" s="60" t="s">
        <v>2685</v>
      </c>
      <c r="AR253" s="61">
        <v>44635</v>
      </c>
      <c r="AS253" s="60">
        <v>6002004348</v>
      </c>
      <c r="AT253" s="61">
        <v>44636</v>
      </c>
      <c r="AU253" s="60" t="s">
        <v>2778</v>
      </c>
      <c r="AV253" s="61">
        <v>44645</v>
      </c>
      <c r="AW253" s="91">
        <v>44651</v>
      </c>
      <c r="AX253" s="91">
        <v>44671</v>
      </c>
      <c r="AY253" s="99">
        <v>56640</v>
      </c>
      <c r="AZ253" s="99">
        <f>ROUNDDOWN(AY253+(AY253*MASTER!$A$2/100),0)</f>
        <v>62304</v>
      </c>
      <c r="BA253" s="60" t="s">
        <v>314</v>
      </c>
      <c r="BB253" s="64">
        <v>28000</v>
      </c>
      <c r="BC253" s="64">
        <v>30800</v>
      </c>
      <c r="BD253" s="60" t="s">
        <v>183</v>
      </c>
      <c r="BG253" s="64">
        <v>0</v>
      </c>
      <c r="BI253" s="60" t="s">
        <v>748</v>
      </c>
      <c r="BJ253" s="64">
        <v>7800</v>
      </c>
      <c r="BK253" s="64">
        <v>8580</v>
      </c>
      <c r="BL253" s="60" t="s">
        <v>183</v>
      </c>
      <c r="BS253" s="64">
        <v>0</v>
      </c>
      <c r="BV253" s="65">
        <v>51700</v>
      </c>
      <c r="BW253" s="65">
        <v>39380</v>
      </c>
      <c r="BX253" s="65">
        <v>44518</v>
      </c>
      <c r="BY253" s="65">
        <v>12320</v>
      </c>
      <c r="BZ253" s="81">
        <v>23.829787234042556</v>
      </c>
      <c r="CD253" s="63" t="s">
        <v>2769</v>
      </c>
    </row>
    <row r="254" spans="1:89" x14ac:dyDescent="0.15">
      <c r="A254" s="60">
        <v>2</v>
      </c>
      <c r="B254" s="61">
        <v>44540</v>
      </c>
      <c r="C254" s="61">
        <v>44544</v>
      </c>
      <c r="D254" s="61">
        <v>44568</v>
      </c>
      <c r="E254" s="61">
        <v>44544</v>
      </c>
      <c r="F254" s="61" t="s">
        <v>309</v>
      </c>
      <c r="G254" s="61">
        <v>44544</v>
      </c>
      <c r="H254" s="61" t="s">
        <v>309</v>
      </c>
      <c r="I254" s="60" t="s">
        <v>511</v>
      </c>
      <c r="J254" s="60">
        <v>1</v>
      </c>
      <c r="L254" s="60">
        <v>0</v>
      </c>
      <c r="M254" s="61">
        <v>44519</v>
      </c>
      <c r="O254" s="62" t="s">
        <v>331</v>
      </c>
      <c r="P254" s="60" t="s">
        <v>26</v>
      </c>
      <c r="Q254" s="62" t="s">
        <v>120</v>
      </c>
      <c r="R254" s="62" t="s">
        <v>1005</v>
      </c>
      <c r="S254" s="63" t="s">
        <v>1000</v>
      </c>
      <c r="T254" s="63" t="s">
        <v>442</v>
      </c>
      <c r="U254" s="64">
        <v>59000</v>
      </c>
      <c r="V254" s="64">
        <v>64900</v>
      </c>
      <c r="W254" s="64">
        <v>47000</v>
      </c>
      <c r="X254" s="64">
        <v>51700</v>
      </c>
      <c r="Y254" s="64">
        <v>12000</v>
      </c>
      <c r="Z254" s="64">
        <v>13200</v>
      </c>
      <c r="AA254" s="61">
        <v>44543</v>
      </c>
      <c r="AB254" s="61">
        <v>44544</v>
      </c>
      <c r="AD254" s="60">
        <v>0</v>
      </c>
      <c r="AG254" s="60">
        <v>0</v>
      </c>
      <c r="AJ254" s="60">
        <v>0</v>
      </c>
      <c r="AM254" s="60" t="s">
        <v>273</v>
      </c>
      <c r="AN254" s="60" t="s">
        <v>1006</v>
      </c>
      <c r="AQ254" s="60" t="s">
        <v>1214</v>
      </c>
      <c r="AR254" s="61">
        <v>44529</v>
      </c>
      <c r="AS254" s="60">
        <v>6001963225</v>
      </c>
      <c r="AT254" s="61">
        <v>44530</v>
      </c>
      <c r="AU254" s="60" t="s">
        <v>1077</v>
      </c>
      <c r="AV254" s="61">
        <v>44544</v>
      </c>
      <c r="AW254" s="91">
        <v>44561</v>
      </c>
      <c r="AX254" s="91">
        <v>44581</v>
      </c>
      <c r="AY254" s="99">
        <v>56640</v>
      </c>
      <c r="AZ254" s="99">
        <f>ROUNDDOWN(AY254+(AY254*MASTER!$A$2/100),0)</f>
        <v>62304</v>
      </c>
      <c r="BA254" s="60" t="s">
        <v>765</v>
      </c>
      <c r="BC254" s="64">
        <v>0</v>
      </c>
      <c r="BG254" s="64">
        <v>0</v>
      </c>
      <c r="BI254" s="60" t="s">
        <v>748</v>
      </c>
      <c r="BJ254" s="64">
        <v>7800</v>
      </c>
      <c r="BK254" s="64">
        <v>8580</v>
      </c>
      <c r="BL254" s="60" t="s">
        <v>184</v>
      </c>
      <c r="BS254" s="64">
        <v>0</v>
      </c>
      <c r="BV254" s="65">
        <v>51700</v>
      </c>
      <c r="BW254" s="65">
        <v>8580</v>
      </c>
      <c r="BX254" s="65">
        <v>44519</v>
      </c>
      <c r="BY254" s="65">
        <v>43120</v>
      </c>
      <c r="BZ254" s="81">
        <v>83.40425531914893</v>
      </c>
    </row>
    <row r="255" spans="1:89" x14ac:dyDescent="0.15">
      <c r="A255" s="60">
        <v>2</v>
      </c>
      <c r="B255" s="61">
        <v>44543</v>
      </c>
      <c r="C255" s="61">
        <v>44546</v>
      </c>
      <c r="D255" s="61">
        <v>44564</v>
      </c>
      <c r="E255" s="61">
        <v>44550</v>
      </c>
      <c r="F255" s="61">
        <v>44553</v>
      </c>
      <c r="G255" s="61">
        <v>44546</v>
      </c>
      <c r="H255" s="61">
        <v>44549</v>
      </c>
      <c r="I255" s="60" t="s">
        <v>612</v>
      </c>
      <c r="J255" s="60">
        <v>1</v>
      </c>
      <c r="L255" s="60">
        <v>0</v>
      </c>
      <c r="M255" s="61">
        <v>44519</v>
      </c>
      <c r="O255" s="62" t="s">
        <v>331</v>
      </c>
      <c r="P255" s="60" t="s">
        <v>26</v>
      </c>
      <c r="Q255" s="62" t="s">
        <v>120</v>
      </c>
      <c r="R255" s="62" t="s">
        <v>1265</v>
      </c>
      <c r="S255" s="63" t="s">
        <v>557</v>
      </c>
      <c r="T255" s="63" t="s">
        <v>1266</v>
      </c>
      <c r="U255" s="64">
        <v>202500</v>
      </c>
      <c r="V255" s="64">
        <v>222750</v>
      </c>
      <c r="W255" s="64">
        <v>110000</v>
      </c>
      <c r="X255" s="64">
        <v>121000</v>
      </c>
      <c r="Y255" s="64">
        <v>92500</v>
      </c>
      <c r="Z255" s="64">
        <v>101750</v>
      </c>
      <c r="AA255" s="61">
        <v>44545</v>
      </c>
      <c r="AB255" s="61">
        <v>44546</v>
      </c>
      <c r="AC255" s="61">
        <v>44546</v>
      </c>
      <c r="AD255" s="60">
        <v>0</v>
      </c>
      <c r="AG255" s="60">
        <v>0</v>
      </c>
      <c r="AJ255" s="60">
        <v>0</v>
      </c>
      <c r="AM255" s="60" t="s">
        <v>273</v>
      </c>
      <c r="AN255" s="60" t="s">
        <v>1267</v>
      </c>
      <c r="AQ255" s="60" t="s">
        <v>1188</v>
      </c>
      <c r="AR255" s="61">
        <v>44540</v>
      </c>
      <c r="AS255" s="60">
        <v>6001968038</v>
      </c>
      <c r="AT255" s="61">
        <v>44540</v>
      </c>
      <c r="AU255" s="60" t="s">
        <v>1218</v>
      </c>
      <c r="AV255" s="61">
        <v>44546</v>
      </c>
      <c r="AW255" s="91">
        <v>44561</v>
      </c>
      <c r="AX255" s="91">
        <v>44581</v>
      </c>
      <c r="AY255" s="99">
        <v>194400</v>
      </c>
      <c r="AZ255" s="99">
        <f>ROUNDDOWN(AY255+(AY255*MASTER!$A$2/100),0)</f>
        <v>213840</v>
      </c>
      <c r="BA255" s="60" t="s">
        <v>780</v>
      </c>
      <c r="BB255" s="64">
        <v>23000</v>
      </c>
      <c r="BC255" s="64">
        <v>25300</v>
      </c>
      <c r="BD255" s="60" t="s">
        <v>184</v>
      </c>
      <c r="BG255" s="64">
        <v>0</v>
      </c>
      <c r="BI255" s="60" t="s">
        <v>267</v>
      </c>
      <c r="BJ255" s="64">
        <v>60125</v>
      </c>
      <c r="BK255" s="64">
        <v>66137.5</v>
      </c>
      <c r="BL255" s="60" t="s">
        <v>1366</v>
      </c>
      <c r="BS255" s="64">
        <v>0</v>
      </c>
      <c r="BV255" s="65">
        <v>121000</v>
      </c>
      <c r="BW255" s="65">
        <v>91437.5</v>
      </c>
      <c r="BX255" s="65">
        <v>44519</v>
      </c>
      <c r="BY255" s="65">
        <v>29562.5</v>
      </c>
      <c r="BZ255" s="81">
        <v>24.431818181818183</v>
      </c>
    </row>
    <row r="256" spans="1:89" x14ac:dyDescent="0.15">
      <c r="A256" s="60">
        <v>2</v>
      </c>
      <c r="B256" s="61">
        <v>44546</v>
      </c>
      <c r="C256" s="61">
        <v>44552</v>
      </c>
      <c r="D256" s="61" t="s">
        <v>764</v>
      </c>
      <c r="E256" s="61">
        <v>44552</v>
      </c>
      <c r="F256" s="61">
        <v>44557</v>
      </c>
      <c r="G256" s="61">
        <v>44551</v>
      </c>
      <c r="H256" s="61">
        <v>44553</v>
      </c>
      <c r="I256" s="60" t="s">
        <v>612</v>
      </c>
      <c r="J256" s="60">
        <v>1</v>
      </c>
      <c r="L256" s="60">
        <v>0</v>
      </c>
      <c r="M256" s="61">
        <v>44519</v>
      </c>
      <c r="O256" s="62" t="s">
        <v>331</v>
      </c>
      <c r="P256" s="60" t="s">
        <v>26</v>
      </c>
      <c r="Q256" s="62" t="s">
        <v>120</v>
      </c>
      <c r="R256" s="62" t="s">
        <v>1332</v>
      </c>
      <c r="S256" s="63" t="s">
        <v>844</v>
      </c>
      <c r="T256" s="63" t="s">
        <v>1333</v>
      </c>
      <c r="U256" s="64">
        <v>23900</v>
      </c>
      <c r="V256" s="64">
        <v>26290</v>
      </c>
      <c r="W256" s="64">
        <v>14700</v>
      </c>
      <c r="X256" s="64">
        <v>16170</v>
      </c>
      <c r="Y256" s="64">
        <v>9200</v>
      </c>
      <c r="Z256" s="64">
        <v>10120</v>
      </c>
      <c r="AA256" s="61">
        <v>44549</v>
      </c>
      <c r="AB256" s="61">
        <v>44550</v>
      </c>
      <c r="AC256" s="61">
        <v>44550</v>
      </c>
      <c r="AD256" s="60">
        <v>0</v>
      </c>
      <c r="AG256" s="60">
        <v>0</v>
      </c>
      <c r="AJ256" s="60">
        <v>0</v>
      </c>
      <c r="AM256" s="60" t="s">
        <v>273</v>
      </c>
      <c r="AN256" s="60" t="s">
        <v>1334</v>
      </c>
      <c r="AQ256" s="60" t="s">
        <v>1181</v>
      </c>
      <c r="AR256" s="61">
        <v>44539</v>
      </c>
      <c r="AS256" s="60">
        <v>6001967768</v>
      </c>
      <c r="AT256" s="61">
        <v>44540</v>
      </c>
      <c r="AU256" s="60" t="s">
        <v>1210</v>
      </c>
      <c r="AV256" s="61">
        <v>44552</v>
      </c>
      <c r="AW256" s="91">
        <v>44561</v>
      </c>
      <c r="AX256" s="91">
        <v>44581</v>
      </c>
      <c r="AY256" s="99">
        <v>22944</v>
      </c>
      <c r="AZ256" s="99">
        <f>ROUNDDOWN(AY256+(AY256*MASTER!$A$2/100),0)</f>
        <v>25238</v>
      </c>
      <c r="BA256" s="60" t="s">
        <v>765</v>
      </c>
      <c r="BC256" s="64">
        <v>0</v>
      </c>
      <c r="BG256" s="64">
        <v>0</v>
      </c>
      <c r="BI256" s="60" t="s">
        <v>267</v>
      </c>
      <c r="BJ256" s="64">
        <v>5980</v>
      </c>
      <c r="BK256" s="64">
        <v>6578</v>
      </c>
      <c r="BL256" s="60" t="s">
        <v>1366</v>
      </c>
      <c r="BS256" s="64">
        <v>0</v>
      </c>
      <c r="BV256" s="65">
        <v>16170</v>
      </c>
      <c r="BW256" s="65">
        <v>6578</v>
      </c>
      <c r="BX256" s="65">
        <v>44519</v>
      </c>
      <c r="BY256" s="65">
        <v>9592</v>
      </c>
      <c r="BZ256" s="81">
        <v>59.319727891156461</v>
      </c>
    </row>
    <row r="257" spans="1:89" s="168" customFormat="1" x14ac:dyDescent="0.15">
      <c r="A257" s="158">
        <v>3</v>
      </c>
      <c r="B257" s="159">
        <v>44586</v>
      </c>
      <c r="C257" s="159" t="s">
        <v>309</v>
      </c>
      <c r="D257" s="159"/>
      <c r="E257" s="159"/>
      <c r="F257" s="159" t="s">
        <v>309</v>
      </c>
      <c r="G257" s="159"/>
      <c r="H257" s="159" t="s">
        <v>309</v>
      </c>
      <c r="I257" s="158"/>
      <c r="J257" s="158">
        <v>1</v>
      </c>
      <c r="K257" s="159"/>
      <c r="L257" s="158">
        <v>0</v>
      </c>
      <c r="M257" s="159">
        <v>44519</v>
      </c>
      <c r="N257" s="159"/>
      <c r="O257" s="160" t="s">
        <v>331</v>
      </c>
      <c r="P257" s="158" t="s">
        <v>26</v>
      </c>
      <c r="Q257" s="160" t="s">
        <v>120</v>
      </c>
      <c r="R257" s="160" t="s">
        <v>1924</v>
      </c>
      <c r="S257" s="161" t="s">
        <v>1925</v>
      </c>
      <c r="T257" s="161" t="s">
        <v>1333</v>
      </c>
      <c r="U257" s="162">
        <v>23900</v>
      </c>
      <c r="V257" s="162">
        <v>26290</v>
      </c>
      <c r="W257" s="162">
        <v>14700</v>
      </c>
      <c r="X257" s="162">
        <v>16170</v>
      </c>
      <c r="Y257" s="162">
        <v>9200</v>
      </c>
      <c r="Z257" s="162">
        <v>10120</v>
      </c>
      <c r="AA257" s="159">
        <v>44592</v>
      </c>
      <c r="AB257" s="159">
        <v>44593</v>
      </c>
      <c r="AC257" s="159"/>
      <c r="AD257" s="158">
        <v>0</v>
      </c>
      <c r="AE257" s="158"/>
      <c r="AF257" s="158"/>
      <c r="AG257" s="158">
        <v>0</v>
      </c>
      <c r="AH257" s="158"/>
      <c r="AI257" s="158"/>
      <c r="AJ257" s="158">
        <v>0</v>
      </c>
      <c r="AK257" s="158"/>
      <c r="AL257" s="158"/>
      <c r="AM257" s="158" t="s">
        <v>273</v>
      </c>
      <c r="AN257" s="158" t="s">
        <v>1926</v>
      </c>
      <c r="AO257" s="159"/>
      <c r="AP257" s="158"/>
      <c r="AQ257" s="158"/>
      <c r="AR257" s="159"/>
      <c r="AS257" s="158"/>
      <c r="AT257" s="159"/>
      <c r="AU257" s="158"/>
      <c r="AV257" s="159"/>
      <c r="AW257" s="163"/>
      <c r="AX257" s="163"/>
      <c r="AY257" s="164">
        <v>22944</v>
      </c>
      <c r="AZ257" s="164">
        <f>ROUNDDOWN(AY257+(AY257*MASTER!$A$2/100),0)</f>
        <v>25238</v>
      </c>
      <c r="BA257" s="158"/>
      <c r="BB257" s="162"/>
      <c r="BC257" s="162">
        <v>0</v>
      </c>
      <c r="BD257" s="158"/>
      <c r="BE257" s="158"/>
      <c r="BF257" s="162"/>
      <c r="BG257" s="162">
        <v>0</v>
      </c>
      <c r="BH257" s="158"/>
      <c r="BI257" s="158"/>
      <c r="BJ257" s="162"/>
      <c r="BK257" s="162">
        <v>0</v>
      </c>
      <c r="BL257" s="158"/>
      <c r="BM257" s="162"/>
      <c r="BN257" s="162"/>
      <c r="BO257" s="162"/>
      <c r="BP257" s="162"/>
      <c r="BQ257" s="162"/>
      <c r="BR257" s="162"/>
      <c r="BS257" s="162">
        <v>0</v>
      </c>
      <c r="BT257" s="165"/>
      <c r="BU257" s="165"/>
      <c r="BV257" s="166">
        <v>16170</v>
      </c>
      <c r="BW257" s="166">
        <v>0</v>
      </c>
      <c r="BX257" s="166">
        <v>44519</v>
      </c>
      <c r="BY257" s="166">
        <v>16170</v>
      </c>
      <c r="BZ257" s="167">
        <v>100</v>
      </c>
      <c r="CA257" s="158"/>
      <c r="CB257" s="158"/>
      <c r="CC257" s="158"/>
      <c r="CD257" s="161" t="s">
        <v>1927</v>
      </c>
      <c r="CE257" s="159"/>
      <c r="CF257" s="159"/>
      <c r="CG257" s="159"/>
      <c r="CH257" s="159"/>
      <c r="CI257" s="159"/>
      <c r="CJ257" s="159"/>
      <c r="CK257" s="162"/>
    </row>
    <row r="258" spans="1:89" x14ac:dyDescent="0.15">
      <c r="A258" s="60">
        <v>2</v>
      </c>
      <c r="B258" s="61">
        <v>44586</v>
      </c>
      <c r="C258" s="61">
        <v>44591</v>
      </c>
      <c r="D258" s="61">
        <v>44606</v>
      </c>
      <c r="E258" s="61">
        <v>44591</v>
      </c>
      <c r="F258" s="61">
        <v>44587</v>
      </c>
      <c r="G258" s="61">
        <v>44580</v>
      </c>
      <c r="H258" s="61">
        <v>44583</v>
      </c>
      <c r="I258" s="60" t="s">
        <v>612</v>
      </c>
      <c r="J258" s="60">
        <v>1</v>
      </c>
      <c r="L258" s="60">
        <v>0</v>
      </c>
      <c r="M258" s="61">
        <v>44519</v>
      </c>
      <c r="O258" s="62" t="s">
        <v>331</v>
      </c>
      <c r="P258" s="60" t="s">
        <v>26</v>
      </c>
      <c r="Q258" s="62" t="s">
        <v>120</v>
      </c>
      <c r="R258" s="62" t="s">
        <v>1677</v>
      </c>
      <c r="S258" s="63" t="s">
        <v>1259</v>
      </c>
      <c r="T258" s="63" t="s">
        <v>1391</v>
      </c>
      <c r="U258" s="64">
        <v>59000</v>
      </c>
      <c r="V258" s="64">
        <v>64900</v>
      </c>
      <c r="W258" s="64">
        <v>47000</v>
      </c>
      <c r="X258" s="64">
        <v>51700</v>
      </c>
      <c r="Y258" s="64">
        <v>12000</v>
      </c>
      <c r="Z258" s="64">
        <v>13200</v>
      </c>
      <c r="AA258" s="61">
        <v>44579</v>
      </c>
      <c r="AB258" s="61">
        <v>44580</v>
      </c>
      <c r="AC258" s="61">
        <v>44580</v>
      </c>
      <c r="AD258" s="60">
        <v>0</v>
      </c>
      <c r="AG258" s="60">
        <v>0</v>
      </c>
      <c r="AJ258" s="60">
        <v>0</v>
      </c>
      <c r="AM258" s="60" t="s">
        <v>273</v>
      </c>
      <c r="AN258" s="60" t="s">
        <v>1678</v>
      </c>
      <c r="AQ258" s="60" t="s">
        <v>1192</v>
      </c>
      <c r="AR258" s="61">
        <v>44539</v>
      </c>
      <c r="AS258" s="60">
        <v>6001967769</v>
      </c>
      <c r="AT258" s="61">
        <v>44540</v>
      </c>
      <c r="AU258" s="60" t="s">
        <v>1211</v>
      </c>
      <c r="AV258" s="61">
        <v>44591</v>
      </c>
      <c r="AW258" s="91">
        <v>44592</v>
      </c>
      <c r="AX258" s="91">
        <v>44612</v>
      </c>
      <c r="AY258" s="99">
        <v>56640</v>
      </c>
      <c r="AZ258" s="99">
        <f>ROUNDDOWN(AY258+(AY258*MASTER!$A$2/100),0)</f>
        <v>62304</v>
      </c>
      <c r="BA258" s="60" t="s">
        <v>318</v>
      </c>
      <c r="BB258" s="64">
        <v>21000</v>
      </c>
      <c r="BC258" s="64">
        <v>23100</v>
      </c>
      <c r="BD258" s="60" t="s">
        <v>1614</v>
      </c>
      <c r="BG258" s="64">
        <v>0</v>
      </c>
      <c r="BI258" s="60" t="s">
        <v>748</v>
      </c>
      <c r="BJ258" s="64">
        <v>7800</v>
      </c>
      <c r="BK258" s="64">
        <v>8580</v>
      </c>
      <c r="BL258" s="60" t="s">
        <v>1614</v>
      </c>
      <c r="BS258" s="64">
        <v>0</v>
      </c>
      <c r="BV258" s="65">
        <v>51700</v>
      </c>
      <c r="BW258" s="65">
        <v>31680</v>
      </c>
      <c r="BX258" s="65">
        <v>44519</v>
      </c>
      <c r="BY258" s="65">
        <v>20020</v>
      </c>
      <c r="BZ258" s="81">
        <v>38.723404255319153</v>
      </c>
    </row>
    <row r="259" spans="1:89" x14ac:dyDescent="0.15">
      <c r="A259" s="60">
        <v>2</v>
      </c>
      <c r="B259" s="61">
        <v>44596</v>
      </c>
      <c r="C259" s="61">
        <v>44607</v>
      </c>
      <c r="D259" s="61">
        <v>44635</v>
      </c>
      <c r="E259" s="61">
        <v>44618</v>
      </c>
      <c r="F259" s="61">
        <v>44614</v>
      </c>
      <c r="G259" s="61">
        <v>44608</v>
      </c>
      <c r="H259" s="61">
        <v>44610</v>
      </c>
      <c r="I259" s="60" t="s">
        <v>511</v>
      </c>
      <c r="J259" s="60">
        <v>1</v>
      </c>
      <c r="L259" s="60">
        <v>0</v>
      </c>
      <c r="M259" s="61">
        <v>44519</v>
      </c>
      <c r="O259" s="62" t="s">
        <v>331</v>
      </c>
      <c r="P259" s="60" t="s">
        <v>26</v>
      </c>
      <c r="Q259" s="62" t="s">
        <v>120</v>
      </c>
      <c r="R259" s="62" t="s">
        <v>1958</v>
      </c>
      <c r="S259" s="63" t="s">
        <v>1065</v>
      </c>
      <c r="T259" s="63" t="s">
        <v>1391</v>
      </c>
      <c r="U259" s="64">
        <v>59000</v>
      </c>
      <c r="V259" s="64">
        <v>64900</v>
      </c>
      <c r="W259" s="64">
        <v>47000</v>
      </c>
      <c r="X259" s="64">
        <v>51700</v>
      </c>
      <c r="Y259" s="64">
        <v>12000</v>
      </c>
      <c r="Z259" s="64">
        <v>13200</v>
      </c>
      <c r="AA259" s="61">
        <v>44606</v>
      </c>
      <c r="AB259" s="61">
        <v>44607</v>
      </c>
      <c r="AC259" s="61">
        <v>44607</v>
      </c>
      <c r="AD259" s="60">
        <v>0</v>
      </c>
      <c r="AG259" s="60">
        <v>0</v>
      </c>
      <c r="AJ259" s="60">
        <v>0</v>
      </c>
      <c r="AM259" s="60" t="s">
        <v>273</v>
      </c>
      <c r="AN259" s="60" t="s">
        <v>1959</v>
      </c>
      <c r="AQ259" s="60" t="s">
        <v>1194</v>
      </c>
      <c r="AR259" s="61">
        <v>44539</v>
      </c>
      <c r="AS259" s="60">
        <v>6001967769</v>
      </c>
      <c r="AT259" s="61">
        <v>44540</v>
      </c>
      <c r="AU259" s="60" t="s">
        <v>1211</v>
      </c>
      <c r="AV259" s="61">
        <v>44607</v>
      </c>
      <c r="AW259" s="91">
        <v>44620</v>
      </c>
      <c r="AX259" s="91">
        <v>44640</v>
      </c>
      <c r="AY259" s="99">
        <v>56640</v>
      </c>
      <c r="AZ259" s="99">
        <f>ROUNDDOWN(AY259+(AY259*MASTER!$A$2/100),0)</f>
        <v>62304</v>
      </c>
      <c r="BA259" s="60" t="s">
        <v>318</v>
      </c>
      <c r="BB259" s="64">
        <v>45000</v>
      </c>
      <c r="BC259" s="64">
        <v>49500</v>
      </c>
      <c r="BD259" s="60" t="s">
        <v>2044</v>
      </c>
      <c r="BG259" s="64">
        <v>0</v>
      </c>
      <c r="BI259" s="60" t="s">
        <v>748</v>
      </c>
      <c r="BJ259" s="64">
        <v>7800</v>
      </c>
      <c r="BK259" s="64">
        <v>8580</v>
      </c>
      <c r="BL259" s="60" t="s">
        <v>2044</v>
      </c>
      <c r="BS259" s="64">
        <v>0</v>
      </c>
      <c r="BV259" s="65">
        <v>51700</v>
      </c>
      <c r="BW259" s="65">
        <v>58080</v>
      </c>
      <c r="BX259" s="65">
        <v>44519</v>
      </c>
      <c r="BY259" s="65">
        <v>-6380</v>
      </c>
      <c r="BZ259" s="81">
        <v>-12.340425531914894</v>
      </c>
      <c r="CD259" s="63" t="s">
        <v>1960</v>
      </c>
    </row>
    <row r="260" spans="1:89" x14ac:dyDescent="0.15">
      <c r="A260" s="60">
        <v>2</v>
      </c>
      <c r="B260" s="61">
        <v>44586</v>
      </c>
      <c r="C260" s="61">
        <v>44591</v>
      </c>
      <c r="D260" s="61">
        <v>44606</v>
      </c>
      <c r="E260" s="61">
        <v>44604</v>
      </c>
      <c r="F260" s="61">
        <v>44589</v>
      </c>
      <c r="G260" s="61">
        <v>44586</v>
      </c>
      <c r="H260" s="61">
        <v>44585</v>
      </c>
      <c r="I260" s="60" t="s">
        <v>612</v>
      </c>
      <c r="J260" s="60">
        <v>1</v>
      </c>
      <c r="L260" s="60">
        <v>0</v>
      </c>
      <c r="M260" s="61">
        <v>44519</v>
      </c>
      <c r="O260" s="62" t="s">
        <v>331</v>
      </c>
      <c r="P260" s="60" t="s">
        <v>26</v>
      </c>
      <c r="Q260" s="62" t="s">
        <v>120</v>
      </c>
      <c r="R260" s="62" t="s">
        <v>1679</v>
      </c>
      <c r="S260" s="63" t="s">
        <v>1224</v>
      </c>
      <c r="T260" s="63" t="s">
        <v>1476</v>
      </c>
      <c r="U260" s="64">
        <v>59000</v>
      </c>
      <c r="V260" s="64">
        <v>64900</v>
      </c>
      <c r="W260" s="64">
        <v>47000</v>
      </c>
      <c r="X260" s="64">
        <v>51700</v>
      </c>
      <c r="Y260" s="64">
        <v>12000</v>
      </c>
      <c r="Z260" s="64">
        <v>13200</v>
      </c>
      <c r="AA260" s="61">
        <v>44581</v>
      </c>
      <c r="AB260" s="61">
        <v>44582</v>
      </c>
      <c r="AC260" s="61">
        <v>44582</v>
      </c>
      <c r="AD260" s="60">
        <v>0</v>
      </c>
      <c r="AG260" s="60">
        <v>0</v>
      </c>
      <c r="AJ260" s="60">
        <v>0</v>
      </c>
      <c r="AM260" s="60" t="s">
        <v>273</v>
      </c>
      <c r="AN260" s="60" t="s">
        <v>1680</v>
      </c>
      <c r="AQ260" s="60" t="s">
        <v>1187</v>
      </c>
      <c r="AR260" s="61">
        <v>44540</v>
      </c>
      <c r="AS260" s="60">
        <v>6001968038</v>
      </c>
      <c r="AT260" s="61">
        <v>44540</v>
      </c>
      <c r="AU260" s="60" t="s">
        <v>1218</v>
      </c>
      <c r="AV260" s="61">
        <v>44591</v>
      </c>
      <c r="AW260" s="91">
        <v>44592</v>
      </c>
      <c r="AX260" s="91">
        <v>44612</v>
      </c>
      <c r="AY260" s="99">
        <v>56640</v>
      </c>
      <c r="AZ260" s="99">
        <f>ROUNDDOWN(AY260+(AY260*MASTER!$A$2/100),0)</f>
        <v>62304</v>
      </c>
      <c r="BA260" s="60" t="s">
        <v>318</v>
      </c>
      <c r="BB260" s="64">
        <v>48000</v>
      </c>
      <c r="BC260" s="64">
        <v>52800</v>
      </c>
      <c r="BD260" s="60" t="s">
        <v>1614</v>
      </c>
      <c r="BG260" s="64">
        <v>0</v>
      </c>
      <c r="BI260" s="60" t="s">
        <v>748</v>
      </c>
      <c r="BJ260" s="64">
        <v>7800</v>
      </c>
      <c r="BK260" s="64">
        <v>8580</v>
      </c>
      <c r="BL260" s="60" t="s">
        <v>1614</v>
      </c>
      <c r="BS260" s="64">
        <v>0</v>
      </c>
      <c r="BV260" s="65">
        <v>51700</v>
      </c>
      <c r="BW260" s="65">
        <v>61380</v>
      </c>
      <c r="BX260" s="65">
        <v>44519</v>
      </c>
      <c r="BY260" s="65">
        <v>-9680</v>
      </c>
      <c r="BZ260" s="81">
        <v>-18.723404255319149</v>
      </c>
    </row>
    <row r="261" spans="1:89" x14ac:dyDescent="0.15">
      <c r="A261" s="60">
        <v>2</v>
      </c>
      <c r="B261" s="61">
        <v>44551</v>
      </c>
      <c r="C261" s="61">
        <v>44591</v>
      </c>
      <c r="D261" s="61">
        <v>44565</v>
      </c>
      <c r="E261" s="61">
        <v>44558</v>
      </c>
      <c r="F261" s="61">
        <v>44560</v>
      </c>
      <c r="G261" s="61">
        <v>44554</v>
      </c>
      <c r="H261" s="61">
        <v>44556</v>
      </c>
      <c r="I261" s="60" t="s">
        <v>511</v>
      </c>
      <c r="J261" s="60">
        <v>1</v>
      </c>
      <c r="L261" s="60">
        <v>0</v>
      </c>
      <c r="M261" s="61">
        <v>44519</v>
      </c>
      <c r="O261" s="62" t="s">
        <v>331</v>
      </c>
      <c r="P261" s="60" t="s">
        <v>26</v>
      </c>
      <c r="Q261" s="62" t="s">
        <v>120</v>
      </c>
      <c r="R261" s="62" t="s">
        <v>1390</v>
      </c>
      <c r="S261" s="63" t="s">
        <v>1273</v>
      </c>
      <c r="T261" s="63" t="s">
        <v>1391</v>
      </c>
      <c r="U261" s="64">
        <v>59000</v>
      </c>
      <c r="V261" s="64">
        <v>64900</v>
      </c>
      <c r="W261" s="64">
        <v>47000</v>
      </c>
      <c r="X261" s="64">
        <v>51700</v>
      </c>
      <c r="Y261" s="64">
        <v>12000</v>
      </c>
      <c r="Z261" s="64">
        <v>13200</v>
      </c>
      <c r="AA261" s="61">
        <v>44552</v>
      </c>
      <c r="AB261" s="61">
        <v>44553</v>
      </c>
      <c r="AC261" s="61">
        <v>44553</v>
      </c>
      <c r="AD261" s="60">
        <v>0</v>
      </c>
      <c r="AG261" s="60">
        <v>0</v>
      </c>
      <c r="AJ261" s="60">
        <v>0</v>
      </c>
      <c r="AM261" s="60" t="s">
        <v>273</v>
      </c>
      <c r="AN261" s="60" t="s">
        <v>1392</v>
      </c>
      <c r="AQ261" s="60" t="s">
        <v>1193</v>
      </c>
      <c r="AR261" s="61">
        <v>44539</v>
      </c>
      <c r="AS261" s="60">
        <v>6001967769</v>
      </c>
      <c r="AT261" s="61">
        <v>44540</v>
      </c>
      <c r="AU261" s="60" t="s">
        <v>1211</v>
      </c>
      <c r="AV261" s="61">
        <v>44591</v>
      </c>
      <c r="AW261" s="91">
        <v>44561</v>
      </c>
      <c r="AX261" s="91">
        <v>44581</v>
      </c>
      <c r="AY261" s="99">
        <v>56640</v>
      </c>
      <c r="AZ261" s="99">
        <f>ROUNDDOWN(AY261+(AY261*MASTER!$A$2/100),0)</f>
        <v>62304</v>
      </c>
      <c r="BA261" s="60" t="s">
        <v>318</v>
      </c>
      <c r="BB261" s="64">
        <v>44000</v>
      </c>
      <c r="BC261" s="64">
        <v>48400</v>
      </c>
      <c r="BD261" s="60" t="s">
        <v>184</v>
      </c>
      <c r="BG261" s="64">
        <v>0</v>
      </c>
      <c r="BK261" s="64">
        <v>0</v>
      </c>
      <c r="BS261" s="64">
        <v>0</v>
      </c>
      <c r="BV261" s="65">
        <v>51700</v>
      </c>
      <c r="BW261" s="65">
        <v>48400</v>
      </c>
      <c r="BX261" s="65">
        <v>44519</v>
      </c>
      <c r="BY261" s="65">
        <v>3300</v>
      </c>
      <c r="BZ261" s="81">
        <v>6.3829787234042552</v>
      </c>
    </row>
    <row r="262" spans="1:89" x14ac:dyDescent="0.15">
      <c r="A262" s="60">
        <v>1</v>
      </c>
      <c r="B262" s="61">
        <v>44525</v>
      </c>
      <c r="C262" s="61">
        <v>44525</v>
      </c>
      <c r="F262" s="61" t="s">
        <v>309</v>
      </c>
      <c r="H262" s="61" t="s">
        <v>309</v>
      </c>
      <c r="J262" s="60">
        <v>2</v>
      </c>
      <c r="L262" s="60">
        <v>0</v>
      </c>
      <c r="M262" s="61">
        <v>44522</v>
      </c>
      <c r="O262" s="62" t="s">
        <v>331</v>
      </c>
      <c r="P262" s="60" t="s">
        <v>50</v>
      </c>
      <c r="Q262" s="62" t="s">
        <v>120</v>
      </c>
      <c r="R262" s="62" t="s">
        <v>922</v>
      </c>
      <c r="S262" s="63" t="s">
        <v>326</v>
      </c>
      <c r="T262" s="63" t="s">
        <v>923</v>
      </c>
      <c r="U262" s="64">
        <v>60000</v>
      </c>
      <c r="V262" s="64">
        <v>66000</v>
      </c>
      <c r="W262" s="64">
        <v>60000</v>
      </c>
      <c r="X262" s="64">
        <v>66000</v>
      </c>
      <c r="Y262" s="64">
        <v>0</v>
      </c>
      <c r="Z262" s="64">
        <v>0</v>
      </c>
      <c r="AD262" s="60">
        <v>0</v>
      </c>
      <c r="AG262" s="60">
        <v>0</v>
      </c>
      <c r="AJ262" s="60">
        <v>0</v>
      </c>
      <c r="AN262" s="60" t="s">
        <v>309</v>
      </c>
      <c r="AR262" s="61">
        <v>44524</v>
      </c>
      <c r="AS262" s="60">
        <v>6001961307</v>
      </c>
      <c r="AT262" s="61">
        <v>44524</v>
      </c>
      <c r="AU262" s="60" t="s">
        <v>931</v>
      </c>
      <c r="AV262" s="61">
        <v>44525</v>
      </c>
      <c r="AW262" s="91">
        <v>44530</v>
      </c>
      <c r="AX262" s="91">
        <v>44550</v>
      </c>
      <c r="AY262" s="107">
        <v>60000</v>
      </c>
      <c r="AZ262" s="107">
        <f>ROUNDDOWN(AY262+(AY262*MASTER!$A$2/100),0)</f>
        <v>66000</v>
      </c>
      <c r="BC262" s="64">
        <v>0</v>
      </c>
      <c r="BG262" s="64">
        <v>0</v>
      </c>
      <c r="BK262" s="64">
        <v>0</v>
      </c>
      <c r="BS262" s="64">
        <v>0</v>
      </c>
      <c r="BV262" s="65">
        <v>66000</v>
      </c>
      <c r="BW262" s="65">
        <v>0</v>
      </c>
      <c r="BX262" s="65">
        <v>44522</v>
      </c>
      <c r="BY262" s="65">
        <v>66000</v>
      </c>
      <c r="BZ262" s="81">
        <v>100</v>
      </c>
    </row>
    <row r="263" spans="1:89" x14ac:dyDescent="0.15">
      <c r="A263" s="60">
        <v>2</v>
      </c>
      <c r="B263" s="61">
        <v>44533</v>
      </c>
      <c r="C263" s="61">
        <v>44533</v>
      </c>
      <c r="D263" s="61">
        <v>44530</v>
      </c>
      <c r="E263" s="61">
        <v>44530</v>
      </c>
      <c r="F263" s="61" t="s">
        <v>309</v>
      </c>
      <c r="G263" s="61">
        <v>44530</v>
      </c>
      <c r="H263" s="61" t="s">
        <v>309</v>
      </c>
      <c r="I263" s="60" t="s">
        <v>766</v>
      </c>
      <c r="J263" s="60">
        <v>2</v>
      </c>
      <c r="L263" s="60">
        <v>0</v>
      </c>
      <c r="M263" s="61">
        <v>44524</v>
      </c>
      <c r="O263" s="62" t="s">
        <v>331</v>
      </c>
      <c r="P263" s="60" t="s">
        <v>6</v>
      </c>
      <c r="Q263" s="62" t="s">
        <v>120</v>
      </c>
      <c r="R263" s="62" t="s">
        <v>1013</v>
      </c>
      <c r="S263" s="63" t="s">
        <v>1014</v>
      </c>
      <c r="T263" s="63" t="s">
        <v>364</v>
      </c>
      <c r="U263" s="64">
        <v>51000</v>
      </c>
      <c r="V263" s="64">
        <v>56100</v>
      </c>
      <c r="W263" s="64">
        <v>51000</v>
      </c>
      <c r="X263" s="64">
        <v>56100</v>
      </c>
      <c r="Z263" s="64">
        <v>0</v>
      </c>
      <c r="AA263" s="61">
        <v>44529</v>
      </c>
      <c r="AB263" s="61">
        <v>44529</v>
      </c>
      <c r="AD263" s="60">
        <v>0</v>
      </c>
      <c r="AG263" s="60">
        <v>0</v>
      </c>
      <c r="AJ263" s="60">
        <v>0</v>
      </c>
      <c r="AN263" s="60" t="s">
        <v>309</v>
      </c>
      <c r="AQ263" s="60" t="s">
        <v>1074</v>
      </c>
      <c r="AR263" s="61">
        <v>44530</v>
      </c>
      <c r="AS263" s="60">
        <v>6001963654</v>
      </c>
      <c r="AT263" s="61">
        <v>44531</v>
      </c>
      <c r="AU263" s="60" t="s">
        <v>1086</v>
      </c>
      <c r="AV263" s="61">
        <v>44533</v>
      </c>
      <c r="AW263" s="91">
        <v>44561</v>
      </c>
      <c r="AX263" s="91">
        <v>44581</v>
      </c>
      <c r="AY263" s="99">
        <v>48960</v>
      </c>
      <c r="AZ263" s="99">
        <f>ROUNDDOWN(AY263+(AY263*MASTER!$A$2/100),0)</f>
        <v>53856</v>
      </c>
      <c r="BA263" s="60" t="s">
        <v>317</v>
      </c>
      <c r="BB263" s="64">
        <v>31000</v>
      </c>
      <c r="BC263" s="64">
        <v>34100</v>
      </c>
      <c r="BD263" s="60" t="s">
        <v>183</v>
      </c>
      <c r="BG263" s="64">
        <v>0</v>
      </c>
      <c r="BK263" s="64">
        <v>0</v>
      </c>
      <c r="BS263" s="64">
        <v>0</v>
      </c>
      <c r="BV263" s="65">
        <v>56100</v>
      </c>
      <c r="BW263" s="65">
        <v>34100</v>
      </c>
      <c r="BX263" s="65">
        <v>44524</v>
      </c>
      <c r="BY263" s="65">
        <v>22000</v>
      </c>
      <c r="BZ263" s="81">
        <v>39.215686274509807</v>
      </c>
    </row>
    <row r="264" spans="1:89" x14ac:dyDescent="0.15">
      <c r="A264" s="60">
        <v>2</v>
      </c>
      <c r="B264" s="61">
        <v>44532</v>
      </c>
      <c r="C264" s="61">
        <v>44536</v>
      </c>
      <c r="D264" s="61" t="s">
        <v>764</v>
      </c>
      <c r="E264" s="61">
        <v>44543</v>
      </c>
      <c r="F264" s="61">
        <v>44543</v>
      </c>
      <c r="G264" s="61">
        <v>44537</v>
      </c>
      <c r="H264" s="61">
        <v>44539</v>
      </c>
      <c r="I264" s="60" t="s">
        <v>612</v>
      </c>
      <c r="J264" s="60">
        <v>1</v>
      </c>
      <c r="L264" s="60">
        <v>0</v>
      </c>
      <c r="M264" s="61">
        <v>44524</v>
      </c>
      <c r="O264" s="62" t="s">
        <v>331</v>
      </c>
      <c r="P264" s="60" t="s">
        <v>26</v>
      </c>
      <c r="Q264" s="62" t="s">
        <v>120</v>
      </c>
      <c r="R264" s="62" t="s">
        <v>929</v>
      </c>
      <c r="S264" s="63" t="s">
        <v>689</v>
      </c>
      <c r="T264" s="63" t="s">
        <v>928</v>
      </c>
      <c r="U264" s="64">
        <v>23900</v>
      </c>
      <c r="V264" s="64">
        <v>26290</v>
      </c>
      <c r="W264" s="64">
        <v>14700</v>
      </c>
      <c r="X264" s="64">
        <v>16170</v>
      </c>
      <c r="Y264" s="64">
        <v>9200</v>
      </c>
      <c r="Z264" s="64">
        <v>10120</v>
      </c>
      <c r="AA264" s="61">
        <v>44535</v>
      </c>
      <c r="AB264" s="61">
        <v>44536</v>
      </c>
      <c r="AC264" s="61">
        <v>44536</v>
      </c>
      <c r="AD264" s="60">
        <v>0</v>
      </c>
      <c r="AG264" s="60">
        <v>0</v>
      </c>
      <c r="AJ264" s="60">
        <v>0</v>
      </c>
      <c r="AM264" s="60" t="s">
        <v>273</v>
      </c>
      <c r="AN264" s="60" t="s">
        <v>1004</v>
      </c>
      <c r="AQ264" s="60" t="s">
        <v>1107</v>
      </c>
      <c r="AR264" s="61">
        <v>44529</v>
      </c>
      <c r="AS264" s="60">
        <v>6001963225</v>
      </c>
      <c r="AT264" s="61">
        <v>44530</v>
      </c>
      <c r="AU264" s="60" t="s">
        <v>1077</v>
      </c>
      <c r="AV264" s="61">
        <v>44536</v>
      </c>
      <c r="AW264" s="91">
        <v>44561</v>
      </c>
      <c r="AX264" s="91">
        <v>44581</v>
      </c>
      <c r="AY264" s="99">
        <v>22944</v>
      </c>
      <c r="AZ264" s="99">
        <f>ROUNDDOWN(AY264+(AY264*MASTER!$A$2/100),0)</f>
        <v>25238</v>
      </c>
      <c r="BA264" s="60" t="s">
        <v>765</v>
      </c>
      <c r="BC264" s="64">
        <v>0</v>
      </c>
      <c r="BG264" s="64">
        <v>0</v>
      </c>
      <c r="BI264" s="60" t="s">
        <v>267</v>
      </c>
      <c r="BJ264" s="64">
        <v>5980</v>
      </c>
      <c r="BK264" s="64">
        <v>6578</v>
      </c>
      <c r="BL264" s="60" t="s">
        <v>1366</v>
      </c>
      <c r="BS264" s="64">
        <v>0</v>
      </c>
      <c r="BV264" s="65">
        <v>16170</v>
      </c>
      <c r="BW264" s="65">
        <v>6578</v>
      </c>
      <c r="BX264" s="65">
        <v>44524</v>
      </c>
      <c r="BY264" s="65">
        <v>9592</v>
      </c>
      <c r="BZ264" s="81">
        <v>59.319727891156461</v>
      </c>
    </row>
    <row r="265" spans="1:89" x14ac:dyDescent="0.15">
      <c r="A265" s="60">
        <v>2</v>
      </c>
      <c r="B265" s="61">
        <v>44596</v>
      </c>
      <c r="C265" s="61">
        <v>44603</v>
      </c>
      <c r="D265" s="61">
        <v>44635</v>
      </c>
      <c r="E265" s="61">
        <v>44618</v>
      </c>
      <c r="F265" s="61">
        <v>44610</v>
      </c>
      <c r="G265" s="61">
        <v>44607</v>
      </c>
      <c r="H265" s="61">
        <v>44606</v>
      </c>
      <c r="I265" s="60" t="s">
        <v>511</v>
      </c>
      <c r="J265" s="60">
        <v>1</v>
      </c>
      <c r="L265" s="60">
        <v>0</v>
      </c>
      <c r="M265" s="61">
        <v>44525</v>
      </c>
      <c r="O265" s="62" t="s">
        <v>331</v>
      </c>
      <c r="P265" s="60" t="s">
        <v>26</v>
      </c>
      <c r="Q265" s="62" t="s">
        <v>120</v>
      </c>
      <c r="R265" s="62" t="s">
        <v>1496</v>
      </c>
      <c r="S265" s="63" t="s">
        <v>1497</v>
      </c>
      <c r="T265" s="63" t="s">
        <v>1498</v>
      </c>
      <c r="U265" s="64">
        <v>726175</v>
      </c>
      <c r="V265" s="64">
        <v>798792.5</v>
      </c>
      <c r="W265" s="64">
        <v>627475</v>
      </c>
      <c r="X265" s="64">
        <v>690222.5</v>
      </c>
      <c r="Y265" s="64">
        <v>98700</v>
      </c>
      <c r="Z265" s="64">
        <v>108570</v>
      </c>
      <c r="AA265" s="61">
        <v>44599</v>
      </c>
      <c r="AB265" s="61">
        <v>44603</v>
      </c>
      <c r="AC265" s="61">
        <v>44603</v>
      </c>
      <c r="AD265" s="60">
        <v>0</v>
      </c>
      <c r="AG265" s="60">
        <v>0</v>
      </c>
      <c r="AJ265" s="60">
        <v>0</v>
      </c>
      <c r="AM265" s="60" t="s">
        <v>273</v>
      </c>
      <c r="AN265" s="60" t="s">
        <v>1499</v>
      </c>
      <c r="AQ265" s="60" t="s">
        <v>2172</v>
      </c>
      <c r="AR265" s="61">
        <v>44557</v>
      </c>
      <c r="AS265" s="60">
        <v>6001975498</v>
      </c>
      <c r="AT265" s="61">
        <v>44558</v>
      </c>
      <c r="AU265" s="60" t="s">
        <v>1518</v>
      </c>
      <c r="AV265" s="61">
        <v>44603</v>
      </c>
      <c r="AW265" s="91">
        <v>44620</v>
      </c>
      <c r="AX265" s="91">
        <v>44640</v>
      </c>
      <c r="AY265" s="99">
        <v>697128</v>
      </c>
      <c r="AZ265" s="99">
        <v>766841</v>
      </c>
      <c r="BA265" s="60" t="s">
        <v>319</v>
      </c>
      <c r="BB265" s="64">
        <v>217000</v>
      </c>
      <c r="BC265" s="64">
        <v>238700</v>
      </c>
      <c r="BD265" s="60" t="s">
        <v>2044</v>
      </c>
      <c r="BG265" s="64">
        <v>0</v>
      </c>
      <c r="BI265" s="60" t="s">
        <v>748</v>
      </c>
      <c r="BJ265" s="64">
        <v>64155</v>
      </c>
      <c r="BK265" s="64">
        <v>70570.5</v>
      </c>
      <c r="BL265" s="60" t="s">
        <v>2044</v>
      </c>
      <c r="BS265" s="64">
        <v>0</v>
      </c>
      <c r="BV265" s="65">
        <v>690222.5</v>
      </c>
      <c r="BW265" s="65">
        <v>309270.5</v>
      </c>
      <c r="BX265" s="65">
        <v>44525</v>
      </c>
      <c r="BY265" s="65">
        <v>380952</v>
      </c>
      <c r="BZ265" s="81">
        <v>55.192637156858837</v>
      </c>
    </row>
    <row r="266" spans="1:89" x14ac:dyDescent="0.15">
      <c r="A266" s="60">
        <v>2</v>
      </c>
      <c r="B266" s="61">
        <v>44585</v>
      </c>
      <c r="C266" s="61">
        <v>44587</v>
      </c>
      <c r="D266" s="61">
        <v>44604</v>
      </c>
      <c r="E266" s="61">
        <v>44588</v>
      </c>
      <c r="F266" s="61">
        <v>44594</v>
      </c>
      <c r="G266" s="61">
        <v>44588</v>
      </c>
      <c r="H266" s="61">
        <v>44590</v>
      </c>
      <c r="I266" s="60" t="s">
        <v>511</v>
      </c>
      <c r="J266" s="60">
        <v>1</v>
      </c>
      <c r="L266" s="60">
        <v>0</v>
      </c>
      <c r="M266" s="61">
        <v>44525</v>
      </c>
      <c r="O266" s="62" t="s">
        <v>331</v>
      </c>
      <c r="P266" s="60" t="s">
        <v>26</v>
      </c>
      <c r="Q266" s="62" t="s">
        <v>120</v>
      </c>
      <c r="R266" s="62" t="s">
        <v>1481</v>
      </c>
      <c r="S266" s="63" t="s">
        <v>1066</v>
      </c>
      <c r="T266" s="63" t="s">
        <v>1482</v>
      </c>
      <c r="U266" s="64">
        <v>478155</v>
      </c>
      <c r="V266" s="64">
        <v>525970.5</v>
      </c>
      <c r="W266" s="64">
        <v>404455</v>
      </c>
      <c r="X266" s="64">
        <v>444900.5</v>
      </c>
      <c r="Y266" s="64">
        <v>73700</v>
      </c>
      <c r="Z266" s="64">
        <v>81070</v>
      </c>
      <c r="AA266" s="61">
        <v>44584</v>
      </c>
      <c r="AB266" s="61">
        <v>44587</v>
      </c>
      <c r="AC266" s="61">
        <v>44587</v>
      </c>
      <c r="AD266" s="60">
        <v>0</v>
      </c>
      <c r="AG266" s="60">
        <v>0</v>
      </c>
      <c r="AJ266" s="60">
        <v>0</v>
      </c>
      <c r="AM266" s="60" t="s">
        <v>273</v>
      </c>
      <c r="AN266" s="60" t="s">
        <v>1483</v>
      </c>
      <c r="AQ266" s="60" t="s">
        <v>1503</v>
      </c>
      <c r="AR266" s="61">
        <v>44557</v>
      </c>
      <c r="AS266" s="60">
        <v>6001975498</v>
      </c>
      <c r="AT266" s="61">
        <v>44558</v>
      </c>
      <c r="AU266" s="60" t="s">
        <v>1518</v>
      </c>
      <c r="AV266" s="61">
        <v>44587</v>
      </c>
      <c r="AW266" s="91">
        <v>44592</v>
      </c>
      <c r="AX266" s="91">
        <v>44612</v>
      </c>
      <c r="AY266" s="99">
        <v>459029</v>
      </c>
      <c r="AZ266" s="99">
        <v>504932</v>
      </c>
      <c r="BA266" s="60" t="s">
        <v>319</v>
      </c>
      <c r="BB266" s="64">
        <v>175800</v>
      </c>
      <c r="BC266" s="64">
        <v>193380</v>
      </c>
      <c r="BD266" s="60" t="s">
        <v>1614</v>
      </c>
      <c r="BG266" s="64">
        <v>0</v>
      </c>
      <c r="BI266" s="60" t="s">
        <v>748</v>
      </c>
      <c r="BJ266" s="64">
        <v>47905</v>
      </c>
      <c r="BK266" s="64">
        <v>52695.5</v>
      </c>
      <c r="BL266" s="60" t="s">
        <v>1614</v>
      </c>
      <c r="BS266" s="64">
        <v>0</v>
      </c>
      <c r="BV266" s="65">
        <v>444900.5</v>
      </c>
      <c r="BW266" s="65">
        <v>246075.5</v>
      </c>
      <c r="BX266" s="65">
        <v>44525</v>
      </c>
      <c r="BY266" s="65">
        <v>198825</v>
      </c>
      <c r="BZ266" s="81">
        <v>44.689767712106416</v>
      </c>
      <c r="CD266" s="63" t="s">
        <v>1994</v>
      </c>
    </row>
    <row r="267" spans="1:89" x14ac:dyDescent="0.15">
      <c r="A267" s="60">
        <v>1</v>
      </c>
      <c r="B267" s="61">
        <v>44533</v>
      </c>
      <c r="C267" s="61">
        <v>44538</v>
      </c>
      <c r="F267" s="61" t="s">
        <v>309</v>
      </c>
      <c r="H267" s="61" t="s">
        <v>309</v>
      </c>
      <c r="J267" s="60">
        <v>2</v>
      </c>
      <c r="L267" s="60">
        <v>0</v>
      </c>
      <c r="M267" s="61">
        <v>44525</v>
      </c>
      <c r="O267" s="62" t="s">
        <v>331</v>
      </c>
      <c r="P267" s="60" t="s">
        <v>77</v>
      </c>
      <c r="Q267" s="62" t="s">
        <v>120</v>
      </c>
      <c r="R267" s="62" t="s">
        <v>942</v>
      </c>
      <c r="S267" s="63" t="s">
        <v>489</v>
      </c>
      <c r="T267" s="63" t="s">
        <v>490</v>
      </c>
      <c r="U267" s="64">
        <v>9880</v>
      </c>
      <c r="V267" s="64">
        <v>10868</v>
      </c>
      <c r="W267" s="64">
        <v>9880</v>
      </c>
      <c r="X267" s="64">
        <v>10868</v>
      </c>
      <c r="Y267" s="64">
        <v>0</v>
      </c>
      <c r="Z267" s="64">
        <v>0</v>
      </c>
      <c r="AD267" s="60">
        <v>0</v>
      </c>
      <c r="AG267" s="60">
        <v>0</v>
      </c>
      <c r="AJ267" s="60">
        <v>0</v>
      </c>
      <c r="AR267" s="61">
        <v>44525</v>
      </c>
      <c r="AS267" s="60">
        <v>6001962151</v>
      </c>
      <c r="AT267" s="61">
        <v>44526</v>
      </c>
      <c r="AU267" s="60" t="s">
        <v>1130</v>
      </c>
      <c r="AV267" s="61">
        <v>44538</v>
      </c>
      <c r="AW267" s="91">
        <v>44561</v>
      </c>
      <c r="AX267" s="91">
        <v>44581</v>
      </c>
      <c r="AY267" s="156">
        <v>9980</v>
      </c>
      <c r="AZ267" s="156">
        <f>ROUNDDOWN(AY267+(AY267*MASTER!$A$2/100),0)</f>
        <v>10978</v>
      </c>
      <c r="BC267" s="64">
        <v>0</v>
      </c>
      <c r="BG267" s="64">
        <v>0</v>
      </c>
      <c r="BK267" s="64">
        <v>0</v>
      </c>
      <c r="BS267" s="64">
        <v>0</v>
      </c>
      <c r="BV267" s="65">
        <v>10868</v>
      </c>
      <c r="BW267" s="65">
        <v>0</v>
      </c>
      <c r="BX267" s="65">
        <v>44525</v>
      </c>
      <c r="BY267" s="65">
        <v>10868</v>
      </c>
      <c r="BZ267" s="81">
        <v>100</v>
      </c>
      <c r="CD267" s="63" t="s">
        <v>1632</v>
      </c>
    </row>
    <row r="268" spans="1:89" x14ac:dyDescent="0.15">
      <c r="A268" s="60">
        <v>1</v>
      </c>
      <c r="B268" s="61">
        <v>44532</v>
      </c>
      <c r="C268" s="61">
        <v>44540</v>
      </c>
      <c r="F268" s="61" t="s">
        <v>309</v>
      </c>
      <c r="H268" s="61" t="s">
        <v>309</v>
      </c>
      <c r="J268" s="60">
        <v>2</v>
      </c>
      <c r="L268" s="60">
        <v>0</v>
      </c>
      <c r="M268" s="61">
        <v>44525</v>
      </c>
      <c r="O268" s="62" t="s">
        <v>331</v>
      </c>
      <c r="P268" s="60" t="s">
        <v>50</v>
      </c>
      <c r="Q268" s="62" t="s">
        <v>120</v>
      </c>
      <c r="R268" s="62" t="s">
        <v>944</v>
      </c>
      <c r="S268" s="63" t="s">
        <v>326</v>
      </c>
      <c r="T268" s="63" t="s">
        <v>943</v>
      </c>
      <c r="U268" s="64">
        <v>60000</v>
      </c>
      <c r="V268" s="64">
        <v>66000</v>
      </c>
      <c r="W268" s="64">
        <v>60000</v>
      </c>
      <c r="X268" s="64">
        <v>66000</v>
      </c>
      <c r="Y268" s="64">
        <v>0</v>
      </c>
      <c r="Z268" s="64">
        <v>0</v>
      </c>
      <c r="AA268" s="61">
        <v>44533</v>
      </c>
      <c r="AB268" s="61">
        <v>44534</v>
      </c>
      <c r="AD268" s="60">
        <v>0</v>
      </c>
      <c r="AG268" s="60">
        <v>0</v>
      </c>
      <c r="AJ268" s="60">
        <v>0</v>
      </c>
      <c r="AR268" s="61">
        <v>44526</v>
      </c>
      <c r="AS268" s="60">
        <v>6001962560</v>
      </c>
      <c r="AT268" s="61">
        <v>44529</v>
      </c>
      <c r="AU268" s="60" t="s">
        <v>976</v>
      </c>
      <c r="AV268" s="61">
        <v>44540</v>
      </c>
      <c r="AW268" s="91">
        <v>44561</v>
      </c>
      <c r="AX268" s="91">
        <v>44581</v>
      </c>
      <c r="AY268" s="107">
        <v>60000</v>
      </c>
      <c r="AZ268" s="107">
        <v>66000</v>
      </c>
      <c r="BC268" s="64">
        <v>0</v>
      </c>
      <c r="BG268" s="64">
        <v>0</v>
      </c>
      <c r="BK268" s="64">
        <v>0</v>
      </c>
      <c r="BS268" s="64">
        <v>0</v>
      </c>
      <c r="BV268" s="65">
        <v>66000</v>
      </c>
      <c r="BW268" s="65">
        <v>0</v>
      </c>
      <c r="BX268" s="65">
        <v>44525</v>
      </c>
      <c r="BY268" s="65">
        <v>66000</v>
      </c>
      <c r="BZ268" s="81">
        <v>100</v>
      </c>
    </row>
    <row r="269" spans="1:89" x14ac:dyDescent="0.15">
      <c r="A269" s="60">
        <v>2</v>
      </c>
      <c r="B269" s="61">
        <v>44536</v>
      </c>
      <c r="C269" s="61">
        <v>44538</v>
      </c>
      <c r="D269" s="61">
        <v>44533</v>
      </c>
      <c r="E269" s="61">
        <v>44533</v>
      </c>
      <c r="F269" s="61" t="s">
        <v>309</v>
      </c>
      <c r="G269" s="61">
        <v>44533</v>
      </c>
      <c r="H269" s="61" t="s">
        <v>309</v>
      </c>
      <c r="I269" s="60" t="s">
        <v>766</v>
      </c>
      <c r="J269" s="60">
        <v>2</v>
      </c>
      <c r="L269" s="60">
        <v>0</v>
      </c>
      <c r="M269" s="61">
        <v>44529</v>
      </c>
      <c r="O269" s="62" t="s">
        <v>331</v>
      </c>
      <c r="P269" s="60" t="s">
        <v>6</v>
      </c>
      <c r="Q269" s="62" t="s">
        <v>120</v>
      </c>
      <c r="R269" s="62" t="s">
        <v>1128</v>
      </c>
      <c r="S269" s="63" t="s">
        <v>1129</v>
      </c>
      <c r="T269" s="63" t="s">
        <v>364</v>
      </c>
      <c r="U269" s="64">
        <v>51000</v>
      </c>
      <c r="V269" s="64">
        <v>56100</v>
      </c>
      <c r="W269" s="64">
        <v>51000</v>
      </c>
      <c r="X269" s="64">
        <v>56100</v>
      </c>
      <c r="Z269" s="64">
        <v>0</v>
      </c>
      <c r="AA269" s="61">
        <v>44532</v>
      </c>
      <c r="AB269" s="61">
        <v>44532</v>
      </c>
      <c r="AD269" s="60">
        <v>0</v>
      </c>
      <c r="AG269" s="60">
        <v>0</v>
      </c>
      <c r="AJ269" s="60">
        <v>0</v>
      </c>
      <c r="AN269" s="60" t="s">
        <v>309</v>
      </c>
      <c r="AQ269" s="60" t="s">
        <v>1125</v>
      </c>
      <c r="AR269" s="61">
        <v>44533</v>
      </c>
      <c r="AS269" s="60">
        <v>6001965090</v>
      </c>
      <c r="AT269" s="61">
        <v>44533</v>
      </c>
      <c r="AU269" s="60" t="s">
        <v>1132</v>
      </c>
      <c r="AV269" s="61">
        <v>44538</v>
      </c>
      <c r="AW269" s="91">
        <v>44561</v>
      </c>
      <c r="AX269" s="91">
        <v>44581</v>
      </c>
      <c r="AY269" s="99">
        <v>48960</v>
      </c>
      <c r="AZ269" s="99">
        <f>ROUNDDOWN(AY269+(AY269*MASTER!$A$2/100),0)</f>
        <v>53856</v>
      </c>
      <c r="BA269" s="60" t="s">
        <v>317</v>
      </c>
      <c r="BB269" s="64">
        <v>22000</v>
      </c>
      <c r="BC269" s="64">
        <v>24200</v>
      </c>
      <c r="BD269" s="60" t="s">
        <v>184</v>
      </c>
      <c r="BG269" s="64">
        <v>0</v>
      </c>
      <c r="BK269" s="64">
        <v>0</v>
      </c>
      <c r="BS269" s="64">
        <v>0</v>
      </c>
      <c r="BV269" s="65">
        <v>56100</v>
      </c>
      <c r="BW269" s="65">
        <v>24200</v>
      </c>
      <c r="BX269" s="65">
        <v>44529</v>
      </c>
      <c r="BY269" s="65">
        <v>31900</v>
      </c>
      <c r="BZ269" s="81">
        <v>56.862745098039213</v>
      </c>
    </row>
    <row r="270" spans="1:89" x14ac:dyDescent="0.15">
      <c r="A270" s="60">
        <v>2</v>
      </c>
      <c r="B270" s="61">
        <v>44537</v>
      </c>
      <c r="C270" s="61">
        <v>44538</v>
      </c>
      <c r="D270" s="61">
        <v>44536</v>
      </c>
      <c r="E270" s="61">
        <v>44536</v>
      </c>
      <c r="F270" s="61" t="s">
        <v>309</v>
      </c>
      <c r="G270" s="61">
        <v>44536</v>
      </c>
      <c r="H270" s="61" t="s">
        <v>309</v>
      </c>
      <c r="I270" s="60" t="s">
        <v>766</v>
      </c>
      <c r="J270" s="60">
        <v>2</v>
      </c>
      <c r="L270" s="60">
        <v>0</v>
      </c>
      <c r="M270" s="61">
        <v>44529</v>
      </c>
      <c r="O270" s="62" t="s">
        <v>331</v>
      </c>
      <c r="P270" s="60" t="s">
        <v>6</v>
      </c>
      <c r="Q270" s="62" t="s">
        <v>120</v>
      </c>
      <c r="R270" s="62" t="s">
        <v>969</v>
      </c>
      <c r="S270" s="63" t="s">
        <v>579</v>
      </c>
      <c r="T270" s="63" t="s">
        <v>364</v>
      </c>
      <c r="U270" s="64">
        <v>51000</v>
      </c>
      <c r="V270" s="64">
        <v>56100</v>
      </c>
      <c r="W270" s="64">
        <v>51000</v>
      </c>
      <c r="X270" s="64">
        <v>56100</v>
      </c>
      <c r="Z270" s="64">
        <v>0</v>
      </c>
      <c r="AA270" s="61">
        <v>44897</v>
      </c>
      <c r="AB270" s="61">
        <v>44897</v>
      </c>
      <c r="AD270" s="60">
        <v>0</v>
      </c>
      <c r="AG270" s="60">
        <v>0</v>
      </c>
      <c r="AJ270" s="60">
        <v>0</v>
      </c>
      <c r="AN270" s="60" t="s">
        <v>309</v>
      </c>
      <c r="AQ270" s="60" t="s">
        <v>1126</v>
      </c>
      <c r="AR270" s="61">
        <v>44533</v>
      </c>
      <c r="AS270" s="60">
        <v>6001965090</v>
      </c>
      <c r="AT270" s="61">
        <v>44533</v>
      </c>
      <c r="AU270" s="60" t="s">
        <v>1132</v>
      </c>
      <c r="AV270" s="61">
        <v>44538</v>
      </c>
      <c r="AW270" s="91">
        <v>44561</v>
      </c>
      <c r="AX270" s="91">
        <v>44581</v>
      </c>
      <c r="AY270" s="99">
        <v>48960</v>
      </c>
      <c r="AZ270" s="99">
        <f>ROUNDDOWN(AY270+(AY270*MASTER!$A$2/100),0)</f>
        <v>53856</v>
      </c>
      <c r="BA270" s="60" t="s">
        <v>14</v>
      </c>
      <c r="BB270" s="64">
        <v>32060</v>
      </c>
      <c r="BC270" s="64">
        <v>35266</v>
      </c>
      <c r="BD270" s="60" t="s">
        <v>184</v>
      </c>
      <c r="BG270" s="64">
        <v>0</v>
      </c>
      <c r="BK270" s="64">
        <v>0</v>
      </c>
      <c r="BS270" s="64">
        <v>0</v>
      </c>
      <c r="BV270" s="65">
        <v>56100</v>
      </c>
      <c r="BW270" s="65">
        <v>35266</v>
      </c>
      <c r="BX270" s="65">
        <v>44529</v>
      </c>
      <c r="BY270" s="65">
        <v>20834</v>
      </c>
      <c r="BZ270" s="81">
        <v>37.137254901960787</v>
      </c>
    </row>
    <row r="271" spans="1:89" x14ac:dyDescent="0.15">
      <c r="A271" s="60">
        <v>2</v>
      </c>
      <c r="C271" s="61" t="s">
        <v>309</v>
      </c>
      <c r="F271" s="61" t="s">
        <v>309</v>
      </c>
      <c r="H271" s="61" t="s">
        <v>309</v>
      </c>
      <c r="J271" s="60">
        <v>4</v>
      </c>
      <c r="L271" s="60">
        <v>0</v>
      </c>
      <c r="M271" s="61">
        <v>44529</v>
      </c>
      <c r="O271" s="62" t="s">
        <v>335</v>
      </c>
      <c r="P271" s="60" t="s">
        <v>430</v>
      </c>
      <c r="Q271" s="62" t="s">
        <v>645</v>
      </c>
      <c r="R271" s="62" t="s">
        <v>974</v>
      </c>
      <c r="S271" s="63" t="s">
        <v>602</v>
      </c>
      <c r="T271" s="63" t="s">
        <v>975</v>
      </c>
      <c r="U271" s="64">
        <v>0</v>
      </c>
      <c r="V271" s="64">
        <v>0</v>
      </c>
      <c r="W271" s="64">
        <v>0</v>
      </c>
      <c r="X271" s="64">
        <v>0</v>
      </c>
      <c r="Y271" s="64">
        <v>0</v>
      </c>
      <c r="Z271" s="64">
        <v>0</v>
      </c>
      <c r="AA271" s="61">
        <v>44501</v>
      </c>
      <c r="AB271" s="61">
        <v>44530</v>
      </c>
      <c r="AD271" s="60">
        <v>0</v>
      </c>
      <c r="AG271" s="60">
        <v>0</v>
      </c>
      <c r="AJ271" s="60">
        <v>0</v>
      </c>
      <c r="AN271" s="60" t="s">
        <v>309</v>
      </c>
      <c r="AY271" s="99">
        <f>ROUNDDOWN((0.96*U271),0)</f>
        <v>0</v>
      </c>
      <c r="AZ271" s="99">
        <f>ROUNDDOWN(AY271+(AY271*MASTER!$A$2/100),0)</f>
        <v>0</v>
      </c>
      <c r="BA271" s="60" t="s">
        <v>603</v>
      </c>
      <c r="BB271" s="64">
        <v>4000</v>
      </c>
      <c r="BC271" s="64">
        <v>4400</v>
      </c>
      <c r="BD271" s="60" t="s">
        <v>493</v>
      </c>
      <c r="BG271" s="64">
        <v>0</v>
      </c>
      <c r="BK271" s="64">
        <v>0</v>
      </c>
      <c r="BS271" s="64">
        <v>0</v>
      </c>
      <c r="BV271" s="65">
        <v>0</v>
      </c>
      <c r="BW271" s="65">
        <v>4400</v>
      </c>
      <c r="BX271" s="65">
        <v>44529</v>
      </c>
      <c r="BY271" s="65">
        <v>-4400</v>
      </c>
      <c r="BZ271" s="81" t="s">
        <v>309</v>
      </c>
    </row>
    <row r="272" spans="1:89" x14ac:dyDescent="0.15">
      <c r="A272" s="60">
        <v>2</v>
      </c>
      <c r="C272" s="61" t="s">
        <v>309</v>
      </c>
      <c r="F272" s="61" t="s">
        <v>309</v>
      </c>
      <c r="H272" s="61" t="s">
        <v>309</v>
      </c>
      <c r="J272" s="60">
        <v>4</v>
      </c>
      <c r="L272" s="60">
        <v>0</v>
      </c>
      <c r="M272" s="61">
        <v>44529</v>
      </c>
      <c r="O272" s="62" t="s">
        <v>331</v>
      </c>
      <c r="P272" s="60" t="s">
        <v>263</v>
      </c>
      <c r="Q272" s="62" t="s">
        <v>120</v>
      </c>
      <c r="R272" s="62" t="s">
        <v>1353</v>
      </c>
      <c r="S272" s="63" t="s">
        <v>354</v>
      </c>
      <c r="T272" s="63" t="s">
        <v>1354</v>
      </c>
      <c r="U272" s="64">
        <v>0</v>
      </c>
      <c r="V272" s="64">
        <v>0</v>
      </c>
      <c r="W272" s="64">
        <v>0</v>
      </c>
      <c r="X272" s="64">
        <v>0</v>
      </c>
      <c r="Y272" s="64">
        <v>0</v>
      </c>
      <c r="Z272" s="64">
        <v>0</v>
      </c>
      <c r="AA272" s="61">
        <v>44501</v>
      </c>
      <c r="AB272" s="61">
        <v>44530</v>
      </c>
      <c r="AD272" s="60">
        <v>0</v>
      </c>
      <c r="AG272" s="60">
        <v>0</v>
      </c>
      <c r="AJ272" s="60">
        <v>0</v>
      </c>
      <c r="AN272" s="60" t="s">
        <v>309</v>
      </c>
      <c r="AY272" s="99">
        <v>0</v>
      </c>
      <c r="AZ272" s="99">
        <f>ROUNDDOWN(AY272+(AY272*MASTER!$A$2/100),0)</f>
        <v>0</v>
      </c>
      <c r="BA272" s="60" t="s">
        <v>14</v>
      </c>
      <c r="BB272" s="64">
        <v>484970</v>
      </c>
      <c r="BC272" s="64">
        <v>533467</v>
      </c>
      <c r="BD272" s="60" t="s">
        <v>183</v>
      </c>
      <c r="BG272" s="64">
        <v>0</v>
      </c>
      <c r="BK272" s="64">
        <v>0</v>
      </c>
      <c r="BS272" s="64">
        <v>0</v>
      </c>
      <c r="BV272" s="65">
        <v>0</v>
      </c>
      <c r="BW272" s="65">
        <v>533467</v>
      </c>
      <c r="BX272" s="65">
        <v>44529</v>
      </c>
      <c r="BY272" s="65">
        <v>-533467</v>
      </c>
      <c r="BZ272" s="81" t="s">
        <v>309</v>
      </c>
    </row>
    <row r="273" spans="1:78" x14ac:dyDescent="0.15">
      <c r="A273" s="60">
        <v>2</v>
      </c>
      <c r="B273" s="61">
        <v>44623</v>
      </c>
      <c r="C273" s="61">
        <v>44651</v>
      </c>
      <c r="D273" s="61">
        <v>44659</v>
      </c>
      <c r="E273" s="61">
        <v>44659</v>
      </c>
      <c r="F273" s="61">
        <v>44639</v>
      </c>
      <c r="G273" s="61">
        <v>44636</v>
      </c>
      <c r="H273" s="61">
        <v>44635</v>
      </c>
      <c r="I273" s="60" t="s">
        <v>612</v>
      </c>
      <c r="J273" s="60">
        <v>1</v>
      </c>
      <c r="L273" s="60">
        <v>0</v>
      </c>
      <c r="M273" s="61">
        <v>44529</v>
      </c>
      <c r="O273" s="62" t="s">
        <v>331</v>
      </c>
      <c r="P273" s="60" t="s">
        <v>26</v>
      </c>
      <c r="Q273" s="62" t="s">
        <v>120</v>
      </c>
      <c r="R273" s="62" t="s">
        <v>993</v>
      </c>
      <c r="S273" s="63" t="s">
        <v>707</v>
      </c>
      <c r="T273" s="63" t="s">
        <v>989</v>
      </c>
      <c r="U273" s="64">
        <v>3984280</v>
      </c>
      <c r="V273" s="64">
        <v>4382708</v>
      </c>
      <c r="W273" s="64">
        <v>3898280</v>
      </c>
      <c r="X273" s="64">
        <v>4288108</v>
      </c>
      <c r="Y273" s="64">
        <v>86000</v>
      </c>
      <c r="Z273" s="64">
        <v>94600</v>
      </c>
      <c r="AA273" s="61">
        <v>44629</v>
      </c>
      <c r="AB273" s="61">
        <v>44632</v>
      </c>
      <c r="AC273" s="61">
        <v>44632</v>
      </c>
      <c r="AD273" s="60">
        <v>0</v>
      </c>
      <c r="AG273" s="60">
        <v>0</v>
      </c>
      <c r="AJ273" s="60">
        <v>0</v>
      </c>
      <c r="AM273" s="60" t="s">
        <v>273</v>
      </c>
      <c r="AN273" s="60" t="s">
        <v>990</v>
      </c>
      <c r="AQ273" s="60" t="s">
        <v>1121</v>
      </c>
      <c r="AR273" s="61">
        <v>44533</v>
      </c>
      <c r="AS273" s="60">
        <v>6001965088</v>
      </c>
      <c r="AT273" s="61">
        <v>44533</v>
      </c>
      <c r="AU273" s="60" t="s">
        <v>1131</v>
      </c>
      <c r="AV273" s="61">
        <v>44651</v>
      </c>
      <c r="AW273" s="91">
        <v>44651</v>
      </c>
      <c r="AX273" s="91">
        <v>44671</v>
      </c>
      <c r="AY273" s="99">
        <v>3824908</v>
      </c>
      <c r="AZ273" s="99">
        <v>4207399</v>
      </c>
      <c r="BA273" s="60" t="s">
        <v>317</v>
      </c>
      <c r="BB273" s="64">
        <v>2186900</v>
      </c>
      <c r="BC273" s="64">
        <v>2405590</v>
      </c>
      <c r="BD273" s="60" t="s">
        <v>2107</v>
      </c>
      <c r="BG273" s="64">
        <v>0</v>
      </c>
      <c r="BI273" s="60" t="s">
        <v>748</v>
      </c>
      <c r="BJ273" s="64">
        <v>55900</v>
      </c>
      <c r="BK273" s="64">
        <v>61490</v>
      </c>
      <c r="BL273" s="60" t="s">
        <v>2107</v>
      </c>
      <c r="BS273" s="64">
        <v>0</v>
      </c>
      <c r="BV273" s="65">
        <v>4288108</v>
      </c>
      <c r="BW273" s="65">
        <v>2467080</v>
      </c>
      <c r="BX273" s="65">
        <v>44529</v>
      </c>
      <c r="BY273" s="65">
        <v>1821028</v>
      </c>
      <c r="BZ273" s="81">
        <v>42.466934135054437</v>
      </c>
    </row>
    <row r="274" spans="1:78" x14ac:dyDescent="0.15">
      <c r="A274" s="60">
        <v>1</v>
      </c>
      <c r="B274" s="61">
        <v>44623</v>
      </c>
      <c r="C274" s="61">
        <v>44651</v>
      </c>
      <c r="F274" s="61" t="s">
        <v>309</v>
      </c>
      <c r="H274" s="61" t="s">
        <v>309</v>
      </c>
      <c r="J274" s="60">
        <v>2</v>
      </c>
      <c r="L274" s="60">
        <v>0</v>
      </c>
      <c r="M274" s="61">
        <v>44529</v>
      </c>
      <c r="O274" s="62" t="s">
        <v>331</v>
      </c>
      <c r="P274" s="60" t="s">
        <v>26</v>
      </c>
      <c r="Q274" s="62" t="s">
        <v>120</v>
      </c>
      <c r="R274" s="62" t="s">
        <v>994</v>
      </c>
      <c r="S274" s="63" t="s">
        <v>707</v>
      </c>
      <c r="T274" s="63" t="s">
        <v>991</v>
      </c>
      <c r="U274" s="64">
        <v>1076000</v>
      </c>
      <c r="V274" s="64">
        <v>1183600</v>
      </c>
      <c r="W274" s="64">
        <v>1076000</v>
      </c>
      <c r="X274" s="64">
        <v>1183600</v>
      </c>
      <c r="Y274" s="64">
        <v>0</v>
      </c>
      <c r="Z274" s="64">
        <v>0</v>
      </c>
      <c r="AD274" s="60">
        <v>0</v>
      </c>
      <c r="AG274" s="60">
        <v>0</v>
      </c>
      <c r="AJ274" s="60">
        <v>0</v>
      </c>
      <c r="AM274" s="60" t="s">
        <v>273</v>
      </c>
      <c r="AN274" s="60" t="s">
        <v>992</v>
      </c>
      <c r="AQ274" s="60" t="s">
        <v>1121</v>
      </c>
      <c r="AR274" s="61">
        <v>44533</v>
      </c>
      <c r="AS274" s="60">
        <v>6001965090</v>
      </c>
      <c r="AT274" s="61">
        <v>44533</v>
      </c>
      <c r="AU274" s="60" t="s">
        <v>1132</v>
      </c>
      <c r="AV274" s="61">
        <v>44651</v>
      </c>
      <c r="AW274" s="91">
        <v>44651</v>
      </c>
      <c r="AX274" s="91">
        <v>44671</v>
      </c>
      <c r="AY274" s="99">
        <v>1032960</v>
      </c>
      <c r="AZ274" s="99">
        <f>ROUNDDOWN(AY274+(AY274*MASTER!$A$2/100),0)</f>
        <v>1136256</v>
      </c>
      <c r="BC274" s="64">
        <v>0</v>
      </c>
      <c r="BG274" s="64">
        <v>0</v>
      </c>
      <c r="BK274" s="64">
        <v>0</v>
      </c>
      <c r="BS274" s="64">
        <v>0</v>
      </c>
      <c r="BV274" s="65">
        <v>1183600</v>
      </c>
      <c r="BW274" s="65">
        <v>0</v>
      </c>
      <c r="BX274" s="65">
        <v>44529</v>
      </c>
      <c r="BY274" s="65">
        <v>1183600</v>
      </c>
      <c r="BZ274" s="81">
        <v>100</v>
      </c>
    </row>
    <row r="275" spans="1:78" x14ac:dyDescent="0.15">
      <c r="A275" s="60">
        <v>2</v>
      </c>
      <c r="B275" s="61">
        <v>44546</v>
      </c>
      <c r="C275" s="61">
        <v>44550</v>
      </c>
      <c r="D275" s="61">
        <v>44564</v>
      </c>
      <c r="E275" s="61">
        <v>44552</v>
      </c>
      <c r="F275" s="61">
        <v>44557</v>
      </c>
      <c r="G275" s="61">
        <v>44550</v>
      </c>
      <c r="H275" s="61">
        <v>44553</v>
      </c>
      <c r="I275" s="60" t="s">
        <v>612</v>
      </c>
      <c r="J275" s="60">
        <v>1</v>
      </c>
      <c r="L275" s="60">
        <v>0</v>
      </c>
      <c r="M275" s="61">
        <v>44530</v>
      </c>
      <c r="O275" s="62" t="s">
        <v>331</v>
      </c>
      <c r="P275" s="60" t="s">
        <v>26</v>
      </c>
      <c r="Q275" s="62" t="s">
        <v>120</v>
      </c>
      <c r="R275" s="62" t="s">
        <v>1335</v>
      </c>
      <c r="S275" s="63" t="s">
        <v>714</v>
      </c>
      <c r="T275" s="63" t="s">
        <v>1336</v>
      </c>
      <c r="U275" s="64">
        <v>170500</v>
      </c>
      <c r="V275" s="64">
        <v>187550</v>
      </c>
      <c r="W275" s="64">
        <v>78000</v>
      </c>
      <c r="X275" s="64">
        <v>85800</v>
      </c>
      <c r="Y275" s="64">
        <v>92500</v>
      </c>
      <c r="Z275" s="64">
        <v>101750</v>
      </c>
      <c r="AA275" s="61">
        <v>44549</v>
      </c>
      <c r="AB275" s="61">
        <v>44550</v>
      </c>
      <c r="AC275" s="61">
        <v>44550</v>
      </c>
      <c r="AD275" s="60">
        <v>0</v>
      </c>
      <c r="AG275" s="60">
        <v>0</v>
      </c>
      <c r="AJ275" s="60">
        <v>0</v>
      </c>
      <c r="AM275" s="60" t="s">
        <v>273</v>
      </c>
      <c r="AN275" s="60" t="s">
        <v>1337</v>
      </c>
      <c r="AQ275" s="60" t="s">
        <v>1191</v>
      </c>
      <c r="AR275" s="61">
        <v>44540</v>
      </c>
      <c r="AS275" s="60">
        <v>6001968038</v>
      </c>
      <c r="AT275" s="61">
        <v>44540</v>
      </c>
      <c r="AU275" s="60" t="s">
        <v>1218</v>
      </c>
      <c r="AV275" s="61">
        <v>44550</v>
      </c>
      <c r="AW275" s="91">
        <v>44561</v>
      </c>
      <c r="AX275" s="91">
        <v>44581</v>
      </c>
      <c r="AY275" s="99">
        <v>163680</v>
      </c>
      <c r="AZ275" s="99">
        <f>ROUNDDOWN(AY275+(AY275*MASTER!$A$2/100),0)</f>
        <v>180048</v>
      </c>
      <c r="BA275" s="60" t="s">
        <v>317</v>
      </c>
      <c r="BB275" s="64">
        <v>34000</v>
      </c>
      <c r="BC275" s="64">
        <v>37400</v>
      </c>
      <c r="BD275" s="60" t="s">
        <v>184</v>
      </c>
      <c r="BG275" s="64">
        <v>0</v>
      </c>
      <c r="BI275" s="60" t="s">
        <v>267</v>
      </c>
      <c r="BJ275" s="64">
        <v>60125</v>
      </c>
      <c r="BK275" s="64">
        <v>66137.5</v>
      </c>
      <c r="BL275" s="60" t="s">
        <v>1366</v>
      </c>
      <c r="BS275" s="64">
        <v>0</v>
      </c>
      <c r="BV275" s="65">
        <v>85800</v>
      </c>
      <c r="BW275" s="65">
        <v>103537.5</v>
      </c>
      <c r="BX275" s="65">
        <v>44530</v>
      </c>
      <c r="BY275" s="65">
        <v>-17737.5</v>
      </c>
      <c r="BZ275" s="81">
        <v>-20.673076923076923</v>
      </c>
    </row>
    <row r="276" spans="1:78" x14ac:dyDescent="0.15">
      <c r="A276" s="60">
        <v>2</v>
      </c>
      <c r="B276" s="61">
        <v>44546</v>
      </c>
      <c r="C276" s="61">
        <v>44550</v>
      </c>
      <c r="D276" s="61">
        <v>44564</v>
      </c>
      <c r="E276" s="61">
        <v>44552</v>
      </c>
      <c r="F276" s="61">
        <v>44557</v>
      </c>
      <c r="G276" s="61">
        <v>44550</v>
      </c>
      <c r="H276" s="61">
        <v>44553</v>
      </c>
      <c r="I276" s="60" t="s">
        <v>612</v>
      </c>
      <c r="J276" s="60">
        <v>1</v>
      </c>
      <c r="L276" s="60">
        <v>0</v>
      </c>
      <c r="M276" s="61">
        <v>44530</v>
      </c>
      <c r="O276" s="62" t="s">
        <v>331</v>
      </c>
      <c r="P276" s="60" t="s">
        <v>26</v>
      </c>
      <c r="Q276" s="62" t="s">
        <v>120</v>
      </c>
      <c r="R276" s="62" t="s">
        <v>1338</v>
      </c>
      <c r="S276" s="63" t="s">
        <v>1339</v>
      </c>
      <c r="T276" s="63" t="s">
        <v>1340</v>
      </c>
      <c r="U276" s="64">
        <v>177500</v>
      </c>
      <c r="V276" s="64">
        <v>195250</v>
      </c>
      <c r="W276" s="64">
        <v>110000</v>
      </c>
      <c r="X276" s="64">
        <v>121000</v>
      </c>
      <c r="Y276" s="64">
        <v>67500</v>
      </c>
      <c r="Z276" s="64">
        <v>74250</v>
      </c>
      <c r="AA276" s="61">
        <v>44549</v>
      </c>
      <c r="AB276" s="61">
        <v>44550</v>
      </c>
      <c r="AC276" s="61">
        <v>44550</v>
      </c>
      <c r="AD276" s="60">
        <v>0</v>
      </c>
      <c r="AG276" s="60">
        <v>0</v>
      </c>
      <c r="AJ276" s="60">
        <v>0</v>
      </c>
      <c r="AM276" s="60" t="s">
        <v>273</v>
      </c>
      <c r="AN276" s="60" t="s">
        <v>1341</v>
      </c>
      <c r="AQ276" s="60" t="s">
        <v>1190</v>
      </c>
      <c r="AR276" s="61">
        <v>44540</v>
      </c>
      <c r="AS276" s="60">
        <v>6001968038</v>
      </c>
      <c r="AT276" s="61">
        <v>44540</v>
      </c>
      <c r="AU276" s="60" t="s">
        <v>1218</v>
      </c>
      <c r="AV276" s="61">
        <v>44550</v>
      </c>
      <c r="AW276" s="91">
        <v>44561</v>
      </c>
      <c r="AX276" s="91">
        <v>44581</v>
      </c>
      <c r="AY276" s="99">
        <v>170400</v>
      </c>
      <c r="AZ276" s="99">
        <f>ROUNDDOWN(AY276+(AY276*MASTER!$A$2/100),0)</f>
        <v>187440</v>
      </c>
      <c r="BA276" s="60" t="s">
        <v>317</v>
      </c>
      <c r="BB276" s="64">
        <v>26000</v>
      </c>
      <c r="BC276" s="64">
        <v>28600</v>
      </c>
      <c r="BD276" s="60" t="s">
        <v>184</v>
      </c>
      <c r="BG276" s="64">
        <v>0</v>
      </c>
      <c r="BI276" s="60" t="s">
        <v>267</v>
      </c>
      <c r="BJ276" s="64">
        <v>43875</v>
      </c>
      <c r="BK276" s="64">
        <v>48262.5</v>
      </c>
      <c r="BL276" s="60" t="s">
        <v>184</v>
      </c>
      <c r="BS276" s="64">
        <v>0</v>
      </c>
      <c r="BV276" s="65">
        <v>121000</v>
      </c>
      <c r="BW276" s="65">
        <v>76862.5</v>
      </c>
      <c r="BX276" s="65">
        <v>44530</v>
      </c>
      <c r="BY276" s="65">
        <v>44137.5</v>
      </c>
      <c r="BZ276" s="81">
        <v>36.477272727272727</v>
      </c>
    </row>
    <row r="277" spans="1:78" x14ac:dyDescent="0.15">
      <c r="A277" s="60">
        <v>2</v>
      </c>
      <c r="B277" s="61">
        <v>44551</v>
      </c>
      <c r="C277" s="61">
        <v>44557</v>
      </c>
      <c r="D277" s="61" t="s">
        <v>764</v>
      </c>
      <c r="E277" s="61">
        <v>44558</v>
      </c>
      <c r="F277" s="61">
        <v>44564</v>
      </c>
      <c r="G277" s="61">
        <v>44557</v>
      </c>
      <c r="H277" s="61">
        <v>44560</v>
      </c>
      <c r="I277" s="60" t="s">
        <v>612</v>
      </c>
      <c r="J277" s="60">
        <v>1</v>
      </c>
      <c r="L277" s="60">
        <v>0</v>
      </c>
      <c r="M277" s="61">
        <v>44530</v>
      </c>
      <c r="O277" s="62" t="s">
        <v>331</v>
      </c>
      <c r="P277" s="60" t="s">
        <v>26</v>
      </c>
      <c r="Q277" s="62" t="s">
        <v>120</v>
      </c>
      <c r="R277" s="62" t="s">
        <v>1367</v>
      </c>
      <c r="S277" s="63" t="s">
        <v>606</v>
      </c>
      <c r="T277" s="63" t="s">
        <v>1368</v>
      </c>
      <c r="U277" s="64">
        <v>23900</v>
      </c>
      <c r="V277" s="64">
        <v>26290</v>
      </c>
      <c r="W277" s="64">
        <v>14700</v>
      </c>
      <c r="X277" s="64">
        <v>16170</v>
      </c>
      <c r="Y277" s="64">
        <v>9200</v>
      </c>
      <c r="Z277" s="64">
        <v>10120</v>
      </c>
      <c r="AA277" s="61">
        <v>44556</v>
      </c>
      <c r="AB277" s="61">
        <v>44557</v>
      </c>
      <c r="AC277" s="61">
        <v>44557</v>
      </c>
      <c r="AD277" s="60">
        <v>0</v>
      </c>
      <c r="AG277" s="60">
        <v>0</v>
      </c>
      <c r="AJ277" s="60">
        <v>0</v>
      </c>
      <c r="AM277" s="60" t="s">
        <v>273</v>
      </c>
      <c r="AN277" s="60" t="s">
        <v>1369</v>
      </c>
      <c r="AQ277" s="60" t="s">
        <v>1352</v>
      </c>
      <c r="AR277" s="61">
        <v>44546</v>
      </c>
      <c r="AS277" s="60">
        <v>6001971482</v>
      </c>
      <c r="AT277" s="61">
        <v>44546</v>
      </c>
      <c r="AU277" s="60" t="s">
        <v>1360</v>
      </c>
      <c r="AV277" s="61">
        <v>44557</v>
      </c>
      <c r="AW277" s="91">
        <v>44561</v>
      </c>
      <c r="AX277" s="91">
        <v>44581</v>
      </c>
      <c r="AY277" s="99">
        <v>22944</v>
      </c>
      <c r="AZ277" s="99">
        <f>ROUNDDOWN(AY277+(AY277*MASTER!$A$2/100),0)</f>
        <v>25238</v>
      </c>
      <c r="BA277" s="60" t="s">
        <v>765</v>
      </c>
      <c r="BC277" s="64">
        <v>0</v>
      </c>
      <c r="BG277" s="64">
        <v>0</v>
      </c>
      <c r="BI277" s="60" t="s">
        <v>267</v>
      </c>
      <c r="BJ277" s="64">
        <v>5980</v>
      </c>
      <c r="BK277" s="64">
        <v>6578</v>
      </c>
      <c r="BL277" s="60" t="s">
        <v>1366</v>
      </c>
      <c r="BS277" s="64">
        <v>0</v>
      </c>
      <c r="BV277" s="65">
        <v>16170</v>
      </c>
      <c r="BW277" s="65">
        <v>6578</v>
      </c>
      <c r="BX277" s="65">
        <v>44530</v>
      </c>
      <c r="BY277" s="65">
        <v>9592</v>
      </c>
      <c r="BZ277" s="81">
        <v>59.319727891156461</v>
      </c>
    </row>
    <row r="278" spans="1:78" x14ac:dyDescent="0.15">
      <c r="A278" s="60">
        <v>2</v>
      </c>
      <c r="B278" s="61">
        <v>44568</v>
      </c>
      <c r="C278" s="61">
        <v>44576</v>
      </c>
      <c r="D278" s="61">
        <v>44604</v>
      </c>
      <c r="E278" s="61">
        <v>44591</v>
      </c>
      <c r="F278" s="61">
        <v>44583</v>
      </c>
      <c r="G278" s="61">
        <v>44580</v>
      </c>
      <c r="H278" s="61">
        <v>44579</v>
      </c>
      <c r="I278" s="60" t="s">
        <v>612</v>
      </c>
      <c r="J278" s="60">
        <v>1</v>
      </c>
      <c r="L278" s="60">
        <v>0</v>
      </c>
      <c r="M278" s="61">
        <v>44530</v>
      </c>
      <c r="O278" s="62" t="s">
        <v>331</v>
      </c>
      <c r="P278" s="60" t="s">
        <v>26</v>
      </c>
      <c r="Q278" s="62" t="s">
        <v>120</v>
      </c>
      <c r="R278" s="62" t="s">
        <v>1655</v>
      </c>
      <c r="S278" s="63" t="s">
        <v>1656</v>
      </c>
      <c r="T278" s="63" t="s">
        <v>442</v>
      </c>
      <c r="U278" s="64">
        <v>95500</v>
      </c>
      <c r="V278" s="64">
        <v>105050</v>
      </c>
      <c r="W278" s="64">
        <v>83500</v>
      </c>
      <c r="X278" s="64">
        <v>91850</v>
      </c>
      <c r="Y278" s="64">
        <v>12000</v>
      </c>
      <c r="Z278" s="64">
        <v>13200</v>
      </c>
      <c r="AA278" s="61">
        <v>44567</v>
      </c>
      <c r="AB278" s="61">
        <v>44576</v>
      </c>
      <c r="AC278" s="61">
        <v>44576</v>
      </c>
      <c r="AD278" s="60">
        <v>0</v>
      </c>
      <c r="AG278" s="60">
        <v>0</v>
      </c>
      <c r="AJ278" s="60">
        <v>0</v>
      </c>
      <c r="AM278" s="60" t="s">
        <v>273</v>
      </c>
      <c r="AN278" s="60" t="s">
        <v>1657</v>
      </c>
      <c r="AQ278" s="60" t="s">
        <v>1633</v>
      </c>
      <c r="AR278" s="61">
        <v>44567</v>
      </c>
      <c r="AS278" s="60">
        <v>6001976740</v>
      </c>
      <c r="AT278" s="61">
        <v>44567</v>
      </c>
      <c r="AU278" s="60" t="s">
        <v>1645</v>
      </c>
      <c r="AV278" s="61">
        <v>44576</v>
      </c>
      <c r="AW278" s="91">
        <v>44592</v>
      </c>
      <c r="AX278" s="91">
        <v>44612</v>
      </c>
      <c r="AY278" s="99">
        <v>91680</v>
      </c>
      <c r="AZ278" s="99">
        <f>ROUNDDOWN(AY278+(AY278*MASTER!$A$2/100),0)</f>
        <v>100848</v>
      </c>
      <c r="BA278" s="60" t="s">
        <v>613</v>
      </c>
      <c r="BB278" s="64">
        <v>26000</v>
      </c>
      <c r="BC278" s="64">
        <v>28600</v>
      </c>
      <c r="BD278" s="60" t="s">
        <v>1614</v>
      </c>
      <c r="BG278" s="64">
        <v>0</v>
      </c>
      <c r="BI278" s="60" t="s">
        <v>748</v>
      </c>
      <c r="BJ278" s="64">
        <v>7800</v>
      </c>
      <c r="BK278" s="64">
        <v>8580</v>
      </c>
      <c r="BL278" s="60" t="s">
        <v>1614</v>
      </c>
      <c r="BS278" s="64">
        <v>0</v>
      </c>
      <c r="BV278" s="65">
        <v>91850</v>
      </c>
      <c r="BW278" s="65">
        <v>37180</v>
      </c>
      <c r="BX278" s="65">
        <v>44530</v>
      </c>
      <c r="BY278" s="65">
        <v>54670</v>
      </c>
      <c r="BZ278" s="81">
        <v>59.520958083832333</v>
      </c>
    </row>
    <row r="279" spans="1:78" x14ac:dyDescent="0.15">
      <c r="A279" s="60">
        <v>2</v>
      </c>
      <c r="B279" s="61">
        <v>44585</v>
      </c>
      <c r="C279" s="61">
        <v>44586</v>
      </c>
      <c r="D279" s="61">
        <v>44604</v>
      </c>
      <c r="E279" s="61">
        <v>44588</v>
      </c>
      <c r="F279" s="61">
        <v>44593</v>
      </c>
      <c r="G279" s="61">
        <v>44588</v>
      </c>
      <c r="H279" s="61">
        <v>44589</v>
      </c>
      <c r="I279" s="60" t="s">
        <v>511</v>
      </c>
      <c r="J279" s="60">
        <v>1</v>
      </c>
      <c r="L279" s="60">
        <v>0</v>
      </c>
      <c r="M279" s="61">
        <v>44530</v>
      </c>
      <c r="O279" s="62" t="s">
        <v>331</v>
      </c>
      <c r="P279" s="60" t="s">
        <v>26</v>
      </c>
      <c r="Q279" s="62" t="s">
        <v>120</v>
      </c>
      <c r="R279" s="62" t="s">
        <v>1996</v>
      </c>
      <c r="S279" s="63" t="s">
        <v>1526</v>
      </c>
      <c r="T279" s="63" t="s">
        <v>1997</v>
      </c>
      <c r="U279" s="64">
        <v>460955</v>
      </c>
      <c r="V279" s="64">
        <v>507050.5</v>
      </c>
      <c r="W279" s="64">
        <v>322455</v>
      </c>
      <c r="X279" s="64">
        <v>354700.5</v>
      </c>
      <c r="Y279" s="64">
        <v>138500</v>
      </c>
      <c r="Z279" s="64">
        <v>152350</v>
      </c>
      <c r="AA279" s="61">
        <v>44584</v>
      </c>
      <c r="AB279" s="61">
        <v>44586</v>
      </c>
      <c r="AC279" s="61">
        <v>44586</v>
      </c>
      <c r="AD279" s="60">
        <v>0</v>
      </c>
      <c r="AG279" s="60">
        <v>0</v>
      </c>
      <c r="AJ279" s="60">
        <v>0</v>
      </c>
      <c r="AM279" s="60" t="s">
        <v>273</v>
      </c>
      <c r="AN279" s="60" t="s">
        <v>1998</v>
      </c>
      <c r="AQ279" s="60" t="s">
        <v>1372</v>
      </c>
      <c r="AR279" s="61">
        <v>44551</v>
      </c>
      <c r="AS279" s="60">
        <v>6001973532</v>
      </c>
      <c r="AT279" s="61">
        <v>44551</v>
      </c>
      <c r="AU279" s="60" t="s">
        <v>1417</v>
      </c>
      <c r="AV279" s="61">
        <v>44586</v>
      </c>
      <c r="AW279" s="91">
        <v>44592</v>
      </c>
      <c r="AX279" s="91">
        <v>44612</v>
      </c>
      <c r="AY279" s="99">
        <v>442517</v>
      </c>
      <c r="AZ279" s="99">
        <v>486769</v>
      </c>
      <c r="BA279" s="60" t="s">
        <v>314</v>
      </c>
      <c r="BB279" s="64">
        <v>126280</v>
      </c>
      <c r="BC279" s="64">
        <v>138908</v>
      </c>
      <c r="BD279" s="60" t="s">
        <v>1614</v>
      </c>
      <c r="BG279" s="64">
        <v>0</v>
      </c>
      <c r="BI279" s="60" t="s">
        <v>748</v>
      </c>
      <c r="BJ279" s="64">
        <v>90025</v>
      </c>
      <c r="BK279" s="64">
        <v>99027.5</v>
      </c>
      <c r="BL279" s="60" t="s">
        <v>1614</v>
      </c>
      <c r="BS279" s="64">
        <v>0</v>
      </c>
      <c r="BV279" s="65">
        <v>354700.5</v>
      </c>
      <c r="BW279" s="65">
        <v>237935.5</v>
      </c>
      <c r="BX279" s="65">
        <v>44530</v>
      </c>
      <c r="BY279" s="65">
        <v>116765</v>
      </c>
      <c r="BZ279" s="81">
        <v>32.919322075948578</v>
      </c>
    </row>
    <row r="280" spans="1:78" x14ac:dyDescent="0.15">
      <c r="A280" s="60">
        <v>1</v>
      </c>
      <c r="B280" s="61">
        <v>44543</v>
      </c>
      <c r="C280" s="61">
        <v>44545</v>
      </c>
      <c r="F280" s="61" t="s">
        <v>309</v>
      </c>
      <c r="H280" s="61" t="s">
        <v>309</v>
      </c>
      <c r="J280" s="60">
        <v>2</v>
      </c>
      <c r="L280" s="60">
        <v>0</v>
      </c>
      <c r="M280" s="61">
        <v>44531</v>
      </c>
      <c r="O280" s="62" t="s">
        <v>331</v>
      </c>
      <c r="P280" s="60" t="s">
        <v>262</v>
      </c>
      <c r="Q280" s="62" t="s">
        <v>125</v>
      </c>
      <c r="R280" s="62" t="s">
        <v>1053</v>
      </c>
      <c r="S280" s="63" t="s">
        <v>326</v>
      </c>
      <c r="T280" s="63" t="s">
        <v>1054</v>
      </c>
      <c r="U280" s="64">
        <v>438000</v>
      </c>
      <c r="V280" s="64">
        <v>481800</v>
      </c>
      <c r="W280" s="64">
        <v>438000</v>
      </c>
      <c r="X280" s="64">
        <v>481800</v>
      </c>
      <c r="Y280" s="64">
        <v>0</v>
      </c>
      <c r="Z280" s="64">
        <v>0</v>
      </c>
      <c r="AA280" s="61">
        <v>44531</v>
      </c>
      <c r="AB280" s="61">
        <v>44561</v>
      </c>
      <c r="AD280" s="60">
        <v>0</v>
      </c>
      <c r="AG280" s="60">
        <v>0</v>
      </c>
      <c r="AJ280" s="60">
        <v>0</v>
      </c>
      <c r="AQ280" s="60" t="s">
        <v>1183</v>
      </c>
      <c r="AR280" s="61">
        <v>44539</v>
      </c>
      <c r="AS280" s="60">
        <v>6001967768</v>
      </c>
      <c r="AT280" s="61">
        <v>44540</v>
      </c>
      <c r="AU280" s="60" t="s">
        <v>1210</v>
      </c>
      <c r="AV280" s="61">
        <v>44545</v>
      </c>
      <c r="AW280" s="91">
        <v>44561</v>
      </c>
      <c r="AX280" s="91">
        <v>44581</v>
      </c>
      <c r="AY280" s="107">
        <v>438000</v>
      </c>
      <c r="AZ280" s="107">
        <f>ROUNDDOWN(AY280+(AY280*MASTER!$A$2/100),0)</f>
        <v>481800</v>
      </c>
      <c r="BC280" s="64">
        <v>0</v>
      </c>
      <c r="BG280" s="64">
        <v>0</v>
      </c>
      <c r="BK280" s="64">
        <v>0</v>
      </c>
      <c r="BS280" s="64">
        <v>0</v>
      </c>
      <c r="BV280" s="65">
        <v>481800</v>
      </c>
      <c r="BW280" s="65">
        <v>0</v>
      </c>
      <c r="BX280" s="65">
        <v>44531</v>
      </c>
      <c r="BY280" s="65">
        <v>481800</v>
      </c>
      <c r="BZ280" s="81">
        <v>100</v>
      </c>
    </row>
    <row r="281" spans="1:78" x14ac:dyDescent="0.15">
      <c r="A281" s="60">
        <v>1</v>
      </c>
      <c r="B281" s="61">
        <v>44543</v>
      </c>
      <c r="C281" s="61">
        <v>44545</v>
      </c>
      <c r="F281" s="61" t="s">
        <v>309</v>
      </c>
      <c r="H281" s="61" t="s">
        <v>309</v>
      </c>
      <c r="J281" s="60">
        <v>2</v>
      </c>
      <c r="L281" s="60">
        <v>0</v>
      </c>
      <c r="M281" s="61">
        <v>44531</v>
      </c>
      <c r="O281" s="62" t="s">
        <v>331</v>
      </c>
      <c r="P281" s="60" t="s">
        <v>262</v>
      </c>
      <c r="Q281" s="62" t="s">
        <v>125</v>
      </c>
      <c r="R281" s="62" t="s">
        <v>1055</v>
      </c>
      <c r="S281" s="63" t="s">
        <v>326</v>
      </c>
      <c r="T281" s="63" t="s">
        <v>1056</v>
      </c>
      <c r="U281" s="64">
        <v>438000</v>
      </c>
      <c r="V281" s="64">
        <v>481800</v>
      </c>
      <c r="W281" s="64">
        <v>438000</v>
      </c>
      <c r="X281" s="64">
        <v>481800</v>
      </c>
      <c r="Y281" s="64">
        <v>0</v>
      </c>
      <c r="Z281" s="64">
        <v>0</v>
      </c>
      <c r="AA281" s="61">
        <v>44531</v>
      </c>
      <c r="AB281" s="61">
        <v>44561</v>
      </c>
      <c r="AD281" s="60">
        <v>0</v>
      </c>
      <c r="AG281" s="60">
        <v>0</v>
      </c>
      <c r="AJ281" s="60">
        <v>0</v>
      </c>
      <c r="AQ281" s="60" t="s">
        <v>1183</v>
      </c>
      <c r="AR281" s="61">
        <v>44539</v>
      </c>
      <c r="AS281" s="60">
        <v>6001967768</v>
      </c>
      <c r="AT281" s="61">
        <v>44540</v>
      </c>
      <c r="AU281" s="60" t="s">
        <v>1210</v>
      </c>
      <c r="AV281" s="61">
        <v>44545</v>
      </c>
      <c r="AW281" s="91">
        <v>44561</v>
      </c>
      <c r="AX281" s="91">
        <v>44581</v>
      </c>
      <c r="AY281" s="107">
        <v>438000</v>
      </c>
      <c r="AZ281" s="107">
        <f>ROUNDDOWN(AY281+(AY281*MASTER!$A$2/100),0)</f>
        <v>481800</v>
      </c>
      <c r="BC281" s="64">
        <v>0</v>
      </c>
      <c r="BG281" s="64">
        <v>0</v>
      </c>
      <c r="BK281" s="64">
        <v>0</v>
      </c>
      <c r="BS281" s="64">
        <v>0</v>
      </c>
      <c r="BV281" s="65">
        <v>481800</v>
      </c>
      <c r="BW281" s="65">
        <v>0</v>
      </c>
      <c r="BX281" s="65">
        <v>44531</v>
      </c>
      <c r="BY281" s="65">
        <v>481800</v>
      </c>
      <c r="BZ281" s="81">
        <v>100</v>
      </c>
    </row>
    <row r="282" spans="1:78" x14ac:dyDescent="0.15">
      <c r="A282" s="60">
        <v>1</v>
      </c>
      <c r="B282" s="61">
        <v>44543</v>
      </c>
      <c r="C282" s="61">
        <v>44545</v>
      </c>
      <c r="F282" s="61" t="s">
        <v>309</v>
      </c>
      <c r="H282" s="61" t="s">
        <v>309</v>
      </c>
      <c r="J282" s="60">
        <v>2</v>
      </c>
      <c r="L282" s="60">
        <v>0</v>
      </c>
      <c r="M282" s="61">
        <v>44531</v>
      </c>
      <c r="O282" s="62" t="s">
        <v>331</v>
      </c>
      <c r="P282" s="60" t="s">
        <v>262</v>
      </c>
      <c r="Q282" s="62" t="s">
        <v>125</v>
      </c>
      <c r="R282" s="62" t="s">
        <v>1057</v>
      </c>
      <c r="S282" s="63" t="s">
        <v>326</v>
      </c>
      <c r="T282" s="63" t="s">
        <v>1058</v>
      </c>
      <c r="U282" s="64">
        <v>262000</v>
      </c>
      <c r="V282" s="64">
        <v>288200</v>
      </c>
      <c r="W282" s="64">
        <v>262000</v>
      </c>
      <c r="X282" s="64">
        <v>288200</v>
      </c>
      <c r="Y282" s="64">
        <v>0</v>
      </c>
      <c r="Z282" s="64">
        <v>0</v>
      </c>
      <c r="AA282" s="61">
        <v>44531</v>
      </c>
      <c r="AB282" s="61">
        <v>44561</v>
      </c>
      <c r="AD282" s="60">
        <v>0</v>
      </c>
      <c r="AG282" s="60">
        <v>0</v>
      </c>
      <c r="AJ282" s="60">
        <v>0</v>
      </c>
      <c r="AQ282" s="60" t="s">
        <v>1183</v>
      </c>
      <c r="AR282" s="61">
        <v>44539</v>
      </c>
      <c r="AS282" s="60">
        <v>6001967768</v>
      </c>
      <c r="AT282" s="61">
        <v>44540</v>
      </c>
      <c r="AU282" s="60" t="s">
        <v>1210</v>
      </c>
      <c r="AV282" s="61">
        <v>44545</v>
      </c>
      <c r="AW282" s="91">
        <v>44561</v>
      </c>
      <c r="AX282" s="91">
        <v>44581</v>
      </c>
      <c r="AY282" s="107">
        <v>262000</v>
      </c>
      <c r="AZ282" s="107">
        <f>ROUNDDOWN(AY282+(AY282*MASTER!$A$2/100),0)</f>
        <v>288200</v>
      </c>
      <c r="BC282" s="64">
        <v>0</v>
      </c>
      <c r="BG282" s="64">
        <v>0</v>
      </c>
      <c r="BK282" s="64">
        <v>0</v>
      </c>
      <c r="BS282" s="64">
        <v>0</v>
      </c>
      <c r="BV282" s="65">
        <v>288200</v>
      </c>
      <c r="BW282" s="65">
        <v>0</v>
      </c>
      <c r="BX282" s="65">
        <v>44531</v>
      </c>
      <c r="BY282" s="65">
        <v>288200</v>
      </c>
      <c r="BZ282" s="81">
        <v>100</v>
      </c>
    </row>
    <row r="283" spans="1:78" x14ac:dyDescent="0.15">
      <c r="A283" s="60">
        <v>1</v>
      </c>
      <c r="B283" s="61">
        <v>44543</v>
      </c>
      <c r="C283" s="61">
        <v>44545</v>
      </c>
      <c r="F283" s="61" t="s">
        <v>309</v>
      </c>
      <c r="H283" s="61" t="s">
        <v>309</v>
      </c>
      <c r="J283" s="60">
        <v>2</v>
      </c>
      <c r="L283" s="60">
        <v>0</v>
      </c>
      <c r="M283" s="61">
        <v>44531</v>
      </c>
      <c r="O283" s="62" t="s">
        <v>331</v>
      </c>
      <c r="P283" s="60" t="s">
        <v>260</v>
      </c>
      <c r="Q283" s="62" t="s">
        <v>125</v>
      </c>
      <c r="R283" s="62" t="s">
        <v>1059</v>
      </c>
      <c r="S283" s="63" t="s">
        <v>417</v>
      </c>
      <c r="T283" s="63" t="s">
        <v>1060</v>
      </c>
      <c r="U283" s="64">
        <v>66000</v>
      </c>
      <c r="V283" s="64">
        <v>72600</v>
      </c>
      <c r="W283" s="64">
        <v>66000</v>
      </c>
      <c r="X283" s="64">
        <v>72600</v>
      </c>
      <c r="Y283" s="64">
        <v>0</v>
      </c>
      <c r="Z283" s="64">
        <v>0</v>
      </c>
      <c r="AA283" s="61">
        <v>44531</v>
      </c>
      <c r="AB283" s="61">
        <v>44561</v>
      </c>
      <c r="AD283" s="60">
        <v>0</v>
      </c>
      <c r="AG283" s="60">
        <v>0</v>
      </c>
      <c r="AJ283" s="60">
        <v>0</v>
      </c>
      <c r="AQ283" s="60" t="s">
        <v>1184</v>
      </c>
      <c r="AR283" s="61">
        <v>44539</v>
      </c>
      <c r="AS283" s="60">
        <v>6001967768</v>
      </c>
      <c r="AT283" s="61">
        <v>44540</v>
      </c>
      <c r="AU283" s="60" t="s">
        <v>1210</v>
      </c>
      <c r="AV283" s="61">
        <v>44545</v>
      </c>
      <c r="AW283" s="91">
        <v>44561</v>
      </c>
      <c r="AX283" s="91">
        <v>44581</v>
      </c>
      <c r="AY283" s="99">
        <v>63360</v>
      </c>
      <c r="AZ283" s="99">
        <f>ROUNDDOWN(AY283+(AY283*MASTER!$A$2/100),0)</f>
        <v>69696</v>
      </c>
      <c r="BC283" s="64">
        <v>0</v>
      </c>
      <c r="BG283" s="64">
        <v>0</v>
      </c>
      <c r="BK283" s="64">
        <v>0</v>
      </c>
      <c r="BS283" s="64">
        <v>0</v>
      </c>
      <c r="BV283" s="65">
        <v>72600</v>
      </c>
      <c r="BW283" s="65">
        <v>0</v>
      </c>
      <c r="BX283" s="65">
        <v>44531</v>
      </c>
      <c r="BY283" s="65">
        <v>72600</v>
      </c>
      <c r="BZ283" s="81">
        <v>100</v>
      </c>
    </row>
    <row r="284" spans="1:78" x14ac:dyDescent="0.15">
      <c r="A284" s="60">
        <v>2</v>
      </c>
      <c r="B284" s="61">
        <v>44567</v>
      </c>
      <c r="C284" s="61">
        <v>44592</v>
      </c>
      <c r="D284" s="61">
        <v>44606</v>
      </c>
      <c r="E284" s="61">
        <v>44581</v>
      </c>
      <c r="F284" s="61">
        <v>44581</v>
      </c>
      <c r="G284" s="61">
        <v>44575</v>
      </c>
      <c r="H284" s="61">
        <v>44577</v>
      </c>
      <c r="I284" s="60" t="s">
        <v>511</v>
      </c>
      <c r="J284" s="60">
        <v>1</v>
      </c>
      <c r="L284" s="60">
        <v>0</v>
      </c>
      <c r="M284" s="61">
        <v>44531</v>
      </c>
      <c r="O284" s="62" t="s">
        <v>331</v>
      </c>
      <c r="P284" s="60" t="s">
        <v>26</v>
      </c>
      <c r="Q284" s="62" t="s">
        <v>125</v>
      </c>
      <c r="R284" s="62" t="s">
        <v>1641</v>
      </c>
      <c r="S284" s="63" t="s">
        <v>1061</v>
      </c>
      <c r="T284" s="63" t="s">
        <v>485</v>
      </c>
      <c r="U284" s="64">
        <v>95000</v>
      </c>
      <c r="V284" s="64">
        <v>104500</v>
      </c>
      <c r="W284" s="64">
        <v>80000</v>
      </c>
      <c r="X284" s="64">
        <v>88000</v>
      </c>
      <c r="Y284" s="64">
        <v>15000</v>
      </c>
      <c r="Z284" s="64">
        <v>16500</v>
      </c>
      <c r="AA284" s="61">
        <v>44573</v>
      </c>
      <c r="AB284" s="61">
        <v>44574</v>
      </c>
      <c r="AC284" s="61">
        <v>44574</v>
      </c>
      <c r="AD284" s="60">
        <v>0</v>
      </c>
      <c r="AG284" s="60">
        <v>0</v>
      </c>
      <c r="AJ284" s="60">
        <v>0</v>
      </c>
      <c r="AQ284" s="60" t="s">
        <v>1452</v>
      </c>
      <c r="AR284" s="61">
        <v>44554</v>
      </c>
      <c r="AS284" s="60">
        <v>6001974755</v>
      </c>
      <c r="AT284" s="61">
        <v>44554</v>
      </c>
      <c r="AU284" s="60" t="s">
        <v>1459</v>
      </c>
      <c r="AV284" s="61">
        <v>44592</v>
      </c>
      <c r="AW284" s="91">
        <v>44592</v>
      </c>
      <c r="AX284" s="91">
        <v>44612</v>
      </c>
      <c r="AY284" s="99">
        <v>91200</v>
      </c>
      <c r="AZ284" s="99">
        <f>ROUNDDOWN(AY284+(AY284*MASTER!$A$2/100),0)</f>
        <v>100320</v>
      </c>
      <c r="BA284" s="60" t="s">
        <v>318</v>
      </c>
      <c r="BB284" s="64">
        <v>22000</v>
      </c>
      <c r="BC284" s="64">
        <v>24200</v>
      </c>
      <c r="BD284" s="60" t="s">
        <v>1614</v>
      </c>
      <c r="BG284" s="64">
        <v>0</v>
      </c>
      <c r="BI284" s="60" t="s">
        <v>748</v>
      </c>
      <c r="BJ284" s="64">
        <v>9750</v>
      </c>
      <c r="BK284" s="64">
        <v>10725</v>
      </c>
      <c r="BL284" s="60" t="s">
        <v>1614</v>
      </c>
      <c r="BS284" s="64">
        <v>0</v>
      </c>
      <c r="BV284" s="65">
        <v>88000</v>
      </c>
      <c r="BW284" s="65">
        <v>34925</v>
      </c>
      <c r="BX284" s="65">
        <v>44531</v>
      </c>
      <c r="BY284" s="65">
        <v>53075</v>
      </c>
      <c r="BZ284" s="81">
        <v>60.3125</v>
      </c>
    </row>
    <row r="285" spans="1:78" x14ac:dyDescent="0.15">
      <c r="A285" s="60">
        <v>2</v>
      </c>
      <c r="B285" s="61">
        <v>44567</v>
      </c>
      <c r="C285" s="61">
        <v>44592</v>
      </c>
      <c r="D285" s="61">
        <v>44606</v>
      </c>
      <c r="E285" s="61">
        <v>44581</v>
      </c>
      <c r="F285" s="61">
        <v>44581</v>
      </c>
      <c r="G285" s="61">
        <v>44575</v>
      </c>
      <c r="H285" s="61">
        <v>44577</v>
      </c>
      <c r="I285" s="60" t="s">
        <v>511</v>
      </c>
      <c r="J285" s="60">
        <v>1</v>
      </c>
      <c r="L285" s="60">
        <v>0</v>
      </c>
      <c r="M285" s="61">
        <v>44531</v>
      </c>
      <c r="O285" s="62" t="s">
        <v>331</v>
      </c>
      <c r="P285" s="60" t="s">
        <v>26</v>
      </c>
      <c r="Q285" s="62" t="s">
        <v>125</v>
      </c>
      <c r="R285" s="62" t="s">
        <v>1642</v>
      </c>
      <c r="S285" s="63" t="s">
        <v>1062</v>
      </c>
      <c r="T285" s="63" t="s">
        <v>485</v>
      </c>
      <c r="U285" s="64">
        <v>95000</v>
      </c>
      <c r="V285" s="64">
        <v>104500</v>
      </c>
      <c r="W285" s="64">
        <v>80000</v>
      </c>
      <c r="X285" s="64">
        <v>88000</v>
      </c>
      <c r="Y285" s="64">
        <v>15000</v>
      </c>
      <c r="Z285" s="64">
        <v>16500</v>
      </c>
      <c r="AA285" s="61">
        <v>44573</v>
      </c>
      <c r="AB285" s="61">
        <v>44574</v>
      </c>
      <c r="AC285" s="61">
        <v>44574</v>
      </c>
      <c r="AD285" s="60">
        <v>0</v>
      </c>
      <c r="AG285" s="60">
        <v>0</v>
      </c>
      <c r="AJ285" s="60">
        <v>0</v>
      </c>
      <c r="AQ285" s="60" t="s">
        <v>1452</v>
      </c>
      <c r="AR285" s="61">
        <v>44554</v>
      </c>
      <c r="AS285" s="60">
        <v>6001974755</v>
      </c>
      <c r="AT285" s="61">
        <v>44554</v>
      </c>
      <c r="AU285" s="60" t="s">
        <v>1459</v>
      </c>
      <c r="AV285" s="61">
        <v>44592</v>
      </c>
      <c r="AW285" s="91">
        <v>44592</v>
      </c>
      <c r="AX285" s="91">
        <v>44612</v>
      </c>
      <c r="AY285" s="99">
        <v>91200</v>
      </c>
      <c r="AZ285" s="99">
        <f>ROUNDDOWN(AY285+(AY285*MASTER!$A$2/100),0)</f>
        <v>100320</v>
      </c>
      <c r="BA285" s="60" t="s">
        <v>318</v>
      </c>
      <c r="BB285" s="64">
        <v>21000</v>
      </c>
      <c r="BC285" s="64">
        <v>23100</v>
      </c>
      <c r="BD285" s="60" t="s">
        <v>1614</v>
      </c>
      <c r="BG285" s="64">
        <v>0</v>
      </c>
      <c r="BI285" s="60" t="s">
        <v>748</v>
      </c>
      <c r="BJ285" s="64">
        <v>9750</v>
      </c>
      <c r="BK285" s="64">
        <v>10725</v>
      </c>
      <c r="BL285" s="60" t="s">
        <v>1614</v>
      </c>
      <c r="BS285" s="64">
        <v>0</v>
      </c>
      <c r="BV285" s="65">
        <v>88000</v>
      </c>
      <c r="BW285" s="65">
        <v>33825</v>
      </c>
      <c r="BX285" s="65">
        <v>44531</v>
      </c>
      <c r="BY285" s="65">
        <v>54175</v>
      </c>
      <c r="BZ285" s="81">
        <v>61.5625</v>
      </c>
    </row>
    <row r="286" spans="1:78" x14ac:dyDescent="0.15">
      <c r="A286" s="60">
        <v>2</v>
      </c>
      <c r="B286" s="61">
        <v>44567</v>
      </c>
      <c r="C286" s="61">
        <v>44592</v>
      </c>
      <c r="D286" s="61">
        <v>44606</v>
      </c>
      <c r="E286" s="61">
        <v>44581</v>
      </c>
      <c r="F286" s="61">
        <v>44587</v>
      </c>
      <c r="G286" s="61">
        <v>44580</v>
      </c>
      <c r="H286" s="61">
        <v>44583</v>
      </c>
      <c r="I286" s="60" t="s">
        <v>511</v>
      </c>
      <c r="J286" s="60">
        <v>1</v>
      </c>
      <c r="L286" s="60">
        <v>0</v>
      </c>
      <c r="M286" s="61">
        <v>44531</v>
      </c>
      <c r="O286" s="62" t="s">
        <v>331</v>
      </c>
      <c r="P286" s="60" t="s">
        <v>26</v>
      </c>
      <c r="Q286" s="62" t="s">
        <v>125</v>
      </c>
      <c r="R286" s="62" t="s">
        <v>1643</v>
      </c>
      <c r="S286" s="63" t="s">
        <v>1063</v>
      </c>
      <c r="T286" s="63" t="s">
        <v>485</v>
      </c>
      <c r="U286" s="64">
        <v>95000</v>
      </c>
      <c r="V286" s="64">
        <v>104500</v>
      </c>
      <c r="W286" s="64">
        <v>80000</v>
      </c>
      <c r="X286" s="64">
        <v>88000</v>
      </c>
      <c r="Y286" s="64">
        <v>15000</v>
      </c>
      <c r="Z286" s="64">
        <v>16500</v>
      </c>
      <c r="AA286" s="61">
        <v>44579</v>
      </c>
      <c r="AB286" s="61">
        <v>44580</v>
      </c>
      <c r="AC286" s="61">
        <v>44580</v>
      </c>
      <c r="AD286" s="60">
        <v>0</v>
      </c>
      <c r="AG286" s="60">
        <v>0</v>
      </c>
      <c r="AJ286" s="60">
        <v>0</v>
      </c>
      <c r="AQ286" s="60" t="s">
        <v>1452</v>
      </c>
      <c r="AR286" s="61">
        <v>44554</v>
      </c>
      <c r="AS286" s="60">
        <v>6001974755</v>
      </c>
      <c r="AT286" s="61">
        <v>44554</v>
      </c>
      <c r="AU286" s="60" t="s">
        <v>1459</v>
      </c>
      <c r="AV286" s="61">
        <v>44592</v>
      </c>
      <c r="AW286" s="91">
        <v>44592</v>
      </c>
      <c r="AX286" s="91">
        <v>44612</v>
      </c>
      <c r="AY286" s="99">
        <v>91200</v>
      </c>
      <c r="AZ286" s="99">
        <f>ROUNDDOWN(AY286+(AY286*MASTER!$A$2/100),0)</f>
        <v>100320</v>
      </c>
      <c r="BA286" s="60" t="s">
        <v>318</v>
      </c>
      <c r="BB286" s="64">
        <v>22000</v>
      </c>
      <c r="BC286" s="64">
        <v>24200</v>
      </c>
      <c r="BD286" s="60" t="s">
        <v>1614</v>
      </c>
      <c r="BG286" s="64">
        <v>0</v>
      </c>
      <c r="BI286" s="60" t="s">
        <v>748</v>
      </c>
      <c r="BJ286" s="64">
        <v>9750</v>
      </c>
      <c r="BK286" s="64">
        <v>10725</v>
      </c>
      <c r="BL286" s="60" t="s">
        <v>1614</v>
      </c>
      <c r="BS286" s="64">
        <v>0</v>
      </c>
      <c r="BV286" s="65">
        <v>88000</v>
      </c>
      <c r="BW286" s="65">
        <v>34925</v>
      </c>
      <c r="BX286" s="65">
        <v>44531</v>
      </c>
      <c r="BY286" s="65">
        <v>53075</v>
      </c>
      <c r="BZ286" s="81">
        <v>60.3125</v>
      </c>
    </row>
    <row r="287" spans="1:78" x14ac:dyDescent="0.15">
      <c r="A287" s="60">
        <v>2</v>
      </c>
      <c r="B287" s="61">
        <v>44567</v>
      </c>
      <c r="C287" s="61">
        <v>44592</v>
      </c>
      <c r="D287" s="61">
        <v>44606</v>
      </c>
      <c r="E287" s="61">
        <v>44581</v>
      </c>
      <c r="F287" s="61">
        <v>44582</v>
      </c>
      <c r="G287" s="61">
        <v>44575</v>
      </c>
      <c r="H287" s="61">
        <v>44578</v>
      </c>
      <c r="I287" s="60" t="s">
        <v>511</v>
      </c>
      <c r="J287" s="60">
        <v>1</v>
      </c>
      <c r="L287" s="60">
        <v>0</v>
      </c>
      <c r="M287" s="61">
        <v>44531</v>
      </c>
      <c r="O287" s="62" t="s">
        <v>331</v>
      </c>
      <c r="P287" s="60" t="s">
        <v>26</v>
      </c>
      <c r="Q287" s="62" t="s">
        <v>125</v>
      </c>
      <c r="R287" s="62" t="s">
        <v>1644</v>
      </c>
      <c r="S287" s="63" t="s">
        <v>1064</v>
      </c>
      <c r="T287" s="63" t="s">
        <v>485</v>
      </c>
      <c r="U287" s="64">
        <v>95000</v>
      </c>
      <c r="V287" s="64">
        <v>104500</v>
      </c>
      <c r="W287" s="64">
        <v>80000</v>
      </c>
      <c r="X287" s="64">
        <v>88000</v>
      </c>
      <c r="Y287" s="64">
        <v>15000</v>
      </c>
      <c r="Z287" s="64">
        <v>16500</v>
      </c>
      <c r="AA287" s="61">
        <v>44574</v>
      </c>
      <c r="AB287" s="61">
        <v>44575</v>
      </c>
      <c r="AC287" s="61">
        <v>44575</v>
      </c>
      <c r="AD287" s="60">
        <v>0</v>
      </c>
      <c r="AG287" s="60">
        <v>0</v>
      </c>
      <c r="AJ287" s="60">
        <v>0</v>
      </c>
      <c r="AQ287" s="60" t="s">
        <v>1452</v>
      </c>
      <c r="AR287" s="61">
        <v>44554</v>
      </c>
      <c r="AS287" s="60">
        <v>6001974755</v>
      </c>
      <c r="AT287" s="61">
        <v>44554</v>
      </c>
      <c r="AU287" s="60" t="s">
        <v>1459</v>
      </c>
      <c r="AV287" s="61">
        <v>44592</v>
      </c>
      <c r="AW287" s="91">
        <v>44592</v>
      </c>
      <c r="AX287" s="91">
        <v>44612</v>
      </c>
      <c r="AY287" s="99">
        <v>91200</v>
      </c>
      <c r="AZ287" s="99">
        <f>ROUNDDOWN(AY287+(AY287*MASTER!$A$2/100),0)</f>
        <v>100320</v>
      </c>
      <c r="BA287" s="60" t="s">
        <v>318</v>
      </c>
      <c r="BB287" s="64">
        <v>21000</v>
      </c>
      <c r="BC287" s="64">
        <v>23100</v>
      </c>
      <c r="BD287" s="60" t="s">
        <v>1614</v>
      </c>
      <c r="BG287" s="64">
        <v>0</v>
      </c>
      <c r="BI287" s="60" t="s">
        <v>748</v>
      </c>
      <c r="BJ287" s="64">
        <v>9750</v>
      </c>
      <c r="BK287" s="64">
        <v>10725</v>
      </c>
      <c r="BL287" s="60" t="s">
        <v>1614</v>
      </c>
      <c r="BS287" s="64">
        <v>0</v>
      </c>
      <c r="BV287" s="65">
        <v>88000</v>
      </c>
      <c r="BW287" s="65">
        <v>33825</v>
      </c>
      <c r="BX287" s="65">
        <v>44531</v>
      </c>
      <c r="BY287" s="65">
        <v>54175</v>
      </c>
      <c r="BZ287" s="81">
        <v>61.5625</v>
      </c>
    </row>
    <row r="288" spans="1:78" x14ac:dyDescent="0.15">
      <c r="A288" s="60">
        <v>2</v>
      </c>
      <c r="B288" s="61">
        <v>44596</v>
      </c>
      <c r="C288" s="61">
        <v>44620</v>
      </c>
      <c r="D288" s="61">
        <v>44635</v>
      </c>
      <c r="E288" s="61">
        <v>44618</v>
      </c>
      <c r="F288" s="61">
        <v>44614</v>
      </c>
      <c r="G288" s="61">
        <v>44608</v>
      </c>
      <c r="H288" s="61">
        <v>44610</v>
      </c>
      <c r="I288" s="60" t="s">
        <v>511</v>
      </c>
      <c r="J288" s="60">
        <v>1</v>
      </c>
      <c r="L288" s="60">
        <v>0</v>
      </c>
      <c r="M288" s="61">
        <v>44531</v>
      </c>
      <c r="O288" s="62" t="s">
        <v>331</v>
      </c>
      <c r="P288" s="60" t="s">
        <v>26</v>
      </c>
      <c r="Q288" s="62" t="s">
        <v>125</v>
      </c>
      <c r="R288" s="62" t="s">
        <v>2173</v>
      </c>
      <c r="S288" s="63" t="s">
        <v>1065</v>
      </c>
      <c r="T288" s="63" t="s">
        <v>485</v>
      </c>
      <c r="U288" s="64">
        <v>95000</v>
      </c>
      <c r="V288" s="64">
        <v>104500</v>
      </c>
      <c r="W288" s="64">
        <v>80000</v>
      </c>
      <c r="X288" s="64">
        <v>88000</v>
      </c>
      <c r="Y288" s="64">
        <v>15000</v>
      </c>
      <c r="Z288" s="64">
        <v>16500</v>
      </c>
      <c r="AA288" s="61">
        <v>44606</v>
      </c>
      <c r="AB288" s="61">
        <v>44607</v>
      </c>
      <c r="AC288" s="61">
        <v>44607</v>
      </c>
      <c r="AD288" s="60">
        <v>0</v>
      </c>
      <c r="AG288" s="60">
        <v>0</v>
      </c>
      <c r="AJ288" s="60">
        <v>0</v>
      </c>
      <c r="AQ288" s="60" t="s">
        <v>1448</v>
      </c>
      <c r="AR288" s="61">
        <v>44554</v>
      </c>
      <c r="AS288" s="60">
        <v>6001974754</v>
      </c>
      <c r="AT288" s="61">
        <v>44554</v>
      </c>
      <c r="AU288" s="60" t="s">
        <v>1460</v>
      </c>
      <c r="AV288" s="61">
        <v>44620</v>
      </c>
      <c r="AW288" s="91">
        <v>44620</v>
      </c>
      <c r="AX288" s="91">
        <v>44640</v>
      </c>
      <c r="AY288" s="99">
        <v>91200</v>
      </c>
      <c r="AZ288" s="99">
        <f>ROUNDDOWN(AY288+(AY288*MASTER!$A$2/100),0)</f>
        <v>100320</v>
      </c>
      <c r="BA288" s="60" t="s">
        <v>318</v>
      </c>
      <c r="BB288" s="64">
        <v>45000</v>
      </c>
      <c r="BC288" s="64">
        <v>49500</v>
      </c>
      <c r="BD288" s="60" t="s">
        <v>2044</v>
      </c>
      <c r="BG288" s="64">
        <v>0</v>
      </c>
      <c r="BI288" s="60" t="s">
        <v>748</v>
      </c>
      <c r="BJ288" s="64">
        <v>9750</v>
      </c>
      <c r="BK288" s="64">
        <v>10725</v>
      </c>
      <c r="BL288" s="60" t="s">
        <v>2044</v>
      </c>
      <c r="BS288" s="64">
        <v>0</v>
      </c>
      <c r="BV288" s="65">
        <v>88000</v>
      </c>
      <c r="BW288" s="65">
        <v>60225</v>
      </c>
      <c r="BX288" s="65">
        <v>44531</v>
      </c>
      <c r="BY288" s="65">
        <v>27775</v>
      </c>
      <c r="BZ288" s="81">
        <v>31.5625</v>
      </c>
    </row>
    <row r="289" spans="1:78" x14ac:dyDescent="0.15">
      <c r="A289" s="60">
        <v>2</v>
      </c>
      <c r="B289" s="61">
        <v>44602</v>
      </c>
      <c r="C289" s="61">
        <v>44620</v>
      </c>
      <c r="D289" s="61">
        <v>44635</v>
      </c>
      <c r="E289" s="61">
        <v>44624</v>
      </c>
      <c r="F289" s="61">
        <v>44623</v>
      </c>
      <c r="G289" s="61">
        <v>44621</v>
      </c>
      <c r="H289" s="61">
        <v>44619</v>
      </c>
      <c r="I289" s="60" t="s">
        <v>511</v>
      </c>
      <c r="J289" s="60">
        <v>1</v>
      </c>
      <c r="L289" s="60">
        <v>0</v>
      </c>
      <c r="M289" s="61">
        <v>44531</v>
      </c>
      <c r="O289" s="62" t="s">
        <v>331</v>
      </c>
      <c r="P289" s="60" t="s">
        <v>26</v>
      </c>
      <c r="Q289" s="62" t="s">
        <v>125</v>
      </c>
      <c r="R289" s="62" t="s">
        <v>2251</v>
      </c>
      <c r="S289" s="63" t="s">
        <v>2252</v>
      </c>
      <c r="T289" s="63" t="s">
        <v>485</v>
      </c>
      <c r="U289" s="64">
        <v>95000</v>
      </c>
      <c r="V289" s="64">
        <v>104500</v>
      </c>
      <c r="W289" s="64">
        <v>80000</v>
      </c>
      <c r="X289" s="64">
        <v>88000</v>
      </c>
      <c r="Y289" s="64">
        <v>15000</v>
      </c>
      <c r="Z289" s="64">
        <v>16500</v>
      </c>
      <c r="AA289" s="61">
        <v>44615</v>
      </c>
      <c r="AB289" s="61">
        <v>44616</v>
      </c>
      <c r="AC289" s="61">
        <v>44616</v>
      </c>
      <c r="AD289" s="60">
        <v>0</v>
      </c>
      <c r="AG289" s="60">
        <v>0</v>
      </c>
      <c r="AJ289" s="60">
        <v>0</v>
      </c>
      <c r="AQ289" s="60" t="s">
        <v>1448</v>
      </c>
      <c r="AR289" s="61">
        <v>44554</v>
      </c>
      <c r="AS289" s="60">
        <v>6001974754</v>
      </c>
      <c r="AT289" s="61">
        <v>44554</v>
      </c>
      <c r="AU289" s="60" t="s">
        <v>1460</v>
      </c>
      <c r="AV289" s="61">
        <v>44620</v>
      </c>
      <c r="AW289" s="91">
        <v>44620</v>
      </c>
      <c r="AX289" s="91">
        <v>44640</v>
      </c>
      <c r="AY289" s="99">
        <v>91200</v>
      </c>
      <c r="AZ289" s="99">
        <f>ROUNDDOWN(AY289+(AY289*MASTER!$A$2/100),0)</f>
        <v>100320</v>
      </c>
      <c r="BA289" s="60" t="s">
        <v>318</v>
      </c>
      <c r="BB289" s="64">
        <v>24000</v>
      </c>
      <c r="BC289" s="64">
        <v>26400</v>
      </c>
      <c r="BD289" s="60" t="s">
        <v>2044</v>
      </c>
      <c r="BG289" s="64">
        <v>0</v>
      </c>
      <c r="BI289" s="60" t="s">
        <v>748</v>
      </c>
      <c r="BJ289" s="64">
        <v>9750</v>
      </c>
      <c r="BK289" s="64">
        <v>10725</v>
      </c>
      <c r="BL289" s="60" t="s">
        <v>2044</v>
      </c>
      <c r="BS289" s="64">
        <v>0</v>
      </c>
      <c r="BV289" s="65">
        <v>88000</v>
      </c>
      <c r="BW289" s="65">
        <v>37125</v>
      </c>
      <c r="BX289" s="65">
        <v>44531</v>
      </c>
      <c r="BY289" s="65">
        <v>50875</v>
      </c>
      <c r="BZ289" s="81">
        <v>57.8125</v>
      </c>
    </row>
    <row r="290" spans="1:78" x14ac:dyDescent="0.15">
      <c r="A290" s="60">
        <v>2</v>
      </c>
      <c r="B290" s="61">
        <v>44602</v>
      </c>
      <c r="C290" s="61">
        <v>44620</v>
      </c>
      <c r="D290" s="61">
        <v>44635</v>
      </c>
      <c r="E290" s="61">
        <v>44618</v>
      </c>
      <c r="F290" s="61">
        <v>44621</v>
      </c>
      <c r="G290" s="61">
        <v>44616</v>
      </c>
      <c r="H290" s="61">
        <v>44617</v>
      </c>
      <c r="I290" s="60" t="s">
        <v>511</v>
      </c>
      <c r="J290" s="60">
        <v>1</v>
      </c>
      <c r="L290" s="60">
        <v>0</v>
      </c>
      <c r="M290" s="61">
        <v>44531</v>
      </c>
      <c r="O290" s="62" t="s">
        <v>331</v>
      </c>
      <c r="P290" s="60" t="s">
        <v>26</v>
      </c>
      <c r="Q290" s="62" t="s">
        <v>125</v>
      </c>
      <c r="R290" s="62" t="s">
        <v>2250</v>
      </c>
      <c r="S290" s="63" t="s">
        <v>866</v>
      </c>
      <c r="T290" s="63" t="s">
        <v>485</v>
      </c>
      <c r="U290" s="64">
        <v>95000</v>
      </c>
      <c r="V290" s="64">
        <v>104500</v>
      </c>
      <c r="W290" s="64">
        <v>80000</v>
      </c>
      <c r="X290" s="64">
        <v>88000</v>
      </c>
      <c r="Y290" s="64">
        <v>15000</v>
      </c>
      <c r="Z290" s="64">
        <v>16500</v>
      </c>
      <c r="AA290" s="61">
        <v>44613</v>
      </c>
      <c r="AB290" s="61">
        <v>44614</v>
      </c>
      <c r="AC290" s="61">
        <v>44614</v>
      </c>
      <c r="AD290" s="60">
        <v>0</v>
      </c>
      <c r="AG290" s="60">
        <v>0</v>
      </c>
      <c r="AJ290" s="60">
        <v>0</v>
      </c>
      <c r="AQ290" s="60" t="s">
        <v>1448</v>
      </c>
      <c r="AR290" s="61">
        <v>44554</v>
      </c>
      <c r="AS290" s="60">
        <v>6001974754</v>
      </c>
      <c r="AT290" s="61">
        <v>44554</v>
      </c>
      <c r="AU290" s="60" t="s">
        <v>1460</v>
      </c>
      <c r="AV290" s="61">
        <v>44620</v>
      </c>
      <c r="AW290" s="91">
        <v>44620</v>
      </c>
      <c r="AX290" s="91">
        <v>44630</v>
      </c>
      <c r="AY290" s="99">
        <v>91200</v>
      </c>
      <c r="AZ290" s="99">
        <f>ROUNDDOWN(AY290+(AY290*MASTER!$A$2/100),0)</f>
        <v>100320</v>
      </c>
      <c r="BA290" s="60" t="s">
        <v>318</v>
      </c>
      <c r="BB290" s="64">
        <v>54000</v>
      </c>
      <c r="BC290" s="64">
        <v>59400</v>
      </c>
      <c r="BD290" s="60" t="s">
        <v>2044</v>
      </c>
      <c r="BG290" s="64">
        <v>0</v>
      </c>
      <c r="BI290" s="60" t="s">
        <v>748</v>
      </c>
      <c r="BJ290" s="64">
        <v>9750</v>
      </c>
      <c r="BK290" s="64">
        <v>10725</v>
      </c>
      <c r="BL290" s="60" t="s">
        <v>2044</v>
      </c>
      <c r="BS290" s="64">
        <v>0</v>
      </c>
      <c r="BV290" s="65">
        <v>88000</v>
      </c>
      <c r="BW290" s="65">
        <v>70125</v>
      </c>
      <c r="BX290" s="65">
        <v>44531</v>
      </c>
      <c r="BY290" s="65">
        <v>17875</v>
      </c>
      <c r="BZ290" s="81">
        <v>20.3125</v>
      </c>
    </row>
    <row r="291" spans="1:78" x14ac:dyDescent="0.15">
      <c r="A291" s="60">
        <v>2</v>
      </c>
      <c r="B291" s="61">
        <v>44602</v>
      </c>
      <c r="C291" s="61">
        <v>44620</v>
      </c>
      <c r="D291" s="61">
        <v>44635</v>
      </c>
      <c r="E291" s="61">
        <v>44618</v>
      </c>
      <c r="F291" s="61">
        <v>44621</v>
      </c>
      <c r="G291" s="61">
        <v>44614</v>
      </c>
      <c r="H291" s="61">
        <v>44617</v>
      </c>
      <c r="I291" s="60" t="s">
        <v>511</v>
      </c>
      <c r="J291" s="60">
        <v>1</v>
      </c>
      <c r="L291" s="60">
        <v>0</v>
      </c>
      <c r="M291" s="61">
        <v>44531</v>
      </c>
      <c r="O291" s="62" t="s">
        <v>331</v>
      </c>
      <c r="P291" s="60" t="s">
        <v>26</v>
      </c>
      <c r="Q291" s="62" t="s">
        <v>125</v>
      </c>
      <c r="R291" s="62" t="s">
        <v>2289</v>
      </c>
      <c r="S291" s="63" t="s">
        <v>2290</v>
      </c>
      <c r="T291" s="63" t="s">
        <v>485</v>
      </c>
      <c r="U291" s="64">
        <v>95000</v>
      </c>
      <c r="V291" s="64">
        <v>104500</v>
      </c>
      <c r="W291" s="64">
        <v>80000</v>
      </c>
      <c r="X291" s="64">
        <v>88000</v>
      </c>
      <c r="Y291" s="64">
        <v>15000</v>
      </c>
      <c r="Z291" s="64">
        <v>16500</v>
      </c>
      <c r="AA291" s="61">
        <v>44613</v>
      </c>
      <c r="AB291" s="61">
        <v>44614</v>
      </c>
      <c r="AC291" s="61">
        <v>44614</v>
      </c>
      <c r="AD291" s="60">
        <v>0</v>
      </c>
      <c r="AG291" s="60">
        <v>0</v>
      </c>
      <c r="AJ291" s="60">
        <v>0</v>
      </c>
      <c r="AQ291" s="60" t="s">
        <v>1448</v>
      </c>
      <c r="AR291" s="61">
        <v>44554</v>
      </c>
      <c r="AS291" s="60">
        <v>6001974754</v>
      </c>
      <c r="AT291" s="61">
        <v>44554</v>
      </c>
      <c r="AU291" s="60" t="s">
        <v>1460</v>
      </c>
      <c r="AV291" s="61">
        <v>44620</v>
      </c>
      <c r="AW291" s="91">
        <v>44620</v>
      </c>
      <c r="AX291" s="91">
        <v>44640</v>
      </c>
      <c r="AY291" s="99">
        <v>91200</v>
      </c>
      <c r="AZ291" s="99">
        <f>ROUNDDOWN(AY291+(AY291*MASTER!$A$2/100),0)</f>
        <v>100320</v>
      </c>
      <c r="BA291" s="60" t="s">
        <v>318</v>
      </c>
      <c r="BB291" s="64">
        <v>43000</v>
      </c>
      <c r="BC291" s="64">
        <v>47300</v>
      </c>
      <c r="BD291" s="60" t="s">
        <v>2044</v>
      </c>
      <c r="BG291" s="64">
        <v>0</v>
      </c>
      <c r="BI291" s="60" t="s">
        <v>748</v>
      </c>
      <c r="BJ291" s="64">
        <v>9750</v>
      </c>
      <c r="BK291" s="64">
        <v>10725</v>
      </c>
      <c r="BL291" s="60" t="s">
        <v>2044</v>
      </c>
      <c r="BS291" s="64">
        <v>0</v>
      </c>
      <c r="BV291" s="65">
        <v>88000</v>
      </c>
      <c r="BW291" s="65">
        <v>58025</v>
      </c>
      <c r="BX291" s="65">
        <v>44531</v>
      </c>
      <c r="BY291" s="65">
        <v>29975</v>
      </c>
      <c r="BZ291" s="81">
        <v>34.0625</v>
      </c>
    </row>
    <row r="292" spans="1:78" x14ac:dyDescent="0.15">
      <c r="A292" s="60">
        <v>2</v>
      </c>
      <c r="B292" s="61">
        <v>44602</v>
      </c>
      <c r="C292" s="61">
        <v>44620</v>
      </c>
      <c r="D292" s="61">
        <v>44635</v>
      </c>
      <c r="E292" s="61">
        <v>44624</v>
      </c>
      <c r="F292" s="61">
        <v>44626</v>
      </c>
      <c r="G292" s="61">
        <v>44623</v>
      </c>
      <c r="H292" s="61">
        <v>44622</v>
      </c>
      <c r="I292" s="60" t="s">
        <v>511</v>
      </c>
      <c r="J292" s="60">
        <v>1</v>
      </c>
      <c r="L292" s="60">
        <v>0</v>
      </c>
      <c r="M292" s="61">
        <v>44531</v>
      </c>
      <c r="O292" s="62" t="s">
        <v>331</v>
      </c>
      <c r="P292" s="60" t="s">
        <v>26</v>
      </c>
      <c r="Q292" s="62" t="s">
        <v>125</v>
      </c>
      <c r="R292" s="62" t="s">
        <v>2253</v>
      </c>
      <c r="S292" s="63" t="s">
        <v>830</v>
      </c>
      <c r="T292" s="63" t="s">
        <v>485</v>
      </c>
      <c r="U292" s="64">
        <v>95000</v>
      </c>
      <c r="V292" s="64">
        <v>104500</v>
      </c>
      <c r="W292" s="64">
        <v>80000</v>
      </c>
      <c r="X292" s="64">
        <v>88000</v>
      </c>
      <c r="Y292" s="64">
        <v>15000</v>
      </c>
      <c r="Z292" s="64">
        <v>16500</v>
      </c>
      <c r="AA292" s="61">
        <v>44618</v>
      </c>
      <c r="AB292" s="61">
        <v>44619</v>
      </c>
      <c r="AC292" s="61">
        <v>44619</v>
      </c>
      <c r="AD292" s="60">
        <v>0</v>
      </c>
      <c r="AG292" s="60">
        <v>0</v>
      </c>
      <c r="AJ292" s="60">
        <v>0</v>
      </c>
      <c r="AQ292" s="60" t="s">
        <v>1448</v>
      </c>
      <c r="AR292" s="61">
        <v>44554</v>
      </c>
      <c r="AS292" s="60">
        <v>6001974754</v>
      </c>
      <c r="AT292" s="61">
        <v>44554</v>
      </c>
      <c r="AU292" s="60" t="s">
        <v>1460</v>
      </c>
      <c r="AV292" s="61">
        <v>44620</v>
      </c>
      <c r="AW292" s="91">
        <v>44620</v>
      </c>
      <c r="AX292" s="91">
        <v>44640</v>
      </c>
      <c r="AY292" s="99">
        <v>91200</v>
      </c>
      <c r="AZ292" s="99">
        <f>ROUNDDOWN(AY292+(AY292*MASTER!$A$2/100),0)</f>
        <v>100320</v>
      </c>
      <c r="BA292" s="60" t="s">
        <v>318</v>
      </c>
      <c r="BB292" s="64">
        <v>36000</v>
      </c>
      <c r="BC292" s="64">
        <v>39600</v>
      </c>
      <c r="BD292" s="60" t="s">
        <v>2044</v>
      </c>
      <c r="BG292" s="64">
        <v>0</v>
      </c>
      <c r="BI292" s="60" t="s">
        <v>748</v>
      </c>
      <c r="BJ292" s="64">
        <v>9750</v>
      </c>
      <c r="BK292" s="64">
        <v>10725</v>
      </c>
      <c r="BL292" s="60" t="s">
        <v>2044</v>
      </c>
      <c r="BS292" s="64">
        <v>0</v>
      </c>
      <c r="BV292" s="65">
        <v>88000</v>
      </c>
      <c r="BW292" s="65">
        <v>50325</v>
      </c>
      <c r="BX292" s="65">
        <v>44531</v>
      </c>
      <c r="BY292" s="65">
        <v>37675</v>
      </c>
      <c r="BZ292" s="81">
        <v>42.8125</v>
      </c>
    </row>
    <row r="293" spans="1:78" x14ac:dyDescent="0.15">
      <c r="A293" s="60">
        <v>2</v>
      </c>
      <c r="B293" s="61">
        <v>44602</v>
      </c>
      <c r="C293" s="61">
        <v>44620</v>
      </c>
      <c r="D293" s="61">
        <v>44635</v>
      </c>
      <c r="E293" s="61">
        <v>44624</v>
      </c>
      <c r="F293" s="61">
        <v>44626</v>
      </c>
      <c r="H293" s="61">
        <v>44622</v>
      </c>
      <c r="I293" s="60" t="s">
        <v>511</v>
      </c>
      <c r="J293" s="60">
        <v>1</v>
      </c>
      <c r="L293" s="60">
        <v>0</v>
      </c>
      <c r="M293" s="61">
        <v>44531</v>
      </c>
      <c r="O293" s="62" t="s">
        <v>331</v>
      </c>
      <c r="P293" s="60" t="s">
        <v>26</v>
      </c>
      <c r="Q293" s="62" t="s">
        <v>125</v>
      </c>
      <c r="R293" s="62" t="s">
        <v>2254</v>
      </c>
      <c r="S293" s="63" t="s">
        <v>2255</v>
      </c>
      <c r="T293" s="63" t="s">
        <v>485</v>
      </c>
      <c r="U293" s="64">
        <v>95000</v>
      </c>
      <c r="V293" s="64">
        <v>104500</v>
      </c>
      <c r="W293" s="64">
        <v>80000</v>
      </c>
      <c r="X293" s="64">
        <v>88000</v>
      </c>
      <c r="Y293" s="64">
        <v>15000</v>
      </c>
      <c r="Z293" s="64">
        <v>16500</v>
      </c>
      <c r="AA293" s="61">
        <v>44618</v>
      </c>
      <c r="AB293" s="61">
        <v>44619</v>
      </c>
      <c r="AC293" s="61">
        <v>44619</v>
      </c>
      <c r="AD293" s="60">
        <v>0</v>
      </c>
      <c r="AG293" s="60">
        <v>0</v>
      </c>
      <c r="AJ293" s="60">
        <v>0</v>
      </c>
      <c r="AQ293" s="60" t="s">
        <v>1447</v>
      </c>
      <c r="AR293" s="61">
        <v>44554</v>
      </c>
      <c r="AS293" s="60">
        <v>6001974754</v>
      </c>
      <c r="AT293" s="61">
        <v>44554</v>
      </c>
      <c r="AU293" s="60" t="s">
        <v>1460</v>
      </c>
      <c r="AV293" s="61">
        <v>44620</v>
      </c>
      <c r="AW293" s="91">
        <v>44620</v>
      </c>
      <c r="AX293" s="91">
        <v>44640</v>
      </c>
      <c r="AY293" s="99">
        <v>91200</v>
      </c>
      <c r="AZ293" s="99">
        <f>ROUNDDOWN(AY293+(AY293*MASTER!$A$2/100),0)</f>
        <v>100320</v>
      </c>
      <c r="BA293" s="60" t="s">
        <v>318</v>
      </c>
      <c r="BB293" s="64">
        <v>36000</v>
      </c>
      <c r="BC293" s="64">
        <v>39600</v>
      </c>
      <c r="BD293" s="60" t="s">
        <v>2044</v>
      </c>
      <c r="BG293" s="64">
        <v>0</v>
      </c>
      <c r="BI293" s="60" t="s">
        <v>748</v>
      </c>
      <c r="BJ293" s="64">
        <v>9750</v>
      </c>
      <c r="BK293" s="64">
        <v>10725</v>
      </c>
      <c r="BL293" s="60" t="s">
        <v>2044</v>
      </c>
      <c r="BS293" s="64">
        <v>0</v>
      </c>
      <c r="BV293" s="65">
        <v>88000</v>
      </c>
      <c r="BW293" s="65">
        <v>50325</v>
      </c>
      <c r="BX293" s="65">
        <v>44531</v>
      </c>
      <c r="BY293" s="65">
        <v>37675</v>
      </c>
      <c r="BZ293" s="81">
        <v>42.8125</v>
      </c>
    </row>
    <row r="294" spans="1:78" x14ac:dyDescent="0.15">
      <c r="A294" s="60">
        <v>2</v>
      </c>
      <c r="B294" s="61">
        <v>44602</v>
      </c>
      <c r="C294" s="61">
        <v>44620</v>
      </c>
      <c r="D294" s="61">
        <v>44635</v>
      </c>
      <c r="E294" s="61">
        <v>44618</v>
      </c>
      <c r="F294" s="61">
        <v>44615</v>
      </c>
      <c r="G294" s="61">
        <v>44608</v>
      </c>
      <c r="H294" s="61">
        <v>44611</v>
      </c>
      <c r="I294" s="60" t="s">
        <v>511</v>
      </c>
      <c r="J294" s="60">
        <v>1</v>
      </c>
      <c r="L294" s="60">
        <v>0</v>
      </c>
      <c r="M294" s="61">
        <v>44531</v>
      </c>
      <c r="O294" s="62" t="s">
        <v>331</v>
      </c>
      <c r="P294" s="60" t="s">
        <v>26</v>
      </c>
      <c r="Q294" s="62" t="s">
        <v>125</v>
      </c>
      <c r="R294" s="62" t="s">
        <v>2288</v>
      </c>
      <c r="S294" s="63" t="s">
        <v>846</v>
      </c>
      <c r="T294" s="63" t="s">
        <v>485</v>
      </c>
      <c r="U294" s="64">
        <v>95000</v>
      </c>
      <c r="V294" s="64">
        <v>104500</v>
      </c>
      <c r="W294" s="64">
        <v>80000</v>
      </c>
      <c r="X294" s="64">
        <v>88000</v>
      </c>
      <c r="Y294" s="64">
        <v>15000</v>
      </c>
      <c r="Z294" s="64">
        <v>16500</v>
      </c>
      <c r="AA294" s="61">
        <v>44607</v>
      </c>
      <c r="AB294" s="61">
        <v>44608</v>
      </c>
      <c r="AC294" s="61">
        <v>44608</v>
      </c>
      <c r="AD294" s="60">
        <v>0</v>
      </c>
      <c r="AG294" s="60">
        <v>0</v>
      </c>
      <c r="AJ294" s="60">
        <v>0</v>
      </c>
      <c r="AQ294" s="60" t="s">
        <v>1447</v>
      </c>
      <c r="AR294" s="61">
        <v>44554</v>
      </c>
      <c r="AS294" s="60">
        <v>6001974754</v>
      </c>
      <c r="AT294" s="61">
        <v>44554</v>
      </c>
      <c r="AU294" s="60" t="s">
        <v>1460</v>
      </c>
      <c r="AV294" s="61">
        <v>44620</v>
      </c>
      <c r="AW294" s="91">
        <v>44620</v>
      </c>
      <c r="AX294" s="91">
        <v>44640</v>
      </c>
      <c r="AY294" s="99">
        <v>91200</v>
      </c>
      <c r="AZ294" s="99">
        <f>ROUNDDOWN(AY294+(AY294*MASTER!$A$2/100),0)</f>
        <v>100320</v>
      </c>
      <c r="BA294" s="60" t="s">
        <v>319</v>
      </c>
      <c r="BB294" s="64">
        <v>36000</v>
      </c>
      <c r="BC294" s="64">
        <v>39600</v>
      </c>
      <c r="BD294" s="60" t="s">
        <v>2044</v>
      </c>
      <c r="BG294" s="64">
        <v>0</v>
      </c>
      <c r="BI294" s="60" t="s">
        <v>748</v>
      </c>
      <c r="BJ294" s="64">
        <v>9750</v>
      </c>
      <c r="BK294" s="64">
        <v>10725</v>
      </c>
      <c r="BL294" s="60" t="s">
        <v>2044</v>
      </c>
      <c r="BS294" s="64">
        <v>0</v>
      </c>
      <c r="BV294" s="65">
        <v>88000</v>
      </c>
      <c r="BW294" s="65">
        <v>50325</v>
      </c>
      <c r="BX294" s="65">
        <v>44531</v>
      </c>
      <c r="BY294" s="65">
        <v>37675</v>
      </c>
      <c r="BZ294" s="81">
        <v>42.8125</v>
      </c>
    </row>
    <row r="295" spans="1:78" x14ac:dyDescent="0.15">
      <c r="A295" s="60">
        <v>2</v>
      </c>
      <c r="B295" s="61">
        <v>44572</v>
      </c>
      <c r="C295" s="61">
        <v>44592</v>
      </c>
      <c r="D295" s="61">
        <v>44604</v>
      </c>
      <c r="E295" s="61">
        <v>44588</v>
      </c>
      <c r="F295" s="61">
        <v>44594</v>
      </c>
      <c r="G295" s="61">
        <v>44588</v>
      </c>
      <c r="H295" s="61">
        <v>44590</v>
      </c>
      <c r="I295" s="60" t="s">
        <v>511</v>
      </c>
      <c r="J295" s="60">
        <v>1</v>
      </c>
      <c r="L295" s="60">
        <v>0</v>
      </c>
      <c r="M295" s="61">
        <v>44531</v>
      </c>
      <c r="O295" s="62" t="s">
        <v>331</v>
      </c>
      <c r="P295" s="60" t="s">
        <v>26</v>
      </c>
      <c r="Q295" s="62" t="s">
        <v>125</v>
      </c>
      <c r="R295" s="62" t="s">
        <v>1719</v>
      </c>
      <c r="S295" s="63" t="s">
        <v>1066</v>
      </c>
      <c r="T295" s="63" t="s">
        <v>485</v>
      </c>
      <c r="U295" s="64">
        <v>95000</v>
      </c>
      <c r="V295" s="64">
        <v>104500</v>
      </c>
      <c r="W295" s="64">
        <v>80000</v>
      </c>
      <c r="X295" s="64">
        <v>88000</v>
      </c>
      <c r="Y295" s="64">
        <v>15000</v>
      </c>
      <c r="Z295" s="64">
        <v>16500</v>
      </c>
      <c r="AA295" s="61">
        <v>44584</v>
      </c>
      <c r="AB295" s="61">
        <v>44587</v>
      </c>
      <c r="AC295" s="61">
        <v>44587</v>
      </c>
      <c r="AD295" s="60">
        <v>0</v>
      </c>
      <c r="AG295" s="60">
        <v>0</v>
      </c>
      <c r="AJ295" s="60">
        <v>0</v>
      </c>
      <c r="AQ295" s="60" t="s">
        <v>1452</v>
      </c>
      <c r="AR295" s="61">
        <v>44554</v>
      </c>
      <c r="AS295" s="60">
        <v>6001974755</v>
      </c>
      <c r="AT295" s="61">
        <v>44554</v>
      </c>
      <c r="AU295" s="60" t="s">
        <v>1459</v>
      </c>
      <c r="AV295" s="61">
        <v>44592</v>
      </c>
      <c r="AW295" s="91">
        <v>44592</v>
      </c>
      <c r="AX295" s="91">
        <v>44612</v>
      </c>
      <c r="AY295" s="99">
        <v>91200</v>
      </c>
      <c r="AZ295" s="99">
        <f>ROUNDDOWN(AY295+(AY295*MASTER!$A$2/100),0)</f>
        <v>100320</v>
      </c>
      <c r="BA295" s="60" t="s">
        <v>319</v>
      </c>
      <c r="BB295" s="64">
        <v>21000</v>
      </c>
      <c r="BC295" s="64">
        <v>23100</v>
      </c>
      <c r="BD295" s="60" t="s">
        <v>1614</v>
      </c>
      <c r="BG295" s="64">
        <v>0</v>
      </c>
      <c r="BI295" s="60" t="s">
        <v>748</v>
      </c>
      <c r="BJ295" s="64">
        <v>9750</v>
      </c>
      <c r="BK295" s="64">
        <v>10725</v>
      </c>
      <c r="BL295" s="60" t="s">
        <v>1614</v>
      </c>
      <c r="BS295" s="64">
        <v>0</v>
      </c>
      <c r="BV295" s="65">
        <v>88000</v>
      </c>
      <c r="BW295" s="65">
        <v>33825</v>
      </c>
      <c r="BX295" s="65">
        <v>44531</v>
      </c>
      <c r="BY295" s="65">
        <v>54175</v>
      </c>
      <c r="BZ295" s="81">
        <v>61.5625</v>
      </c>
    </row>
    <row r="296" spans="1:78" x14ac:dyDescent="0.15">
      <c r="A296" s="60">
        <v>2</v>
      </c>
      <c r="B296" s="61">
        <v>44596</v>
      </c>
      <c r="C296" s="61">
        <v>44620</v>
      </c>
      <c r="D296" s="61">
        <v>44635</v>
      </c>
      <c r="E296" s="61">
        <v>44618</v>
      </c>
      <c r="F296" s="61">
        <v>44616</v>
      </c>
      <c r="G296" s="61">
        <v>44609</v>
      </c>
      <c r="H296" s="61">
        <v>44612</v>
      </c>
      <c r="I296" s="60" t="s">
        <v>511</v>
      </c>
      <c r="J296" s="60">
        <v>1</v>
      </c>
      <c r="L296" s="60">
        <v>0</v>
      </c>
      <c r="M296" s="61">
        <v>44531</v>
      </c>
      <c r="O296" s="62" t="s">
        <v>331</v>
      </c>
      <c r="P296" s="60" t="s">
        <v>26</v>
      </c>
      <c r="Q296" s="62" t="s">
        <v>125</v>
      </c>
      <c r="R296" s="62" t="s">
        <v>2175</v>
      </c>
      <c r="S296" s="63" t="s">
        <v>1067</v>
      </c>
      <c r="T296" s="63" t="s">
        <v>485</v>
      </c>
      <c r="U296" s="64">
        <v>95000</v>
      </c>
      <c r="V296" s="64">
        <v>104500</v>
      </c>
      <c r="W296" s="64">
        <v>80000</v>
      </c>
      <c r="X296" s="64">
        <v>88000</v>
      </c>
      <c r="Y296" s="64">
        <v>15000</v>
      </c>
      <c r="Z296" s="64">
        <v>16500</v>
      </c>
      <c r="AA296" s="61">
        <v>44608</v>
      </c>
      <c r="AB296" s="61">
        <v>44609</v>
      </c>
      <c r="AC296" s="61">
        <v>44609</v>
      </c>
      <c r="AD296" s="60">
        <v>0</v>
      </c>
      <c r="AG296" s="60">
        <v>0</v>
      </c>
      <c r="AJ296" s="60">
        <v>0</v>
      </c>
      <c r="AQ296" s="60" t="s">
        <v>1447</v>
      </c>
      <c r="AR296" s="61">
        <v>44554</v>
      </c>
      <c r="AS296" s="60">
        <v>6001974754</v>
      </c>
      <c r="AT296" s="61">
        <v>44554</v>
      </c>
      <c r="AU296" s="60" t="s">
        <v>1460</v>
      </c>
      <c r="AV296" s="61">
        <v>44620</v>
      </c>
      <c r="AW296" s="91">
        <v>44620</v>
      </c>
      <c r="AX296" s="91">
        <v>44640</v>
      </c>
      <c r="AY296" s="99">
        <v>91200</v>
      </c>
      <c r="AZ296" s="99">
        <f>ROUNDDOWN(AY296+(AY296*MASTER!$A$2/100),0)</f>
        <v>100320</v>
      </c>
      <c r="BA296" s="60" t="s">
        <v>319</v>
      </c>
      <c r="BB296" s="64">
        <v>23000</v>
      </c>
      <c r="BC296" s="64">
        <v>25300</v>
      </c>
      <c r="BD296" s="60" t="s">
        <v>2044</v>
      </c>
      <c r="BG296" s="64">
        <v>0</v>
      </c>
      <c r="BI296" s="60" t="s">
        <v>748</v>
      </c>
      <c r="BJ296" s="64">
        <v>9750</v>
      </c>
      <c r="BK296" s="64">
        <v>10725</v>
      </c>
      <c r="BL296" s="60" t="s">
        <v>2044</v>
      </c>
      <c r="BS296" s="64">
        <v>0</v>
      </c>
      <c r="BV296" s="65">
        <v>88000</v>
      </c>
      <c r="BW296" s="65">
        <v>36025</v>
      </c>
      <c r="BX296" s="65">
        <v>44531</v>
      </c>
      <c r="BY296" s="65">
        <v>51975</v>
      </c>
      <c r="BZ296" s="81">
        <v>59.062499999999993</v>
      </c>
    </row>
    <row r="297" spans="1:78" x14ac:dyDescent="0.15">
      <c r="A297" s="60">
        <v>2</v>
      </c>
      <c r="B297" s="61">
        <v>44602</v>
      </c>
      <c r="C297" s="61">
        <v>44620</v>
      </c>
      <c r="D297" s="61">
        <v>44624</v>
      </c>
      <c r="E297" s="61">
        <v>44618</v>
      </c>
      <c r="F297" s="61">
        <v>44618</v>
      </c>
      <c r="G297" s="61">
        <v>44613</v>
      </c>
      <c r="H297" s="61">
        <v>44614</v>
      </c>
      <c r="I297" s="60" t="s">
        <v>511</v>
      </c>
      <c r="J297" s="60">
        <v>1</v>
      </c>
      <c r="L297" s="60">
        <v>0</v>
      </c>
      <c r="M297" s="61">
        <v>44531</v>
      </c>
      <c r="O297" s="62" t="s">
        <v>331</v>
      </c>
      <c r="P297" s="60" t="s">
        <v>26</v>
      </c>
      <c r="Q297" s="62" t="s">
        <v>125</v>
      </c>
      <c r="R297" s="62" t="s">
        <v>2284</v>
      </c>
      <c r="S297" s="63" t="s">
        <v>2285</v>
      </c>
      <c r="T297" s="63" t="s">
        <v>485</v>
      </c>
      <c r="U297" s="64">
        <v>95000</v>
      </c>
      <c r="V297" s="64">
        <v>104500</v>
      </c>
      <c r="W297" s="64">
        <v>80000</v>
      </c>
      <c r="X297" s="64">
        <v>88000</v>
      </c>
      <c r="Y297" s="64">
        <v>15000</v>
      </c>
      <c r="Z297" s="64">
        <v>16500</v>
      </c>
      <c r="AA297" s="61">
        <v>44610</v>
      </c>
      <c r="AB297" s="61">
        <v>44611</v>
      </c>
      <c r="AC297" s="61">
        <v>44611</v>
      </c>
      <c r="AD297" s="60">
        <v>0</v>
      </c>
      <c r="AG297" s="60">
        <v>0</v>
      </c>
      <c r="AJ297" s="60">
        <v>0</v>
      </c>
      <c r="AQ297" s="60" t="s">
        <v>1446</v>
      </c>
      <c r="AR297" s="61">
        <v>44554</v>
      </c>
      <c r="AS297" s="60">
        <v>6001974754</v>
      </c>
      <c r="AT297" s="61">
        <v>44554</v>
      </c>
      <c r="AU297" s="60" t="s">
        <v>1460</v>
      </c>
      <c r="AV297" s="61">
        <v>44620</v>
      </c>
      <c r="AW297" s="91">
        <v>44620</v>
      </c>
      <c r="AX297" s="91">
        <v>44640</v>
      </c>
      <c r="AY297" s="99">
        <v>91200</v>
      </c>
      <c r="AZ297" s="99">
        <f>ROUNDDOWN(AY297+(AY297*MASTER!$A$2/100),0)</f>
        <v>100320</v>
      </c>
      <c r="BA297" s="60" t="s">
        <v>582</v>
      </c>
      <c r="BB297" s="64">
        <v>25000</v>
      </c>
      <c r="BC297" s="64">
        <v>27500</v>
      </c>
      <c r="BD297" s="60" t="s">
        <v>2044</v>
      </c>
      <c r="BG297" s="64">
        <v>0</v>
      </c>
      <c r="BI297" s="60" t="s">
        <v>748</v>
      </c>
      <c r="BJ297" s="64">
        <v>9750</v>
      </c>
      <c r="BK297" s="64">
        <v>10725</v>
      </c>
      <c r="BL297" s="60" t="s">
        <v>2044</v>
      </c>
      <c r="BS297" s="64">
        <v>0</v>
      </c>
      <c r="BV297" s="65">
        <v>88000</v>
      </c>
      <c r="BW297" s="65">
        <v>38225</v>
      </c>
      <c r="BX297" s="65">
        <v>44531</v>
      </c>
      <c r="BY297" s="65">
        <v>49775</v>
      </c>
      <c r="BZ297" s="81">
        <v>56.562500000000007</v>
      </c>
    </row>
    <row r="298" spans="1:78" x14ac:dyDescent="0.15">
      <c r="A298" s="60">
        <v>2</v>
      </c>
      <c r="B298" s="61">
        <v>44602</v>
      </c>
      <c r="C298" s="61">
        <v>44620</v>
      </c>
      <c r="D298" s="61">
        <v>44635</v>
      </c>
      <c r="E298" s="61">
        <v>44618</v>
      </c>
      <c r="F298" s="61">
        <v>44616</v>
      </c>
      <c r="G298" s="61">
        <v>44609</v>
      </c>
      <c r="H298" s="61">
        <v>44612</v>
      </c>
      <c r="I298" s="60" t="s">
        <v>511</v>
      </c>
      <c r="J298" s="60">
        <v>1</v>
      </c>
      <c r="L298" s="60">
        <v>0</v>
      </c>
      <c r="M298" s="61">
        <v>44531</v>
      </c>
      <c r="O298" s="62" t="s">
        <v>331</v>
      </c>
      <c r="P298" s="60" t="s">
        <v>26</v>
      </c>
      <c r="Q298" s="62" t="s">
        <v>125</v>
      </c>
      <c r="R298" s="62" t="s">
        <v>2287</v>
      </c>
      <c r="S298" s="63" t="s">
        <v>850</v>
      </c>
      <c r="T298" s="63" t="s">
        <v>485</v>
      </c>
      <c r="U298" s="64">
        <v>95000</v>
      </c>
      <c r="V298" s="64">
        <v>104500</v>
      </c>
      <c r="W298" s="64">
        <v>80000</v>
      </c>
      <c r="X298" s="64">
        <v>88000</v>
      </c>
      <c r="Y298" s="64">
        <v>15000</v>
      </c>
      <c r="Z298" s="64">
        <v>16500</v>
      </c>
      <c r="AA298" s="61">
        <v>44608</v>
      </c>
      <c r="AB298" s="61">
        <v>44609</v>
      </c>
      <c r="AC298" s="61">
        <v>44609</v>
      </c>
      <c r="AD298" s="60">
        <v>0</v>
      </c>
      <c r="AG298" s="60">
        <v>0</v>
      </c>
      <c r="AJ298" s="60">
        <v>0</v>
      </c>
      <c r="AQ298" s="60" t="s">
        <v>1447</v>
      </c>
      <c r="AR298" s="61">
        <v>44554</v>
      </c>
      <c r="AS298" s="60">
        <v>6001974754</v>
      </c>
      <c r="AT298" s="61">
        <v>44554</v>
      </c>
      <c r="AU298" s="60" t="s">
        <v>1460</v>
      </c>
      <c r="AV298" s="61">
        <v>44620</v>
      </c>
      <c r="AW298" s="91">
        <v>44620</v>
      </c>
      <c r="AX298" s="91">
        <v>44640</v>
      </c>
      <c r="AY298" s="99">
        <v>91200</v>
      </c>
      <c r="AZ298" s="99">
        <f>ROUNDDOWN(AY298+(AY298*MASTER!$A$2/100),0)</f>
        <v>100320</v>
      </c>
      <c r="BA298" s="60" t="s">
        <v>319</v>
      </c>
      <c r="BB298" s="64">
        <v>23000</v>
      </c>
      <c r="BC298" s="64">
        <v>25300</v>
      </c>
      <c r="BD298" s="60" t="s">
        <v>2044</v>
      </c>
      <c r="BG298" s="64">
        <v>0</v>
      </c>
      <c r="BI298" s="60" t="s">
        <v>748</v>
      </c>
      <c r="BJ298" s="64">
        <v>9750</v>
      </c>
      <c r="BK298" s="64">
        <v>10725</v>
      </c>
      <c r="BL298" s="60" t="s">
        <v>2044</v>
      </c>
      <c r="BS298" s="64">
        <v>0</v>
      </c>
      <c r="BV298" s="65">
        <v>88000</v>
      </c>
      <c r="BW298" s="65">
        <v>36025</v>
      </c>
      <c r="BX298" s="65">
        <v>44531</v>
      </c>
      <c r="BY298" s="65">
        <v>51975</v>
      </c>
      <c r="BZ298" s="81">
        <v>59.062499999999993</v>
      </c>
    </row>
    <row r="299" spans="1:78" x14ac:dyDescent="0.15">
      <c r="A299" s="60">
        <v>2</v>
      </c>
      <c r="B299" s="61">
        <v>44602</v>
      </c>
      <c r="C299" s="61">
        <v>44620</v>
      </c>
      <c r="D299" s="61">
        <v>44635</v>
      </c>
      <c r="E299" s="61">
        <v>44618</v>
      </c>
      <c r="F299" s="61">
        <v>44618</v>
      </c>
      <c r="G299" s="61">
        <v>44613</v>
      </c>
      <c r="H299" s="61">
        <v>44614</v>
      </c>
      <c r="I299" s="60" t="s">
        <v>511</v>
      </c>
      <c r="J299" s="60">
        <v>1</v>
      </c>
      <c r="L299" s="60">
        <v>0</v>
      </c>
      <c r="M299" s="61">
        <v>44531</v>
      </c>
      <c r="O299" s="62" t="s">
        <v>331</v>
      </c>
      <c r="P299" s="60" t="s">
        <v>26</v>
      </c>
      <c r="Q299" s="62" t="s">
        <v>125</v>
      </c>
      <c r="R299" s="62" t="s">
        <v>2286</v>
      </c>
      <c r="S299" s="63" t="s">
        <v>842</v>
      </c>
      <c r="T299" s="63" t="s">
        <v>485</v>
      </c>
      <c r="U299" s="64">
        <v>95000</v>
      </c>
      <c r="V299" s="64">
        <v>104500</v>
      </c>
      <c r="W299" s="64">
        <v>80000</v>
      </c>
      <c r="X299" s="64">
        <v>88000</v>
      </c>
      <c r="Y299" s="64">
        <v>15000</v>
      </c>
      <c r="Z299" s="64">
        <v>16500</v>
      </c>
      <c r="AA299" s="61">
        <v>44610</v>
      </c>
      <c r="AB299" s="61">
        <v>44611</v>
      </c>
      <c r="AC299" s="61">
        <v>44611</v>
      </c>
      <c r="AD299" s="60">
        <v>0</v>
      </c>
      <c r="AG299" s="60">
        <v>0</v>
      </c>
      <c r="AJ299" s="60">
        <v>0</v>
      </c>
      <c r="AQ299" s="60" t="s">
        <v>1447</v>
      </c>
      <c r="AR299" s="61">
        <v>44554</v>
      </c>
      <c r="AS299" s="60">
        <v>6001974754</v>
      </c>
      <c r="AT299" s="61">
        <v>44554</v>
      </c>
      <c r="AU299" s="60" t="s">
        <v>1460</v>
      </c>
      <c r="AV299" s="61">
        <v>44620</v>
      </c>
      <c r="AW299" s="91">
        <v>44620</v>
      </c>
      <c r="AX299" s="91">
        <v>44640</v>
      </c>
      <c r="AY299" s="99">
        <v>91200</v>
      </c>
      <c r="AZ299" s="99">
        <f>ROUNDDOWN(AY299+(AY299*MASTER!$A$2/100),0)</f>
        <v>100320</v>
      </c>
      <c r="BA299" s="60" t="s">
        <v>319</v>
      </c>
      <c r="BB299" s="64">
        <v>32000</v>
      </c>
      <c r="BC299" s="64">
        <v>35200</v>
      </c>
      <c r="BD299" s="60" t="s">
        <v>2044</v>
      </c>
      <c r="BG299" s="64">
        <v>0</v>
      </c>
      <c r="BI299" s="60" t="s">
        <v>748</v>
      </c>
      <c r="BJ299" s="64">
        <v>9750</v>
      </c>
      <c r="BK299" s="64">
        <v>10725</v>
      </c>
      <c r="BL299" s="60" t="s">
        <v>2044</v>
      </c>
      <c r="BS299" s="64">
        <v>0</v>
      </c>
      <c r="BV299" s="65">
        <v>88000</v>
      </c>
      <c r="BW299" s="65">
        <v>45925</v>
      </c>
      <c r="BX299" s="65">
        <v>44531</v>
      </c>
      <c r="BY299" s="65">
        <v>42075</v>
      </c>
      <c r="BZ299" s="81">
        <v>47.8125</v>
      </c>
    </row>
    <row r="300" spans="1:78" x14ac:dyDescent="0.15">
      <c r="A300" s="60">
        <v>1</v>
      </c>
      <c r="B300" s="61">
        <v>44602</v>
      </c>
      <c r="C300" s="61">
        <v>44620</v>
      </c>
      <c r="D300" s="61">
        <v>44624</v>
      </c>
      <c r="F300" s="61">
        <v>44615</v>
      </c>
      <c r="G300" s="61">
        <v>44608</v>
      </c>
      <c r="H300" s="61">
        <v>44611</v>
      </c>
      <c r="J300" s="60">
        <v>1</v>
      </c>
      <c r="L300" s="60">
        <v>0</v>
      </c>
      <c r="M300" s="61">
        <v>44531</v>
      </c>
      <c r="O300" s="62" t="s">
        <v>331</v>
      </c>
      <c r="P300" s="60" t="s">
        <v>26</v>
      </c>
      <c r="Q300" s="62" t="s">
        <v>125</v>
      </c>
      <c r="R300" s="62" t="s">
        <v>2281</v>
      </c>
      <c r="S300" s="63" t="s">
        <v>1612</v>
      </c>
      <c r="T300" s="63" t="s">
        <v>485</v>
      </c>
      <c r="U300" s="64">
        <v>95000</v>
      </c>
      <c r="V300" s="64">
        <v>104500</v>
      </c>
      <c r="W300" s="64">
        <v>80000</v>
      </c>
      <c r="X300" s="64">
        <v>88000</v>
      </c>
      <c r="Y300" s="64">
        <v>15000</v>
      </c>
      <c r="Z300" s="64">
        <v>16500</v>
      </c>
      <c r="AA300" s="61">
        <v>44607</v>
      </c>
      <c r="AB300" s="61">
        <v>44608</v>
      </c>
      <c r="AC300" s="61">
        <v>44608</v>
      </c>
      <c r="AD300" s="60">
        <v>0</v>
      </c>
      <c r="AG300" s="60">
        <v>0</v>
      </c>
      <c r="AJ300" s="60">
        <v>0</v>
      </c>
      <c r="AQ300" s="60" t="s">
        <v>1446</v>
      </c>
      <c r="AR300" s="61">
        <v>44554</v>
      </c>
      <c r="AS300" s="60">
        <v>6001974754</v>
      </c>
      <c r="AT300" s="61">
        <v>44554</v>
      </c>
      <c r="AU300" s="60" t="s">
        <v>1460</v>
      </c>
      <c r="AV300" s="61">
        <v>44620</v>
      </c>
      <c r="AW300" s="91">
        <v>44620</v>
      </c>
      <c r="AX300" s="91">
        <v>44640</v>
      </c>
      <c r="AY300" s="99">
        <v>91200</v>
      </c>
      <c r="AZ300" s="99">
        <f>ROUNDDOWN(AY300+(AY300*MASTER!$A$2/100),0)</f>
        <v>100320</v>
      </c>
      <c r="BA300" s="60" t="s">
        <v>582</v>
      </c>
      <c r="BB300" s="64">
        <v>23000</v>
      </c>
      <c r="BC300" s="64">
        <v>25300</v>
      </c>
      <c r="BD300" s="60" t="s">
        <v>2044</v>
      </c>
      <c r="BG300" s="64">
        <v>0</v>
      </c>
      <c r="BI300" s="60" t="s">
        <v>748</v>
      </c>
      <c r="BJ300" s="64">
        <v>9750</v>
      </c>
      <c r="BK300" s="64">
        <v>10725</v>
      </c>
      <c r="BL300" s="60" t="s">
        <v>2044</v>
      </c>
      <c r="BS300" s="64">
        <v>0</v>
      </c>
      <c r="BV300" s="65">
        <v>88000</v>
      </c>
      <c r="BW300" s="65">
        <v>36025</v>
      </c>
      <c r="BX300" s="65">
        <v>44531</v>
      </c>
      <c r="BY300" s="65">
        <v>51975</v>
      </c>
      <c r="BZ300" s="81">
        <v>59.062499999999993</v>
      </c>
    </row>
    <row r="301" spans="1:78" x14ac:dyDescent="0.15">
      <c r="A301" s="60">
        <v>1</v>
      </c>
      <c r="B301" s="61">
        <v>44602</v>
      </c>
      <c r="C301" s="61">
        <v>44620</v>
      </c>
      <c r="D301" s="61">
        <v>44624</v>
      </c>
      <c r="F301" s="61">
        <v>44617</v>
      </c>
      <c r="G301" s="61">
        <v>44613</v>
      </c>
      <c r="H301" s="61">
        <v>44613</v>
      </c>
      <c r="J301" s="60">
        <v>1</v>
      </c>
      <c r="L301" s="60">
        <v>0</v>
      </c>
      <c r="M301" s="61">
        <v>44531</v>
      </c>
      <c r="O301" s="62" t="s">
        <v>331</v>
      </c>
      <c r="P301" s="60" t="s">
        <v>26</v>
      </c>
      <c r="Q301" s="62" t="s">
        <v>125</v>
      </c>
      <c r="R301" s="62" t="s">
        <v>2282</v>
      </c>
      <c r="S301" s="63" t="s">
        <v>1880</v>
      </c>
      <c r="T301" s="63" t="s">
        <v>485</v>
      </c>
      <c r="U301" s="64">
        <v>95000</v>
      </c>
      <c r="V301" s="64">
        <v>104500</v>
      </c>
      <c r="W301" s="64">
        <v>80000</v>
      </c>
      <c r="X301" s="64">
        <v>88000</v>
      </c>
      <c r="Y301" s="64">
        <v>15000</v>
      </c>
      <c r="Z301" s="64">
        <v>16500</v>
      </c>
      <c r="AA301" s="61">
        <v>44609</v>
      </c>
      <c r="AB301" s="61">
        <v>44610</v>
      </c>
      <c r="AC301" s="61">
        <v>44610</v>
      </c>
      <c r="AD301" s="60">
        <v>0</v>
      </c>
      <c r="AG301" s="60">
        <v>0</v>
      </c>
      <c r="AJ301" s="60">
        <v>0</v>
      </c>
      <c r="AQ301" s="60" t="s">
        <v>1446</v>
      </c>
      <c r="AR301" s="61">
        <v>44554</v>
      </c>
      <c r="AS301" s="60">
        <v>6001974754</v>
      </c>
      <c r="AT301" s="61">
        <v>44554</v>
      </c>
      <c r="AU301" s="60" t="s">
        <v>1460</v>
      </c>
      <c r="AV301" s="61">
        <v>44620</v>
      </c>
      <c r="AW301" s="91">
        <v>44620</v>
      </c>
      <c r="AX301" s="91">
        <v>44640</v>
      </c>
      <c r="AY301" s="99">
        <v>91200</v>
      </c>
      <c r="AZ301" s="99">
        <f>ROUNDDOWN(AY301+(AY301*MASTER!$A$2/100),0)</f>
        <v>100320</v>
      </c>
      <c r="BA301" s="60" t="s">
        <v>582</v>
      </c>
      <c r="BB301" s="64">
        <v>42000</v>
      </c>
      <c r="BC301" s="64">
        <v>46200</v>
      </c>
      <c r="BD301" s="60" t="s">
        <v>2044</v>
      </c>
      <c r="BG301" s="64">
        <v>0</v>
      </c>
      <c r="BI301" s="60" t="s">
        <v>748</v>
      </c>
      <c r="BJ301" s="64">
        <v>9750</v>
      </c>
      <c r="BK301" s="64">
        <v>10725</v>
      </c>
      <c r="BL301" s="60" t="s">
        <v>2044</v>
      </c>
      <c r="BS301" s="64">
        <v>0</v>
      </c>
      <c r="BV301" s="65">
        <v>88000</v>
      </c>
      <c r="BW301" s="65">
        <v>56925</v>
      </c>
      <c r="BX301" s="65">
        <v>44531</v>
      </c>
      <c r="BY301" s="65">
        <v>31075</v>
      </c>
      <c r="BZ301" s="81">
        <v>35.3125</v>
      </c>
    </row>
    <row r="302" spans="1:78" x14ac:dyDescent="0.15">
      <c r="A302" s="60">
        <v>2</v>
      </c>
      <c r="B302" s="61">
        <v>44608</v>
      </c>
      <c r="C302" s="61">
        <v>44620</v>
      </c>
      <c r="D302" s="61">
        <v>44596</v>
      </c>
      <c r="E302" s="61">
        <v>44593</v>
      </c>
      <c r="F302" s="61">
        <v>44597</v>
      </c>
      <c r="G302" s="61">
        <v>44593</v>
      </c>
      <c r="H302" s="61">
        <v>44593</v>
      </c>
      <c r="I302" s="60" t="s">
        <v>511</v>
      </c>
      <c r="J302" s="60">
        <v>1</v>
      </c>
      <c r="L302" s="60">
        <v>0</v>
      </c>
      <c r="M302" s="61">
        <v>44531</v>
      </c>
      <c r="O302" s="62" t="s">
        <v>331</v>
      </c>
      <c r="P302" s="60" t="s">
        <v>26</v>
      </c>
      <c r="Q302" s="62" t="s">
        <v>125</v>
      </c>
      <c r="R302" s="62" t="s">
        <v>2017</v>
      </c>
      <c r="S302" s="63" t="s">
        <v>1000</v>
      </c>
      <c r="T302" s="63" t="s">
        <v>485</v>
      </c>
      <c r="U302" s="64">
        <v>95000</v>
      </c>
      <c r="V302" s="64">
        <v>104500</v>
      </c>
      <c r="W302" s="64">
        <v>80000</v>
      </c>
      <c r="X302" s="64">
        <v>88000</v>
      </c>
      <c r="Y302" s="64">
        <v>15000</v>
      </c>
      <c r="Z302" s="64">
        <v>16500</v>
      </c>
      <c r="AA302" s="61">
        <v>44589</v>
      </c>
      <c r="AB302" s="61">
        <v>44590</v>
      </c>
      <c r="AC302" s="61">
        <v>44590</v>
      </c>
      <c r="AD302" s="60">
        <v>0</v>
      </c>
      <c r="AG302" s="60">
        <v>0</v>
      </c>
      <c r="AJ302" s="60">
        <v>0</v>
      </c>
      <c r="AQ302" s="60" t="s">
        <v>1446</v>
      </c>
      <c r="AR302" s="61">
        <v>44554</v>
      </c>
      <c r="AS302" s="60">
        <v>6001974754</v>
      </c>
      <c r="AT302" s="61">
        <v>44554</v>
      </c>
      <c r="AU302" s="60" t="s">
        <v>1460</v>
      </c>
      <c r="AV302" s="61">
        <v>44620</v>
      </c>
      <c r="AW302" s="91">
        <v>44620</v>
      </c>
      <c r="AX302" s="91">
        <v>44640</v>
      </c>
      <c r="AY302" s="99">
        <v>91200</v>
      </c>
      <c r="AZ302" s="99">
        <f>ROUNDDOWN(AY302+(AY302*MASTER!$A$2/100),0)</f>
        <v>100320</v>
      </c>
      <c r="BA302" s="60" t="s">
        <v>582</v>
      </c>
      <c r="BB302" s="64">
        <v>28000</v>
      </c>
      <c r="BC302" s="64">
        <v>30800</v>
      </c>
      <c r="BD302" s="60" t="s">
        <v>1614</v>
      </c>
      <c r="BG302" s="64">
        <v>0</v>
      </c>
      <c r="BI302" s="60" t="s">
        <v>267</v>
      </c>
      <c r="BJ302" s="64">
        <v>9750</v>
      </c>
      <c r="BK302" s="64">
        <v>10725</v>
      </c>
      <c r="BL302" s="60" t="s">
        <v>2044</v>
      </c>
      <c r="BS302" s="64">
        <v>0</v>
      </c>
      <c r="BV302" s="65">
        <v>88000</v>
      </c>
      <c r="BW302" s="65">
        <v>41525</v>
      </c>
      <c r="BX302" s="65">
        <v>44531</v>
      </c>
      <c r="BY302" s="65">
        <v>46475</v>
      </c>
      <c r="BZ302" s="81">
        <v>52.812499999999993</v>
      </c>
    </row>
    <row r="303" spans="1:78" x14ac:dyDescent="0.15">
      <c r="A303" s="60">
        <v>2</v>
      </c>
      <c r="B303" s="61">
        <v>44585</v>
      </c>
      <c r="C303" s="61">
        <v>44592</v>
      </c>
      <c r="D303" s="61">
        <v>44596</v>
      </c>
      <c r="E303" s="61">
        <v>44593</v>
      </c>
      <c r="F303" s="61">
        <v>44597</v>
      </c>
      <c r="G303" s="61">
        <v>44593</v>
      </c>
      <c r="H303" s="61">
        <v>44593</v>
      </c>
      <c r="I303" s="60" t="s">
        <v>511</v>
      </c>
      <c r="J303" s="60">
        <v>1</v>
      </c>
      <c r="L303" s="60">
        <v>0</v>
      </c>
      <c r="M303" s="61">
        <v>44531</v>
      </c>
      <c r="O303" s="62" t="s">
        <v>331</v>
      </c>
      <c r="P303" s="60" t="s">
        <v>26</v>
      </c>
      <c r="Q303" s="62" t="s">
        <v>125</v>
      </c>
      <c r="R303" s="62" t="s">
        <v>1859</v>
      </c>
      <c r="S303" s="63" t="s">
        <v>1860</v>
      </c>
      <c r="T303" s="63" t="s">
        <v>485</v>
      </c>
      <c r="U303" s="64">
        <v>95000</v>
      </c>
      <c r="V303" s="64">
        <v>104500</v>
      </c>
      <c r="W303" s="64">
        <v>80000</v>
      </c>
      <c r="X303" s="64">
        <v>88000</v>
      </c>
      <c r="Y303" s="64">
        <v>15000</v>
      </c>
      <c r="Z303" s="64">
        <v>16500</v>
      </c>
      <c r="AA303" s="61">
        <v>44589</v>
      </c>
      <c r="AB303" s="61">
        <v>44590</v>
      </c>
      <c r="AC303" s="61">
        <v>44590</v>
      </c>
      <c r="AD303" s="60">
        <v>0</v>
      </c>
      <c r="AG303" s="60">
        <v>0</v>
      </c>
      <c r="AJ303" s="60">
        <v>0</v>
      </c>
      <c r="AQ303" s="60" t="s">
        <v>1451</v>
      </c>
      <c r="AR303" s="61">
        <v>44554</v>
      </c>
      <c r="AS303" s="60">
        <v>6001974755</v>
      </c>
      <c r="AT303" s="61">
        <v>44554</v>
      </c>
      <c r="AU303" s="60" t="s">
        <v>1459</v>
      </c>
      <c r="AV303" s="61">
        <v>44592</v>
      </c>
      <c r="AW303" s="91">
        <v>44592</v>
      </c>
      <c r="AX303" s="91">
        <v>44612</v>
      </c>
      <c r="AY303" s="99">
        <v>91200</v>
      </c>
      <c r="AZ303" s="99">
        <f>ROUNDDOWN(AY303+(AY303*MASTER!$A$2/100),0)</f>
        <v>100320</v>
      </c>
      <c r="BA303" s="60" t="s">
        <v>582</v>
      </c>
      <c r="BB303" s="64">
        <v>24000</v>
      </c>
      <c r="BC303" s="64">
        <v>26400</v>
      </c>
      <c r="BD303" s="60" t="s">
        <v>1614</v>
      </c>
      <c r="BG303" s="64">
        <v>0</v>
      </c>
      <c r="BI303" s="60" t="s">
        <v>748</v>
      </c>
      <c r="BJ303" s="64">
        <v>9750</v>
      </c>
      <c r="BK303" s="64">
        <v>10725</v>
      </c>
      <c r="BL303" s="60" t="s">
        <v>1614</v>
      </c>
      <c r="BS303" s="64">
        <v>0</v>
      </c>
      <c r="BV303" s="65">
        <v>88000</v>
      </c>
      <c r="BW303" s="65">
        <v>37125</v>
      </c>
      <c r="BX303" s="65">
        <v>44531</v>
      </c>
      <c r="BY303" s="65">
        <v>50875</v>
      </c>
      <c r="BZ303" s="81">
        <v>57.8125</v>
      </c>
    </row>
    <row r="304" spans="1:78" x14ac:dyDescent="0.15">
      <c r="A304" s="60">
        <v>2</v>
      </c>
      <c r="B304" s="61">
        <v>44607</v>
      </c>
      <c r="C304" s="61">
        <v>44620</v>
      </c>
      <c r="D304" s="61">
        <v>44624</v>
      </c>
      <c r="E304" s="61">
        <v>44622</v>
      </c>
      <c r="F304" s="61">
        <v>44608</v>
      </c>
      <c r="G304" s="61">
        <v>44606</v>
      </c>
      <c r="H304" s="61">
        <v>44604</v>
      </c>
      <c r="I304" s="60" t="s">
        <v>612</v>
      </c>
      <c r="J304" s="60">
        <v>1</v>
      </c>
      <c r="L304" s="60">
        <v>0</v>
      </c>
      <c r="M304" s="61">
        <v>44531</v>
      </c>
      <c r="O304" s="62" t="s">
        <v>331</v>
      </c>
      <c r="P304" s="60" t="s">
        <v>26</v>
      </c>
      <c r="Q304" s="62" t="s">
        <v>125</v>
      </c>
      <c r="R304" s="62" t="s">
        <v>2181</v>
      </c>
      <c r="S304" s="63" t="s">
        <v>1068</v>
      </c>
      <c r="T304" s="63" t="s">
        <v>485</v>
      </c>
      <c r="U304" s="64">
        <v>95000</v>
      </c>
      <c r="V304" s="64">
        <v>104500</v>
      </c>
      <c r="W304" s="64">
        <v>80000</v>
      </c>
      <c r="X304" s="64">
        <v>88000</v>
      </c>
      <c r="Y304" s="64">
        <v>15000</v>
      </c>
      <c r="Z304" s="64">
        <v>16500</v>
      </c>
      <c r="AA304" s="61">
        <v>44599</v>
      </c>
      <c r="AB304" s="61">
        <v>44601</v>
      </c>
      <c r="AC304" s="61">
        <v>44601</v>
      </c>
      <c r="AD304" s="60">
        <v>0</v>
      </c>
      <c r="AG304" s="60">
        <v>0</v>
      </c>
      <c r="AJ304" s="60">
        <v>0</v>
      </c>
      <c r="AQ304" s="60" t="s">
        <v>1446</v>
      </c>
      <c r="AR304" s="61">
        <v>44554</v>
      </c>
      <c r="AS304" s="60">
        <v>6001974754</v>
      </c>
      <c r="AT304" s="61">
        <v>44554</v>
      </c>
      <c r="AU304" s="60" t="s">
        <v>1460</v>
      </c>
      <c r="AV304" s="61">
        <v>44620</v>
      </c>
      <c r="AW304" s="91">
        <v>44620</v>
      </c>
      <c r="AX304" s="91">
        <v>44640</v>
      </c>
      <c r="AY304" s="99">
        <v>91200</v>
      </c>
      <c r="AZ304" s="99">
        <f>ROUNDDOWN(AY304+(AY304*MASTER!$A$2/100),0)</f>
        <v>100320</v>
      </c>
      <c r="BA304" s="60" t="s">
        <v>582</v>
      </c>
      <c r="BB304" s="64">
        <v>40000</v>
      </c>
      <c r="BC304" s="64">
        <v>44000</v>
      </c>
      <c r="BD304" s="60" t="s">
        <v>2044</v>
      </c>
      <c r="BG304" s="64">
        <v>0</v>
      </c>
      <c r="BI304" s="60" t="s">
        <v>748</v>
      </c>
      <c r="BJ304" s="64">
        <v>9750</v>
      </c>
      <c r="BK304" s="64">
        <v>10725</v>
      </c>
      <c r="BL304" s="60" t="s">
        <v>2044</v>
      </c>
      <c r="BS304" s="64">
        <v>0</v>
      </c>
      <c r="BV304" s="65">
        <v>88000</v>
      </c>
      <c r="BW304" s="65">
        <v>54725</v>
      </c>
      <c r="BX304" s="65">
        <v>44531</v>
      </c>
      <c r="BY304" s="65">
        <v>33275</v>
      </c>
      <c r="BZ304" s="81">
        <v>37.8125</v>
      </c>
    </row>
    <row r="305" spans="1:78" x14ac:dyDescent="0.15">
      <c r="A305" s="60">
        <v>2</v>
      </c>
      <c r="B305" s="61">
        <v>44568</v>
      </c>
      <c r="C305" s="61">
        <v>44592</v>
      </c>
      <c r="D305" s="61">
        <v>44596</v>
      </c>
      <c r="E305" s="61">
        <v>44581</v>
      </c>
      <c r="F305" s="61">
        <v>44582</v>
      </c>
      <c r="G305" s="61">
        <v>44578</v>
      </c>
      <c r="H305" s="61">
        <v>44578</v>
      </c>
      <c r="I305" s="60" t="s">
        <v>511</v>
      </c>
      <c r="J305" s="60">
        <v>1</v>
      </c>
      <c r="L305" s="60">
        <v>0</v>
      </c>
      <c r="M305" s="61">
        <v>44531</v>
      </c>
      <c r="O305" s="62" t="s">
        <v>331</v>
      </c>
      <c r="P305" s="60" t="s">
        <v>26</v>
      </c>
      <c r="Q305" s="62" t="s">
        <v>125</v>
      </c>
      <c r="R305" s="62" t="s">
        <v>1660</v>
      </c>
      <c r="S305" s="63" t="s">
        <v>1069</v>
      </c>
      <c r="T305" s="63" t="s">
        <v>485</v>
      </c>
      <c r="U305" s="64">
        <v>95000</v>
      </c>
      <c r="V305" s="64">
        <v>104500</v>
      </c>
      <c r="W305" s="64">
        <v>80000</v>
      </c>
      <c r="X305" s="64">
        <v>88000</v>
      </c>
      <c r="Y305" s="64">
        <v>15000</v>
      </c>
      <c r="Z305" s="64">
        <v>16500</v>
      </c>
      <c r="AA305" s="61">
        <v>44574</v>
      </c>
      <c r="AB305" s="61">
        <v>44575</v>
      </c>
      <c r="AC305" s="61">
        <v>44575</v>
      </c>
      <c r="AD305" s="60">
        <v>0</v>
      </c>
      <c r="AG305" s="60">
        <v>0</v>
      </c>
      <c r="AJ305" s="60">
        <v>0</v>
      </c>
      <c r="AQ305" s="60" t="s">
        <v>1451</v>
      </c>
      <c r="AR305" s="61">
        <v>44554</v>
      </c>
      <c r="AS305" s="60">
        <v>6001974755</v>
      </c>
      <c r="AT305" s="61">
        <v>44554</v>
      </c>
      <c r="AU305" s="60" t="s">
        <v>1459</v>
      </c>
      <c r="AV305" s="61">
        <v>44592</v>
      </c>
      <c r="AW305" s="91">
        <v>44592</v>
      </c>
      <c r="AX305" s="91">
        <v>44612</v>
      </c>
      <c r="AY305" s="99">
        <v>91200</v>
      </c>
      <c r="AZ305" s="99">
        <f>ROUNDDOWN(AY305+(AY305*MASTER!$A$2/100),0)</f>
        <v>100320</v>
      </c>
      <c r="BA305" s="60" t="s">
        <v>582</v>
      </c>
      <c r="BB305" s="64">
        <v>39000</v>
      </c>
      <c r="BC305" s="64">
        <v>42900</v>
      </c>
      <c r="BD305" s="60" t="s">
        <v>1614</v>
      </c>
      <c r="BG305" s="64">
        <v>0</v>
      </c>
      <c r="BI305" s="60" t="s">
        <v>748</v>
      </c>
      <c r="BJ305" s="64">
        <v>9750</v>
      </c>
      <c r="BK305" s="64">
        <v>10725</v>
      </c>
      <c r="BL305" s="60" t="s">
        <v>1614</v>
      </c>
      <c r="BS305" s="64">
        <v>0</v>
      </c>
      <c r="BV305" s="65">
        <v>88000</v>
      </c>
      <c r="BW305" s="65">
        <v>53625</v>
      </c>
      <c r="BX305" s="65">
        <v>44531</v>
      </c>
      <c r="BY305" s="65">
        <v>34375</v>
      </c>
      <c r="BZ305" s="81">
        <v>39.0625</v>
      </c>
    </row>
    <row r="306" spans="1:78" x14ac:dyDescent="0.15">
      <c r="A306" s="60">
        <v>2</v>
      </c>
      <c r="B306" s="61">
        <v>44568</v>
      </c>
      <c r="C306" s="61">
        <v>44592</v>
      </c>
      <c r="D306" s="61">
        <v>44596</v>
      </c>
      <c r="E306" s="61">
        <v>44581</v>
      </c>
      <c r="F306" s="61">
        <v>44582</v>
      </c>
      <c r="G306" s="61">
        <v>44575</v>
      </c>
      <c r="H306" s="61">
        <v>44578</v>
      </c>
      <c r="I306" s="60" t="s">
        <v>511</v>
      </c>
      <c r="J306" s="60">
        <v>1</v>
      </c>
      <c r="L306" s="60">
        <v>0</v>
      </c>
      <c r="M306" s="61">
        <v>44531</v>
      </c>
      <c r="O306" s="62" t="s">
        <v>331</v>
      </c>
      <c r="P306" s="60" t="s">
        <v>26</v>
      </c>
      <c r="Q306" s="62" t="s">
        <v>125</v>
      </c>
      <c r="R306" s="62" t="s">
        <v>1659</v>
      </c>
      <c r="S306" s="63" t="s">
        <v>1070</v>
      </c>
      <c r="T306" s="63" t="s">
        <v>485</v>
      </c>
      <c r="U306" s="64">
        <v>95000</v>
      </c>
      <c r="V306" s="64">
        <v>104500</v>
      </c>
      <c r="W306" s="64">
        <v>80000</v>
      </c>
      <c r="X306" s="64">
        <v>88000</v>
      </c>
      <c r="Y306" s="64">
        <v>15000</v>
      </c>
      <c r="Z306" s="64">
        <v>16500</v>
      </c>
      <c r="AA306" s="61">
        <v>44574</v>
      </c>
      <c r="AB306" s="61">
        <v>44575</v>
      </c>
      <c r="AC306" s="61">
        <v>44575</v>
      </c>
      <c r="AD306" s="60">
        <v>0</v>
      </c>
      <c r="AG306" s="60">
        <v>0</v>
      </c>
      <c r="AJ306" s="60">
        <v>0</v>
      </c>
      <c r="AQ306" s="60" t="s">
        <v>1451</v>
      </c>
      <c r="AR306" s="61">
        <v>44554</v>
      </c>
      <c r="AS306" s="60">
        <v>6001974755</v>
      </c>
      <c r="AT306" s="61">
        <v>44554</v>
      </c>
      <c r="AU306" s="60" t="s">
        <v>1459</v>
      </c>
      <c r="AV306" s="61">
        <v>44592</v>
      </c>
      <c r="AW306" s="91">
        <v>44592</v>
      </c>
      <c r="AX306" s="91">
        <v>44612</v>
      </c>
      <c r="AY306" s="99">
        <v>91200</v>
      </c>
      <c r="AZ306" s="99">
        <f>ROUNDDOWN(AY306+(AY306*MASTER!$A$2/100),0)</f>
        <v>100320</v>
      </c>
      <c r="BA306" s="60" t="s">
        <v>582</v>
      </c>
      <c r="BB306" s="64">
        <v>56000</v>
      </c>
      <c r="BC306" s="64">
        <v>61600</v>
      </c>
      <c r="BD306" s="60" t="s">
        <v>1614</v>
      </c>
      <c r="BG306" s="64">
        <v>0</v>
      </c>
      <c r="BI306" s="60" t="s">
        <v>748</v>
      </c>
      <c r="BJ306" s="64">
        <v>9750</v>
      </c>
      <c r="BK306" s="64">
        <v>10725</v>
      </c>
      <c r="BL306" s="60" t="s">
        <v>1614</v>
      </c>
      <c r="BS306" s="64">
        <v>0</v>
      </c>
      <c r="BV306" s="65">
        <v>88000</v>
      </c>
      <c r="BW306" s="65">
        <v>72325</v>
      </c>
      <c r="BX306" s="65">
        <v>44531</v>
      </c>
      <c r="BY306" s="65">
        <v>15675</v>
      </c>
      <c r="BZ306" s="81">
        <v>17.8125</v>
      </c>
    </row>
    <row r="307" spans="1:78" x14ac:dyDescent="0.15">
      <c r="A307" s="60">
        <v>2</v>
      </c>
      <c r="B307" s="61">
        <v>44568</v>
      </c>
      <c r="C307" s="61">
        <v>44592</v>
      </c>
      <c r="D307" s="61">
        <v>44596</v>
      </c>
      <c r="E307" s="61">
        <v>44581</v>
      </c>
      <c r="F307" s="61">
        <v>44582</v>
      </c>
      <c r="G307" s="61">
        <v>44575</v>
      </c>
      <c r="H307" s="61">
        <v>44578</v>
      </c>
      <c r="I307" s="60" t="s">
        <v>511</v>
      </c>
      <c r="J307" s="60">
        <v>1</v>
      </c>
      <c r="L307" s="60">
        <v>0</v>
      </c>
      <c r="M307" s="61">
        <v>44531</v>
      </c>
      <c r="O307" s="62" t="s">
        <v>331</v>
      </c>
      <c r="P307" s="60" t="s">
        <v>26</v>
      </c>
      <c r="Q307" s="62" t="s">
        <v>125</v>
      </c>
      <c r="R307" s="62" t="s">
        <v>1658</v>
      </c>
      <c r="S307" s="63" t="s">
        <v>1071</v>
      </c>
      <c r="T307" s="63" t="s">
        <v>485</v>
      </c>
      <c r="U307" s="64">
        <v>95000</v>
      </c>
      <c r="V307" s="64">
        <v>104500</v>
      </c>
      <c r="W307" s="64">
        <v>80000</v>
      </c>
      <c r="X307" s="64">
        <v>88000</v>
      </c>
      <c r="Y307" s="64">
        <v>15000</v>
      </c>
      <c r="Z307" s="64">
        <v>16500</v>
      </c>
      <c r="AA307" s="61">
        <v>44574</v>
      </c>
      <c r="AB307" s="61">
        <v>44575</v>
      </c>
      <c r="AC307" s="61">
        <v>44575</v>
      </c>
      <c r="AD307" s="60">
        <v>0</v>
      </c>
      <c r="AG307" s="60">
        <v>0</v>
      </c>
      <c r="AJ307" s="60">
        <v>0</v>
      </c>
      <c r="AQ307" s="60" t="s">
        <v>1451</v>
      </c>
      <c r="AR307" s="61">
        <v>44554</v>
      </c>
      <c r="AS307" s="60">
        <v>6001974755</v>
      </c>
      <c r="AT307" s="61">
        <v>44554</v>
      </c>
      <c r="AU307" s="60" t="s">
        <v>1459</v>
      </c>
      <c r="AV307" s="61">
        <v>44592</v>
      </c>
      <c r="AW307" s="91">
        <v>44592</v>
      </c>
      <c r="AX307" s="91">
        <v>44612</v>
      </c>
      <c r="AY307" s="99">
        <v>91200</v>
      </c>
      <c r="AZ307" s="99">
        <f>ROUNDDOWN(AY307+(AY307*MASTER!$A$2/100),0)</f>
        <v>100320</v>
      </c>
      <c r="BA307" s="60" t="s">
        <v>582</v>
      </c>
      <c r="BB307" s="64">
        <v>44000</v>
      </c>
      <c r="BC307" s="64">
        <v>48400</v>
      </c>
      <c r="BD307" s="60" t="s">
        <v>1614</v>
      </c>
      <c r="BG307" s="64">
        <v>0</v>
      </c>
      <c r="BI307" s="60" t="s">
        <v>748</v>
      </c>
      <c r="BJ307" s="64">
        <v>9750</v>
      </c>
      <c r="BK307" s="64">
        <v>10725</v>
      </c>
      <c r="BL307" s="60" t="s">
        <v>1614</v>
      </c>
      <c r="BS307" s="64">
        <v>0</v>
      </c>
      <c r="BV307" s="65">
        <v>88000</v>
      </c>
      <c r="BW307" s="65">
        <v>59125</v>
      </c>
      <c r="BX307" s="65">
        <v>44531</v>
      </c>
      <c r="BY307" s="65">
        <v>28875</v>
      </c>
      <c r="BZ307" s="81">
        <v>32.8125</v>
      </c>
    </row>
    <row r="308" spans="1:78" x14ac:dyDescent="0.15">
      <c r="A308" s="60">
        <v>2</v>
      </c>
      <c r="B308" s="61">
        <v>44572</v>
      </c>
      <c r="C308" s="61">
        <v>44592</v>
      </c>
      <c r="D308" s="61">
        <v>44612</v>
      </c>
      <c r="E308" s="61">
        <v>44593</v>
      </c>
      <c r="F308" s="61">
        <v>44586</v>
      </c>
      <c r="G308" s="61">
        <v>44580</v>
      </c>
      <c r="H308" s="61">
        <v>44582</v>
      </c>
      <c r="I308" s="60" t="s">
        <v>612</v>
      </c>
      <c r="J308" s="60">
        <v>1</v>
      </c>
      <c r="L308" s="60">
        <v>0</v>
      </c>
      <c r="M308" s="61">
        <v>44531</v>
      </c>
      <c r="O308" s="62" t="s">
        <v>331</v>
      </c>
      <c r="P308" s="60" t="s">
        <v>26</v>
      </c>
      <c r="Q308" s="62" t="s">
        <v>125</v>
      </c>
      <c r="R308" s="62" t="s">
        <v>1728</v>
      </c>
      <c r="S308" s="63" t="s">
        <v>1016</v>
      </c>
      <c r="T308" s="63" t="s">
        <v>485</v>
      </c>
      <c r="U308" s="64">
        <v>95000</v>
      </c>
      <c r="V308" s="64">
        <v>104500</v>
      </c>
      <c r="W308" s="64">
        <v>80000</v>
      </c>
      <c r="X308" s="64">
        <v>88000</v>
      </c>
      <c r="Y308" s="64">
        <v>15000</v>
      </c>
      <c r="Z308" s="64">
        <v>16500</v>
      </c>
      <c r="AA308" s="61">
        <v>44578</v>
      </c>
      <c r="AB308" s="61">
        <v>44579</v>
      </c>
      <c r="AC308" s="61">
        <v>44579</v>
      </c>
      <c r="AD308" s="60">
        <v>0</v>
      </c>
      <c r="AG308" s="60">
        <v>0</v>
      </c>
      <c r="AJ308" s="60">
        <v>0</v>
      </c>
      <c r="AQ308" s="60" t="s">
        <v>1453</v>
      </c>
      <c r="AR308" s="61">
        <v>44554</v>
      </c>
      <c r="AS308" s="60">
        <v>6001974755</v>
      </c>
      <c r="AT308" s="61">
        <v>44554</v>
      </c>
      <c r="AU308" s="60" t="s">
        <v>1459</v>
      </c>
      <c r="AV308" s="61">
        <v>44592</v>
      </c>
      <c r="AW308" s="91">
        <v>44592</v>
      </c>
      <c r="AX308" s="91">
        <v>44612</v>
      </c>
      <c r="AY308" s="99">
        <v>91200</v>
      </c>
      <c r="AZ308" s="99">
        <f>ROUNDDOWN(AY308+(AY308*MASTER!$A$2/100),0)</f>
        <v>100320</v>
      </c>
      <c r="BA308" s="60" t="s">
        <v>317</v>
      </c>
      <c r="BB308" s="64">
        <v>33000</v>
      </c>
      <c r="BC308" s="64">
        <v>36300</v>
      </c>
      <c r="BD308" s="60" t="s">
        <v>1614</v>
      </c>
      <c r="BG308" s="64">
        <v>0</v>
      </c>
      <c r="BI308" s="60" t="s">
        <v>748</v>
      </c>
      <c r="BJ308" s="64">
        <v>9750</v>
      </c>
      <c r="BK308" s="64">
        <v>10725</v>
      </c>
      <c r="BL308" s="60" t="s">
        <v>1614</v>
      </c>
      <c r="BS308" s="64">
        <v>0</v>
      </c>
      <c r="BV308" s="65">
        <v>88000</v>
      </c>
      <c r="BW308" s="65">
        <v>47025</v>
      </c>
      <c r="BX308" s="65">
        <v>44531</v>
      </c>
      <c r="BY308" s="65">
        <v>40975</v>
      </c>
      <c r="BZ308" s="81">
        <v>46.5625</v>
      </c>
    </row>
    <row r="309" spans="1:78" x14ac:dyDescent="0.15">
      <c r="A309" s="60">
        <v>2</v>
      </c>
      <c r="B309" s="61">
        <v>44572</v>
      </c>
      <c r="C309" s="61">
        <v>44592</v>
      </c>
      <c r="D309" s="61">
        <v>44612</v>
      </c>
      <c r="E309" s="61">
        <v>44593</v>
      </c>
      <c r="F309" s="61">
        <v>44582</v>
      </c>
      <c r="G309" s="61">
        <v>44575</v>
      </c>
      <c r="H309" s="61">
        <v>44578</v>
      </c>
      <c r="I309" s="60" t="s">
        <v>612</v>
      </c>
      <c r="J309" s="60">
        <v>1</v>
      </c>
      <c r="L309" s="60">
        <v>0</v>
      </c>
      <c r="M309" s="61">
        <v>44531</v>
      </c>
      <c r="O309" s="62" t="s">
        <v>331</v>
      </c>
      <c r="P309" s="60" t="s">
        <v>26</v>
      </c>
      <c r="Q309" s="62" t="s">
        <v>125</v>
      </c>
      <c r="R309" s="62" t="s">
        <v>1720</v>
      </c>
      <c r="S309" s="63" t="s">
        <v>1019</v>
      </c>
      <c r="T309" s="63" t="s">
        <v>485</v>
      </c>
      <c r="U309" s="64">
        <v>95000</v>
      </c>
      <c r="V309" s="64">
        <v>104500</v>
      </c>
      <c r="W309" s="64">
        <v>80000</v>
      </c>
      <c r="X309" s="64">
        <v>88000</v>
      </c>
      <c r="Y309" s="64">
        <v>15000</v>
      </c>
      <c r="Z309" s="64">
        <v>16500</v>
      </c>
      <c r="AA309" s="61">
        <v>44574</v>
      </c>
      <c r="AB309" s="61">
        <v>44575</v>
      </c>
      <c r="AC309" s="61">
        <v>44575</v>
      </c>
      <c r="AD309" s="60">
        <v>0</v>
      </c>
      <c r="AG309" s="60">
        <v>0</v>
      </c>
      <c r="AJ309" s="60">
        <v>0</v>
      </c>
      <c r="AQ309" s="60" t="s">
        <v>1453</v>
      </c>
      <c r="AR309" s="61">
        <v>44554</v>
      </c>
      <c r="AS309" s="60">
        <v>6001974755</v>
      </c>
      <c r="AT309" s="61">
        <v>44554</v>
      </c>
      <c r="AU309" s="60" t="s">
        <v>1459</v>
      </c>
      <c r="AV309" s="61">
        <v>44592</v>
      </c>
      <c r="AW309" s="91">
        <v>44592</v>
      </c>
      <c r="AX309" s="91">
        <v>44612</v>
      </c>
      <c r="AY309" s="99">
        <v>91200</v>
      </c>
      <c r="AZ309" s="99">
        <f>ROUNDDOWN(AY309+(AY309*MASTER!$A$2/100),0)</f>
        <v>100320</v>
      </c>
      <c r="BA309" s="60" t="s">
        <v>317</v>
      </c>
      <c r="BB309" s="64">
        <v>33000</v>
      </c>
      <c r="BC309" s="64">
        <v>36300</v>
      </c>
      <c r="BD309" s="60" t="s">
        <v>1614</v>
      </c>
      <c r="BG309" s="64">
        <v>0</v>
      </c>
      <c r="BI309" s="60" t="s">
        <v>748</v>
      </c>
      <c r="BJ309" s="64">
        <v>9750</v>
      </c>
      <c r="BK309" s="64">
        <v>10725</v>
      </c>
      <c r="BL309" s="60" t="s">
        <v>1614</v>
      </c>
      <c r="BS309" s="64">
        <v>0</v>
      </c>
      <c r="BV309" s="65">
        <v>88000</v>
      </c>
      <c r="BW309" s="65">
        <v>47025</v>
      </c>
      <c r="BX309" s="65">
        <v>44531</v>
      </c>
      <c r="BY309" s="65">
        <v>40975</v>
      </c>
      <c r="BZ309" s="81">
        <v>46.5625</v>
      </c>
    </row>
    <row r="310" spans="1:78" x14ac:dyDescent="0.15">
      <c r="A310" s="60">
        <v>2</v>
      </c>
      <c r="B310" s="61">
        <v>44572</v>
      </c>
      <c r="C310" s="61">
        <v>44592</v>
      </c>
      <c r="D310" s="61">
        <v>44612</v>
      </c>
      <c r="E310" s="61">
        <v>44593</v>
      </c>
      <c r="F310" s="61">
        <v>44583</v>
      </c>
      <c r="G310" s="61">
        <v>44575</v>
      </c>
      <c r="H310" s="61">
        <v>44579</v>
      </c>
      <c r="I310" s="60" t="s">
        <v>612</v>
      </c>
      <c r="J310" s="60">
        <v>1</v>
      </c>
      <c r="L310" s="60">
        <v>0</v>
      </c>
      <c r="M310" s="61">
        <v>44531</v>
      </c>
      <c r="O310" s="62" t="s">
        <v>331</v>
      </c>
      <c r="P310" s="60" t="s">
        <v>26</v>
      </c>
      <c r="Q310" s="62" t="s">
        <v>125</v>
      </c>
      <c r="R310" s="62" t="s">
        <v>1721</v>
      </c>
      <c r="S310" s="63" t="s">
        <v>1028</v>
      </c>
      <c r="T310" s="63" t="s">
        <v>485</v>
      </c>
      <c r="U310" s="64">
        <v>95000</v>
      </c>
      <c r="V310" s="64">
        <v>104500</v>
      </c>
      <c r="W310" s="64">
        <v>80000</v>
      </c>
      <c r="X310" s="64">
        <v>88000</v>
      </c>
      <c r="Y310" s="64">
        <v>15000</v>
      </c>
      <c r="Z310" s="64">
        <v>16500</v>
      </c>
      <c r="AA310" s="61">
        <v>44575</v>
      </c>
      <c r="AB310" s="61">
        <v>44576</v>
      </c>
      <c r="AC310" s="61">
        <v>44576</v>
      </c>
      <c r="AD310" s="60">
        <v>0</v>
      </c>
      <c r="AG310" s="60">
        <v>0</v>
      </c>
      <c r="AJ310" s="60">
        <v>0</v>
      </c>
      <c r="AQ310" s="60" t="s">
        <v>1453</v>
      </c>
      <c r="AR310" s="61">
        <v>44554</v>
      </c>
      <c r="AS310" s="60">
        <v>6001974755</v>
      </c>
      <c r="AT310" s="61">
        <v>44554</v>
      </c>
      <c r="AU310" s="60" t="s">
        <v>1459</v>
      </c>
      <c r="AV310" s="61">
        <v>44592</v>
      </c>
      <c r="AW310" s="91">
        <v>44592</v>
      </c>
      <c r="AX310" s="91">
        <v>44612</v>
      </c>
      <c r="AY310" s="99">
        <v>91200</v>
      </c>
      <c r="AZ310" s="99">
        <f>ROUNDDOWN(AY310+(AY310*MASTER!$A$2/100),0)</f>
        <v>100320</v>
      </c>
      <c r="BA310" s="60" t="s">
        <v>317</v>
      </c>
      <c r="BB310" s="64">
        <v>33000</v>
      </c>
      <c r="BC310" s="64">
        <v>36300</v>
      </c>
      <c r="BD310" s="60" t="s">
        <v>1614</v>
      </c>
      <c r="BG310" s="64">
        <v>0</v>
      </c>
      <c r="BI310" s="60" t="s">
        <v>748</v>
      </c>
      <c r="BJ310" s="64">
        <v>9750</v>
      </c>
      <c r="BK310" s="64">
        <v>10725</v>
      </c>
      <c r="BL310" s="60" t="s">
        <v>1614</v>
      </c>
      <c r="BS310" s="64">
        <v>0</v>
      </c>
      <c r="BV310" s="65">
        <v>88000</v>
      </c>
      <c r="BW310" s="65">
        <v>47025</v>
      </c>
      <c r="BX310" s="65">
        <v>44531</v>
      </c>
      <c r="BY310" s="65">
        <v>40975</v>
      </c>
      <c r="BZ310" s="81">
        <v>46.5625</v>
      </c>
    </row>
    <row r="311" spans="1:78" x14ac:dyDescent="0.15">
      <c r="A311" s="60">
        <v>2</v>
      </c>
      <c r="B311" s="61">
        <v>44572</v>
      </c>
      <c r="C311" s="61">
        <v>44592</v>
      </c>
      <c r="D311" s="61">
        <v>44612</v>
      </c>
      <c r="E311" s="61">
        <v>44593</v>
      </c>
      <c r="F311" s="61">
        <v>44583</v>
      </c>
      <c r="G311" s="61">
        <v>44575</v>
      </c>
      <c r="H311" s="61">
        <v>44579</v>
      </c>
      <c r="I311" s="60" t="s">
        <v>612</v>
      </c>
      <c r="J311" s="60">
        <v>1</v>
      </c>
      <c r="L311" s="60">
        <v>0</v>
      </c>
      <c r="M311" s="61">
        <v>44531</v>
      </c>
      <c r="O311" s="62" t="s">
        <v>331</v>
      </c>
      <c r="P311" s="60" t="s">
        <v>26</v>
      </c>
      <c r="Q311" s="62" t="s">
        <v>125</v>
      </c>
      <c r="R311" s="62" t="s">
        <v>1722</v>
      </c>
      <c r="S311" s="63" t="s">
        <v>813</v>
      </c>
      <c r="T311" s="63" t="s">
        <v>485</v>
      </c>
      <c r="U311" s="64">
        <v>95000</v>
      </c>
      <c r="V311" s="64">
        <v>104500</v>
      </c>
      <c r="W311" s="64">
        <v>80000</v>
      </c>
      <c r="X311" s="64">
        <v>88000</v>
      </c>
      <c r="Y311" s="64">
        <v>15000</v>
      </c>
      <c r="Z311" s="64">
        <v>16500</v>
      </c>
      <c r="AA311" s="61">
        <v>44575</v>
      </c>
      <c r="AB311" s="61">
        <v>44576</v>
      </c>
      <c r="AC311" s="61">
        <v>44576</v>
      </c>
      <c r="AD311" s="60">
        <v>0</v>
      </c>
      <c r="AG311" s="60">
        <v>0</v>
      </c>
      <c r="AJ311" s="60">
        <v>0</v>
      </c>
      <c r="AQ311" s="60" t="s">
        <v>1453</v>
      </c>
      <c r="AR311" s="61">
        <v>44554</v>
      </c>
      <c r="AS311" s="60">
        <v>6001974755</v>
      </c>
      <c r="AT311" s="61">
        <v>44554</v>
      </c>
      <c r="AU311" s="60" t="s">
        <v>1459</v>
      </c>
      <c r="AV311" s="61">
        <v>44592</v>
      </c>
      <c r="AW311" s="91">
        <v>44592</v>
      </c>
      <c r="AX311" s="91">
        <v>44612</v>
      </c>
      <c r="AY311" s="99">
        <v>91200</v>
      </c>
      <c r="AZ311" s="99">
        <f>ROUNDDOWN(AY311+(AY311*MASTER!$A$2/100),0)</f>
        <v>100320</v>
      </c>
      <c r="BA311" s="60" t="s">
        <v>317</v>
      </c>
      <c r="BB311" s="64">
        <v>33000</v>
      </c>
      <c r="BC311" s="64">
        <v>36300</v>
      </c>
      <c r="BD311" s="60" t="s">
        <v>1614</v>
      </c>
      <c r="BG311" s="64">
        <v>0</v>
      </c>
      <c r="BI311" s="60" t="s">
        <v>748</v>
      </c>
      <c r="BJ311" s="64">
        <v>9750</v>
      </c>
      <c r="BK311" s="64">
        <v>10725</v>
      </c>
      <c r="BL311" s="60" t="s">
        <v>1614</v>
      </c>
      <c r="BS311" s="64">
        <v>0</v>
      </c>
      <c r="BV311" s="65">
        <v>88000</v>
      </c>
      <c r="BW311" s="65">
        <v>47025</v>
      </c>
      <c r="BX311" s="65">
        <v>44531</v>
      </c>
      <c r="BY311" s="65">
        <v>40975</v>
      </c>
      <c r="BZ311" s="81">
        <v>46.5625</v>
      </c>
    </row>
    <row r="312" spans="1:78" x14ac:dyDescent="0.15">
      <c r="A312" s="60">
        <v>2</v>
      </c>
      <c r="B312" s="61">
        <v>44585</v>
      </c>
      <c r="C312" s="61">
        <v>44592</v>
      </c>
      <c r="D312" s="61">
        <v>44624</v>
      </c>
      <c r="E312" s="61">
        <v>44622</v>
      </c>
      <c r="F312" s="61">
        <v>44600</v>
      </c>
      <c r="G312" s="61">
        <v>44592</v>
      </c>
      <c r="H312" s="61">
        <v>44596</v>
      </c>
      <c r="I312" s="60" t="s">
        <v>612</v>
      </c>
      <c r="J312" s="60">
        <v>1</v>
      </c>
      <c r="L312" s="60">
        <v>0</v>
      </c>
      <c r="M312" s="61">
        <v>44531</v>
      </c>
      <c r="O312" s="62" t="s">
        <v>331</v>
      </c>
      <c r="P312" s="60" t="s">
        <v>26</v>
      </c>
      <c r="Q312" s="62" t="s">
        <v>125</v>
      </c>
      <c r="R312" s="62" t="s">
        <v>2095</v>
      </c>
      <c r="S312" s="63" t="s">
        <v>414</v>
      </c>
      <c r="T312" s="63" t="s">
        <v>485</v>
      </c>
      <c r="U312" s="64">
        <v>95000</v>
      </c>
      <c r="V312" s="64">
        <v>104500</v>
      </c>
      <c r="W312" s="64">
        <v>80000</v>
      </c>
      <c r="X312" s="64">
        <v>88000</v>
      </c>
      <c r="Y312" s="64">
        <v>15000</v>
      </c>
      <c r="Z312" s="64">
        <v>16500</v>
      </c>
      <c r="AA312" s="61">
        <v>44591</v>
      </c>
      <c r="AB312" s="61">
        <v>44593</v>
      </c>
      <c r="AC312" s="61">
        <v>44593</v>
      </c>
      <c r="AD312" s="60">
        <v>0</v>
      </c>
      <c r="AG312" s="60">
        <v>0</v>
      </c>
      <c r="AJ312" s="60">
        <v>0</v>
      </c>
      <c r="AQ312" s="60" t="s">
        <v>1453</v>
      </c>
      <c r="AR312" s="61">
        <v>44554</v>
      </c>
      <c r="AS312" s="60">
        <v>6001974755</v>
      </c>
      <c r="AT312" s="61">
        <v>44554</v>
      </c>
      <c r="AU312" s="60" t="s">
        <v>1459</v>
      </c>
      <c r="AV312" s="61">
        <v>44592</v>
      </c>
      <c r="AW312" s="91">
        <v>44592</v>
      </c>
      <c r="AX312" s="91">
        <v>44612</v>
      </c>
      <c r="AY312" s="99">
        <v>91200</v>
      </c>
      <c r="AZ312" s="99">
        <f>ROUNDDOWN(AY312+(AY312*MASTER!$A$2/100),0)</f>
        <v>100320</v>
      </c>
      <c r="BA312" s="60" t="s">
        <v>317</v>
      </c>
      <c r="BB312" s="64">
        <v>33000</v>
      </c>
      <c r="BC312" s="64">
        <v>36300</v>
      </c>
      <c r="BD312" s="60" t="s">
        <v>2044</v>
      </c>
      <c r="BG312" s="64">
        <v>0</v>
      </c>
      <c r="BI312" s="60" t="s">
        <v>748</v>
      </c>
      <c r="BJ312" s="64">
        <v>9750</v>
      </c>
      <c r="BK312" s="64">
        <v>10725</v>
      </c>
      <c r="BL312" s="60" t="s">
        <v>1614</v>
      </c>
      <c r="BS312" s="64">
        <v>0</v>
      </c>
      <c r="BV312" s="65">
        <v>88000</v>
      </c>
      <c r="BW312" s="65">
        <v>47025</v>
      </c>
      <c r="BX312" s="65">
        <v>44531</v>
      </c>
      <c r="BY312" s="65">
        <v>40975</v>
      </c>
      <c r="BZ312" s="81">
        <v>46.5625</v>
      </c>
    </row>
    <row r="313" spans="1:78" x14ac:dyDescent="0.15">
      <c r="A313" s="60">
        <v>2</v>
      </c>
      <c r="B313" s="61">
        <v>44572</v>
      </c>
      <c r="C313" s="61">
        <v>44592</v>
      </c>
      <c r="D313" s="61">
        <v>44612</v>
      </c>
      <c r="E313" s="61">
        <v>44593</v>
      </c>
      <c r="F313" s="61">
        <v>44586</v>
      </c>
      <c r="G313" s="61">
        <v>44580</v>
      </c>
      <c r="H313" s="61">
        <v>44582</v>
      </c>
      <c r="I313" s="60" t="s">
        <v>612</v>
      </c>
      <c r="J313" s="60">
        <v>1</v>
      </c>
      <c r="L313" s="60">
        <v>0</v>
      </c>
      <c r="M313" s="61">
        <v>44531</v>
      </c>
      <c r="O313" s="62" t="s">
        <v>331</v>
      </c>
      <c r="P313" s="60" t="s">
        <v>26</v>
      </c>
      <c r="Q313" s="62" t="s">
        <v>125</v>
      </c>
      <c r="R313" s="62" t="s">
        <v>1727</v>
      </c>
      <c r="S313" s="63" t="s">
        <v>1026</v>
      </c>
      <c r="T313" s="63" t="s">
        <v>485</v>
      </c>
      <c r="U313" s="64">
        <v>95000</v>
      </c>
      <c r="V313" s="64">
        <v>104500</v>
      </c>
      <c r="W313" s="64">
        <v>80000</v>
      </c>
      <c r="X313" s="64">
        <v>88000</v>
      </c>
      <c r="Y313" s="64">
        <v>15000</v>
      </c>
      <c r="Z313" s="64">
        <v>16500</v>
      </c>
      <c r="AA313" s="61">
        <v>44578</v>
      </c>
      <c r="AB313" s="61">
        <v>44579</v>
      </c>
      <c r="AC313" s="61">
        <v>44579</v>
      </c>
      <c r="AD313" s="60">
        <v>0</v>
      </c>
      <c r="AG313" s="60">
        <v>0</v>
      </c>
      <c r="AJ313" s="60">
        <v>0</v>
      </c>
      <c r="AQ313" s="60" t="s">
        <v>1453</v>
      </c>
      <c r="AR313" s="61">
        <v>44554</v>
      </c>
      <c r="AS313" s="60">
        <v>6001974755</v>
      </c>
      <c r="AT313" s="61">
        <v>44554</v>
      </c>
      <c r="AU313" s="60" t="s">
        <v>1459</v>
      </c>
      <c r="AV313" s="61">
        <v>44592</v>
      </c>
      <c r="AW313" s="91">
        <v>44592</v>
      </c>
      <c r="AX313" s="91">
        <v>44612</v>
      </c>
      <c r="AY313" s="99">
        <v>91200</v>
      </c>
      <c r="AZ313" s="99">
        <f>ROUNDDOWN(AY313+(AY313*MASTER!$A$2/100),0)</f>
        <v>100320</v>
      </c>
      <c r="BA313" s="60" t="s">
        <v>317</v>
      </c>
      <c r="BB313" s="64">
        <v>32000</v>
      </c>
      <c r="BC313" s="64">
        <v>35200</v>
      </c>
      <c r="BD313" s="60" t="s">
        <v>1614</v>
      </c>
      <c r="BG313" s="64">
        <v>0</v>
      </c>
      <c r="BI313" s="60" t="s">
        <v>748</v>
      </c>
      <c r="BJ313" s="64">
        <v>9750</v>
      </c>
      <c r="BK313" s="64">
        <v>10725</v>
      </c>
      <c r="BL313" s="60" t="s">
        <v>1614</v>
      </c>
      <c r="BS313" s="64">
        <v>0</v>
      </c>
      <c r="BV313" s="65">
        <v>88000</v>
      </c>
      <c r="BW313" s="65">
        <v>45925</v>
      </c>
      <c r="BX313" s="65">
        <v>44531</v>
      </c>
      <c r="BY313" s="65">
        <v>42075</v>
      </c>
      <c r="BZ313" s="81">
        <v>47.8125</v>
      </c>
    </row>
    <row r="314" spans="1:78" x14ac:dyDescent="0.15">
      <c r="A314" s="60">
        <v>2</v>
      </c>
      <c r="B314" s="61">
        <v>44585</v>
      </c>
      <c r="C314" s="61">
        <v>44592</v>
      </c>
      <c r="D314" s="61">
        <v>44624</v>
      </c>
      <c r="E314" s="61">
        <v>44622</v>
      </c>
      <c r="F314" s="61">
        <v>44600</v>
      </c>
      <c r="G314" s="61">
        <v>44592</v>
      </c>
      <c r="H314" s="61">
        <v>44596</v>
      </c>
      <c r="I314" s="60" t="s">
        <v>612</v>
      </c>
      <c r="J314" s="60">
        <v>1</v>
      </c>
      <c r="L314" s="60">
        <v>0</v>
      </c>
      <c r="M314" s="61">
        <v>44531</v>
      </c>
      <c r="O314" s="62" t="s">
        <v>331</v>
      </c>
      <c r="P314" s="60" t="s">
        <v>26</v>
      </c>
      <c r="Q314" s="62" t="s">
        <v>125</v>
      </c>
      <c r="R314" s="62" t="s">
        <v>2096</v>
      </c>
      <c r="S314" s="63" t="s">
        <v>709</v>
      </c>
      <c r="T314" s="63" t="s">
        <v>485</v>
      </c>
      <c r="U314" s="64">
        <v>95000</v>
      </c>
      <c r="V314" s="64">
        <v>104500</v>
      </c>
      <c r="W314" s="64">
        <v>80000</v>
      </c>
      <c r="X314" s="64">
        <v>88000</v>
      </c>
      <c r="Y314" s="64">
        <v>15000</v>
      </c>
      <c r="Z314" s="64">
        <v>16500</v>
      </c>
      <c r="AA314" s="61">
        <v>44591</v>
      </c>
      <c r="AB314" s="61">
        <v>44593</v>
      </c>
      <c r="AC314" s="61">
        <v>44593</v>
      </c>
      <c r="AD314" s="60">
        <v>0</v>
      </c>
      <c r="AG314" s="60">
        <v>0</v>
      </c>
      <c r="AJ314" s="60">
        <v>0</v>
      </c>
      <c r="AQ314" s="60" t="s">
        <v>1453</v>
      </c>
      <c r="AR314" s="61">
        <v>44554</v>
      </c>
      <c r="AS314" s="60">
        <v>6001974755</v>
      </c>
      <c r="AT314" s="61">
        <v>44554</v>
      </c>
      <c r="AU314" s="60" t="s">
        <v>1459</v>
      </c>
      <c r="AV314" s="61">
        <v>44592</v>
      </c>
      <c r="AW314" s="91">
        <v>44592</v>
      </c>
      <c r="AX314" s="91">
        <v>44612</v>
      </c>
      <c r="AY314" s="99">
        <v>91200</v>
      </c>
      <c r="AZ314" s="99">
        <f>ROUNDDOWN(AY314+(AY314*MASTER!$A$2/100),0)</f>
        <v>100320</v>
      </c>
      <c r="BA314" s="60" t="s">
        <v>317</v>
      </c>
      <c r="BB314" s="64">
        <v>34000</v>
      </c>
      <c r="BC314" s="64">
        <v>37400</v>
      </c>
      <c r="BD314" s="60" t="s">
        <v>2044</v>
      </c>
      <c r="BG314" s="64">
        <v>0</v>
      </c>
      <c r="BI314" s="60" t="s">
        <v>748</v>
      </c>
      <c r="BJ314" s="64">
        <v>9750</v>
      </c>
      <c r="BK314" s="64">
        <v>10725</v>
      </c>
      <c r="BL314" s="60" t="s">
        <v>1614</v>
      </c>
      <c r="BS314" s="64">
        <v>0</v>
      </c>
      <c r="BV314" s="65">
        <v>88000</v>
      </c>
      <c r="BW314" s="65">
        <v>48125</v>
      </c>
      <c r="BX314" s="65">
        <v>44531</v>
      </c>
      <c r="BY314" s="65">
        <v>39875</v>
      </c>
      <c r="BZ314" s="81">
        <v>45.3125</v>
      </c>
    </row>
    <row r="315" spans="1:78" x14ac:dyDescent="0.15">
      <c r="A315" s="60">
        <v>2</v>
      </c>
      <c r="B315" s="61">
        <v>44585</v>
      </c>
      <c r="C315" s="61">
        <v>44592</v>
      </c>
      <c r="D315" s="61">
        <v>44612</v>
      </c>
      <c r="E315" s="61">
        <v>44618</v>
      </c>
      <c r="F315" s="61">
        <v>44595</v>
      </c>
      <c r="G315" s="61">
        <v>44587</v>
      </c>
      <c r="H315" s="61">
        <v>44591</v>
      </c>
      <c r="I315" s="60" t="s">
        <v>612</v>
      </c>
      <c r="J315" s="60">
        <v>1</v>
      </c>
      <c r="L315" s="60">
        <v>0</v>
      </c>
      <c r="M315" s="61">
        <v>44531</v>
      </c>
      <c r="O315" s="62" t="s">
        <v>331</v>
      </c>
      <c r="P315" s="60" t="s">
        <v>26</v>
      </c>
      <c r="Q315" s="62" t="s">
        <v>125</v>
      </c>
      <c r="R315" s="62" t="s">
        <v>1888</v>
      </c>
      <c r="S315" s="63" t="s">
        <v>1021</v>
      </c>
      <c r="T315" s="63" t="s">
        <v>485</v>
      </c>
      <c r="U315" s="64">
        <v>95000</v>
      </c>
      <c r="V315" s="64">
        <v>104500</v>
      </c>
      <c r="W315" s="64">
        <v>80000</v>
      </c>
      <c r="X315" s="64">
        <v>88000</v>
      </c>
      <c r="Y315" s="64">
        <v>15000</v>
      </c>
      <c r="Z315" s="64">
        <v>16500</v>
      </c>
      <c r="AA315" s="61">
        <v>44587</v>
      </c>
      <c r="AB315" s="61">
        <v>44588</v>
      </c>
      <c r="AC315" s="61">
        <v>44588</v>
      </c>
      <c r="AD315" s="60">
        <v>0</v>
      </c>
      <c r="AG315" s="60">
        <v>0</v>
      </c>
      <c r="AJ315" s="60">
        <v>0</v>
      </c>
      <c r="AQ315" s="60" t="s">
        <v>1451</v>
      </c>
      <c r="AR315" s="61">
        <v>44554</v>
      </c>
      <c r="AS315" s="60">
        <v>6001974755</v>
      </c>
      <c r="AT315" s="61">
        <v>44554</v>
      </c>
      <c r="AU315" s="60" t="s">
        <v>1459</v>
      </c>
      <c r="AV315" s="61">
        <v>44592</v>
      </c>
      <c r="AW315" s="91">
        <v>44592</v>
      </c>
      <c r="AX315" s="91">
        <v>44612</v>
      </c>
      <c r="AY315" s="99">
        <v>91200</v>
      </c>
      <c r="AZ315" s="99">
        <f>ROUNDDOWN(AY315+(AY315*MASTER!$A$2/100),0)</f>
        <v>100320</v>
      </c>
      <c r="BA315" s="60" t="s">
        <v>317</v>
      </c>
      <c r="BB315" s="64">
        <v>33000</v>
      </c>
      <c r="BC315" s="64">
        <v>36300</v>
      </c>
      <c r="BD315" s="60" t="s">
        <v>1614</v>
      </c>
      <c r="BG315" s="64">
        <v>0</v>
      </c>
      <c r="BI315" s="60" t="s">
        <v>748</v>
      </c>
      <c r="BJ315" s="64">
        <v>9750</v>
      </c>
      <c r="BK315" s="64">
        <v>10725</v>
      </c>
      <c r="BL315" s="60" t="s">
        <v>1614</v>
      </c>
      <c r="BS315" s="64">
        <v>0</v>
      </c>
      <c r="BV315" s="65">
        <v>88000</v>
      </c>
      <c r="BW315" s="65">
        <v>47025</v>
      </c>
      <c r="BX315" s="65">
        <v>44531</v>
      </c>
      <c r="BY315" s="65">
        <v>40975</v>
      </c>
      <c r="BZ315" s="81">
        <v>46.5625</v>
      </c>
    </row>
    <row r="316" spans="1:78" x14ac:dyDescent="0.15">
      <c r="A316" s="60">
        <v>2</v>
      </c>
      <c r="B316" s="61">
        <v>44572</v>
      </c>
      <c r="C316" s="61">
        <v>44592</v>
      </c>
      <c r="D316" s="61">
        <v>44612</v>
      </c>
      <c r="E316" s="61">
        <v>44593</v>
      </c>
      <c r="F316" s="61">
        <v>44583</v>
      </c>
      <c r="G316" s="61">
        <v>44580</v>
      </c>
      <c r="H316" s="61">
        <v>44579</v>
      </c>
      <c r="I316" s="60" t="s">
        <v>612</v>
      </c>
      <c r="J316" s="60">
        <v>1</v>
      </c>
      <c r="L316" s="60">
        <v>0</v>
      </c>
      <c r="M316" s="61">
        <v>44531</v>
      </c>
      <c r="O316" s="62" t="s">
        <v>331</v>
      </c>
      <c r="P316" s="60" t="s">
        <v>26</v>
      </c>
      <c r="Q316" s="62" t="s">
        <v>125</v>
      </c>
      <c r="R316" s="62" t="s">
        <v>1723</v>
      </c>
      <c r="S316" s="63" t="s">
        <v>409</v>
      </c>
      <c r="T316" s="63" t="s">
        <v>485</v>
      </c>
      <c r="U316" s="64">
        <v>95000</v>
      </c>
      <c r="V316" s="64">
        <v>104500</v>
      </c>
      <c r="W316" s="64">
        <v>80000</v>
      </c>
      <c r="X316" s="64">
        <v>88000</v>
      </c>
      <c r="Y316" s="64">
        <v>15000</v>
      </c>
      <c r="Z316" s="64">
        <v>16500</v>
      </c>
      <c r="AA316" s="61">
        <v>44575</v>
      </c>
      <c r="AB316" s="61">
        <v>44576</v>
      </c>
      <c r="AC316" s="61">
        <v>44576</v>
      </c>
      <c r="AD316" s="60">
        <v>0</v>
      </c>
      <c r="AG316" s="60">
        <v>0</v>
      </c>
      <c r="AJ316" s="60">
        <v>0</v>
      </c>
      <c r="AQ316" s="60" t="s">
        <v>1450</v>
      </c>
      <c r="AR316" s="61">
        <v>44554</v>
      </c>
      <c r="AS316" s="60">
        <v>6001974755</v>
      </c>
      <c r="AT316" s="61">
        <v>44554</v>
      </c>
      <c r="AU316" s="60" t="s">
        <v>1459</v>
      </c>
      <c r="AV316" s="61">
        <v>44592</v>
      </c>
      <c r="AW316" s="91">
        <v>44592</v>
      </c>
      <c r="AX316" s="91">
        <v>44612</v>
      </c>
      <c r="AY316" s="99">
        <v>91200</v>
      </c>
      <c r="AZ316" s="99">
        <f>ROUNDDOWN(AY316+(AY316*MASTER!$A$2/100),0)</f>
        <v>100320</v>
      </c>
      <c r="BA316" s="60" t="s">
        <v>317</v>
      </c>
      <c r="BB316" s="64">
        <v>30000</v>
      </c>
      <c r="BC316" s="64">
        <v>33000</v>
      </c>
      <c r="BD316" s="60" t="s">
        <v>1614</v>
      </c>
      <c r="BG316" s="64">
        <v>0</v>
      </c>
      <c r="BI316" s="60" t="s">
        <v>748</v>
      </c>
      <c r="BJ316" s="64">
        <v>9750</v>
      </c>
      <c r="BK316" s="64">
        <v>10725</v>
      </c>
      <c r="BL316" s="60" t="s">
        <v>1614</v>
      </c>
      <c r="BS316" s="64">
        <v>0</v>
      </c>
      <c r="BV316" s="65">
        <v>88000</v>
      </c>
      <c r="BW316" s="65">
        <v>43725</v>
      </c>
      <c r="BX316" s="65">
        <v>44531</v>
      </c>
      <c r="BY316" s="65">
        <v>44275</v>
      </c>
      <c r="BZ316" s="81">
        <v>50.312500000000007</v>
      </c>
    </row>
    <row r="317" spans="1:78" x14ac:dyDescent="0.15">
      <c r="A317" s="60">
        <v>2</v>
      </c>
      <c r="B317" s="61">
        <v>44572</v>
      </c>
      <c r="C317" s="61">
        <v>44592</v>
      </c>
      <c r="D317" s="61">
        <v>44612</v>
      </c>
      <c r="E317" s="61">
        <v>44593</v>
      </c>
      <c r="F317" s="61">
        <v>44582</v>
      </c>
      <c r="G317" s="61">
        <v>44575</v>
      </c>
      <c r="H317" s="61">
        <v>44578</v>
      </c>
      <c r="I317" s="60" t="s">
        <v>612</v>
      </c>
      <c r="J317" s="60">
        <v>1</v>
      </c>
      <c r="L317" s="60">
        <v>0</v>
      </c>
      <c r="M317" s="61">
        <v>44531</v>
      </c>
      <c r="O317" s="62" t="s">
        <v>331</v>
      </c>
      <c r="P317" s="60" t="s">
        <v>26</v>
      </c>
      <c r="Q317" s="62" t="s">
        <v>125</v>
      </c>
      <c r="R317" s="62" t="s">
        <v>1724</v>
      </c>
      <c r="S317" s="63" t="s">
        <v>1072</v>
      </c>
      <c r="T317" s="63" t="s">
        <v>485</v>
      </c>
      <c r="U317" s="64">
        <v>95000</v>
      </c>
      <c r="V317" s="64">
        <v>104500</v>
      </c>
      <c r="W317" s="64">
        <v>80000</v>
      </c>
      <c r="X317" s="64">
        <v>88000</v>
      </c>
      <c r="Y317" s="64">
        <v>15000</v>
      </c>
      <c r="Z317" s="64">
        <v>16500</v>
      </c>
      <c r="AA317" s="61">
        <v>44574</v>
      </c>
      <c r="AB317" s="61">
        <v>44575</v>
      </c>
      <c r="AC317" s="61">
        <v>44575</v>
      </c>
      <c r="AD317" s="60">
        <v>0</v>
      </c>
      <c r="AG317" s="60">
        <v>0</v>
      </c>
      <c r="AJ317" s="60">
        <v>0</v>
      </c>
      <c r="AQ317" s="60" t="s">
        <v>1450</v>
      </c>
      <c r="AR317" s="61">
        <v>44554</v>
      </c>
      <c r="AS317" s="60">
        <v>6001974755</v>
      </c>
      <c r="AT317" s="61">
        <v>44554</v>
      </c>
      <c r="AU317" s="60" t="s">
        <v>1459</v>
      </c>
      <c r="AV317" s="61">
        <v>44592</v>
      </c>
      <c r="AW317" s="91">
        <v>44592</v>
      </c>
      <c r="AX317" s="91">
        <v>44612</v>
      </c>
      <c r="AY317" s="99">
        <v>91200</v>
      </c>
      <c r="AZ317" s="99">
        <f>ROUNDDOWN(AY317+(AY317*MASTER!$A$2/100),0)</f>
        <v>100320</v>
      </c>
      <c r="BA317" s="60" t="s">
        <v>317</v>
      </c>
      <c r="BB317" s="64">
        <v>43000</v>
      </c>
      <c r="BC317" s="64">
        <v>47300</v>
      </c>
      <c r="BD317" s="60" t="s">
        <v>1614</v>
      </c>
      <c r="BG317" s="64">
        <v>0</v>
      </c>
      <c r="BI317" s="60" t="s">
        <v>748</v>
      </c>
      <c r="BJ317" s="64">
        <v>9750</v>
      </c>
      <c r="BK317" s="64">
        <v>10725</v>
      </c>
      <c r="BL317" s="60" t="s">
        <v>1614</v>
      </c>
      <c r="BS317" s="64">
        <v>0</v>
      </c>
      <c r="BV317" s="65">
        <v>88000</v>
      </c>
      <c r="BW317" s="65">
        <v>58025</v>
      </c>
      <c r="BX317" s="65">
        <v>44531</v>
      </c>
      <c r="BY317" s="65">
        <v>29975</v>
      </c>
      <c r="BZ317" s="81">
        <v>34.0625</v>
      </c>
    </row>
    <row r="318" spans="1:78" x14ac:dyDescent="0.15">
      <c r="A318" s="60">
        <v>2</v>
      </c>
      <c r="B318" s="61">
        <v>44585</v>
      </c>
      <c r="C318" s="61">
        <v>44592</v>
      </c>
      <c r="D318" s="61">
        <v>44620</v>
      </c>
      <c r="E318" s="61">
        <v>44588</v>
      </c>
      <c r="F318" s="61">
        <v>44595</v>
      </c>
      <c r="G318" s="61">
        <v>44587</v>
      </c>
      <c r="H318" s="61">
        <v>44591</v>
      </c>
      <c r="I318" s="60" t="s">
        <v>511</v>
      </c>
      <c r="J318" s="60">
        <v>1</v>
      </c>
      <c r="L318" s="60">
        <v>0</v>
      </c>
      <c r="M318" s="61">
        <v>44531</v>
      </c>
      <c r="O318" s="62" t="s">
        <v>331</v>
      </c>
      <c r="P318" s="60" t="s">
        <v>26</v>
      </c>
      <c r="Q318" s="62" t="s">
        <v>125</v>
      </c>
      <c r="R318" s="62" t="s">
        <v>1999</v>
      </c>
      <c r="S318" s="63" t="s">
        <v>557</v>
      </c>
      <c r="T318" s="63" t="s">
        <v>485</v>
      </c>
      <c r="U318" s="64">
        <v>95000</v>
      </c>
      <c r="V318" s="64">
        <v>104500</v>
      </c>
      <c r="W318" s="64">
        <v>80000</v>
      </c>
      <c r="X318" s="64">
        <v>88000</v>
      </c>
      <c r="Y318" s="64">
        <v>15000</v>
      </c>
      <c r="Z318" s="64">
        <v>16500</v>
      </c>
      <c r="AA318" s="61">
        <v>44587</v>
      </c>
      <c r="AB318" s="61">
        <v>44588</v>
      </c>
      <c r="AC318" s="61">
        <v>44588</v>
      </c>
      <c r="AD318" s="60">
        <v>0</v>
      </c>
      <c r="AG318" s="60">
        <v>0</v>
      </c>
      <c r="AJ318" s="60">
        <v>0</v>
      </c>
      <c r="AQ318" s="60" t="s">
        <v>1450</v>
      </c>
      <c r="AR318" s="61">
        <v>44554</v>
      </c>
      <c r="AS318" s="60">
        <v>6001974755</v>
      </c>
      <c r="AT318" s="61">
        <v>44554</v>
      </c>
      <c r="AU318" s="60" t="s">
        <v>1459</v>
      </c>
      <c r="AV318" s="61">
        <v>44592</v>
      </c>
      <c r="AW318" s="91">
        <v>44592</v>
      </c>
      <c r="AX318" s="91">
        <v>44612</v>
      </c>
      <c r="AY318" s="99">
        <v>91200</v>
      </c>
      <c r="AZ318" s="99">
        <f>ROUNDDOWN(AY318+(AY318*MASTER!$A$2/100),0)</f>
        <v>100320</v>
      </c>
      <c r="BA318" s="60" t="s">
        <v>780</v>
      </c>
      <c r="BB318" s="64">
        <v>21000</v>
      </c>
      <c r="BC318" s="64">
        <v>23100</v>
      </c>
      <c r="BD318" s="60" t="s">
        <v>1614</v>
      </c>
      <c r="BG318" s="64">
        <v>0</v>
      </c>
      <c r="BI318" s="60" t="s">
        <v>748</v>
      </c>
      <c r="BJ318" s="64">
        <v>9750</v>
      </c>
      <c r="BK318" s="64">
        <v>10725</v>
      </c>
      <c r="BL318" s="60" t="s">
        <v>1614</v>
      </c>
      <c r="BS318" s="64">
        <v>0</v>
      </c>
      <c r="BV318" s="65">
        <v>88000</v>
      </c>
      <c r="BW318" s="65">
        <v>33825</v>
      </c>
      <c r="BX318" s="65">
        <v>44531</v>
      </c>
      <c r="BY318" s="65">
        <v>54175</v>
      </c>
      <c r="BZ318" s="81">
        <v>61.5625</v>
      </c>
    </row>
    <row r="319" spans="1:78" x14ac:dyDescent="0.15">
      <c r="A319" s="60">
        <v>2</v>
      </c>
      <c r="B319" s="61">
        <v>44585</v>
      </c>
      <c r="C319" s="61">
        <v>44592</v>
      </c>
      <c r="D319" s="61">
        <v>44620</v>
      </c>
      <c r="E319" s="61">
        <v>44593</v>
      </c>
      <c r="F319" s="61">
        <v>44595</v>
      </c>
      <c r="G319" s="61">
        <v>44587</v>
      </c>
      <c r="H319" s="61">
        <v>44591</v>
      </c>
      <c r="I319" s="60" t="s">
        <v>511</v>
      </c>
      <c r="J319" s="60">
        <v>1</v>
      </c>
      <c r="L319" s="60">
        <v>0</v>
      </c>
      <c r="M319" s="61">
        <v>44531</v>
      </c>
      <c r="O319" s="62" t="s">
        <v>331</v>
      </c>
      <c r="P319" s="60" t="s">
        <v>26</v>
      </c>
      <c r="Q319" s="62" t="s">
        <v>125</v>
      </c>
      <c r="R319" s="62" t="s">
        <v>2061</v>
      </c>
      <c r="S319" s="63" t="s">
        <v>1073</v>
      </c>
      <c r="T319" s="63" t="s">
        <v>485</v>
      </c>
      <c r="U319" s="64">
        <v>95000</v>
      </c>
      <c r="V319" s="64">
        <v>104500</v>
      </c>
      <c r="W319" s="64">
        <v>80000</v>
      </c>
      <c r="X319" s="64">
        <v>88000</v>
      </c>
      <c r="Y319" s="64">
        <v>15000</v>
      </c>
      <c r="Z319" s="64">
        <v>16500</v>
      </c>
      <c r="AA319" s="61">
        <v>44587</v>
      </c>
      <c r="AB319" s="61">
        <v>44588</v>
      </c>
      <c r="AC319" s="61">
        <v>44588</v>
      </c>
      <c r="AD319" s="60">
        <v>0</v>
      </c>
      <c r="AG319" s="60">
        <v>0</v>
      </c>
      <c r="AJ319" s="60">
        <v>0</v>
      </c>
      <c r="AQ319" s="60" t="s">
        <v>1450</v>
      </c>
      <c r="AR319" s="61">
        <v>44554</v>
      </c>
      <c r="AS319" s="60">
        <v>6001974755</v>
      </c>
      <c r="AT319" s="61">
        <v>44554</v>
      </c>
      <c r="AU319" s="60" t="s">
        <v>1459</v>
      </c>
      <c r="AV319" s="61">
        <v>44592</v>
      </c>
      <c r="AW319" s="91">
        <v>44592</v>
      </c>
      <c r="AX319" s="91">
        <v>44612</v>
      </c>
      <c r="AY319" s="99">
        <v>91200</v>
      </c>
      <c r="AZ319" s="99">
        <f>ROUNDDOWN(AY319+(AY319*MASTER!$A$2/100),0)</f>
        <v>100320</v>
      </c>
      <c r="BA319" s="60" t="s">
        <v>780</v>
      </c>
      <c r="BB319" s="64">
        <v>23000</v>
      </c>
      <c r="BC319" s="64">
        <v>25300</v>
      </c>
      <c r="BD319" s="60" t="s">
        <v>1614</v>
      </c>
      <c r="BG319" s="64">
        <v>0</v>
      </c>
      <c r="BI319" s="60" t="s">
        <v>748</v>
      </c>
      <c r="BJ319" s="64">
        <v>9750</v>
      </c>
      <c r="BK319" s="64">
        <v>10725</v>
      </c>
      <c r="BL319" s="60" t="s">
        <v>1614</v>
      </c>
      <c r="BS319" s="64">
        <v>0</v>
      </c>
      <c r="BV319" s="65">
        <v>88000</v>
      </c>
      <c r="BW319" s="65">
        <v>36025</v>
      </c>
      <c r="BX319" s="65">
        <v>44531</v>
      </c>
      <c r="BY319" s="65">
        <v>51975</v>
      </c>
      <c r="BZ319" s="81">
        <v>59.062499999999993</v>
      </c>
    </row>
    <row r="320" spans="1:78" x14ac:dyDescent="0.15">
      <c r="A320" s="60">
        <v>2</v>
      </c>
      <c r="B320" s="61">
        <v>44585</v>
      </c>
      <c r="C320" s="61">
        <v>44592</v>
      </c>
      <c r="D320" s="61">
        <v>44620</v>
      </c>
      <c r="E320" s="61">
        <v>44593</v>
      </c>
      <c r="F320" s="61">
        <v>44595</v>
      </c>
      <c r="G320" s="61">
        <v>44587</v>
      </c>
      <c r="H320" s="61">
        <v>44591</v>
      </c>
      <c r="I320" s="60" t="s">
        <v>511</v>
      </c>
      <c r="J320" s="60">
        <v>1</v>
      </c>
      <c r="L320" s="60">
        <v>0</v>
      </c>
      <c r="M320" s="61">
        <v>44531</v>
      </c>
      <c r="O320" s="62" t="s">
        <v>331</v>
      </c>
      <c r="P320" s="60" t="s">
        <v>26</v>
      </c>
      <c r="Q320" s="62" t="s">
        <v>125</v>
      </c>
      <c r="R320" s="62" t="s">
        <v>2000</v>
      </c>
      <c r="S320" s="63" t="s">
        <v>1166</v>
      </c>
      <c r="T320" s="63" t="s">
        <v>485</v>
      </c>
      <c r="U320" s="64">
        <v>95000</v>
      </c>
      <c r="V320" s="64">
        <v>104500</v>
      </c>
      <c r="W320" s="64">
        <v>80000</v>
      </c>
      <c r="X320" s="64">
        <v>88000</v>
      </c>
      <c r="Y320" s="64">
        <v>15000</v>
      </c>
      <c r="Z320" s="64">
        <v>16500</v>
      </c>
      <c r="AA320" s="61">
        <v>44587</v>
      </c>
      <c r="AB320" s="61">
        <v>44588</v>
      </c>
      <c r="AC320" s="61">
        <v>44588</v>
      </c>
      <c r="AD320" s="60">
        <v>0</v>
      </c>
      <c r="AG320" s="60">
        <v>0</v>
      </c>
      <c r="AJ320" s="60">
        <v>0</v>
      </c>
      <c r="AQ320" s="60" t="s">
        <v>1450</v>
      </c>
      <c r="AR320" s="61">
        <v>44554</v>
      </c>
      <c r="AS320" s="60">
        <v>6001974755</v>
      </c>
      <c r="AT320" s="61">
        <v>44554</v>
      </c>
      <c r="AU320" s="60" t="s">
        <v>1459</v>
      </c>
      <c r="AV320" s="61">
        <v>44592</v>
      </c>
      <c r="AW320" s="91">
        <v>44592</v>
      </c>
      <c r="AX320" s="91">
        <v>44612</v>
      </c>
      <c r="AY320" s="99">
        <v>91200</v>
      </c>
      <c r="AZ320" s="99">
        <f>ROUNDDOWN(AY320+(AY320*MASTER!$A$2/100),0)</f>
        <v>100320</v>
      </c>
      <c r="BA320" s="60" t="s">
        <v>780</v>
      </c>
      <c r="BB320" s="64">
        <v>25000</v>
      </c>
      <c r="BC320" s="64">
        <v>27500</v>
      </c>
      <c r="BD320" s="60" t="s">
        <v>1614</v>
      </c>
      <c r="BG320" s="64">
        <v>0</v>
      </c>
      <c r="BI320" s="60" t="s">
        <v>748</v>
      </c>
      <c r="BJ320" s="64">
        <v>9750</v>
      </c>
      <c r="BK320" s="64">
        <v>10725</v>
      </c>
      <c r="BL320" s="60" t="s">
        <v>1614</v>
      </c>
      <c r="BS320" s="64">
        <v>0</v>
      </c>
      <c r="BV320" s="65">
        <v>88000</v>
      </c>
      <c r="BW320" s="65">
        <v>38225</v>
      </c>
      <c r="BX320" s="65">
        <v>44531</v>
      </c>
      <c r="BY320" s="65">
        <v>49775</v>
      </c>
      <c r="BZ320" s="81">
        <v>56.562500000000007</v>
      </c>
    </row>
    <row r="321" spans="1:89" x14ac:dyDescent="0.15">
      <c r="A321" s="60">
        <v>1</v>
      </c>
      <c r="B321" s="61">
        <v>44594</v>
      </c>
      <c r="C321" s="61">
        <v>44610</v>
      </c>
      <c r="F321" s="61" t="s">
        <v>309</v>
      </c>
      <c r="H321" s="61" t="s">
        <v>309</v>
      </c>
      <c r="J321" s="60">
        <v>3</v>
      </c>
      <c r="L321" s="60">
        <v>0</v>
      </c>
      <c r="M321" s="61">
        <v>44531</v>
      </c>
      <c r="O321" s="62" t="s">
        <v>331</v>
      </c>
      <c r="P321" s="60" t="s">
        <v>6</v>
      </c>
      <c r="Q321" s="62" t="s">
        <v>125</v>
      </c>
      <c r="R321" s="62" t="s">
        <v>1078</v>
      </c>
      <c r="S321" s="63" t="s">
        <v>1079</v>
      </c>
      <c r="T321" s="63" t="s">
        <v>463</v>
      </c>
      <c r="U321" s="64">
        <v>9000</v>
      </c>
      <c r="V321" s="64">
        <v>9900</v>
      </c>
      <c r="W321" s="64">
        <v>0</v>
      </c>
      <c r="X321" s="64">
        <v>0</v>
      </c>
      <c r="Y321" s="64">
        <v>9000</v>
      </c>
      <c r="Z321" s="64">
        <v>9900</v>
      </c>
      <c r="AD321" s="60">
        <v>0</v>
      </c>
      <c r="AG321" s="60">
        <v>0</v>
      </c>
      <c r="AJ321" s="60">
        <v>0</v>
      </c>
      <c r="AQ321" s="60" t="s">
        <v>1201</v>
      </c>
      <c r="AR321" s="61">
        <v>44539</v>
      </c>
      <c r="AS321" s="60">
        <v>6001967771</v>
      </c>
      <c r="AT321" s="61">
        <v>44540</v>
      </c>
      <c r="AU321" s="60" t="s">
        <v>1217</v>
      </c>
      <c r="AV321" s="61">
        <v>44610</v>
      </c>
      <c r="AW321" s="91">
        <v>44620</v>
      </c>
      <c r="AX321" s="91">
        <v>44640</v>
      </c>
      <c r="AY321" s="99">
        <v>8640</v>
      </c>
      <c r="AZ321" s="99">
        <f>ROUNDDOWN(AY321+(AY321*MASTER!$A$2/100),0)</f>
        <v>9504</v>
      </c>
      <c r="BC321" s="64">
        <v>0</v>
      </c>
      <c r="BG321" s="64">
        <v>0</v>
      </c>
      <c r="BK321" s="64">
        <v>0</v>
      </c>
      <c r="BS321" s="64">
        <v>0</v>
      </c>
      <c r="BV321" s="65">
        <v>0</v>
      </c>
      <c r="BW321" s="65">
        <v>0</v>
      </c>
      <c r="BX321" s="65">
        <v>44531</v>
      </c>
      <c r="BY321" s="65">
        <v>0</v>
      </c>
      <c r="BZ321" s="81" t="s">
        <v>309</v>
      </c>
    </row>
    <row r="322" spans="1:89" x14ac:dyDescent="0.15">
      <c r="A322" s="60">
        <v>2</v>
      </c>
      <c r="B322" s="61">
        <v>44592</v>
      </c>
      <c r="C322" s="61">
        <v>44594</v>
      </c>
      <c r="D322" s="61">
        <v>44635</v>
      </c>
      <c r="E322" s="61">
        <v>44597</v>
      </c>
      <c r="F322" s="61">
        <v>44601</v>
      </c>
      <c r="G322" s="61">
        <v>44594</v>
      </c>
      <c r="H322" s="61">
        <v>44597</v>
      </c>
      <c r="I322" s="60" t="s">
        <v>511</v>
      </c>
      <c r="J322" s="60">
        <v>1</v>
      </c>
      <c r="L322" s="60">
        <v>0</v>
      </c>
      <c r="M322" s="61">
        <v>44531</v>
      </c>
      <c r="O322" s="62" t="s">
        <v>331</v>
      </c>
      <c r="P322" s="60" t="s">
        <v>26</v>
      </c>
      <c r="Q322" s="62" t="s">
        <v>125</v>
      </c>
      <c r="R322" s="62" t="s">
        <v>1401</v>
      </c>
      <c r="S322" s="63" t="s">
        <v>844</v>
      </c>
      <c r="T322" s="63" t="s">
        <v>1402</v>
      </c>
      <c r="U322" s="64">
        <v>59000</v>
      </c>
      <c r="V322" s="64">
        <v>64900</v>
      </c>
      <c r="W322" s="64">
        <v>47000</v>
      </c>
      <c r="X322" s="64">
        <v>51700</v>
      </c>
      <c r="Y322" s="64">
        <v>12000</v>
      </c>
      <c r="Z322" s="64">
        <v>13200</v>
      </c>
      <c r="AA322" s="61">
        <v>44593</v>
      </c>
      <c r="AB322" s="61">
        <v>44594</v>
      </c>
      <c r="AC322" s="61">
        <v>44594</v>
      </c>
      <c r="AD322" s="60">
        <v>0</v>
      </c>
      <c r="AG322" s="60">
        <v>0</v>
      </c>
      <c r="AJ322" s="60">
        <v>0</v>
      </c>
      <c r="AM322" s="60" t="s">
        <v>273</v>
      </c>
      <c r="AN322" s="60" t="s">
        <v>1403</v>
      </c>
      <c r="AQ322" s="60" t="s">
        <v>1410</v>
      </c>
      <c r="AR322" s="61">
        <v>44551</v>
      </c>
      <c r="AS322" s="60">
        <v>6001973807</v>
      </c>
      <c r="AT322" s="61">
        <v>44552</v>
      </c>
      <c r="AU322" s="60" t="s">
        <v>1423</v>
      </c>
      <c r="AV322" s="61">
        <v>44594</v>
      </c>
      <c r="AW322" s="91">
        <v>44620</v>
      </c>
      <c r="AX322" s="91">
        <v>44640</v>
      </c>
      <c r="AY322" s="99">
        <v>56640</v>
      </c>
      <c r="AZ322" s="99">
        <f>ROUNDDOWN(AY322+(AY322*MASTER!$A$2/100),0)</f>
        <v>62304</v>
      </c>
      <c r="BA322" s="60" t="s">
        <v>319</v>
      </c>
      <c r="BB322" s="64">
        <v>28000</v>
      </c>
      <c r="BC322" s="64">
        <v>30800</v>
      </c>
      <c r="BD322" s="60" t="s">
        <v>2044</v>
      </c>
      <c r="BG322" s="64">
        <v>0</v>
      </c>
      <c r="BI322" s="60" t="s">
        <v>748</v>
      </c>
      <c r="BJ322" s="64">
        <v>7800</v>
      </c>
      <c r="BK322" s="64">
        <v>8580</v>
      </c>
      <c r="BL322" s="60" t="s">
        <v>2044</v>
      </c>
      <c r="BS322" s="64">
        <v>0</v>
      </c>
      <c r="BV322" s="65">
        <v>51700</v>
      </c>
      <c r="BW322" s="65">
        <v>39380</v>
      </c>
      <c r="BX322" s="65">
        <v>44531</v>
      </c>
      <c r="BY322" s="65">
        <v>12320</v>
      </c>
      <c r="BZ322" s="81">
        <v>23.829787234042556</v>
      </c>
      <c r="CD322" s="63" t="s">
        <v>1957</v>
      </c>
    </row>
    <row r="323" spans="1:89" x14ac:dyDescent="0.15">
      <c r="A323" s="60">
        <v>2</v>
      </c>
      <c r="B323" s="61">
        <v>44607</v>
      </c>
      <c r="C323" s="61">
        <v>44607</v>
      </c>
      <c r="D323" s="61">
        <v>44635</v>
      </c>
      <c r="E323" s="61">
        <v>44618</v>
      </c>
      <c r="F323" s="61">
        <v>44615</v>
      </c>
      <c r="G323" s="61">
        <v>44608</v>
      </c>
      <c r="H323" s="61">
        <v>44611</v>
      </c>
      <c r="I323" s="60" t="s">
        <v>511</v>
      </c>
      <c r="J323" s="60">
        <v>1</v>
      </c>
      <c r="L323" s="60">
        <v>0</v>
      </c>
      <c r="M323" s="61">
        <v>44531</v>
      </c>
      <c r="O323" s="62" t="s">
        <v>331</v>
      </c>
      <c r="P323" s="60" t="s">
        <v>26</v>
      </c>
      <c r="Q323" s="62" t="s">
        <v>125</v>
      </c>
      <c r="R323" s="62" t="s">
        <v>1404</v>
      </c>
      <c r="S323" s="63" t="s">
        <v>1405</v>
      </c>
      <c r="T323" s="63" t="s">
        <v>1391</v>
      </c>
      <c r="U323" s="64">
        <v>59000</v>
      </c>
      <c r="V323" s="64">
        <v>64900</v>
      </c>
      <c r="W323" s="64">
        <v>47000</v>
      </c>
      <c r="X323" s="64">
        <v>51700</v>
      </c>
      <c r="Y323" s="64">
        <v>12000</v>
      </c>
      <c r="Z323" s="64">
        <v>13200</v>
      </c>
      <c r="AA323" s="61">
        <v>44607</v>
      </c>
      <c r="AB323" s="61">
        <v>44608</v>
      </c>
      <c r="AC323" s="61">
        <v>44608</v>
      </c>
      <c r="AD323" s="60">
        <v>0</v>
      </c>
      <c r="AG323" s="60">
        <v>0</v>
      </c>
      <c r="AJ323" s="60">
        <v>0</v>
      </c>
      <c r="AM323" s="60" t="s">
        <v>273</v>
      </c>
      <c r="AN323" s="60" t="s">
        <v>1406</v>
      </c>
      <c r="AQ323" s="60" t="s">
        <v>1411</v>
      </c>
      <c r="AR323" s="61">
        <v>44551</v>
      </c>
      <c r="AS323" s="60">
        <v>6001973807</v>
      </c>
      <c r="AT323" s="61">
        <v>44552</v>
      </c>
      <c r="AU323" s="60" t="s">
        <v>1423</v>
      </c>
      <c r="AV323" s="61">
        <v>44607</v>
      </c>
      <c r="AW323" s="91">
        <v>44620</v>
      </c>
      <c r="AX323" s="91">
        <v>44640</v>
      </c>
      <c r="AY323" s="99">
        <v>56640</v>
      </c>
      <c r="AZ323" s="99">
        <f>ROUNDDOWN(AY323+(AY323*MASTER!$A$2/100),0)</f>
        <v>62304</v>
      </c>
      <c r="BA323" s="60" t="s">
        <v>319</v>
      </c>
      <c r="BB323" s="64">
        <v>26000</v>
      </c>
      <c r="BC323" s="64">
        <v>28600</v>
      </c>
      <c r="BD323" s="60" t="s">
        <v>2044</v>
      </c>
      <c r="BG323" s="64">
        <v>0</v>
      </c>
      <c r="BI323" s="60" t="s">
        <v>748</v>
      </c>
      <c r="BJ323" s="64">
        <v>7800</v>
      </c>
      <c r="BK323" s="64">
        <v>8580</v>
      </c>
      <c r="BL323" s="60" t="s">
        <v>2044</v>
      </c>
      <c r="BS323" s="64">
        <v>0</v>
      </c>
      <c r="BV323" s="65">
        <v>51700</v>
      </c>
      <c r="BW323" s="65">
        <v>37180</v>
      </c>
      <c r="BX323" s="65">
        <v>44531</v>
      </c>
      <c r="BY323" s="65">
        <v>14520</v>
      </c>
      <c r="BZ323" s="81">
        <v>28.085106382978726</v>
      </c>
    </row>
    <row r="324" spans="1:89" x14ac:dyDescent="0.15">
      <c r="A324" s="60">
        <v>2</v>
      </c>
      <c r="B324" s="61">
        <v>44592</v>
      </c>
      <c r="C324" s="61">
        <v>44611</v>
      </c>
      <c r="D324" s="61">
        <v>44635</v>
      </c>
      <c r="E324" s="61">
        <v>44597</v>
      </c>
      <c r="F324" s="61">
        <v>44603</v>
      </c>
      <c r="G324" s="61">
        <v>44596</v>
      </c>
      <c r="H324" s="61">
        <v>44599</v>
      </c>
      <c r="I324" s="60" t="s">
        <v>511</v>
      </c>
      <c r="J324" s="60">
        <v>1</v>
      </c>
      <c r="L324" s="60">
        <v>0</v>
      </c>
      <c r="M324" s="61">
        <v>44531</v>
      </c>
      <c r="O324" s="62" t="s">
        <v>331</v>
      </c>
      <c r="P324" s="60" t="s">
        <v>26</v>
      </c>
      <c r="Q324" s="62" t="s">
        <v>125</v>
      </c>
      <c r="R324" s="62" t="s">
        <v>1489</v>
      </c>
      <c r="S324" s="63" t="s">
        <v>367</v>
      </c>
      <c r="T324" s="63" t="s">
        <v>1479</v>
      </c>
      <c r="U324" s="64">
        <v>59000</v>
      </c>
      <c r="V324" s="64">
        <v>64900</v>
      </c>
      <c r="W324" s="64">
        <v>47000</v>
      </c>
      <c r="X324" s="64">
        <v>51700</v>
      </c>
      <c r="Y324" s="64">
        <v>12000</v>
      </c>
      <c r="Z324" s="64">
        <v>13200</v>
      </c>
      <c r="AA324" s="61">
        <v>44595</v>
      </c>
      <c r="AB324" s="61">
        <v>44596</v>
      </c>
      <c r="AC324" s="61">
        <v>44596</v>
      </c>
      <c r="AD324" s="60">
        <v>0</v>
      </c>
      <c r="AG324" s="60">
        <v>0</v>
      </c>
      <c r="AJ324" s="60">
        <v>0</v>
      </c>
      <c r="AM324" s="60" t="s">
        <v>273</v>
      </c>
      <c r="AN324" s="60" t="s">
        <v>1490</v>
      </c>
      <c r="AQ324" s="60" t="s">
        <v>1491</v>
      </c>
      <c r="AR324" s="61">
        <v>44557</v>
      </c>
      <c r="AS324" s="60">
        <v>6001975498</v>
      </c>
      <c r="AT324" s="61">
        <v>44558</v>
      </c>
      <c r="AU324" s="60" t="s">
        <v>1518</v>
      </c>
      <c r="AV324" s="61">
        <v>44611</v>
      </c>
      <c r="AW324" s="91">
        <v>44620</v>
      </c>
      <c r="AX324" s="91">
        <v>44640</v>
      </c>
      <c r="AY324" s="99">
        <v>56640</v>
      </c>
      <c r="AZ324" s="99">
        <f>ROUNDDOWN(AY324+(AY324*MASTER!$A$2/100),0)</f>
        <v>62304</v>
      </c>
      <c r="BA324" s="60" t="s">
        <v>319</v>
      </c>
      <c r="BB324" s="64">
        <v>32000</v>
      </c>
      <c r="BC324" s="64">
        <v>35200</v>
      </c>
      <c r="BD324" s="60" t="s">
        <v>2044</v>
      </c>
      <c r="BG324" s="64">
        <v>0</v>
      </c>
      <c r="BI324" s="60" t="s">
        <v>748</v>
      </c>
      <c r="BJ324" s="64">
        <v>7800</v>
      </c>
      <c r="BK324" s="64">
        <v>8580</v>
      </c>
      <c r="BL324" s="60" t="s">
        <v>2044</v>
      </c>
      <c r="BS324" s="64">
        <v>0</v>
      </c>
      <c r="BV324" s="65">
        <v>51700</v>
      </c>
      <c r="BW324" s="65">
        <v>43780</v>
      </c>
      <c r="BX324" s="65">
        <v>44531</v>
      </c>
      <c r="BY324" s="65">
        <v>7920</v>
      </c>
      <c r="BZ324" s="81">
        <v>15.319148936170212</v>
      </c>
    </row>
    <row r="325" spans="1:89" x14ac:dyDescent="0.15">
      <c r="A325" s="60">
        <v>2</v>
      </c>
      <c r="B325" s="61">
        <v>44607</v>
      </c>
      <c r="C325" s="61">
        <v>44611</v>
      </c>
      <c r="D325" s="61">
        <v>44635</v>
      </c>
      <c r="E325" s="61">
        <v>44622</v>
      </c>
      <c r="F325" s="61">
        <v>44617</v>
      </c>
      <c r="G325" s="61">
        <v>44613</v>
      </c>
      <c r="H325" s="61">
        <v>44613</v>
      </c>
      <c r="I325" s="60" t="s">
        <v>511</v>
      </c>
      <c r="J325" s="60">
        <v>1</v>
      </c>
      <c r="L325" s="60">
        <v>0</v>
      </c>
      <c r="M325" s="61">
        <v>44531</v>
      </c>
      <c r="O325" s="62" t="s">
        <v>331</v>
      </c>
      <c r="P325" s="60" t="s">
        <v>26</v>
      </c>
      <c r="Q325" s="62" t="s">
        <v>125</v>
      </c>
      <c r="R325" s="62" t="s">
        <v>1492</v>
      </c>
      <c r="S325" s="63" t="s">
        <v>1493</v>
      </c>
      <c r="T325" s="63" t="s">
        <v>1391</v>
      </c>
      <c r="U325" s="64">
        <v>59000</v>
      </c>
      <c r="V325" s="64">
        <v>64900</v>
      </c>
      <c r="W325" s="64">
        <v>47000</v>
      </c>
      <c r="X325" s="64">
        <v>51700</v>
      </c>
      <c r="Y325" s="64">
        <v>12000</v>
      </c>
      <c r="Z325" s="64">
        <v>13200</v>
      </c>
      <c r="AA325" s="61">
        <v>44609</v>
      </c>
      <c r="AB325" s="61">
        <v>44610</v>
      </c>
      <c r="AC325" s="61">
        <v>44610</v>
      </c>
      <c r="AD325" s="60">
        <v>0</v>
      </c>
      <c r="AG325" s="60">
        <v>0</v>
      </c>
      <c r="AJ325" s="60">
        <v>0</v>
      </c>
      <c r="AM325" s="60" t="s">
        <v>273</v>
      </c>
      <c r="AN325" s="60" t="s">
        <v>1494</v>
      </c>
      <c r="AQ325" s="60" t="s">
        <v>1495</v>
      </c>
      <c r="AR325" s="61">
        <v>44557</v>
      </c>
      <c r="AS325" s="60">
        <v>6001975498</v>
      </c>
      <c r="AT325" s="61">
        <v>44558</v>
      </c>
      <c r="AU325" s="60" t="s">
        <v>1518</v>
      </c>
      <c r="AV325" s="61">
        <v>44611</v>
      </c>
      <c r="AW325" s="91">
        <v>44620</v>
      </c>
      <c r="AX325" s="91">
        <v>44640</v>
      </c>
      <c r="AY325" s="99">
        <v>56640</v>
      </c>
      <c r="AZ325" s="99">
        <f>ROUNDDOWN(AY325+(AY325*MASTER!$A$2/100),0)</f>
        <v>62304</v>
      </c>
      <c r="BA325" s="60" t="s">
        <v>319</v>
      </c>
      <c r="BB325" s="64">
        <v>32000</v>
      </c>
      <c r="BC325" s="64">
        <v>35200</v>
      </c>
      <c r="BD325" s="60" t="s">
        <v>2044</v>
      </c>
      <c r="BG325" s="64">
        <v>0</v>
      </c>
      <c r="BI325" s="60" t="s">
        <v>748</v>
      </c>
      <c r="BJ325" s="64">
        <v>7800</v>
      </c>
      <c r="BK325" s="64">
        <v>8580</v>
      </c>
      <c r="BL325" s="60" t="s">
        <v>2044</v>
      </c>
      <c r="BS325" s="64">
        <v>0</v>
      </c>
      <c r="BV325" s="65">
        <v>51700</v>
      </c>
      <c r="BW325" s="65">
        <v>43780</v>
      </c>
      <c r="BX325" s="65">
        <v>44531</v>
      </c>
      <c r="BY325" s="65">
        <v>7920</v>
      </c>
      <c r="BZ325" s="81">
        <v>15.319148936170212</v>
      </c>
    </row>
    <row r="326" spans="1:89" x14ac:dyDescent="0.15">
      <c r="A326" s="60">
        <v>2</v>
      </c>
      <c r="B326" s="61">
        <v>44572</v>
      </c>
      <c r="C326" s="61">
        <v>44611</v>
      </c>
      <c r="D326" s="61">
        <v>44596</v>
      </c>
      <c r="E326" s="61">
        <v>44581</v>
      </c>
      <c r="F326" s="61">
        <v>44583</v>
      </c>
      <c r="G326" s="61">
        <v>44578</v>
      </c>
      <c r="H326" s="61">
        <v>44579</v>
      </c>
      <c r="I326" s="60" t="s">
        <v>511</v>
      </c>
      <c r="J326" s="60">
        <v>1</v>
      </c>
      <c r="L326" s="60">
        <v>0</v>
      </c>
      <c r="M326" s="61">
        <v>44531</v>
      </c>
      <c r="O326" s="62" t="s">
        <v>331</v>
      </c>
      <c r="P326" s="60" t="s">
        <v>26</v>
      </c>
      <c r="Q326" s="62" t="s">
        <v>125</v>
      </c>
      <c r="R326" s="62" t="s">
        <v>1717</v>
      </c>
      <c r="S326" s="63" t="s">
        <v>406</v>
      </c>
      <c r="T326" s="63" t="s">
        <v>1402</v>
      </c>
      <c r="U326" s="64">
        <v>59000</v>
      </c>
      <c r="V326" s="64">
        <v>64900</v>
      </c>
      <c r="W326" s="64">
        <v>47000</v>
      </c>
      <c r="X326" s="64">
        <v>51700</v>
      </c>
      <c r="Y326" s="64">
        <v>12000</v>
      </c>
      <c r="Z326" s="64">
        <v>13200</v>
      </c>
      <c r="AA326" s="61">
        <v>44575</v>
      </c>
      <c r="AB326" s="61">
        <v>44576</v>
      </c>
      <c r="AC326" s="61">
        <v>44576</v>
      </c>
      <c r="AD326" s="60">
        <v>0</v>
      </c>
      <c r="AG326" s="60">
        <v>0</v>
      </c>
      <c r="AJ326" s="60">
        <v>0</v>
      </c>
      <c r="AM326" s="60" t="s">
        <v>273</v>
      </c>
      <c r="AN326" s="60" t="s">
        <v>1718</v>
      </c>
      <c r="AQ326" s="60" t="s">
        <v>1435</v>
      </c>
      <c r="AR326" s="61">
        <v>44553</v>
      </c>
      <c r="AS326" s="60">
        <v>6001974568</v>
      </c>
      <c r="AT326" s="61">
        <v>44553</v>
      </c>
      <c r="AU326" s="60" t="s">
        <v>1445</v>
      </c>
      <c r="AV326" s="61">
        <v>44611</v>
      </c>
      <c r="AW326" s="91">
        <v>44592</v>
      </c>
      <c r="AX326" s="91">
        <v>44612</v>
      </c>
      <c r="AY326" s="99">
        <v>56640</v>
      </c>
      <c r="AZ326" s="99">
        <f>ROUNDDOWN(AY326+(AY326*MASTER!$A$2/100),0)</f>
        <v>62304</v>
      </c>
      <c r="BA326" s="60" t="s">
        <v>582</v>
      </c>
      <c r="BB326" s="64">
        <v>56000</v>
      </c>
      <c r="BC326" s="64">
        <v>61600</v>
      </c>
      <c r="BD326" s="60" t="s">
        <v>1614</v>
      </c>
      <c r="BG326" s="64">
        <v>0</v>
      </c>
      <c r="BI326" s="60" t="s">
        <v>748</v>
      </c>
      <c r="BJ326" s="64">
        <v>7800</v>
      </c>
      <c r="BK326" s="64">
        <v>8580</v>
      </c>
      <c r="BL326" s="60" t="s">
        <v>1614</v>
      </c>
      <c r="BS326" s="64">
        <v>0</v>
      </c>
      <c r="BV326" s="65">
        <v>51700</v>
      </c>
      <c r="BW326" s="65">
        <v>70180</v>
      </c>
      <c r="BX326" s="65">
        <v>44531</v>
      </c>
      <c r="BY326" s="65">
        <v>-18480</v>
      </c>
      <c r="BZ326" s="81">
        <v>-35.744680851063833</v>
      </c>
    </row>
    <row r="327" spans="1:89" x14ac:dyDescent="0.15">
      <c r="A327" s="60">
        <v>2</v>
      </c>
      <c r="B327" s="61">
        <v>44572</v>
      </c>
      <c r="C327" s="61">
        <v>44611</v>
      </c>
      <c r="E327" s="61">
        <v>44581</v>
      </c>
      <c r="F327" s="61">
        <v>44582</v>
      </c>
      <c r="G327" s="61">
        <v>44575</v>
      </c>
      <c r="H327" s="61">
        <v>44578</v>
      </c>
      <c r="I327" s="60" t="s">
        <v>511</v>
      </c>
      <c r="J327" s="60">
        <v>1</v>
      </c>
      <c r="L327" s="60">
        <v>0</v>
      </c>
      <c r="M327" s="61">
        <v>44531</v>
      </c>
      <c r="O327" s="62" t="s">
        <v>331</v>
      </c>
      <c r="P327" s="60" t="s">
        <v>26</v>
      </c>
      <c r="Q327" s="62" t="s">
        <v>125</v>
      </c>
      <c r="R327" s="62" t="s">
        <v>1725</v>
      </c>
      <c r="S327" s="63" t="s">
        <v>1070</v>
      </c>
      <c r="T327" s="63" t="s">
        <v>1476</v>
      </c>
      <c r="U327" s="64">
        <v>59000</v>
      </c>
      <c r="V327" s="64">
        <v>64900</v>
      </c>
      <c r="W327" s="64">
        <v>47000</v>
      </c>
      <c r="X327" s="64">
        <v>51700</v>
      </c>
      <c r="Y327" s="64">
        <v>12000</v>
      </c>
      <c r="Z327" s="64">
        <v>13200</v>
      </c>
      <c r="AA327" s="61">
        <v>44574</v>
      </c>
      <c r="AB327" s="61">
        <v>44575</v>
      </c>
      <c r="AC327" s="61">
        <v>44575</v>
      </c>
      <c r="AD327" s="60">
        <v>0</v>
      </c>
      <c r="AG327" s="60">
        <v>0</v>
      </c>
      <c r="AJ327" s="60">
        <v>0</v>
      </c>
      <c r="AM327" s="60" t="s">
        <v>273</v>
      </c>
      <c r="AN327" s="60" t="s">
        <v>1726</v>
      </c>
      <c r="AQ327" s="60" t="s">
        <v>1436</v>
      </c>
      <c r="AR327" s="61">
        <v>44553</v>
      </c>
      <c r="AS327" s="60">
        <v>6001974568</v>
      </c>
      <c r="AT327" s="61">
        <v>44553</v>
      </c>
      <c r="AU327" s="60" t="s">
        <v>1445</v>
      </c>
      <c r="AV327" s="61">
        <v>44611</v>
      </c>
      <c r="AW327" s="91">
        <v>44592</v>
      </c>
      <c r="AX327" s="91">
        <v>44612</v>
      </c>
      <c r="AY327" s="99">
        <v>56640</v>
      </c>
      <c r="AZ327" s="99">
        <f>ROUNDDOWN(AY327+(AY327*MASTER!$A$2/100),0)</f>
        <v>62304</v>
      </c>
      <c r="BA327" s="60" t="s">
        <v>765</v>
      </c>
      <c r="BC327" s="64">
        <v>0</v>
      </c>
      <c r="BG327" s="64">
        <v>0</v>
      </c>
      <c r="BI327" s="60" t="s">
        <v>267</v>
      </c>
      <c r="BJ327" s="64">
        <v>7800</v>
      </c>
      <c r="BK327" s="64">
        <v>8580</v>
      </c>
      <c r="BL327" s="60" t="s">
        <v>1469</v>
      </c>
      <c r="BS327" s="64">
        <v>0</v>
      </c>
      <c r="BV327" s="65">
        <v>51700</v>
      </c>
      <c r="BW327" s="65">
        <v>8580</v>
      </c>
      <c r="BX327" s="65">
        <v>44531</v>
      </c>
      <c r="BY327" s="65">
        <v>43120</v>
      </c>
      <c r="BZ327" s="81">
        <v>83.40425531914893</v>
      </c>
    </row>
    <row r="328" spans="1:89" x14ac:dyDescent="0.15">
      <c r="A328" s="60">
        <v>2</v>
      </c>
      <c r="B328" s="61">
        <v>44574</v>
      </c>
      <c r="C328" s="61">
        <v>44611</v>
      </c>
      <c r="D328" s="61">
        <v>44596</v>
      </c>
      <c r="E328" s="61">
        <v>44588</v>
      </c>
      <c r="F328" s="61">
        <v>44587</v>
      </c>
      <c r="G328" s="61">
        <v>44580</v>
      </c>
      <c r="H328" s="61">
        <v>44583</v>
      </c>
      <c r="I328" s="60" t="s">
        <v>511</v>
      </c>
      <c r="J328" s="60">
        <v>1</v>
      </c>
      <c r="L328" s="60">
        <v>0</v>
      </c>
      <c r="M328" s="61">
        <v>44531</v>
      </c>
      <c r="O328" s="62" t="s">
        <v>331</v>
      </c>
      <c r="P328" s="60" t="s">
        <v>26</v>
      </c>
      <c r="Q328" s="62" t="s">
        <v>125</v>
      </c>
      <c r="R328" s="62" t="s">
        <v>1752</v>
      </c>
      <c r="S328" s="63" t="s">
        <v>1753</v>
      </c>
      <c r="T328" s="63" t="s">
        <v>1402</v>
      </c>
      <c r="U328" s="64">
        <v>59000</v>
      </c>
      <c r="V328" s="64">
        <v>64900</v>
      </c>
      <c r="W328" s="64">
        <v>47000</v>
      </c>
      <c r="X328" s="64">
        <v>51700</v>
      </c>
      <c r="Y328" s="64">
        <v>12000</v>
      </c>
      <c r="Z328" s="64">
        <v>13200</v>
      </c>
      <c r="AA328" s="61">
        <v>44579</v>
      </c>
      <c r="AB328" s="61">
        <v>44580</v>
      </c>
      <c r="AC328" s="61">
        <v>44580</v>
      </c>
      <c r="AD328" s="60">
        <v>0</v>
      </c>
      <c r="AG328" s="60">
        <v>0</v>
      </c>
      <c r="AJ328" s="60">
        <v>0</v>
      </c>
      <c r="AM328" s="60" t="s">
        <v>273</v>
      </c>
      <c r="AN328" s="60" t="s">
        <v>1754</v>
      </c>
      <c r="AQ328" s="60" t="s">
        <v>1425</v>
      </c>
      <c r="AR328" s="61">
        <v>44552</v>
      </c>
      <c r="AS328" s="60">
        <v>6001974231</v>
      </c>
      <c r="AT328" s="61">
        <v>44553</v>
      </c>
      <c r="AU328" s="60" t="s">
        <v>1442</v>
      </c>
      <c r="AV328" s="61">
        <v>44611</v>
      </c>
      <c r="AW328" s="91">
        <v>44592</v>
      </c>
      <c r="AX328" s="91">
        <v>44612</v>
      </c>
      <c r="AY328" s="99">
        <v>56640</v>
      </c>
      <c r="AZ328" s="99">
        <f>ROUNDDOWN(AY328+(AY328*MASTER!$A$2/100),0)</f>
        <v>62304</v>
      </c>
      <c r="BA328" s="60" t="s">
        <v>582</v>
      </c>
      <c r="BB328" s="64">
        <v>24000</v>
      </c>
      <c r="BC328" s="64">
        <v>26400</v>
      </c>
      <c r="BD328" s="60" t="s">
        <v>1614</v>
      </c>
      <c r="BG328" s="64">
        <v>0</v>
      </c>
      <c r="BI328" s="60" t="s">
        <v>748</v>
      </c>
      <c r="BJ328" s="64">
        <v>7800</v>
      </c>
      <c r="BK328" s="64">
        <v>8580</v>
      </c>
      <c r="BL328" s="60" t="s">
        <v>1614</v>
      </c>
      <c r="BS328" s="64">
        <v>0</v>
      </c>
      <c r="BV328" s="65">
        <v>51700</v>
      </c>
      <c r="BW328" s="65">
        <v>34980</v>
      </c>
      <c r="BX328" s="65">
        <v>44531</v>
      </c>
      <c r="BY328" s="65">
        <v>16720</v>
      </c>
      <c r="BZ328" s="81">
        <v>32.340425531914896</v>
      </c>
    </row>
    <row r="329" spans="1:89" s="152" customFormat="1" x14ac:dyDescent="0.15">
      <c r="A329" s="142">
        <v>3</v>
      </c>
      <c r="B329" s="143"/>
      <c r="C329" s="143" t="s">
        <v>309</v>
      </c>
      <c r="D329" s="143"/>
      <c r="E329" s="143"/>
      <c r="F329" s="143" t="s">
        <v>309</v>
      </c>
      <c r="G329" s="143"/>
      <c r="H329" s="143" t="s">
        <v>309</v>
      </c>
      <c r="I329" s="142"/>
      <c r="J329" s="142">
        <v>1</v>
      </c>
      <c r="K329" s="143"/>
      <c r="L329" s="142">
        <v>0</v>
      </c>
      <c r="M329" s="143">
        <v>44531</v>
      </c>
      <c r="N329" s="143"/>
      <c r="O329" s="144" t="s">
        <v>331</v>
      </c>
      <c r="P329" s="142" t="s">
        <v>26</v>
      </c>
      <c r="Q329" s="144" t="s">
        <v>125</v>
      </c>
      <c r="R329" s="144" t="s">
        <v>2199</v>
      </c>
      <c r="S329" s="145" t="s">
        <v>880</v>
      </c>
      <c r="T329" s="145" t="s">
        <v>442</v>
      </c>
      <c r="U329" s="146">
        <v>59000</v>
      </c>
      <c r="V329" s="146">
        <v>64900</v>
      </c>
      <c r="W329" s="146">
        <v>47000</v>
      </c>
      <c r="X329" s="146">
        <v>51700</v>
      </c>
      <c r="Y329" s="146">
        <v>12000</v>
      </c>
      <c r="Z329" s="146">
        <v>13200</v>
      </c>
      <c r="AA329" s="143"/>
      <c r="AB329" s="143"/>
      <c r="AC329" s="143"/>
      <c r="AD329" s="142">
        <v>0</v>
      </c>
      <c r="AE329" s="142"/>
      <c r="AF329" s="142"/>
      <c r="AG329" s="142">
        <v>0</v>
      </c>
      <c r="AH329" s="142"/>
      <c r="AI329" s="142"/>
      <c r="AJ329" s="142">
        <v>0</v>
      </c>
      <c r="AK329" s="142"/>
      <c r="AL329" s="142"/>
      <c r="AM329" s="142" t="s">
        <v>273</v>
      </c>
      <c r="AN329" s="142" t="s">
        <v>2200</v>
      </c>
      <c r="AO329" s="143"/>
      <c r="AP329" s="142"/>
      <c r="AQ329" s="142"/>
      <c r="AR329" s="143"/>
      <c r="AS329" s="142"/>
      <c r="AT329" s="143"/>
      <c r="AU329" s="142"/>
      <c r="AV329" s="143"/>
      <c r="AW329" s="147"/>
      <c r="AX329" s="147"/>
      <c r="AY329" s="148">
        <v>56640</v>
      </c>
      <c r="AZ329" s="148">
        <f>ROUNDDOWN(AY329+(AY329*MASTER!$A$2/100),0)</f>
        <v>62304</v>
      </c>
      <c r="BA329" s="142"/>
      <c r="BB329" s="146"/>
      <c r="BC329" s="146">
        <v>0</v>
      </c>
      <c r="BD329" s="142"/>
      <c r="BE329" s="142"/>
      <c r="BF329" s="146"/>
      <c r="BG329" s="146">
        <v>0</v>
      </c>
      <c r="BH329" s="142"/>
      <c r="BI329" s="142"/>
      <c r="BJ329" s="146"/>
      <c r="BK329" s="146">
        <v>0</v>
      </c>
      <c r="BL329" s="142"/>
      <c r="BM329" s="146"/>
      <c r="BN329" s="146"/>
      <c r="BO329" s="146"/>
      <c r="BP329" s="146"/>
      <c r="BQ329" s="146"/>
      <c r="BR329" s="146"/>
      <c r="BS329" s="146">
        <v>0</v>
      </c>
      <c r="BT329" s="149"/>
      <c r="BU329" s="149"/>
      <c r="BV329" s="150">
        <v>51700</v>
      </c>
      <c r="BW329" s="150">
        <v>0</v>
      </c>
      <c r="BX329" s="150">
        <v>44531</v>
      </c>
      <c r="BY329" s="150">
        <v>51700</v>
      </c>
      <c r="BZ329" s="151">
        <v>100</v>
      </c>
      <c r="CA329" s="142"/>
      <c r="CB329" s="142"/>
      <c r="CC329" s="142"/>
      <c r="CD329" s="145" t="s">
        <v>2201</v>
      </c>
      <c r="CE329" s="143"/>
      <c r="CF329" s="143"/>
      <c r="CG329" s="143"/>
      <c r="CH329" s="143"/>
      <c r="CI329" s="143"/>
      <c r="CJ329" s="143"/>
      <c r="CK329" s="146"/>
    </row>
    <row r="330" spans="1:89" x14ac:dyDescent="0.15">
      <c r="A330" s="60">
        <v>2</v>
      </c>
      <c r="B330" s="61">
        <v>44610</v>
      </c>
      <c r="C330" s="61">
        <v>44620</v>
      </c>
      <c r="D330" s="61">
        <v>44635</v>
      </c>
      <c r="E330" s="61">
        <v>44622</v>
      </c>
      <c r="F330" s="61">
        <v>44624</v>
      </c>
      <c r="G330" s="61">
        <v>44617</v>
      </c>
      <c r="H330" s="61">
        <v>44620</v>
      </c>
      <c r="I330" s="60" t="s">
        <v>511</v>
      </c>
      <c r="J330" s="60">
        <v>2</v>
      </c>
      <c r="L330" s="60">
        <v>0</v>
      </c>
      <c r="M330" s="61">
        <v>44531</v>
      </c>
      <c r="O330" s="62" t="s">
        <v>331</v>
      </c>
      <c r="P330" s="60" t="s">
        <v>26</v>
      </c>
      <c r="Q330" s="62" t="s">
        <v>125</v>
      </c>
      <c r="R330" s="62" t="s">
        <v>1795</v>
      </c>
      <c r="S330" s="63" t="s">
        <v>1009</v>
      </c>
      <c r="T330" s="63" t="s">
        <v>1796</v>
      </c>
      <c r="U330" s="64">
        <v>142590</v>
      </c>
      <c r="V330" s="64">
        <v>156849</v>
      </c>
      <c r="W330" s="64">
        <v>142590</v>
      </c>
      <c r="X330" s="64">
        <v>156849</v>
      </c>
      <c r="Z330" s="64">
        <v>0</v>
      </c>
      <c r="AA330" s="61">
        <v>44616</v>
      </c>
      <c r="AB330" s="61">
        <v>44617</v>
      </c>
      <c r="AC330" s="61">
        <v>44617</v>
      </c>
      <c r="AD330" s="60">
        <v>0</v>
      </c>
      <c r="AG330" s="60">
        <v>0</v>
      </c>
      <c r="AJ330" s="60">
        <v>0</v>
      </c>
      <c r="AM330" s="60" t="s">
        <v>273</v>
      </c>
      <c r="AN330" s="60" t="s">
        <v>1797</v>
      </c>
      <c r="AQ330" s="60" t="s">
        <v>1195</v>
      </c>
      <c r="AR330" s="61">
        <v>44539</v>
      </c>
      <c r="AS330" s="60">
        <v>6001967769</v>
      </c>
      <c r="AT330" s="61">
        <v>44540</v>
      </c>
      <c r="AU330" s="60" t="s">
        <v>1211</v>
      </c>
      <c r="AV330" s="61">
        <v>44620</v>
      </c>
      <c r="AW330" s="91">
        <v>44620</v>
      </c>
      <c r="AX330" s="91">
        <v>44640</v>
      </c>
      <c r="AY330" s="99">
        <v>136886</v>
      </c>
      <c r="AZ330" s="99">
        <v>150575</v>
      </c>
      <c r="BA330" s="60" t="s">
        <v>319</v>
      </c>
      <c r="BB330" s="64">
        <v>50000</v>
      </c>
      <c r="BC330" s="64">
        <v>55000</v>
      </c>
      <c r="BD330" s="60" t="s">
        <v>2044</v>
      </c>
      <c r="BG330" s="64">
        <v>0</v>
      </c>
      <c r="BK330" s="64">
        <v>0</v>
      </c>
      <c r="BS330" s="64">
        <v>0</v>
      </c>
      <c r="BV330" s="65">
        <v>156849</v>
      </c>
      <c r="BW330" s="65">
        <v>55000</v>
      </c>
      <c r="BX330" s="65">
        <v>44531</v>
      </c>
      <c r="BY330" s="65">
        <v>101849</v>
      </c>
      <c r="BZ330" s="81">
        <v>64.934427379199093</v>
      </c>
      <c r="CD330" s="63" t="s">
        <v>1961</v>
      </c>
    </row>
    <row r="331" spans="1:89" x14ac:dyDescent="0.15">
      <c r="A331" s="60">
        <v>1</v>
      </c>
      <c r="B331" s="61">
        <v>44536</v>
      </c>
      <c r="C331" s="61">
        <v>44539</v>
      </c>
      <c r="F331" s="61" t="s">
        <v>309</v>
      </c>
      <c r="H331" s="61" t="s">
        <v>309</v>
      </c>
      <c r="J331" s="60">
        <v>2</v>
      </c>
      <c r="L331" s="60">
        <v>0</v>
      </c>
      <c r="M331" s="61">
        <v>44531</v>
      </c>
      <c r="O331" s="62" t="s">
        <v>331</v>
      </c>
      <c r="P331" s="60" t="s">
        <v>77</v>
      </c>
      <c r="Q331" s="62" t="s">
        <v>125</v>
      </c>
      <c r="R331" s="62" t="s">
        <v>1082</v>
      </c>
      <c r="S331" s="63" t="s">
        <v>1083</v>
      </c>
      <c r="T331" s="63" t="s">
        <v>1081</v>
      </c>
      <c r="U331" s="64">
        <v>65000</v>
      </c>
      <c r="V331" s="64">
        <v>71500</v>
      </c>
      <c r="W331" s="64">
        <v>65000</v>
      </c>
      <c r="X331" s="64">
        <v>71500</v>
      </c>
      <c r="Y331" s="64">
        <v>0</v>
      </c>
      <c r="Z331" s="64">
        <v>0</v>
      </c>
      <c r="AA331" s="61">
        <v>44538</v>
      </c>
      <c r="AB331" s="61">
        <v>44539</v>
      </c>
      <c r="AD331" s="60">
        <v>0</v>
      </c>
      <c r="AG331" s="60">
        <v>0</v>
      </c>
      <c r="AJ331" s="60">
        <v>0</v>
      </c>
      <c r="AQ331" s="60" t="s">
        <v>1122</v>
      </c>
      <c r="AR331" s="61">
        <v>44533</v>
      </c>
      <c r="AS331" s="60">
        <v>6001965090</v>
      </c>
      <c r="AT331" s="61">
        <v>44533</v>
      </c>
      <c r="AU331" s="60" t="s">
        <v>1132</v>
      </c>
      <c r="AV331" s="61">
        <v>44539</v>
      </c>
      <c r="AW331" s="91">
        <v>44561</v>
      </c>
      <c r="AX331" s="91">
        <v>44581</v>
      </c>
      <c r="AY331" s="107">
        <v>65000</v>
      </c>
      <c r="AZ331" s="107">
        <f>ROUNDDOWN(AY331+(AY331*MASTER!$A$2/100),0)</f>
        <v>71500</v>
      </c>
      <c r="BC331" s="64">
        <v>0</v>
      </c>
      <c r="BG331" s="64">
        <v>0</v>
      </c>
      <c r="BK331" s="64">
        <v>0</v>
      </c>
      <c r="BS331" s="64">
        <v>0</v>
      </c>
      <c r="BV331" s="65">
        <v>71500</v>
      </c>
      <c r="BW331" s="65">
        <v>0</v>
      </c>
      <c r="BX331" s="65">
        <v>44531</v>
      </c>
      <c r="BY331" s="65">
        <v>71500</v>
      </c>
      <c r="BZ331" s="81">
        <v>100</v>
      </c>
      <c r="CD331" s="63" t="s">
        <v>1144</v>
      </c>
    </row>
    <row r="332" spans="1:89" x14ac:dyDescent="0.15">
      <c r="A332" s="60">
        <v>1</v>
      </c>
      <c r="B332" s="61">
        <v>44557</v>
      </c>
      <c r="C332" s="61">
        <v>44552</v>
      </c>
      <c r="F332" s="61" t="s">
        <v>309</v>
      </c>
      <c r="H332" s="61" t="s">
        <v>309</v>
      </c>
      <c r="J332" s="60">
        <v>2</v>
      </c>
      <c r="L332" s="60">
        <v>0</v>
      </c>
      <c r="M332" s="61">
        <v>44531</v>
      </c>
      <c r="O332" s="62" t="s">
        <v>331</v>
      </c>
      <c r="P332" s="60" t="s">
        <v>77</v>
      </c>
      <c r="Q332" s="62" t="s">
        <v>125</v>
      </c>
      <c r="R332" s="62" t="s">
        <v>1084</v>
      </c>
      <c r="S332" s="63" t="s">
        <v>1085</v>
      </c>
      <c r="T332" s="63" t="s">
        <v>1081</v>
      </c>
      <c r="U332" s="64">
        <v>65000</v>
      </c>
      <c r="V332" s="64">
        <v>71500</v>
      </c>
      <c r="W332" s="64">
        <v>65000</v>
      </c>
      <c r="X332" s="64">
        <v>71500</v>
      </c>
      <c r="Y332" s="64">
        <v>0</v>
      </c>
      <c r="Z332" s="64">
        <v>0</v>
      </c>
      <c r="AA332" s="61">
        <v>44551</v>
      </c>
      <c r="AB332" s="61">
        <v>44552</v>
      </c>
      <c r="AD332" s="60">
        <v>0</v>
      </c>
      <c r="AG332" s="60">
        <v>0</v>
      </c>
      <c r="AJ332" s="60">
        <v>0</v>
      </c>
      <c r="AQ332" s="60" t="s">
        <v>1123</v>
      </c>
      <c r="AR332" s="61">
        <v>44533</v>
      </c>
      <c r="AS332" s="60">
        <v>6001965090</v>
      </c>
      <c r="AT332" s="61">
        <v>44533</v>
      </c>
      <c r="AU332" s="60" t="s">
        <v>1132</v>
      </c>
      <c r="AV332" s="61">
        <v>44552</v>
      </c>
      <c r="AW332" s="91">
        <v>44561</v>
      </c>
      <c r="AX332" s="91">
        <v>44581</v>
      </c>
      <c r="AY332" s="107">
        <v>65000</v>
      </c>
      <c r="AZ332" s="107">
        <f>ROUNDDOWN(AY332+(AY332*MASTER!$A$2/100),0)</f>
        <v>71500</v>
      </c>
      <c r="BC332" s="64">
        <v>0</v>
      </c>
      <c r="BG332" s="64">
        <v>0</v>
      </c>
      <c r="BK332" s="64">
        <v>0</v>
      </c>
      <c r="BS332" s="64">
        <v>0</v>
      </c>
      <c r="BV332" s="65">
        <v>71500</v>
      </c>
      <c r="BW332" s="65">
        <v>0</v>
      </c>
      <c r="BX332" s="65">
        <v>44531</v>
      </c>
      <c r="BY332" s="65">
        <v>71500</v>
      </c>
      <c r="BZ332" s="81">
        <v>100</v>
      </c>
    </row>
    <row r="333" spans="1:89" s="152" customFormat="1" x14ac:dyDescent="0.15">
      <c r="A333" s="142">
        <v>3</v>
      </c>
      <c r="B333" s="143"/>
      <c r="C333" s="143" t="s">
        <v>309</v>
      </c>
      <c r="D333" s="143"/>
      <c r="E333" s="143"/>
      <c r="F333" s="143" t="s">
        <v>309</v>
      </c>
      <c r="G333" s="143"/>
      <c r="H333" s="143" t="s">
        <v>309</v>
      </c>
      <c r="I333" s="142"/>
      <c r="J333" s="142">
        <v>2</v>
      </c>
      <c r="K333" s="143"/>
      <c r="L333" s="142">
        <v>0</v>
      </c>
      <c r="M333" s="143">
        <v>44531</v>
      </c>
      <c r="N333" s="143"/>
      <c r="O333" s="144" t="s">
        <v>331</v>
      </c>
      <c r="P333" s="142" t="s">
        <v>6</v>
      </c>
      <c r="Q333" s="144" t="s">
        <v>125</v>
      </c>
      <c r="R333" s="144" t="s">
        <v>2028</v>
      </c>
      <c r="S333" s="145" t="s">
        <v>2029</v>
      </c>
      <c r="T333" s="145" t="s">
        <v>364</v>
      </c>
      <c r="U333" s="146">
        <v>35000</v>
      </c>
      <c r="V333" s="146">
        <v>38500</v>
      </c>
      <c r="W333" s="146">
        <v>35000</v>
      </c>
      <c r="X333" s="146">
        <v>38500</v>
      </c>
      <c r="Y333" s="146">
        <v>0</v>
      </c>
      <c r="Z333" s="146">
        <v>0</v>
      </c>
      <c r="AA333" s="143"/>
      <c r="AB333" s="143"/>
      <c r="AC333" s="143"/>
      <c r="AD333" s="142">
        <v>0</v>
      </c>
      <c r="AE333" s="142"/>
      <c r="AF333" s="142"/>
      <c r="AG333" s="142">
        <v>0</v>
      </c>
      <c r="AH333" s="142"/>
      <c r="AI333" s="142"/>
      <c r="AJ333" s="142">
        <v>0</v>
      </c>
      <c r="AK333" s="142"/>
      <c r="AL333" s="142"/>
      <c r="AM333" s="142"/>
      <c r="AN333" s="142" t="s">
        <v>309</v>
      </c>
      <c r="AO333" s="143"/>
      <c r="AP333" s="142"/>
      <c r="AQ333" s="142"/>
      <c r="AR333" s="143"/>
      <c r="AS333" s="142"/>
      <c r="AT333" s="143"/>
      <c r="AU333" s="142"/>
      <c r="AV333" s="143"/>
      <c r="AW333" s="147"/>
      <c r="AX333" s="147"/>
      <c r="AY333" s="148">
        <v>33600</v>
      </c>
      <c r="AZ333" s="148">
        <f>ROUNDDOWN(AY333+(AY333*MASTER!$A$2/100),0)</f>
        <v>36960</v>
      </c>
      <c r="BA333" s="142"/>
      <c r="BB333" s="146"/>
      <c r="BC333" s="146">
        <v>0</v>
      </c>
      <c r="BD333" s="142"/>
      <c r="BE333" s="142"/>
      <c r="BF333" s="146"/>
      <c r="BG333" s="146">
        <v>0</v>
      </c>
      <c r="BH333" s="142"/>
      <c r="BI333" s="142"/>
      <c r="BJ333" s="146"/>
      <c r="BK333" s="146">
        <v>0</v>
      </c>
      <c r="BL333" s="142"/>
      <c r="BM333" s="146"/>
      <c r="BN333" s="146"/>
      <c r="BO333" s="146"/>
      <c r="BP333" s="146"/>
      <c r="BQ333" s="146"/>
      <c r="BR333" s="146"/>
      <c r="BS333" s="146">
        <v>0</v>
      </c>
      <c r="BT333" s="149"/>
      <c r="BU333" s="149"/>
      <c r="BV333" s="150">
        <v>38500</v>
      </c>
      <c r="BW333" s="150">
        <v>0</v>
      </c>
      <c r="BX333" s="150">
        <v>44531</v>
      </c>
      <c r="BY333" s="150">
        <v>38500</v>
      </c>
      <c r="BZ333" s="151">
        <v>100</v>
      </c>
      <c r="CA333" s="142"/>
      <c r="CB333" s="142"/>
      <c r="CC333" s="142"/>
      <c r="CD333" s="145" t="s">
        <v>2030</v>
      </c>
      <c r="CE333" s="143"/>
      <c r="CF333" s="143"/>
      <c r="CG333" s="143"/>
      <c r="CH333" s="143"/>
      <c r="CI333" s="143"/>
      <c r="CJ333" s="143"/>
      <c r="CK333" s="146"/>
    </row>
    <row r="334" spans="1:89" x14ac:dyDescent="0.15">
      <c r="A334" s="60">
        <v>1</v>
      </c>
      <c r="B334" s="61">
        <v>44533</v>
      </c>
      <c r="C334" s="61">
        <v>44542</v>
      </c>
      <c r="F334" s="61" t="s">
        <v>309</v>
      </c>
      <c r="H334" s="61" t="s">
        <v>309</v>
      </c>
      <c r="J334" s="60">
        <v>2</v>
      </c>
      <c r="L334" s="60">
        <v>0</v>
      </c>
      <c r="M334" s="61">
        <v>44532</v>
      </c>
      <c r="O334" s="62" t="s">
        <v>331</v>
      </c>
      <c r="P334" s="60" t="s">
        <v>77</v>
      </c>
      <c r="Q334" s="62" t="s">
        <v>125</v>
      </c>
      <c r="R334" s="62" t="s">
        <v>1087</v>
      </c>
      <c r="S334" s="63" t="s">
        <v>489</v>
      </c>
      <c r="T334" s="63" t="s">
        <v>490</v>
      </c>
      <c r="U334" s="64">
        <v>9880</v>
      </c>
      <c r="V334" s="64">
        <v>10868</v>
      </c>
      <c r="W334" s="64">
        <v>9880</v>
      </c>
      <c r="X334" s="64">
        <v>10868</v>
      </c>
      <c r="Z334" s="64">
        <v>0</v>
      </c>
      <c r="AD334" s="60">
        <v>0</v>
      </c>
      <c r="AG334" s="60">
        <v>0</v>
      </c>
      <c r="AJ334" s="60">
        <v>0</v>
      </c>
      <c r="AQ334" s="60" t="s">
        <v>1088</v>
      </c>
      <c r="AR334" s="61">
        <v>44531</v>
      </c>
      <c r="AS334" s="60">
        <v>6001964125</v>
      </c>
      <c r="AT334" s="61">
        <v>44532</v>
      </c>
      <c r="AU334" s="60" t="s">
        <v>1089</v>
      </c>
      <c r="AV334" s="61">
        <v>44542</v>
      </c>
      <c r="AW334" s="91">
        <v>44561</v>
      </c>
      <c r="AX334" s="91">
        <v>44581</v>
      </c>
      <c r="AY334" s="107">
        <v>9880</v>
      </c>
      <c r="AZ334" s="107">
        <f>ROUNDDOWN(AY334+(AY334*MASTER!$A$2/100),0)</f>
        <v>10868</v>
      </c>
      <c r="BC334" s="64">
        <v>0</v>
      </c>
      <c r="BG334" s="64">
        <v>0</v>
      </c>
      <c r="BK334" s="64">
        <v>0</v>
      </c>
      <c r="BS334" s="64">
        <v>0</v>
      </c>
      <c r="BV334" s="65">
        <v>10868</v>
      </c>
      <c r="BW334" s="65">
        <v>0</v>
      </c>
      <c r="BX334" s="65">
        <v>44532</v>
      </c>
      <c r="BY334" s="65">
        <v>10868</v>
      </c>
      <c r="BZ334" s="81">
        <v>100</v>
      </c>
    </row>
    <row r="335" spans="1:89" x14ac:dyDescent="0.15">
      <c r="A335" s="60">
        <v>2</v>
      </c>
      <c r="B335" s="61">
        <v>44546</v>
      </c>
      <c r="C335" s="61">
        <v>44550</v>
      </c>
      <c r="D335" s="61">
        <v>44564</v>
      </c>
      <c r="E335" s="61">
        <v>44552</v>
      </c>
      <c r="F335" s="61">
        <v>44557</v>
      </c>
      <c r="G335" s="61">
        <v>44550</v>
      </c>
      <c r="H335" s="61">
        <v>44553</v>
      </c>
      <c r="I335" s="60" t="s">
        <v>612</v>
      </c>
      <c r="J335" s="60">
        <v>1</v>
      </c>
      <c r="L335" s="60">
        <v>0</v>
      </c>
      <c r="M335" s="61">
        <v>44532</v>
      </c>
      <c r="O335" s="62" t="s">
        <v>331</v>
      </c>
      <c r="P335" s="60" t="s">
        <v>26</v>
      </c>
      <c r="Q335" s="62" t="s">
        <v>125</v>
      </c>
      <c r="R335" s="62" t="s">
        <v>1342</v>
      </c>
      <c r="S335" s="63" t="s">
        <v>403</v>
      </c>
      <c r="T335" s="63" t="s">
        <v>1343</v>
      </c>
      <c r="U335" s="64">
        <v>174500</v>
      </c>
      <c r="V335" s="64">
        <v>191950</v>
      </c>
      <c r="W335" s="64">
        <v>86000</v>
      </c>
      <c r="X335" s="64">
        <v>94600</v>
      </c>
      <c r="Y335" s="64">
        <v>88500</v>
      </c>
      <c r="Z335" s="64">
        <v>97350</v>
      </c>
      <c r="AA335" s="61">
        <v>44549</v>
      </c>
      <c r="AB335" s="61">
        <v>44550</v>
      </c>
      <c r="AC335" s="61">
        <v>44550</v>
      </c>
      <c r="AD335" s="60">
        <v>0</v>
      </c>
      <c r="AG335" s="60">
        <v>0</v>
      </c>
      <c r="AJ335" s="60">
        <v>0</v>
      </c>
      <c r="AM335" s="60" t="s">
        <v>273</v>
      </c>
      <c r="AN335" s="60" t="s">
        <v>1344</v>
      </c>
      <c r="AQ335" s="60" t="s">
        <v>1180</v>
      </c>
      <c r="AR335" s="61">
        <v>44539</v>
      </c>
      <c r="AS335" s="60">
        <v>6001967768</v>
      </c>
      <c r="AT335" s="61">
        <v>44540</v>
      </c>
      <c r="AU335" s="60" t="s">
        <v>1210</v>
      </c>
      <c r="AV335" s="61">
        <v>44550</v>
      </c>
      <c r="AW335" s="91">
        <v>44561</v>
      </c>
      <c r="AX335" s="91">
        <v>44581</v>
      </c>
      <c r="AY335" s="99">
        <v>167520</v>
      </c>
      <c r="AZ335" s="99">
        <f>ROUNDDOWN(AY335+(AY335*MASTER!$A$2/100),0)</f>
        <v>184272</v>
      </c>
      <c r="BA335" s="60" t="s">
        <v>317</v>
      </c>
      <c r="BB335" s="64">
        <v>42000</v>
      </c>
      <c r="BC335" s="64">
        <v>46200</v>
      </c>
      <c r="BD335" s="60" t="s">
        <v>184</v>
      </c>
      <c r="BG335" s="64">
        <v>0</v>
      </c>
      <c r="BI335" s="60" t="s">
        <v>267</v>
      </c>
      <c r="BJ335" s="64">
        <v>57525</v>
      </c>
      <c r="BK335" s="64">
        <v>63277.5</v>
      </c>
      <c r="BL335" s="60" t="s">
        <v>1366</v>
      </c>
      <c r="BS335" s="64">
        <v>0</v>
      </c>
      <c r="BV335" s="65">
        <v>94600</v>
      </c>
      <c r="BW335" s="65">
        <v>109477.5</v>
      </c>
      <c r="BX335" s="65">
        <v>44532</v>
      </c>
      <c r="BY335" s="65">
        <v>-14877.5</v>
      </c>
      <c r="BZ335" s="81">
        <v>-15.726744186046512</v>
      </c>
    </row>
    <row r="336" spans="1:89" x14ac:dyDescent="0.15">
      <c r="A336" s="60">
        <v>2</v>
      </c>
      <c r="B336" s="61">
        <v>44552</v>
      </c>
      <c r="C336" s="61">
        <v>44554</v>
      </c>
      <c r="D336" s="61">
        <v>44564</v>
      </c>
      <c r="E336" s="61">
        <v>44558</v>
      </c>
      <c r="F336" s="61">
        <v>44561</v>
      </c>
      <c r="G336" s="61">
        <v>44554</v>
      </c>
      <c r="H336" s="61">
        <v>44557</v>
      </c>
      <c r="I336" s="60" t="s">
        <v>511</v>
      </c>
      <c r="J336" s="60">
        <v>1</v>
      </c>
      <c r="K336" s="61">
        <v>44544</v>
      </c>
      <c r="L336" s="60" t="s">
        <v>529</v>
      </c>
      <c r="M336" s="61">
        <v>44532</v>
      </c>
      <c r="O336" s="62" t="s">
        <v>331</v>
      </c>
      <c r="P336" s="60" t="s">
        <v>26</v>
      </c>
      <c r="Q336" s="62" t="s">
        <v>125</v>
      </c>
      <c r="R336" s="62" t="s">
        <v>1278</v>
      </c>
      <c r="S336" s="63" t="s">
        <v>1049</v>
      </c>
      <c r="T336" s="63" t="s">
        <v>1279</v>
      </c>
      <c r="U336" s="64">
        <v>193500</v>
      </c>
      <c r="V336" s="64">
        <v>212850</v>
      </c>
      <c r="W336" s="64">
        <v>105000</v>
      </c>
      <c r="X336" s="64">
        <v>115500</v>
      </c>
      <c r="Y336" s="64">
        <v>88500</v>
      </c>
      <c r="Z336" s="64">
        <v>97350</v>
      </c>
      <c r="AA336" s="61">
        <v>44553</v>
      </c>
      <c r="AB336" s="61">
        <v>44554</v>
      </c>
      <c r="AC336" s="61">
        <v>44554</v>
      </c>
      <c r="AD336" s="60">
        <v>0</v>
      </c>
      <c r="AG336" s="60">
        <v>0</v>
      </c>
      <c r="AJ336" s="60">
        <v>0</v>
      </c>
      <c r="AM336" s="60" t="s">
        <v>273</v>
      </c>
      <c r="AN336" s="60" t="s">
        <v>1280</v>
      </c>
      <c r="AQ336" s="60" t="s">
        <v>1373</v>
      </c>
      <c r="AR336" s="61">
        <v>44551</v>
      </c>
      <c r="AS336" s="60">
        <v>6001973532</v>
      </c>
      <c r="AT336" s="61">
        <v>44551</v>
      </c>
      <c r="AU336" s="60" t="s">
        <v>1417</v>
      </c>
      <c r="AV336" s="61">
        <v>44554</v>
      </c>
      <c r="AW336" s="91">
        <v>44561</v>
      </c>
      <c r="AX336" s="91">
        <v>44581</v>
      </c>
      <c r="AY336" s="99">
        <v>185760</v>
      </c>
      <c r="AZ336" s="99">
        <f>ROUNDDOWN(AY336+(AY336*MASTER!$A$2/100),0)</f>
        <v>204336</v>
      </c>
      <c r="BA336" s="60" t="s">
        <v>780</v>
      </c>
      <c r="BB336" s="64">
        <v>42000</v>
      </c>
      <c r="BC336" s="64">
        <v>46200</v>
      </c>
      <c r="BD336" s="60" t="s">
        <v>184</v>
      </c>
      <c r="BG336" s="64">
        <v>0</v>
      </c>
      <c r="BI336" s="60" t="s">
        <v>267</v>
      </c>
      <c r="BJ336" s="64">
        <v>57525</v>
      </c>
      <c r="BK336" s="64">
        <v>63277.5</v>
      </c>
      <c r="BL336" s="60" t="s">
        <v>1366</v>
      </c>
      <c r="BS336" s="64">
        <v>0</v>
      </c>
      <c r="BV336" s="65">
        <v>115500</v>
      </c>
      <c r="BW336" s="65">
        <v>109477.5</v>
      </c>
      <c r="BX336" s="65">
        <v>0</v>
      </c>
      <c r="BY336" s="65">
        <v>44544</v>
      </c>
      <c r="BZ336" s="81">
        <v>5.2142857142857144</v>
      </c>
      <c r="CD336" s="63" t="s">
        <v>1281</v>
      </c>
    </row>
    <row r="337" spans="1:82" x14ac:dyDescent="0.15">
      <c r="A337" s="60">
        <v>2</v>
      </c>
      <c r="B337" s="61">
        <v>44551</v>
      </c>
      <c r="C337" s="61">
        <v>44554</v>
      </c>
      <c r="D337" s="61">
        <v>44564</v>
      </c>
      <c r="E337" s="61">
        <v>44558</v>
      </c>
      <c r="F337" s="61">
        <v>44561</v>
      </c>
      <c r="G337" s="61">
        <v>44554</v>
      </c>
      <c r="H337" s="61">
        <v>44557</v>
      </c>
      <c r="I337" s="60" t="s">
        <v>612</v>
      </c>
      <c r="J337" s="60">
        <v>1</v>
      </c>
      <c r="K337" s="61">
        <v>44540</v>
      </c>
      <c r="L337" s="60" t="s">
        <v>529</v>
      </c>
      <c r="M337" s="61">
        <v>44532</v>
      </c>
      <c r="O337" s="62" t="s">
        <v>331</v>
      </c>
      <c r="P337" s="60" t="s">
        <v>26</v>
      </c>
      <c r="Q337" s="62" t="s">
        <v>125</v>
      </c>
      <c r="R337" s="62" t="s">
        <v>1206</v>
      </c>
      <c r="S337" s="63" t="s">
        <v>1207</v>
      </c>
      <c r="T337" s="63" t="s">
        <v>1208</v>
      </c>
      <c r="U337" s="64">
        <v>172700</v>
      </c>
      <c r="V337" s="64">
        <v>189970</v>
      </c>
      <c r="W337" s="64">
        <v>78000</v>
      </c>
      <c r="X337" s="64">
        <v>85800</v>
      </c>
      <c r="Y337" s="64">
        <v>94700</v>
      </c>
      <c r="Z337" s="64">
        <v>104170</v>
      </c>
      <c r="AA337" s="61">
        <v>44553</v>
      </c>
      <c r="AB337" s="61">
        <v>44554</v>
      </c>
      <c r="AC337" s="61">
        <v>44554</v>
      </c>
      <c r="AD337" s="60">
        <v>0</v>
      </c>
      <c r="AG337" s="60">
        <v>0</v>
      </c>
      <c r="AJ337" s="60">
        <v>0</v>
      </c>
      <c r="AM337" s="60" t="s">
        <v>273</v>
      </c>
      <c r="AN337" s="60" t="s">
        <v>1209</v>
      </c>
      <c r="AQ337" s="60" t="s">
        <v>1356</v>
      </c>
      <c r="AR337" s="61">
        <v>44547</v>
      </c>
      <c r="AS337" s="60">
        <v>6001971916</v>
      </c>
      <c r="AT337" s="61">
        <v>44547</v>
      </c>
      <c r="AU337" s="60" t="s">
        <v>1362</v>
      </c>
      <c r="AV337" s="61">
        <v>44554</v>
      </c>
      <c r="AW337" s="91">
        <v>44561</v>
      </c>
      <c r="AX337" s="91">
        <v>44581</v>
      </c>
      <c r="AY337" s="99">
        <v>165792</v>
      </c>
      <c r="AZ337" s="99">
        <f>ROUNDDOWN(AY337+(AY337*MASTER!$A$2/100),0)</f>
        <v>182371</v>
      </c>
      <c r="BA337" s="60" t="s">
        <v>317</v>
      </c>
      <c r="BB337" s="64">
        <v>38000</v>
      </c>
      <c r="BC337" s="64">
        <v>41800</v>
      </c>
      <c r="BD337" s="60" t="s">
        <v>184</v>
      </c>
      <c r="BG337" s="64">
        <v>0</v>
      </c>
      <c r="BI337" s="60" t="s">
        <v>267</v>
      </c>
      <c r="BJ337" s="64">
        <v>61555</v>
      </c>
      <c r="BK337" s="64">
        <v>67710.5</v>
      </c>
      <c r="BL337" s="60" t="s">
        <v>1366</v>
      </c>
      <c r="BS337" s="64">
        <v>0</v>
      </c>
      <c r="BV337" s="65">
        <v>85800</v>
      </c>
      <c r="BW337" s="65">
        <v>109510.5</v>
      </c>
      <c r="BX337" s="65">
        <v>0</v>
      </c>
      <c r="BY337" s="65">
        <v>44540</v>
      </c>
      <c r="BZ337" s="81">
        <v>-27.634615384615387</v>
      </c>
    </row>
    <row r="338" spans="1:82" x14ac:dyDescent="0.15">
      <c r="A338" s="60">
        <v>2</v>
      </c>
      <c r="B338" s="61">
        <v>44546</v>
      </c>
      <c r="C338" s="61">
        <v>44550</v>
      </c>
      <c r="D338" s="61">
        <v>44564</v>
      </c>
      <c r="E338" s="61">
        <v>44552</v>
      </c>
      <c r="F338" s="61">
        <v>44557</v>
      </c>
      <c r="G338" s="61">
        <v>44550</v>
      </c>
      <c r="H338" s="61">
        <v>44553</v>
      </c>
      <c r="I338" s="60" t="s">
        <v>612</v>
      </c>
      <c r="J338" s="60">
        <v>1</v>
      </c>
      <c r="L338" s="60">
        <v>0</v>
      </c>
      <c r="M338" s="61">
        <v>44532</v>
      </c>
      <c r="O338" s="62" t="s">
        <v>331</v>
      </c>
      <c r="P338" s="60" t="s">
        <v>26</v>
      </c>
      <c r="Q338" s="62" t="s">
        <v>125</v>
      </c>
      <c r="R338" s="62" t="s">
        <v>1345</v>
      </c>
      <c r="S338" s="63" t="s">
        <v>658</v>
      </c>
      <c r="T338" s="63" t="s">
        <v>1346</v>
      </c>
      <c r="U338" s="64">
        <v>153500</v>
      </c>
      <c r="V338" s="64">
        <v>168850</v>
      </c>
      <c r="W338" s="64">
        <v>86000</v>
      </c>
      <c r="X338" s="64">
        <v>94600</v>
      </c>
      <c r="Y338" s="64">
        <v>67500</v>
      </c>
      <c r="Z338" s="64">
        <v>74250</v>
      </c>
      <c r="AA338" s="61">
        <v>44549</v>
      </c>
      <c r="AB338" s="61">
        <v>44550</v>
      </c>
      <c r="AC338" s="61">
        <v>44550</v>
      </c>
      <c r="AD338" s="60">
        <v>0</v>
      </c>
      <c r="AG338" s="60">
        <v>0</v>
      </c>
      <c r="AJ338" s="60">
        <v>0</v>
      </c>
      <c r="AM338" s="60" t="s">
        <v>273</v>
      </c>
      <c r="AN338" s="60" t="s">
        <v>1347</v>
      </c>
      <c r="AQ338" s="60" t="s">
        <v>1189</v>
      </c>
      <c r="AR338" s="61">
        <v>44540</v>
      </c>
      <c r="AS338" s="60">
        <v>6001968038</v>
      </c>
      <c r="AT338" s="61">
        <v>44540</v>
      </c>
      <c r="AU338" s="60" t="s">
        <v>1218</v>
      </c>
      <c r="AV338" s="61">
        <v>44550</v>
      </c>
      <c r="AW338" s="91">
        <v>44561</v>
      </c>
      <c r="AX338" s="91">
        <v>44581</v>
      </c>
      <c r="AY338" s="99">
        <v>147360</v>
      </c>
      <c r="AZ338" s="99">
        <f>ROUNDDOWN(AY338+(AY338*MASTER!$A$2/100),0)</f>
        <v>162096</v>
      </c>
      <c r="BA338" s="60" t="s">
        <v>317</v>
      </c>
      <c r="BB338" s="64">
        <v>30000</v>
      </c>
      <c r="BC338" s="64">
        <v>33000</v>
      </c>
      <c r="BD338" s="60" t="s">
        <v>184</v>
      </c>
      <c r="BG338" s="64">
        <v>0</v>
      </c>
      <c r="BI338" s="60" t="s">
        <v>267</v>
      </c>
      <c r="BJ338" s="64">
        <v>43875</v>
      </c>
      <c r="BK338" s="64">
        <v>48262.5</v>
      </c>
      <c r="BL338" s="60" t="s">
        <v>1366</v>
      </c>
      <c r="BS338" s="64">
        <v>0</v>
      </c>
      <c r="BV338" s="65">
        <v>94600</v>
      </c>
      <c r="BW338" s="65">
        <v>81262.5</v>
      </c>
      <c r="BX338" s="65">
        <v>44532</v>
      </c>
      <c r="BY338" s="65">
        <v>13337.5</v>
      </c>
      <c r="BZ338" s="81">
        <v>14.098837209302326</v>
      </c>
    </row>
    <row r="339" spans="1:82" x14ac:dyDescent="0.15">
      <c r="A339" s="60">
        <v>2</v>
      </c>
      <c r="B339" s="61">
        <v>44546</v>
      </c>
      <c r="C339" s="61">
        <v>44550</v>
      </c>
      <c r="D339" s="61">
        <v>44564</v>
      </c>
      <c r="E339" s="61">
        <v>44552</v>
      </c>
      <c r="F339" s="61">
        <v>44557</v>
      </c>
      <c r="G339" s="61">
        <v>44550</v>
      </c>
      <c r="H339" s="61">
        <v>44553</v>
      </c>
      <c r="I339" s="60" t="s">
        <v>612</v>
      </c>
      <c r="J339" s="60">
        <v>1</v>
      </c>
      <c r="L339" s="60">
        <v>0</v>
      </c>
      <c r="M339" s="61">
        <v>44532</v>
      </c>
      <c r="O339" s="62" t="s">
        <v>331</v>
      </c>
      <c r="P339" s="60" t="s">
        <v>26</v>
      </c>
      <c r="Q339" s="62" t="s">
        <v>125</v>
      </c>
      <c r="R339" s="62" t="s">
        <v>1348</v>
      </c>
      <c r="S339" s="63" t="s">
        <v>689</v>
      </c>
      <c r="T339" s="63" t="s">
        <v>1349</v>
      </c>
      <c r="U339" s="64">
        <v>203500</v>
      </c>
      <c r="V339" s="64">
        <v>223850</v>
      </c>
      <c r="W339" s="64">
        <v>86000</v>
      </c>
      <c r="X339" s="64">
        <v>94600</v>
      </c>
      <c r="Y339" s="64">
        <v>117500</v>
      </c>
      <c r="Z339" s="64">
        <v>129250</v>
      </c>
      <c r="AA339" s="61">
        <v>44549</v>
      </c>
      <c r="AB339" s="61">
        <v>44550</v>
      </c>
      <c r="AC339" s="61">
        <v>44550</v>
      </c>
      <c r="AD339" s="60">
        <v>0</v>
      </c>
      <c r="AG339" s="60">
        <v>0</v>
      </c>
      <c r="AJ339" s="60">
        <v>0</v>
      </c>
      <c r="AM339" s="60" t="s">
        <v>273</v>
      </c>
      <c r="AN339" s="60" t="s">
        <v>1350</v>
      </c>
      <c r="AQ339" s="60" t="s">
        <v>1182</v>
      </c>
      <c r="AR339" s="61">
        <v>44539</v>
      </c>
      <c r="AS339" s="60">
        <v>6001967768</v>
      </c>
      <c r="AT339" s="61">
        <v>44540</v>
      </c>
      <c r="AU339" s="60" t="s">
        <v>1210</v>
      </c>
      <c r="AV339" s="61">
        <v>44550</v>
      </c>
      <c r="AW339" s="91">
        <v>44561</v>
      </c>
      <c r="AX339" s="91">
        <v>44581</v>
      </c>
      <c r="AY339" s="99">
        <v>195360</v>
      </c>
      <c r="AZ339" s="99">
        <f>ROUNDDOWN(AY339+(AY339*MASTER!$A$2/100),0)</f>
        <v>214896</v>
      </c>
      <c r="BA339" s="60" t="s">
        <v>317</v>
      </c>
      <c r="BB339" s="64">
        <v>35000</v>
      </c>
      <c r="BC339" s="64">
        <v>38500</v>
      </c>
      <c r="BD339" s="60" t="s">
        <v>184</v>
      </c>
      <c r="BG339" s="64">
        <v>0</v>
      </c>
      <c r="BI339" s="60" t="s">
        <v>267</v>
      </c>
      <c r="BJ339" s="64">
        <v>76375</v>
      </c>
      <c r="BK339" s="64">
        <v>84012.5</v>
      </c>
      <c r="BL339" s="60" t="s">
        <v>1366</v>
      </c>
      <c r="BS339" s="64">
        <v>0</v>
      </c>
      <c r="BV339" s="65">
        <v>94600</v>
      </c>
      <c r="BW339" s="65">
        <v>122512.5</v>
      </c>
      <c r="BX339" s="65">
        <v>44532</v>
      </c>
      <c r="BY339" s="65">
        <v>-27912.5</v>
      </c>
      <c r="BZ339" s="81">
        <v>-29.505813953488374</v>
      </c>
    </row>
    <row r="340" spans="1:82" x14ac:dyDescent="0.15">
      <c r="A340" s="60">
        <v>1</v>
      </c>
      <c r="C340" s="61" t="s">
        <v>309</v>
      </c>
      <c r="F340" s="61" t="s">
        <v>309</v>
      </c>
      <c r="H340" s="61" t="s">
        <v>309</v>
      </c>
      <c r="J340" s="60">
        <v>4</v>
      </c>
      <c r="L340" s="60">
        <v>0</v>
      </c>
      <c r="M340" s="61">
        <v>44532</v>
      </c>
      <c r="O340" s="62" t="s">
        <v>331</v>
      </c>
      <c r="P340" s="60" t="s">
        <v>77</v>
      </c>
      <c r="Q340" s="62" t="s">
        <v>125</v>
      </c>
      <c r="R340" s="62" t="s">
        <v>1119</v>
      </c>
      <c r="S340" s="63" t="s">
        <v>602</v>
      </c>
      <c r="T340" s="63" t="s">
        <v>1120</v>
      </c>
      <c r="U340" s="64">
        <v>0</v>
      </c>
      <c r="V340" s="64">
        <v>0</v>
      </c>
      <c r="W340" s="64">
        <v>0</v>
      </c>
      <c r="X340" s="64">
        <v>0</v>
      </c>
      <c r="Y340" s="64">
        <v>0</v>
      </c>
      <c r="Z340" s="64">
        <v>0</v>
      </c>
      <c r="AA340" s="61">
        <v>44501</v>
      </c>
      <c r="AB340" s="61">
        <v>44530</v>
      </c>
      <c r="AD340" s="60">
        <v>0</v>
      </c>
      <c r="AG340" s="60">
        <v>0</v>
      </c>
      <c r="AJ340" s="60">
        <v>0</v>
      </c>
      <c r="AN340" s="60" t="s">
        <v>309</v>
      </c>
      <c r="AY340" s="99">
        <f>ROUNDDOWN((0.96*U340),0)</f>
        <v>0</v>
      </c>
      <c r="AZ340" s="99">
        <f>ROUNDDOWN(AY340+(AY340*MASTER!$A$2/100),0)</f>
        <v>0</v>
      </c>
      <c r="BA340" s="60" t="s">
        <v>321</v>
      </c>
      <c r="BB340" s="64">
        <v>122920</v>
      </c>
      <c r="BC340" s="64">
        <v>135212</v>
      </c>
      <c r="BD340" s="60" t="s">
        <v>183</v>
      </c>
      <c r="BG340" s="64">
        <v>0</v>
      </c>
      <c r="BK340" s="64">
        <v>0</v>
      </c>
      <c r="BS340" s="64">
        <v>0</v>
      </c>
      <c r="BV340" s="65">
        <v>0</v>
      </c>
      <c r="BW340" s="65">
        <v>135212</v>
      </c>
      <c r="BX340" s="65">
        <v>44532</v>
      </c>
      <c r="BY340" s="65">
        <v>-135212</v>
      </c>
      <c r="BZ340" s="81" t="s">
        <v>309</v>
      </c>
    </row>
    <row r="341" spans="1:82" x14ac:dyDescent="0.15">
      <c r="A341" s="60">
        <v>1</v>
      </c>
      <c r="B341" s="61">
        <v>44551</v>
      </c>
      <c r="C341" s="61">
        <v>44550</v>
      </c>
      <c r="F341" s="61" t="s">
        <v>309</v>
      </c>
      <c r="H341" s="61" t="s">
        <v>309</v>
      </c>
      <c r="J341" s="60">
        <v>2</v>
      </c>
      <c r="L341" s="60">
        <v>0</v>
      </c>
      <c r="M341" s="61">
        <v>44533</v>
      </c>
      <c r="O341" s="62" t="s">
        <v>331</v>
      </c>
      <c r="P341" s="60" t="s">
        <v>26</v>
      </c>
      <c r="Q341" s="62" t="s">
        <v>125</v>
      </c>
      <c r="R341" s="62" t="s">
        <v>1137</v>
      </c>
      <c r="S341" s="63" t="s">
        <v>354</v>
      </c>
      <c r="T341" s="63" t="s">
        <v>1138</v>
      </c>
      <c r="U341" s="64">
        <v>160000</v>
      </c>
      <c r="V341" s="64">
        <v>176000</v>
      </c>
      <c r="W341" s="64">
        <v>160000</v>
      </c>
      <c r="X341" s="64">
        <v>176000</v>
      </c>
      <c r="Y341" s="64">
        <v>0</v>
      </c>
      <c r="Z341" s="64">
        <v>0</v>
      </c>
      <c r="AA341" s="61">
        <v>44536</v>
      </c>
      <c r="AB341" s="61">
        <v>44544</v>
      </c>
      <c r="AD341" s="60">
        <v>0</v>
      </c>
      <c r="AG341" s="60">
        <v>0</v>
      </c>
      <c r="AJ341" s="60">
        <v>0</v>
      </c>
      <c r="AN341" s="60" t="s">
        <v>309</v>
      </c>
      <c r="AQ341" s="60" t="s">
        <v>1143</v>
      </c>
      <c r="AR341" s="61">
        <v>44536</v>
      </c>
      <c r="AS341" s="60">
        <v>6001965727</v>
      </c>
      <c r="AT341" s="61">
        <v>44536</v>
      </c>
      <c r="AU341" s="60" t="s">
        <v>1420</v>
      </c>
      <c r="AV341" s="61">
        <v>44550</v>
      </c>
      <c r="AW341" s="91">
        <v>44561</v>
      </c>
      <c r="AX341" s="91">
        <v>44581</v>
      </c>
      <c r="AY341" s="107">
        <v>160000</v>
      </c>
      <c r="AZ341" s="107">
        <f>ROUNDDOWN(AY341+(AY341*MASTER!$A$2/100),0)</f>
        <v>176000</v>
      </c>
      <c r="BC341" s="64">
        <v>0</v>
      </c>
      <c r="BG341" s="64">
        <v>0</v>
      </c>
      <c r="BK341" s="64">
        <v>0</v>
      </c>
      <c r="BS341" s="64">
        <v>0</v>
      </c>
      <c r="BV341" s="65">
        <v>176000</v>
      </c>
      <c r="BW341" s="65">
        <v>0</v>
      </c>
      <c r="BX341" s="65">
        <v>44533</v>
      </c>
      <c r="BY341" s="65">
        <v>176000</v>
      </c>
      <c r="BZ341" s="81">
        <v>100</v>
      </c>
    </row>
    <row r="342" spans="1:82" x14ac:dyDescent="0.15">
      <c r="A342" s="60">
        <v>1</v>
      </c>
      <c r="B342" s="61">
        <v>44546</v>
      </c>
      <c r="C342" s="61">
        <v>44547</v>
      </c>
      <c r="D342" s="61">
        <v>44536</v>
      </c>
      <c r="E342" s="61">
        <v>44536</v>
      </c>
      <c r="F342" s="61" t="s">
        <v>309</v>
      </c>
      <c r="G342" s="61">
        <v>44536</v>
      </c>
      <c r="H342" s="61" t="s">
        <v>309</v>
      </c>
      <c r="I342" s="60" t="s">
        <v>766</v>
      </c>
      <c r="J342" s="60">
        <v>2</v>
      </c>
      <c r="L342" s="60">
        <v>0</v>
      </c>
      <c r="M342" s="61">
        <v>44533</v>
      </c>
      <c r="O342" s="62" t="s">
        <v>331</v>
      </c>
      <c r="P342" s="60" t="s">
        <v>6</v>
      </c>
      <c r="Q342" s="62" t="s">
        <v>125</v>
      </c>
      <c r="R342" s="62" t="s">
        <v>1135</v>
      </c>
      <c r="S342" s="63" t="s">
        <v>1136</v>
      </c>
      <c r="T342" s="63" t="s">
        <v>364</v>
      </c>
      <c r="U342" s="64">
        <v>35000</v>
      </c>
      <c r="V342" s="64">
        <v>38500</v>
      </c>
      <c r="W342" s="64">
        <v>35000</v>
      </c>
      <c r="X342" s="64">
        <v>38500</v>
      </c>
      <c r="Z342" s="64">
        <v>0</v>
      </c>
      <c r="AA342" s="61">
        <v>44530</v>
      </c>
      <c r="AB342" s="61">
        <v>44530</v>
      </c>
      <c r="AD342" s="60">
        <v>0</v>
      </c>
      <c r="AG342" s="60">
        <v>0</v>
      </c>
      <c r="AJ342" s="60">
        <v>0</v>
      </c>
      <c r="AN342" s="60" t="s">
        <v>309</v>
      </c>
      <c r="AQ342" s="60" t="s">
        <v>1292</v>
      </c>
      <c r="AR342" s="61">
        <v>44544</v>
      </c>
      <c r="AS342" s="60">
        <v>6001969885</v>
      </c>
      <c r="AT342" s="61">
        <v>44545</v>
      </c>
      <c r="AU342" s="60" t="s">
        <v>1300</v>
      </c>
      <c r="AV342" s="61">
        <v>44547</v>
      </c>
      <c r="AW342" s="91">
        <v>44561</v>
      </c>
      <c r="AX342" s="91">
        <v>44581</v>
      </c>
      <c r="AY342" s="99">
        <v>33600</v>
      </c>
      <c r="AZ342" s="99">
        <f>ROUNDDOWN(AY342+(AY342*MASTER!$A$2/100),0)</f>
        <v>36960</v>
      </c>
      <c r="BA342" s="60" t="s">
        <v>314</v>
      </c>
      <c r="BB342" s="64">
        <v>24000</v>
      </c>
      <c r="BC342" s="64">
        <v>26400</v>
      </c>
      <c r="BD342" s="60" t="s">
        <v>183</v>
      </c>
      <c r="BG342" s="64">
        <v>0</v>
      </c>
      <c r="BK342" s="64">
        <v>0</v>
      </c>
      <c r="BS342" s="64">
        <v>0</v>
      </c>
      <c r="BV342" s="65">
        <v>38500</v>
      </c>
      <c r="BW342" s="65">
        <v>26400</v>
      </c>
      <c r="BX342" s="65">
        <v>44533</v>
      </c>
      <c r="BY342" s="65">
        <v>12100</v>
      </c>
      <c r="BZ342" s="81">
        <v>31.428571428571427</v>
      </c>
    </row>
    <row r="343" spans="1:82" x14ac:dyDescent="0.15">
      <c r="A343" s="60">
        <v>1</v>
      </c>
      <c r="B343" s="61">
        <v>44546</v>
      </c>
      <c r="C343" s="61">
        <v>44547</v>
      </c>
      <c r="F343" s="61" t="s">
        <v>309</v>
      </c>
      <c r="H343" s="61" t="s">
        <v>309</v>
      </c>
      <c r="J343" s="60">
        <v>2</v>
      </c>
      <c r="L343" s="60">
        <v>0</v>
      </c>
      <c r="M343" s="61">
        <v>44533</v>
      </c>
      <c r="O343" s="62" t="s">
        <v>331</v>
      </c>
      <c r="P343" s="60" t="s">
        <v>6</v>
      </c>
      <c r="Q343" s="62" t="s">
        <v>125</v>
      </c>
      <c r="R343" s="62" t="s">
        <v>1308</v>
      </c>
      <c r="S343" s="63" t="s">
        <v>426</v>
      </c>
      <c r="T343" s="63" t="s">
        <v>364</v>
      </c>
      <c r="U343" s="64">
        <v>35000</v>
      </c>
      <c r="V343" s="64">
        <v>38500</v>
      </c>
      <c r="W343" s="64">
        <v>35000</v>
      </c>
      <c r="X343" s="64">
        <v>38500</v>
      </c>
      <c r="Z343" s="64">
        <v>0</v>
      </c>
      <c r="AA343" s="61">
        <v>44532</v>
      </c>
      <c r="AB343" s="61">
        <v>44532</v>
      </c>
      <c r="AD343" s="60">
        <v>0</v>
      </c>
      <c r="AG343" s="60">
        <v>0</v>
      </c>
      <c r="AJ343" s="60">
        <v>0</v>
      </c>
      <c r="AN343" s="60" t="s">
        <v>309</v>
      </c>
      <c r="AQ343" s="60" t="s">
        <v>1294</v>
      </c>
      <c r="AR343" s="61">
        <v>44545</v>
      </c>
      <c r="AS343" s="60">
        <v>6001970154</v>
      </c>
      <c r="AT343" s="61">
        <v>44545</v>
      </c>
      <c r="AU343" s="60" t="s">
        <v>1301</v>
      </c>
      <c r="AV343" s="61">
        <v>44547</v>
      </c>
      <c r="AW343" s="91">
        <v>44561</v>
      </c>
      <c r="AX343" s="91">
        <v>44581</v>
      </c>
      <c r="AY343" s="99">
        <v>33600</v>
      </c>
      <c r="AZ343" s="99">
        <f>ROUNDDOWN(AY343+(AY343*MASTER!$A$2/100),0)</f>
        <v>36960</v>
      </c>
      <c r="BC343" s="64">
        <v>0</v>
      </c>
      <c r="BG343" s="64">
        <v>0</v>
      </c>
      <c r="BK343" s="64">
        <v>0</v>
      </c>
      <c r="BS343" s="64">
        <v>0</v>
      </c>
      <c r="BV343" s="65">
        <v>38500</v>
      </c>
      <c r="BW343" s="65">
        <v>0</v>
      </c>
      <c r="BX343" s="65">
        <v>44533</v>
      </c>
      <c r="BY343" s="65">
        <v>38500</v>
      </c>
      <c r="BZ343" s="81">
        <v>100</v>
      </c>
    </row>
    <row r="344" spans="1:82" x14ac:dyDescent="0.15">
      <c r="A344" s="60">
        <v>1</v>
      </c>
      <c r="B344" s="61">
        <v>44546</v>
      </c>
      <c r="C344" s="61">
        <v>44547</v>
      </c>
      <c r="F344" s="61" t="s">
        <v>309</v>
      </c>
      <c r="G344" s="61">
        <v>44545</v>
      </c>
      <c r="H344" s="61" t="s">
        <v>309</v>
      </c>
      <c r="J344" s="60">
        <v>2</v>
      </c>
      <c r="L344" s="60">
        <v>0</v>
      </c>
      <c r="M344" s="61">
        <v>44536</v>
      </c>
      <c r="O344" s="62" t="s">
        <v>331</v>
      </c>
      <c r="P344" s="60" t="s">
        <v>6</v>
      </c>
      <c r="Q344" s="62" t="s">
        <v>125</v>
      </c>
      <c r="R344" s="62" t="s">
        <v>1139</v>
      </c>
      <c r="S344" s="63" t="s">
        <v>1253</v>
      </c>
      <c r="T344" s="63" t="s">
        <v>364</v>
      </c>
      <c r="U344" s="64">
        <v>51000</v>
      </c>
      <c r="V344" s="64">
        <v>56100</v>
      </c>
      <c r="W344" s="64">
        <v>51000</v>
      </c>
      <c r="X344" s="64">
        <v>56100</v>
      </c>
      <c r="Y344" s="64">
        <v>0</v>
      </c>
      <c r="Z344" s="64">
        <v>0</v>
      </c>
      <c r="AA344" s="61">
        <v>44543</v>
      </c>
      <c r="AB344" s="61">
        <v>44543</v>
      </c>
      <c r="AD344" s="60">
        <v>0</v>
      </c>
      <c r="AG344" s="60">
        <v>0</v>
      </c>
      <c r="AJ344" s="60">
        <v>0</v>
      </c>
      <c r="AQ344" s="60" t="s">
        <v>1295</v>
      </c>
      <c r="AR344" s="61">
        <v>44545</v>
      </c>
      <c r="AS344" s="60">
        <v>6001970155</v>
      </c>
      <c r="AT344" s="61">
        <v>44545</v>
      </c>
      <c r="AU344" s="60" t="s">
        <v>1302</v>
      </c>
      <c r="AV344" s="61">
        <v>44547</v>
      </c>
      <c r="AW344" s="91">
        <v>44561</v>
      </c>
      <c r="AX344" s="91">
        <v>44581</v>
      </c>
      <c r="AY344" s="99">
        <v>48960</v>
      </c>
      <c r="AZ344" s="99">
        <f>ROUNDDOWN(AY344+(AY344*MASTER!$A$2/100),0)</f>
        <v>53856</v>
      </c>
      <c r="BA344" s="60" t="s">
        <v>538</v>
      </c>
      <c r="BB344" s="64">
        <v>22000</v>
      </c>
      <c r="BC344" s="64">
        <v>24200</v>
      </c>
      <c r="BD344" s="60" t="s">
        <v>1366</v>
      </c>
      <c r="BG344" s="64">
        <v>0</v>
      </c>
      <c r="BK344" s="64">
        <v>0</v>
      </c>
      <c r="BS344" s="64">
        <v>0</v>
      </c>
      <c r="BV344" s="65">
        <v>56100</v>
      </c>
      <c r="BW344" s="65">
        <v>24200</v>
      </c>
      <c r="BX344" s="65">
        <v>44536</v>
      </c>
      <c r="BY344" s="65">
        <v>31900</v>
      </c>
      <c r="BZ344" s="81">
        <v>56.862745098039213</v>
      </c>
    </row>
    <row r="345" spans="1:82" x14ac:dyDescent="0.15">
      <c r="A345" s="60">
        <v>2</v>
      </c>
      <c r="B345" s="61">
        <v>44585</v>
      </c>
      <c r="C345" s="61">
        <v>44588</v>
      </c>
      <c r="D345" s="61">
        <v>44604</v>
      </c>
      <c r="E345" s="61">
        <v>44604</v>
      </c>
      <c r="F345" s="61">
        <v>44595</v>
      </c>
      <c r="G345" s="61">
        <v>44589</v>
      </c>
      <c r="H345" s="61">
        <v>44591</v>
      </c>
      <c r="I345" s="60" t="s">
        <v>612</v>
      </c>
      <c r="J345" s="60">
        <v>1</v>
      </c>
      <c r="L345" s="60">
        <v>0</v>
      </c>
      <c r="M345" s="61">
        <v>44537</v>
      </c>
      <c r="O345" s="62" t="s">
        <v>331</v>
      </c>
      <c r="P345" s="60" t="s">
        <v>26</v>
      </c>
      <c r="Q345" s="62" t="s">
        <v>125</v>
      </c>
      <c r="R345" s="62" t="s">
        <v>2022</v>
      </c>
      <c r="S345" s="63" t="s">
        <v>1894</v>
      </c>
      <c r="T345" s="63" t="s">
        <v>2023</v>
      </c>
      <c r="U345" s="64">
        <v>540680</v>
      </c>
      <c r="V345" s="64">
        <v>594748</v>
      </c>
      <c r="W345" s="64">
        <v>452180</v>
      </c>
      <c r="X345" s="64">
        <v>497398</v>
      </c>
      <c r="Y345" s="64">
        <v>88500</v>
      </c>
      <c r="Z345" s="64">
        <v>97350</v>
      </c>
      <c r="AA345" s="61">
        <v>44585</v>
      </c>
      <c r="AB345" s="61">
        <v>44588</v>
      </c>
      <c r="AC345" s="61">
        <v>44588</v>
      </c>
      <c r="AD345" s="60">
        <v>0</v>
      </c>
      <c r="AG345" s="60">
        <v>0</v>
      </c>
      <c r="AJ345" s="60">
        <v>0</v>
      </c>
      <c r="AM345" s="60" t="s">
        <v>273</v>
      </c>
      <c r="AN345" s="60" t="s">
        <v>2024</v>
      </c>
      <c r="AQ345" s="60" t="s">
        <v>1361</v>
      </c>
      <c r="AR345" s="61">
        <v>44547</v>
      </c>
      <c r="AS345" s="60">
        <v>6001972159</v>
      </c>
      <c r="AT345" s="61">
        <v>44547</v>
      </c>
      <c r="AU345" s="60" t="s">
        <v>1363</v>
      </c>
      <c r="AV345" s="61">
        <v>44588</v>
      </c>
      <c r="AW345" s="91">
        <v>44592</v>
      </c>
      <c r="AX345" s="91">
        <v>44612</v>
      </c>
      <c r="AY345" s="99">
        <v>519053</v>
      </c>
      <c r="AZ345" s="99">
        <f>ROUNDDOWN(AY345+(AY345*MASTER!$A$2/100),0)</f>
        <v>570958</v>
      </c>
      <c r="BA345" s="60" t="s">
        <v>319</v>
      </c>
      <c r="BB345" s="64">
        <v>234000</v>
      </c>
      <c r="BC345" s="64">
        <v>257400</v>
      </c>
      <c r="BD345" s="60" t="s">
        <v>1614</v>
      </c>
      <c r="BG345" s="64">
        <v>0</v>
      </c>
      <c r="BI345" s="60" t="s">
        <v>748</v>
      </c>
      <c r="BJ345" s="64">
        <v>57525</v>
      </c>
      <c r="BK345" s="64">
        <v>63277.5</v>
      </c>
      <c r="BL345" s="60" t="s">
        <v>1614</v>
      </c>
      <c r="BS345" s="64">
        <v>0</v>
      </c>
      <c r="BV345" s="65">
        <v>497398</v>
      </c>
      <c r="BW345" s="65">
        <v>320677.5</v>
      </c>
      <c r="BX345" s="65">
        <v>44537</v>
      </c>
      <c r="BY345" s="65">
        <v>176720.5</v>
      </c>
      <c r="BZ345" s="81">
        <v>35.528992878942013</v>
      </c>
    </row>
    <row r="346" spans="1:82" x14ac:dyDescent="0.15">
      <c r="A346" s="60">
        <v>2</v>
      </c>
      <c r="B346" s="61">
        <v>44551</v>
      </c>
      <c r="C346" s="61">
        <v>44553</v>
      </c>
      <c r="D346" s="61">
        <v>44564</v>
      </c>
      <c r="E346" s="61">
        <v>44558</v>
      </c>
      <c r="F346" s="61">
        <v>44560</v>
      </c>
      <c r="G346" s="61">
        <v>44554</v>
      </c>
      <c r="H346" s="61">
        <v>44556</v>
      </c>
      <c r="I346" s="60" t="s">
        <v>511</v>
      </c>
      <c r="J346" s="60">
        <v>1</v>
      </c>
      <c r="L346" s="60">
        <v>0</v>
      </c>
      <c r="M346" s="61">
        <v>44537</v>
      </c>
      <c r="O346" s="62" t="s">
        <v>331</v>
      </c>
      <c r="P346" s="60" t="s">
        <v>26</v>
      </c>
      <c r="Q346" s="62" t="s">
        <v>125</v>
      </c>
      <c r="R346" s="62" t="s">
        <v>1238</v>
      </c>
      <c r="S346" s="63" t="s">
        <v>1239</v>
      </c>
      <c r="T346" s="63" t="s">
        <v>1240</v>
      </c>
      <c r="U346" s="64">
        <v>202500</v>
      </c>
      <c r="V346" s="64">
        <v>222750</v>
      </c>
      <c r="W346" s="64">
        <v>110000</v>
      </c>
      <c r="X346" s="64">
        <v>121000</v>
      </c>
      <c r="Y346" s="64">
        <v>92500</v>
      </c>
      <c r="Z346" s="64">
        <v>101750</v>
      </c>
      <c r="AA346" s="61">
        <v>44552</v>
      </c>
      <c r="AB346" s="61">
        <v>44553</v>
      </c>
      <c r="AC346" s="61">
        <v>44553</v>
      </c>
      <c r="AD346" s="60">
        <v>0</v>
      </c>
      <c r="AG346" s="60">
        <v>0</v>
      </c>
      <c r="AJ346" s="60">
        <v>0</v>
      </c>
      <c r="AM346" s="60" t="s">
        <v>273</v>
      </c>
      <c r="AN346" s="60" t="s">
        <v>1241</v>
      </c>
      <c r="AQ346" s="60" t="s">
        <v>1243</v>
      </c>
      <c r="AR346" s="61">
        <v>44543</v>
      </c>
      <c r="AS346" s="60">
        <v>6001969087</v>
      </c>
      <c r="AT346" s="61">
        <v>44544</v>
      </c>
      <c r="AU346" s="60" t="s">
        <v>1297</v>
      </c>
      <c r="AV346" s="61">
        <v>44553</v>
      </c>
      <c r="AW346" s="91">
        <v>44561</v>
      </c>
      <c r="AX346" s="91">
        <v>44581</v>
      </c>
      <c r="AY346" s="99">
        <v>194400</v>
      </c>
      <c r="AZ346" s="99">
        <f>ROUNDDOWN(AY346+(AY346*MASTER!$A$2/100),0)</f>
        <v>213840</v>
      </c>
      <c r="BA346" s="60" t="s">
        <v>780</v>
      </c>
      <c r="BB346" s="64">
        <v>23000</v>
      </c>
      <c r="BC346" s="64">
        <v>25300</v>
      </c>
      <c r="BD346" s="60" t="s">
        <v>184</v>
      </c>
      <c r="BG346" s="64">
        <v>0</v>
      </c>
      <c r="BI346" s="60" t="s">
        <v>267</v>
      </c>
      <c r="BJ346" s="64">
        <v>60125</v>
      </c>
      <c r="BK346" s="64">
        <v>66137.5</v>
      </c>
      <c r="BL346" s="60" t="s">
        <v>1366</v>
      </c>
      <c r="BS346" s="64">
        <v>0</v>
      </c>
      <c r="BV346" s="65">
        <v>121000</v>
      </c>
      <c r="BW346" s="65">
        <v>91437.5</v>
      </c>
      <c r="BX346" s="65">
        <v>44537</v>
      </c>
      <c r="BY346" s="65">
        <v>29562.5</v>
      </c>
      <c r="BZ346" s="81">
        <v>24.431818181818183</v>
      </c>
    </row>
    <row r="347" spans="1:82" x14ac:dyDescent="0.15">
      <c r="A347" s="60">
        <v>2</v>
      </c>
      <c r="B347" s="61">
        <v>44585</v>
      </c>
      <c r="C347" s="61">
        <v>44587</v>
      </c>
      <c r="D347" s="61">
        <v>44596</v>
      </c>
      <c r="E347" s="61">
        <v>44588</v>
      </c>
      <c r="F347" s="61">
        <v>44594</v>
      </c>
      <c r="G347" s="61">
        <v>44588</v>
      </c>
      <c r="H347" s="61">
        <v>44590</v>
      </c>
      <c r="I347" s="60" t="s">
        <v>511</v>
      </c>
      <c r="J347" s="60">
        <v>1</v>
      </c>
      <c r="K347" s="61">
        <v>44551</v>
      </c>
      <c r="L347" s="60" t="s">
        <v>529</v>
      </c>
      <c r="M347" s="61">
        <v>44537</v>
      </c>
      <c r="O347" s="62" t="s">
        <v>331</v>
      </c>
      <c r="P347" s="60" t="s">
        <v>26</v>
      </c>
      <c r="Q347" s="62" t="s">
        <v>125</v>
      </c>
      <c r="R347" s="62" t="s">
        <v>1396</v>
      </c>
      <c r="S347" s="63" t="s">
        <v>782</v>
      </c>
      <c r="T347" s="63" t="s">
        <v>1397</v>
      </c>
      <c r="U347" s="64">
        <v>543745</v>
      </c>
      <c r="V347" s="64">
        <v>598119.5</v>
      </c>
      <c r="W347" s="64">
        <v>470045</v>
      </c>
      <c r="X347" s="64">
        <v>517049.5</v>
      </c>
      <c r="Y347" s="64">
        <v>73700</v>
      </c>
      <c r="Z347" s="64">
        <v>81070</v>
      </c>
      <c r="AA347" s="61">
        <v>44584</v>
      </c>
      <c r="AB347" s="61">
        <v>44587</v>
      </c>
      <c r="AC347" s="61">
        <v>44587</v>
      </c>
      <c r="AD347" s="60">
        <v>0</v>
      </c>
      <c r="AG347" s="60">
        <v>0</v>
      </c>
      <c r="AJ347" s="60">
        <v>0</v>
      </c>
      <c r="AM347" s="60" t="s">
        <v>273</v>
      </c>
      <c r="AN347" s="60" t="s">
        <v>1398</v>
      </c>
      <c r="AQ347" s="60" t="s">
        <v>1441</v>
      </c>
      <c r="AR347" s="61">
        <v>44553</v>
      </c>
      <c r="AS347" s="60">
        <v>6001974568</v>
      </c>
      <c r="AT347" s="61">
        <v>44553</v>
      </c>
      <c r="AU347" s="60" t="s">
        <v>1445</v>
      </c>
      <c r="AV347" s="61">
        <v>44587</v>
      </c>
      <c r="AW347" s="91">
        <v>44592</v>
      </c>
      <c r="AX347" s="91">
        <v>44612</v>
      </c>
      <c r="AY347" s="99">
        <v>521995</v>
      </c>
      <c r="AZ347" s="99">
        <v>574195</v>
      </c>
      <c r="BA347" s="60" t="s">
        <v>582</v>
      </c>
      <c r="BB347" s="64">
        <v>294400</v>
      </c>
      <c r="BC347" s="64">
        <v>323840</v>
      </c>
      <c r="BD347" s="60" t="s">
        <v>1614</v>
      </c>
      <c r="BG347" s="64">
        <v>0</v>
      </c>
      <c r="BI347" s="60" t="s">
        <v>748</v>
      </c>
      <c r="BJ347" s="64">
        <v>47905</v>
      </c>
      <c r="BK347" s="64">
        <v>52695.5</v>
      </c>
      <c r="BL347" s="60" t="s">
        <v>1614</v>
      </c>
      <c r="BS347" s="64">
        <v>0</v>
      </c>
      <c r="BV347" s="65">
        <v>517049.5</v>
      </c>
      <c r="BW347" s="65">
        <v>376535.5</v>
      </c>
      <c r="BX347" s="65">
        <v>0</v>
      </c>
      <c r="BY347" s="65">
        <v>44551</v>
      </c>
      <c r="BZ347" s="81">
        <v>27.176121435181738</v>
      </c>
      <c r="CD347" s="63" t="s">
        <v>1430</v>
      </c>
    </row>
    <row r="348" spans="1:82" x14ac:dyDescent="0.15">
      <c r="A348" s="60">
        <v>2</v>
      </c>
      <c r="B348" s="61">
        <v>44546</v>
      </c>
      <c r="C348" s="61">
        <v>44551</v>
      </c>
      <c r="D348" s="61">
        <v>44565</v>
      </c>
      <c r="E348" s="61">
        <v>44558</v>
      </c>
      <c r="F348" s="61">
        <v>44558</v>
      </c>
      <c r="G348" s="61">
        <v>44554</v>
      </c>
      <c r="H348" s="61">
        <v>44554</v>
      </c>
      <c r="I348" s="60" t="s">
        <v>511</v>
      </c>
      <c r="J348" s="60">
        <v>1</v>
      </c>
      <c r="L348" s="60">
        <v>0</v>
      </c>
      <c r="M348" s="61">
        <v>44537</v>
      </c>
      <c r="O348" s="62" t="s">
        <v>331</v>
      </c>
      <c r="P348" s="60" t="s">
        <v>26</v>
      </c>
      <c r="Q348" s="62" t="s">
        <v>125</v>
      </c>
      <c r="R348" s="62" t="s">
        <v>1223</v>
      </c>
      <c r="S348" s="63" t="s">
        <v>1224</v>
      </c>
      <c r="T348" s="63" t="s">
        <v>1225</v>
      </c>
      <c r="U348" s="64">
        <v>178500</v>
      </c>
      <c r="V348" s="64">
        <v>196350</v>
      </c>
      <c r="W348" s="64">
        <v>86000</v>
      </c>
      <c r="X348" s="64">
        <v>94600</v>
      </c>
      <c r="Y348" s="64">
        <v>92500</v>
      </c>
      <c r="Z348" s="64">
        <v>101750</v>
      </c>
      <c r="AA348" s="61">
        <v>44550</v>
      </c>
      <c r="AB348" s="61">
        <v>44551</v>
      </c>
      <c r="AC348" s="61">
        <v>44551</v>
      </c>
      <c r="AD348" s="60">
        <v>0</v>
      </c>
      <c r="AG348" s="60">
        <v>0</v>
      </c>
      <c r="AJ348" s="60">
        <v>0</v>
      </c>
      <c r="AM348" s="60" t="s">
        <v>273</v>
      </c>
      <c r="AN348" s="60" t="s">
        <v>1226</v>
      </c>
      <c r="AQ348" s="60" t="s">
        <v>1237</v>
      </c>
      <c r="AR348" s="61">
        <v>44543</v>
      </c>
      <c r="AS348" s="60">
        <v>6001969003</v>
      </c>
      <c r="AT348" s="61">
        <v>44543</v>
      </c>
      <c r="AU348" s="60" t="s">
        <v>1247</v>
      </c>
      <c r="AV348" s="61">
        <v>44551</v>
      </c>
      <c r="AW348" s="91">
        <v>44561</v>
      </c>
      <c r="AX348" s="91">
        <v>44581</v>
      </c>
      <c r="AY348" s="99">
        <v>171360</v>
      </c>
      <c r="AZ348" s="99">
        <f>ROUNDDOWN(AY348+(AY348*MASTER!$A$2/100),0)</f>
        <v>188496</v>
      </c>
      <c r="BA348" s="60" t="s">
        <v>318</v>
      </c>
      <c r="BB348" s="64">
        <v>50000</v>
      </c>
      <c r="BC348" s="64">
        <v>55000</v>
      </c>
      <c r="BD348" s="60" t="s">
        <v>184</v>
      </c>
      <c r="BG348" s="64">
        <v>0</v>
      </c>
      <c r="BI348" s="60" t="s">
        <v>267</v>
      </c>
      <c r="BJ348" s="64">
        <v>60125</v>
      </c>
      <c r="BK348" s="64">
        <v>66137.5</v>
      </c>
      <c r="BL348" s="60" t="s">
        <v>1366</v>
      </c>
      <c r="BS348" s="64">
        <v>0</v>
      </c>
      <c r="BV348" s="65">
        <v>94600</v>
      </c>
      <c r="BW348" s="65">
        <v>121137.5</v>
      </c>
      <c r="BX348" s="65">
        <v>44537</v>
      </c>
      <c r="BY348" s="65">
        <v>-26537.5</v>
      </c>
      <c r="BZ348" s="81">
        <v>-28.052325581395348</v>
      </c>
    </row>
    <row r="349" spans="1:82" x14ac:dyDescent="0.15">
      <c r="A349" s="60">
        <v>1</v>
      </c>
      <c r="B349" s="61">
        <v>44551</v>
      </c>
      <c r="C349" s="61">
        <v>44551</v>
      </c>
      <c r="F349" s="61" t="s">
        <v>309</v>
      </c>
      <c r="H349" s="61" t="s">
        <v>309</v>
      </c>
      <c r="J349" s="60">
        <v>3</v>
      </c>
      <c r="L349" s="60">
        <v>0</v>
      </c>
      <c r="M349" s="61">
        <v>44537</v>
      </c>
      <c r="O349" s="62" t="s">
        <v>331</v>
      </c>
      <c r="P349" s="60" t="s">
        <v>26</v>
      </c>
      <c r="Q349" s="62" t="s">
        <v>125</v>
      </c>
      <c r="R349" s="62" t="s">
        <v>1159</v>
      </c>
      <c r="S349" s="63" t="s">
        <v>326</v>
      </c>
      <c r="T349" s="63" t="s">
        <v>1157</v>
      </c>
      <c r="U349" s="64">
        <v>40000</v>
      </c>
      <c r="V349" s="64">
        <v>44000</v>
      </c>
      <c r="W349" s="64">
        <v>0</v>
      </c>
      <c r="X349" s="64">
        <v>0</v>
      </c>
      <c r="Y349" s="64">
        <v>40000</v>
      </c>
      <c r="Z349" s="64">
        <v>44000</v>
      </c>
      <c r="AB349" s="61">
        <v>44545</v>
      </c>
      <c r="AD349" s="60">
        <v>0</v>
      </c>
      <c r="AG349" s="60">
        <v>0</v>
      </c>
      <c r="AJ349" s="60">
        <v>0</v>
      </c>
      <c r="AQ349" s="60" t="s">
        <v>1185</v>
      </c>
      <c r="AR349" s="61">
        <v>44539</v>
      </c>
      <c r="AS349" s="60">
        <v>6001967768</v>
      </c>
      <c r="AT349" s="61">
        <v>44540</v>
      </c>
      <c r="AU349" s="60" t="s">
        <v>1210</v>
      </c>
      <c r="AV349" s="61">
        <v>44551</v>
      </c>
      <c r="AW349" s="91">
        <v>44561</v>
      </c>
      <c r="AX349" s="91">
        <v>44581</v>
      </c>
      <c r="AY349" s="107">
        <v>40000</v>
      </c>
      <c r="AZ349" s="107">
        <f>ROUNDDOWN(AY349+(AY349*MASTER!$A$2/100),0)</f>
        <v>44000</v>
      </c>
      <c r="BC349" s="64">
        <v>0</v>
      </c>
      <c r="BG349" s="64">
        <v>0</v>
      </c>
      <c r="BI349" s="60" t="s">
        <v>267</v>
      </c>
      <c r="BJ349" s="64">
        <v>26000</v>
      </c>
      <c r="BK349" s="64">
        <v>28600</v>
      </c>
      <c r="BL349" s="60" t="s">
        <v>1366</v>
      </c>
      <c r="BS349" s="64">
        <v>0</v>
      </c>
      <c r="BV349" s="65">
        <v>0</v>
      </c>
      <c r="BW349" s="65">
        <v>28600</v>
      </c>
      <c r="BX349" s="65">
        <v>44537</v>
      </c>
      <c r="BY349" s="65">
        <v>-28600</v>
      </c>
      <c r="BZ349" s="81" t="s">
        <v>309</v>
      </c>
    </row>
    <row r="350" spans="1:82" x14ac:dyDescent="0.15">
      <c r="A350" s="60">
        <v>1</v>
      </c>
      <c r="B350" s="61">
        <v>44551</v>
      </c>
      <c r="C350" s="61">
        <v>44551</v>
      </c>
      <c r="F350" s="61" t="s">
        <v>309</v>
      </c>
      <c r="H350" s="61" t="s">
        <v>309</v>
      </c>
      <c r="J350" s="60">
        <v>3</v>
      </c>
      <c r="L350" s="60">
        <v>0</v>
      </c>
      <c r="M350" s="61">
        <v>44537</v>
      </c>
      <c r="O350" s="62" t="s">
        <v>331</v>
      </c>
      <c r="P350" s="60" t="s">
        <v>26</v>
      </c>
      <c r="Q350" s="62" t="s">
        <v>125</v>
      </c>
      <c r="R350" s="62" t="s">
        <v>1160</v>
      </c>
      <c r="S350" s="63" t="s">
        <v>326</v>
      </c>
      <c r="T350" s="63" t="s">
        <v>1158</v>
      </c>
      <c r="U350" s="64">
        <v>40000</v>
      </c>
      <c r="V350" s="64">
        <v>44000</v>
      </c>
      <c r="W350" s="64">
        <v>0</v>
      </c>
      <c r="X350" s="64">
        <v>0</v>
      </c>
      <c r="Y350" s="64">
        <v>40000</v>
      </c>
      <c r="Z350" s="64">
        <v>44000</v>
      </c>
      <c r="AB350" s="61">
        <v>44545</v>
      </c>
      <c r="AD350" s="60">
        <v>0</v>
      </c>
      <c r="AG350" s="60">
        <v>0</v>
      </c>
      <c r="AJ350" s="60">
        <v>0</v>
      </c>
      <c r="AQ350" s="60" t="s">
        <v>1185</v>
      </c>
      <c r="AR350" s="61">
        <v>44539</v>
      </c>
      <c r="AS350" s="60">
        <v>6001967768</v>
      </c>
      <c r="AT350" s="61">
        <v>44540</v>
      </c>
      <c r="AU350" s="60" t="s">
        <v>1210</v>
      </c>
      <c r="AV350" s="61">
        <v>44551</v>
      </c>
      <c r="AW350" s="91">
        <v>44561</v>
      </c>
      <c r="AX350" s="91">
        <v>44581</v>
      </c>
      <c r="AY350" s="107">
        <v>40000</v>
      </c>
      <c r="AZ350" s="107">
        <f>ROUNDDOWN(AY350+(AY350*MASTER!$A$2/100),0)</f>
        <v>44000</v>
      </c>
      <c r="BC350" s="64">
        <v>0</v>
      </c>
      <c r="BG350" s="64">
        <v>0</v>
      </c>
      <c r="BI350" s="60" t="s">
        <v>267</v>
      </c>
      <c r="BJ350" s="64">
        <v>26000</v>
      </c>
      <c r="BK350" s="64">
        <v>28600</v>
      </c>
      <c r="BL350" s="60" t="s">
        <v>1366</v>
      </c>
      <c r="BS350" s="64">
        <v>0</v>
      </c>
      <c r="BV350" s="65">
        <v>0</v>
      </c>
      <c r="BW350" s="65">
        <v>28600</v>
      </c>
      <c r="BX350" s="65">
        <v>44537</v>
      </c>
      <c r="BY350" s="65">
        <v>-28600</v>
      </c>
      <c r="BZ350" s="81" t="s">
        <v>309</v>
      </c>
    </row>
    <row r="351" spans="1:82" x14ac:dyDescent="0.15">
      <c r="A351" s="60">
        <v>1</v>
      </c>
      <c r="B351" s="61">
        <v>44568</v>
      </c>
      <c r="C351" s="61">
        <v>44575</v>
      </c>
      <c r="F351" s="61" t="s">
        <v>309</v>
      </c>
      <c r="H351" s="61" t="s">
        <v>309</v>
      </c>
      <c r="J351" s="60">
        <v>2</v>
      </c>
      <c r="L351" s="60">
        <v>0</v>
      </c>
      <c r="M351" s="61">
        <v>44537</v>
      </c>
      <c r="O351" s="62" t="s">
        <v>331</v>
      </c>
      <c r="P351" s="60" t="s">
        <v>77</v>
      </c>
      <c r="Q351" s="62" t="s">
        <v>125</v>
      </c>
      <c r="R351" s="62" t="s">
        <v>1167</v>
      </c>
      <c r="S351" s="63" t="s">
        <v>1166</v>
      </c>
      <c r="T351" s="63" t="s">
        <v>1168</v>
      </c>
      <c r="U351" s="64">
        <v>65000</v>
      </c>
      <c r="V351" s="64">
        <v>71500</v>
      </c>
      <c r="W351" s="64">
        <v>65000</v>
      </c>
      <c r="X351" s="64">
        <v>71500</v>
      </c>
      <c r="Y351" s="64">
        <v>0</v>
      </c>
      <c r="Z351" s="64">
        <v>0</v>
      </c>
      <c r="AA351" s="61">
        <v>44537</v>
      </c>
      <c r="AB351" s="61">
        <v>44538</v>
      </c>
      <c r="AD351" s="60">
        <v>0</v>
      </c>
      <c r="AG351" s="60">
        <v>0</v>
      </c>
      <c r="AJ351" s="60">
        <v>0</v>
      </c>
      <c r="AQ351" s="60" t="s">
        <v>1649</v>
      </c>
      <c r="AR351" s="61">
        <v>44567</v>
      </c>
      <c r="AS351" s="60">
        <v>6001977108</v>
      </c>
      <c r="AT351" s="61">
        <v>44568</v>
      </c>
      <c r="AU351" s="60" t="s">
        <v>1652</v>
      </c>
      <c r="AV351" s="61">
        <v>44575</v>
      </c>
      <c r="AW351" s="91">
        <v>44592</v>
      </c>
      <c r="AX351" s="91">
        <v>44612</v>
      </c>
      <c r="AY351" s="107">
        <v>65000</v>
      </c>
      <c r="AZ351" s="107">
        <f>ROUNDDOWN(AY351+(AY351*MASTER!$A$2/100),0)</f>
        <v>71500</v>
      </c>
      <c r="BC351" s="64">
        <v>0</v>
      </c>
      <c r="BG351" s="64">
        <v>0</v>
      </c>
      <c r="BK351" s="64">
        <v>0</v>
      </c>
      <c r="BS351" s="64">
        <v>0</v>
      </c>
      <c r="BV351" s="65">
        <v>71500</v>
      </c>
      <c r="BW351" s="65">
        <v>0</v>
      </c>
      <c r="BX351" s="65">
        <v>44537</v>
      </c>
      <c r="BY351" s="65">
        <v>71500</v>
      </c>
      <c r="BZ351" s="81">
        <v>100</v>
      </c>
    </row>
    <row r="352" spans="1:82" x14ac:dyDescent="0.15">
      <c r="A352" s="60">
        <v>2</v>
      </c>
      <c r="B352" s="61">
        <v>44551</v>
      </c>
      <c r="C352" s="61">
        <v>44550</v>
      </c>
      <c r="D352" s="61">
        <v>44538</v>
      </c>
      <c r="E352" s="61">
        <v>44538</v>
      </c>
      <c r="F352" s="61" t="s">
        <v>309</v>
      </c>
      <c r="G352" s="61">
        <v>44538</v>
      </c>
      <c r="H352" s="61" t="s">
        <v>309</v>
      </c>
      <c r="I352" s="60" t="s">
        <v>766</v>
      </c>
      <c r="J352" s="60">
        <v>2</v>
      </c>
      <c r="L352" s="60">
        <v>0</v>
      </c>
      <c r="M352" s="61">
        <v>44538</v>
      </c>
      <c r="O352" s="62" t="s">
        <v>331</v>
      </c>
      <c r="P352" s="60" t="s">
        <v>6</v>
      </c>
      <c r="Q352" s="62" t="s">
        <v>125</v>
      </c>
      <c r="R352" s="62" t="s">
        <v>1213</v>
      </c>
      <c r="S352" s="63" t="s">
        <v>1212</v>
      </c>
      <c r="T352" s="63" t="s">
        <v>364</v>
      </c>
      <c r="U352" s="64">
        <v>35000</v>
      </c>
      <c r="V352" s="64">
        <v>38500</v>
      </c>
      <c r="W352" s="64">
        <v>35000</v>
      </c>
      <c r="X352" s="64">
        <v>38500</v>
      </c>
      <c r="Z352" s="64">
        <v>0</v>
      </c>
      <c r="AA352" s="61">
        <v>44538</v>
      </c>
      <c r="AB352" s="61">
        <v>44538</v>
      </c>
      <c r="AD352" s="60">
        <v>0</v>
      </c>
      <c r="AG352" s="60">
        <v>0</v>
      </c>
      <c r="AJ352" s="60">
        <v>0</v>
      </c>
      <c r="AN352" s="60" t="s">
        <v>309</v>
      </c>
      <c r="AQ352" s="60" t="s">
        <v>1357</v>
      </c>
      <c r="AR352" s="61">
        <v>44547</v>
      </c>
      <c r="AS352" s="60">
        <v>6001971916</v>
      </c>
      <c r="AT352" s="61">
        <v>44547</v>
      </c>
      <c r="AU352" s="60" t="s">
        <v>1362</v>
      </c>
      <c r="AV352" s="61">
        <v>44550</v>
      </c>
      <c r="AW352" s="91">
        <v>44561</v>
      </c>
      <c r="AX352" s="91">
        <v>44581</v>
      </c>
      <c r="AY352" s="99">
        <v>33600</v>
      </c>
      <c r="AZ352" s="99">
        <f>ROUNDDOWN(AY352+(AY352*MASTER!$A$2/100),0)</f>
        <v>36960</v>
      </c>
      <c r="BA352" s="60" t="s">
        <v>613</v>
      </c>
      <c r="BB352" s="64">
        <v>33000</v>
      </c>
      <c r="BC352" s="64">
        <v>36300</v>
      </c>
      <c r="BD352" s="60" t="s">
        <v>184</v>
      </c>
      <c r="BG352" s="64">
        <v>0</v>
      </c>
      <c r="BK352" s="64">
        <v>0</v>
      </c>
      <c r="BS352" s="64">
        <v>0</v>
      </c>
      <c r="BV352" s="65">
        <v>38500</v>
      </c>
      <c r="BW352" s="65">
        <v>36300</v>
      </c>
      <c r="BX352" s="65">
        <v>44538</v>
      </c>
      <c r="BY352" s="65">
        <v>2200</v>
      </c>
      <c r="BZ352" s="81">
        <v>5.7142857142857144</v>
      </c>
    </row>
    <row r="353" spans="1:78" x14ac:dyDescent="0.15">
      <c r="A353" s="60">
        <v>2</v>
      </c>
      <c r="B353" s="61">
        <v>44544</v>
      </c>
      <c r="C353" s="61">
        <v>44544</v>
      </c>
      <c r="D353" s="61">
        <v>44543</v>
      </c>
      <c r="E353" s="61">
        <v>44543</v>
      </c>
      <c r="F353" s="61" t="s">
        <v>309</v>
      </c>
      <c r="G353" s="61">
        <v>44543</v>
      </c>
      <c r="H353" s="61" t="s">
        <v>309</v>
      </c>
      <c r="I353" s="60" t="s">
        <v>494</v>
      </c>
      <c r="J353" s="60">
        <v>2</v>
      </c>
      <c r="L353" s="60">
        <v>0</v>
      </c>
      <c r="M353" s="61">
        <v>44539</v>
      </c>
      <c r="O353" s="62" t="s">
        <v>331</v>
      </c>
      <c r="P353" s="60" t="s">
        <v>6</v>
      </c>
      <c r="Q353" s="62" t="s">
        <v>125</v>
      </c>
      <c r="R353" s="62" t="s">
        <v>1227</v>
      </c>
      <c r="S353" s="63" t="s">
        <v>1228</v>
      </c>
      <c r="T353" s="63" t="s">
        <v>364</v>
      </c>
      <c r="U353" s="64">
        <v>35000</v>
      </c>
      <c r="V353" s="64">
        <v>38500</v>
      </c>
      <c r="W353" s="64">
        <v>35000</v>
      </c>
      <c r="X353" s="64">
        <v>38500</v>
      </c>
      <c r="Y353" s="64">
        <v>0</v>
      </c>
      <c r="Z353" s="64">
        <v>0</v>
      </c>
      <c r="AA353" s="61">
        <v>44542</v>
      </c>
      <c r="AB353" s="61">
        <v>44542</v>
      </c>
      <c r="AD353" s="60">
        <v>0</v>
      </c>
      <c r="AG353" s="60">
        <v>0</v>
      </c>
      <c r="AJ353" s="60">
        <v>0</v>
      </c>
      <c r="AN353" s="60" t="s">
        <v>309</v>
      </c>
      <c r="AQ353" s="60" t="s">
        <v>1236</v>
      </c>
      <c r="AR353" s="61">
        <v>44543</v>
      </c>
      <c r="AS353" s="60">
        <v>6001969003</v>
      </c>
      <c r="AT353" s="61">
        <v>44543</v>
      </c>
      <c r="AU353" s="60" t="s">
        <v>1247</v>
      </c>
      <c r="AV353" s="61">
        <v>44544</v>
      </c>
      <c r="AW353" s="91">
        <v>44561</v>
      </c>
      <c r="AX353" s="91">
        <v>44581</v>
      </c>
      <c r="AY353" s="99">
        <v>33600</v>
      </c>
      <c r="AZ353" s="99">
        <f>ROUNDDOWN(AY353+(AY353*MASTER!$A$2/100),0)</f>
        <v>36960</v>
      </c>
      <c r="BA353" s="60" t="s">
        <v>901</v>
      </c>
      <c r="BB353" s="64">
        <v>26000</v>
      </c>
      <c r="BC353" s="64">
        <v>28600</v>
      </c>
      <c r="BD353" s="60" t="s">
        <v>1366</v>
      </c>
      <c r="BG353" s="64">
        <v>0</v>
      </c>
      <c r="BK353" s="64">
        <v>0</v>
      </c>
      <c r="BS353" s="64">
        <v>0</v>
      </c>
      <c r="BV353" s="65">
        <v>38500</v>
      </c>
      <c r="BW353" s="65">
        <v>28600</v>
      </c>
      <c r="BX353" s="65">
        <v>44539</v>
      </c>
      <c r="BY353" s="65">
        <v>9900</v>
      </c>
      <c r="BZ353" s="81">
        <v>25.714285714285712</v>
      </c>
    </row>
    <row r="354" spans="1:78" x14ac:dyDescent="0.15">
      <c r="A354" s="60">
        <v>2</v>
      </c>
      <c r="B354" s="61">
        <v>44553</v>
      </c>
      <c r="C354" s="61">
        <v>44552</v>
      </c>
      <c r="D354" s="61">
        <v>44554</v>
      </c>
      <c r="E354" s="61">
        <v>44554</v>
      </c>
      <c r="F354" s="61" t="s">
        <v>309</v>
      </c>
      <c r="G354" s="61">
        <v>44554</v>
      </c>
      <c r="H354" s="61" t="s">
        <v>309</v>
      </c>
      <c r="I354" s="60" t="s">
        <v>494</v>
      </c>
      <c r="J354" s="60">
        <v>2</v>
      </c>
      <c r="L354" s="60">
        <v>0</v>
      </c>
      <c r="M354" s="61">
        <v>44539</v>
      </c>
      <c r="O354" s="62" t="s">
        <v>331</v>
      </c>
      <c r="P354" s="60" t="s">
        <v>6</v>
      </c>
      <c r="Q354" s="62" t="s">
        <v>125</v>
      </c>
      <c r="R354" s="62" t="s">
        <v>1232</v>
      </c>
      <c r="S354" s="63" t="s">
        <v>1233</v>
      </c>
      <c r="T354" s="63" t="s">
        <v>364</v>
      </c>
      <c r="U354" s="64">
        <v>23000</v>
      </c>
      <c r="V354" s="64">
        <v>25300</v>
      </c>
      <c r="W354" s="64">
        <v>23000</v>
      </c>
      <c r="X354" s="64">
        <v>25300</v>
      </c>
      <c r="Y354" s="64">
        <v>0</v>
      </c>
      <c r="Z354" s="64">
        <v>0</v>
      </c>
      <c r="AA354" s="61">
        <v>44551</v>
      </c>
      <c r="AB354" s="61">
        <v>44551</v>
      </c>
      <c r="AD354" s="60">
        <v>0</v>
      </c>
      <c r="AG354" s="60">
        <v>0</v>
      </c>
      <c r="AJ354" s="60">
        <v>0</v>
      </c>
      <c r="AN354" s="60" t="s">
        <v>309</v>
      </c>
      <c r="AQ354" s="60" t="s">
        <v>1235</v>
      </c>
      <c r="AR354" s="61">
        <v>44543</v>
      </c>
      <c r="AS354" s="60">
        <v>6001969003</v>
      </c>
      <c r="AT354" s="61">
        <v>44543</v>
      </c>
      <c r="AU354" s="60" t="s">
        <v>1247</v>
      </c>
      <c r="AV354" s="61">
        <v>44552</v>
      </c>
      <c r="AW354" s="91">
        <v>44561</v>
      </c>
      <c r="AX354" s="91">
        <v>44581</v>
      </c>
      <c r="AY354" s="99">
        <v>22080</v>
      </c>
      <c r="AZ354" s="99">
        <f>ROUNDDOWN(AY354+(AY354*MASTER!$A$2/100),0)</f>
        <v>24288</v>
      </c>
      <c r="BA354" s="60" t="s">
        <v>318</v>
      </c>
      <c r="BB354" s="64">
        <v>44000</v>
      </c>
      <c r="BC354" s="64">
        <v>48400</v>
      </c>
      <c r="BD354" s="60" t="s">
        <v>184</v>
      </c>
      <c r="BG354" s="64">
        <v>0</v>
      </c>
      <c r="BK354" s="64">
        <v>0</v>
      </c>
      <c r="BS354" s="64">
        <v>0</v>
      </c>
      <c r="BV354" s="65">
        <v>25300</v>
      </c>
      <c r="BW354" s="65">
        <v>48400</v>
      </c>
      <c r="BX354" s="65">
        <v>44539</v>
      </c>
      <c r="BY354" s="65">
        <v>-23100</v>
      </c>
      <c r="BZ354" s="81">
        <v>-91.304347826086953</v>
      </c>
    </row>
    <row r="355" spans="1:78" x14ac:dyDescent="0.15">
      <c r="A355" s="60">
        <v>2</v>
      </c>
      <c r="C355" s="61" t="s">
        <v>309</v>
      </c>
      <c r="F355" s="61" t="s">
        <v>309</v>
      </c>
      <c r="H355" s="61" t="s">
        <v>309</v>
      </c>
      <c r="J355" s="60">
        <v>4</v>
      </c>
      <c r="L355" s="60">
        <v>0</v>
      </c>
      <c r="M355" s="61">
        <v>44540</v>
      </c>
      <c r="O355" s="62" t="s">
        <v>331</v>
      </c>
      <c r="P355" s="60" t="s">
        <v>77</v>
      </c>
      <c r="Q355" s="62" t="s">
        <v>125</v>
      </c>
      <c r="R355" s="62" t="s">
        <v>1177</v>
      </c>
      <c r="S355" s="63" t="s">
        <v>354</v>
      </c>
      <c r="T355" s="63" t="s">
        <v>1178</v>
      </c>
      <c r="U355" s="64">
        <v>0</v>
      </c>
      <c r="V355" s="64">
        <v>0</v>
      </c>
      <c r="W355" s="64">
        <v>0</v>
      </c>
      <c r="X355" s="64">
        <v>0</v>
      </c>
      <c r="Y355" s="64">
        <v>0</v>
      </c>
      <c r="Z355" s="64">
        <v>0</v>
      </c>
      <c r="AA355" s="61">
        <v>44501</v>
      </c>
      <c r="AB355" s="61">
        <v>44530</v>
      </c>
      <c r="AD355" s="60">
        <v>0</v>
      </c>
      <c r="AG355" s="60">
        <v>0</v>
      </c>
      <c r="AJ355" s="60">
        <v>0</v>
      </c>
      <c r="AN355" s="60" t="s">
        <v>309</v>
      </c>
      <c r="AY355" s="99">
        <f>ROUNDDOWN((0.96*U355),0)</f>
        <v>0</v>
      </c>
      <c r="AZ355" s="99">
        <f>ROUNDDOWN(AY355+(AY355*MASTER!$A$2/100),0)</f>
        <v>0</v>
      </c>
      <c r="BA355" s="60" t="s">
        <v>272</v>
      </c>
      <c r="BB355" s="64">
        <v>326584</v>
      </c>
      <c r="BC355" s="64">
        <v>359242.4</v>
      </c>
      <c r="BD355" s="60" t="s">
        <v>183</v>
      </c>
      <c r="BG355" s="64">
        <v>0</v>
      </c>
      <c r="BK355" s="64">
        <v>0</v>
      </c>
      <c r="BS355" s="64">
        <v>0</v>
      </c>
      <c r="BV355" s="65">
        <v>0</v>
      </c>
      <c r="BW355" s="65">
        <v>359242.4</v>
      </c>
      <c r="BX355" s="65">
        <v>44540</v>
      </c>
      <c r="BY355" s="65">
        <v>-359242.4</v>
      </c>
      <c r="BZ355" s="81" t="s">
        <v>309</v>
      </c>
    </row>
    <row r="356" spans="1:78" x14ac:dyDescent="0.15">
      <c r="A356" s="60">
        <v>1</v>
      </c>
      <c r="B356" s="61">
        <v>44546</v>
      </c>
      <c r="C356" s="61">
        <v>44547</v>
      </c>
      <c r="F356" s="61" t="s">
        <v>309</v>
      </c>
      <c r="G356" s="61">
        <v>44545</v>
      </c>
      <c r="H356" s="61" t="s">
        <v>309</v>
      </c>
      <c r="J356" s="60">
        <v>2</v>
      </c>
      <c r="L356" s="60">
        <v>0</v>
      </c>
      <c r="M356" s="61">
        <v>44540</v>
      </c>
      <c r="O356" s="62" t="s">
        <v>331</v>
      </c>
      <c r="P356" s="60" t="s">
        <v>6</v>
      </c>
      <c r="Q356" s="62" t="s">
        <v>125</v>
      </c>
      <c r="R356" s="62" t="s">
        <v>1254</v>
      </c>
      <c r="S356" s="63" t="s">
        <v>1255</v>
      </c>
      <c r="T356" s="63" t="s">
        <v>364</v>
      </c>
      <c r="U356" s="64">
        <v>51000</v>
      </c>
      <c r="V356" s="64">
        <v>56100</v>
      </c>
      <c r="W356" s="64">
        <v>51000</v>
      </c>
      <c r="X356" s="64">
        <v>56100</v>
      </c>
      <c r="Y356" s="64">
        <v>0</v>
      </c>
      <c r="Z356" s="64">
        <v>0</v>
      </c>
      <c r="AA356" s="61">
        <v>44543</v>
      </c>
      <c r="AB356" s="61">
        <v>44544</v>
      </c>
      <c r="AD356" s="60">
        <v>0</v>
      </c>
      <c r="AG356" s="60">
        <v>0</v>
      </c>
      <c r="AJ356" s="60">
        <v>0</v>
      </c>
      <c r="AN356" s="60" t="s">
        <v>309</v>
      </c>
      <c r="AQ356" s="60" t="s">
        <v>1296</v>
      </c>
      <c r="AR356" s="61">
        <v>44545</v>
      </c>
      <c r="AS356" s="60">
        <v>6001970155</v>
      </c>
      <c r="AT356" s="61">
        <v>44545</v>
      </c>
      <c r="AU356" s="60" t="s">
        <v>1302</v>
      </c>
      <c r="AV356" s="61">
        <v>44547</v>
      </c>
      <c r="AW356" s="91">
        <v>44561</v>
      </c>
      <c r="AX356" s="91">
        <v>44581</v>
      </c>
      <c r="AY356" s="99">
        <v>48960</v>
      </c>
      <c r="AZ356" s="99">
        <f>ROUNDDOWN(AY356+(AY356*MASTER!$A$2/100),0)</f>
        <v>53856</v>
      </c>
      <c r="BA356" s="60" t="s">
        <v>317</v>
      </c>
      <c r="BB356" s="64">
        <v>21000</v>
      </c>
      <c r="BC356" s="64">
        <v>23100</v>
      </c>
      <c r="BD356" s="60" t="s">
        <v>184</v>
      </c>
      <c r="BG356" s="64">
        <v>0</v>
      </c>
      <c r="BK356" s="64">
        <v>0</v>
      </c>
      <c r="BS356" s="64">
        <v>0</v>
      </c>
      <c r="BV356" s="65">
        <v>56100</v>
      </c>
      <c r="BW356" s="65">
        <v>23100</v>
      </c>
      <c r="BX356" s="65">
        <v>44540</v>
      </c>
      <c r="BY356" s="65">
        <v>33000</v>
      </c>
      <c r="BZ356" s="81">
        <v>58.82352941176471</v>
      </c>
    </row>
    <row r="357" spans="1:78" x14ac:dyDescent="0.15">
      <c r="A357" s="60">
        <v>2</v>
      </c>
      <c r="B357" s="61">
        <v>44551</v>
      </c>
      <c r="C357" s="61">
        <v>44553</v>
      </c>
      <c r="D357" s="61">
        <v>44565</v>
      </c>
      <c r="E357" s="61">
        <v>44558</v>
      </c>
      <c r="F357" s="61">
        <v>44560</v>
      </c>
      <c r="G357" s="61">
        <v>44554</v>
      </c>
      <c r="H357" s="61">
        <v>44556</v>
      </c>
      <c r="I357" s="60" t="s">
        <v>511</v>
      </c>
      <c r="J357" s="60">
        <v>1</v>
      </c>
      <c r="L357" s="60">
        <v>0</v>
      </c>
      <c r="M357" s="61">
        <v>44540</v>
      </c>
      <c r="O357" s="62" t="s">
        <v>331</v>
      </c>
      <c r="P357" s="60" t="s">
        <v>26</v>
      </c>
      <c r="Q357" s="62" t="s">
        <v>125</v>
      </c>
      <c r="R357" s="62" t="s">
        <v>1272</v>
      </c>
      <c r="S357" s="63" t="s">
        <v>1273</v>
      </c>
      <c r="T357" s="63" t="s">
        <v>521</v>
      </c>
      <c r="U357" s="64">
        <v>194500</v>
      </c>
      <c r="V357" s="64">
        <v>213950</v>
      </c>
      <c r="W357" s="64">
        <v>102000</v>
      </c>
      <c r="X357" s="64">
        <v>112200</v>
      </c>
      <c r="Y357" s="64">
        <v>92500</v>
      </c>
      <c r="Z357" s="64">
        <v>101750</v>
      </c>
      <c r="AA357" s="61">
        <v>44552</v>
      </c>
      <c r="AB357" s="61">
        <v>44553</v>
      </c>
      <c r="AC357" s="61">
        <v>44553</v>
      </c>
      <c r="AD357" s="60">
        <v>0</v>
      </c>
      <c r="AG357" s="60">
        <v>0</v>
      </c>
      <c r="AJ357" s="60">
        <v>0</v>
      </c>
      <c r="AM357" s="60" t="s">
        <v>273</v>
      </c>
      <c r="AN357" s="60" t="s">
        <v>1274</v>
      </c>
      <c r="AQ357" s="60" t="s">
        <v>1277</v>
      </c>
      <c r="AR357" s="61">
        <v>44544</v>
      </c>
      <c r="AS357" s="60">
        <v>6001969605</v>
      </c>
      <c r="AT357" s="61">
        <v>44544</v>
      </c>
      <c r="AU357" s="60" t="s">
        <v>1309</v>
      </c>
      <c r="AV357" s="61">
        <v>44553</v>
      </c>
      <c r="AW357" s="91">
        <v>44561</v>
      </c>
      <c r="AX357" s="91">
        <v>44581</v>
      </c>
      <c r="AY357" s="99">
        <v>186720</v>
      </c>
      <c r="AZ357" s="99">
        <f>ROUNDDOWN(AY357+(AY357*MASTER!$A$2/100),0)</f>
        <v>205392</v>
      </c>
      <c r="BA357" s="60" t="s">
        <v>318</v>
      </c>
      <c r="BB357" s="64">
        <v>46000</v>
      </c>
      <c r="BC357" s="64">
        <v>50600</v>
      </c>
      <c r="BD357" s="60" t="s">
        <v>184</v>
      </c>
      <c r="BG357" s="64">
        <v>0</v>
      </c>
      <c r="BI357" s="60" t="s">
        <v>267</v>
      </c>
      <c r="BJ357" s="64">
        <v>60125</v>
      </c>
      <c r="BK357" s="64">
        <v>66137.5</v>
      </c>
      <c r="BL357" s="60" t="s">
        <v>1366</v>
      </c>
      <c r="BS357" s="64">
        <v>0</v>
      </c>
      <c r="BV357" s="65">
        <v>112200</v>
      </c>
      <c r="BW357" s="65">
        <v>116737.5</v>
      </c>
      <c r="BX357" s="65">
        <v>44540</v>
      </c>
      <c r="BY357" s="65">
        <v>-4537.5</v>
      </c>
      <c r="BZ357" s="81">
        <v>-4.0441176470588234</v>
      </c>
    </row>
    <row r="358" spans="1:78" x14ac:dyDescent="0.15">
      <c r="A358" s="60">
        <v>1</v>
      </c>
      <c r="B358" s="61">
        <v>44551</v>
      </c>
      <c r="C358" s="61">
        <v>44557</v>
      </c>
      <c r="F358" s="61" t="s">
        <v>309</v>
      </c>
      <c r="H358" s="61" t="s">
        <v>309</v>
      </c>
      <c r="J358" s="60">
        <v>2</v>
      </c>
      <c r="L358" s="60">
        <v>0</v>
      </c>
      <c r="M358" s="61">
        <v>44540</v>
      </c>
      <c r="O358" s="62" t="s">
        <v>331</v>
      </c>
      <c r="P358" s="60" t="s">
        <v>26</v>
      </c>
      <c r="Q358" s="62" t="s">
        <v>125</v>
      </c>
      <c r="R358" s="62" t="s">
        <v>1202</v>
      </c>
      <c r="S358" s="63" t="s">
        <v>1203</v>
      </c>
      <c r="T358" s="63" t="s">
        <v>1204</v>
      </c>
      <c r="U358" s="64">
        <v>36000</v>
      </c>
      <c r="V358" s="64">
        <v>39600</v>
      </c>
      <c r="W358" s="64">
        <v>36000</v>
      </c>
      <c r="X358" s="64">
        <v>39600</v>
      </c>
      <c r="Z358" s="64">
        <v>0</v>
      </c>
      <c r="AA358" s="61">
        <v>44556</v>
      </c>
      <c r="AB358" s="61">
        <v>44557</v>
      </c>
      <c r="AD358" s="60">
        <v>0</v>
      </c>
      <c r="AG358" s="60">
        <v>0</v>
      </c>
      <c r="AJ358" s="60">
        <v>0</v>
      </c>
      <c r="AM358" s="60" t="s">
        <v>273</v>
      </c>
      <c r="AN358" s="60" t="s">
        <v>1205</v>
      </c>
      <c r="AQ358" s="60" t="s">
        <v>1200</v>
      </c>
      <c r="AR358" s="61">
        <v>44546</v>
      </c>
      <c r="AS358" s="60">
        <v>6001971482</v>
      </c>
      <c r="AT358" s="61">
        <v>44546</v>
      </c>
      <c r="AU358" s="60" t="s">
        <v>1360</v>
      </c>
      <c r="AV358" s="61">
        <v>44557</v>
      </c>
      <c r="AW358" s="91">
        <v>44561</v>
      </c>
      <c r="AX358" s="91">
        <v>44581</v>
      </c>
      <c r="AY358" s="99">
        <v>34560</v>
      </c>
      <c r="AZ358" s="99">
        <f>ROUNDDOWN(AY358+(AY358*MASTER!$A$2/100),0)</f>
        <v>38016</v>
      </c>
      <c r="BC358" s="64">
        <v>0</v>
      </c>
      <c r="BG358" s="64">
        <v>0</v>
      </c>
      <c r="BI358" s="60" t="s">
        <v>162</v>
      </c>
      <c r="BK358" s="64">
        <v>0</v>
      </c>
      <c r="BS358" s="64">
        <v>0</v>
      </c>
      <c r="BV358" s="65">
        <v>39600</v>
      </c>
      <c r="BW358" s="65">
        <v>0</v>
      </c>
      <c r="BX358" s="65">
        <v>44540</v>
      </c>
      <c r="BY358" s="65">
        <v>39600</v>
      </c>
      <c r="BZ358" s="81">
        <v>100</v>
      </c>
    </row>
    <row r="359" spans="1:78" x14ac:dyDescent="0.15">
      <c r="A359" s="60">
        <v>2</v>
      </c>
      <c r="B359" s="61">
        <v>44592</v>
      </c>
      <c r="C359" s="61">
        <v>44610</v>
      </c>
      <c r="E359" s="61">
        <v>44622</v>
      </c>
      <c r="F359" s="61">
        <v>44600</v>
      </c>
      <c r="G359" s="61">
        <v>44593</v>
      </c>
      <c r="H359" s="61">
        <v>44596</v>
      </c>
      <c r="I359" s="60" t="s">
        <v>612</v>
      </c>
      <c r="J359" s="60">
        <v>1</v>
      </c>
      <c r="L359" s="60">
        <v>0</v>
      </c>
      <c r="M359" s="61">
        <v>44540</v>
      </c>
      <c r="O359" s="62" t="s">
        <v>331</v>
      </c>
      <c r="P359" s="60" t="s">
        <v>26</v>
      </c>
      <c r="Q359" s="62" t="s">
        <v>125</v>
      </c>
      <c r="R359" s="62" t="s">
        <v>2146</v>
      </c>
      <c r="S359" s="63" t="s">
        <v>1021</v>
      </c>
      <c r="T359" s="63" t="s">
        <v>1479</v>
      </c>
      <c r="U359" s="64">
        <v>59000</v>
      </c>
      <c r="V359" s="64">
        <v>64900</v>
      </c>
      <c r="W359" s="64">
        <v>47000</v>
      </c>
      <c r="X359" s="64">
        <v>51700</v>
      </c>
      <c r="Y359" s="64">
        <v>12000</v>
      </c>
      <c r="Z359" s="64">
        <v>13200</v>
      </c>
      <c r="AA359" s="61">
        <v>44592</v>
      </c>
      <c r="AB359" s="61">
        <v>44593</v>
      </c>
      <c r="AC359" s="61">
        <v>44593</v>
      </c>
      <c r="AD359" s="60">
        <v>0</v>
      </c>
      <c r="AG359" s="60">
        <v>0</v>
      </c>
      <c r="AJ359" s="60">
        <v>0</v>
      </c>
      <c r="AM359" s="60" t="s">
        <v>273</v>
      </c>
      <c r="AN359" s="60" t="s">
        <v>2147</v>
      </c>
      <c r="AQ359" s="60" t="s">
        <v>1437</v>
      </c>
      <c r="AR359" s="61">
        <v>44553</v>
      </c>
      <c r="AS359" s="60">
        <v>6001974568</v>
      </c>
      <c r="AT359" s="61">
        <v>44553</v>
      </c>
      <c r="AU359" s="60" t="s">
        <v>1445</v>
      </c>
      <c r="AV359" s="61">
        <v>44610</v>
      </c>
      <c r="AW359" s="91">
        <v>44620</v>
      </c>
      <c r="AX359" s="91">
        <v>44640</v>
      </c>
      <c r="AY359" s="99">
        <v>56640</v>
      </c>
      <c r="AZ359" s="99">
        <f>ROUNDDOWN(AY359+(AY359*MASTER!$A$2/100),0)</f>
        <v>62304</v>
      </c>
      <c r="BC359" s="64">
        <v>0</v>
      </c>
      <c r="BG359" s="64">
        <v>0</v>
      </c>
      <c r="BK359" s="64">
        <v>0</v>
      </c>
      <c r="BS359" s="64">
        <v>0</v>
      </c>
      <c r="BV359" s="65">
        <v>51700</v>
      </c>
      <c r="BW359" s="65">
        <v>0</v>
      </c>
      <c r="BX359" s="65">
        <v>44540</v>
      </c>
      <c r="BY359" s="65">
        <v>51700</v>
      </c>
      <c r="BZ359" s="81">
        <v>100</v>
      </c>
    </row>
    <row r="360" spans="1:78" x14ac:dyDescent="0.15">
      <c r="A360" s="60">
        <v>2</v>
      </c>
      <c r="B360" s="61">
        <v>44592</v>
      </c>
      <c r="C360" s="61">
        <v>44610</v>
      </c>
      <c r="D360" s="61">
        <v>44624</v>
      </c>
      <c r="E360" s="61">
        <v>44637</v>
      </c>
      <c r="F360" s="61">
        <v>44601</v>
      </c>
      <c r="G360" s="61">
        <v>44594</v>
      </c>
      <c r="H360" s="61">
        <v>44597</v>
      </c>
      <c r="I360" s="60" t="s">
        <v>612</v>
      </c>
      <c r="J360" s="60">
        <v>1</v>
      </c>
      <c r="L360" s="60">
        <v>0</v>
      </c>
      <c r="M360" s="61">
        <v>44540</v>
      </c>
      <c r="O360" s="62" t="s">
        <v>331</v>
      </c>
      <c r="P360" s="60" t="s">
        <v>26</v>
      </c>
      <c r="Q360" s="62" t="s">
        <v>125</v>
      </c>
      <c r="R360" s="62" t="s">
        <v>2117</v>
      </c>
      <c r="S360" s="63" t="s">
        <v>1019</v>
      </c>
      <c r="T360" s="63" t="s">
        <v>1476</v>
      </c>
      <c r="U360" s="64">
        <v>59000</v>
      </c>
      <c r="V360" s="64">
        <v>64900</v>
      </c>
      <c r="W360" s="64">
        <v>47000</v>
      </c>
      <c r="X360" s="64">
        <v>51700</v>
      </c>
      <c r="Y360" s="64">
        <v>12000</v>
      </c>
      <c r="Z360" s="64">
        <v>13200</v>
      </c>
      <c r="AA360" s="61">
        <v>44593</v>
      </c>
      <c r="AB360" s="61">
        <v>44594</v>
      </c>
      <c r="AC360" s="61">
        <v>44594</v>
      </c>
      <c r="AD360" s="60">
        <v>0</v>
      </c>
      <c r="AG360" s="60">
        <v>0</v>
      </c>
      <c r="AJ360" s="60">
        <v>0</v>
      </c>
      <c r="AM360" s="60" t="s">
        <v>273</v>
      </c>
      <c r="AN360" s="60" t="s">
        <v>2118</v>
      </c>
      <c r="AQ360" s="60" t="s">
        <v>1438</v>
      </c>
      <c r="AR360" s="61">
        <v>44553</v>
      </c>
      <c r="AS360" s="60">
        <v>6001974568</v>
      </c>
      <c r="AT360" s="61">
        <v>44553</v>
      </c>
      <c r="AU360" s="60" t="s">
        <v>1445</v>
      </c>
      <c r="AV360" s="61">
        <v>44610</v>
      </c>
      <c r="AW360" s="91">
        <v>44620</v>
      </c>
      <c r="AX360" s="91">
        <v>44640</v>
      </c>
      <c r="AY360" s="99">
        <v>56640</v>
      </c>
      <c r="AZ360" s="99">
        <f>ROUNDDOWN(AY360+(AY360*MASTER!$A$2/100),0)</f>
        <v>62304</v>
      </c>
      <c r="BA360" s="60" t="s">
        <v>317</v>
      </c>
      <c r="BB360" s="64">
        <v>33000</v>
      </c>
      <c r="BC360" s="64">
        <v>36300</v>
      </c>
      <c r="BD360" s="60" t="s">
        <v>2044</v>
      </c>
      <c r="BG360" s="64">
        <v>0</v>
      </c>
      <c r="BI360" s="60" t="s">
        <v>748</v>
      </c>
      <c r="BJ360" s="64">
        <v>7800</v>
      </c>
      <c r="BK360" s="64">
        <v>8580</v>
      </c>
      <c r="BL360" s="60" t="s">
        <v>2044</v>
      </c>
      <c r="BS360" s="64">
        <v>0</v>
      </c>
      <c r="BV360" s="65">
        <v>51700</v>
      </c>
      <c r="BW360" s="65">
        <v>44880</v>
      </c>
      <c r="BX360" s="65">
        <v>44540</v>
      </c>
      <c r="BY360" s="65">
        <v>6820</v>
      </c>
      <c r="BZ360" s="81">
        <v>13.191489361702127</v>
      </c>
    </row>
    <row r="361" spans="1:78" x14ac:dyDescent="0.15">
      <c r="A361" s="60">
        <v>2</v>
      </c>
      <c r="B361" s="61">
        <v>44574</v>
      </c>
      <c r="C361" s="61">
        <v>44611</v>
      </c>
      <c r="D361" s="61">
        <v>44612</v>
      </c>
      <c r="E361" s="61">
        <v>44618</v>
      </c>
      <c r="F361" s="61">
        <v>44594</v>
      </c>
      <c r="G361" s="61">
        <v>44587</v>
      </c>
      <c r="H361" s="61">
        <v>44590</v>
      </c>
      <c r="I361" s="60" t="s">
        <v>612</v>
      </c>
      <c r="J361" s="60">
        <v>1</v>
      </c>
      <c r="L361" s="60">
        <v>0</v>
      </c>
      <c r="M361" s="61">
        <v>44540</v>
      </c>
      <c r="O361" s="62" t="s">
        <v>331</v>
      </c>
      <c r="P361" s="60" t="s">
        <v>26</v>
      </c>
      <c r="Q361" s="62" t="s">
        <v>125</v>
      </c>
      <c r="R361" s="62" t="s">
        <v>1475</v>
      </c>
      <c r="S361" s="63" t="s">
        <v>705</v>
      </c>
      <c r="T361" s="63" t="s">
        <v>1476</v>
      </c>
      <c r="U361" s="64">
        <v>59000</v>
      </c>
      <c r="V361" s="64">
        <v>64900</v>
      </c>
      <c r="W361" s="64">
        <v>47000</v>
      </c>
      <c r="X361" s="64">
        <v>51700</v>
      </c>
      <c r="Y361" s="64">
        <v>12000</v>
      </c>
      <c r="Z361" s="64">
        <v>13200</v>
      </c>
      <c r="AA361" s="61">
        <v>44586</v>
      </c>
      <c r="AB361" s="61">
        <v>44587</v>
      </c>
      <c r="AC361" s="61">
        <v>44587</v>
      </c>
      <c r="AD361" s="60">
        <v>0</v>
      </c>
      <c r="AG361" s="60">
        <v>0</v>
      </c>
      <c r="AJ361" s="60">
        <v>0</v>
      </c>
      <c r="AM361" s="60" t="s">
        <v>273</v>
      </c>
      <c r="AN361" s="60" t="s">
        <v>1477</v>
      </c>
      <c r="AQ361" s="60" t="s">
        <v>1501</v>
      </c>
      <c r="AR361" s="61">
        <v>44557</v>
      </c>
      <c r="AS361" s="60">
        <v>6001975498</v>
      </c>
      <c r="AT361" s="61">
        <v>44558</v>
      </c>
      <c r="AU361" s="60" t="s">
        <v>1518</v>
      </c>
      <c r="AV361" s="61">
        <v>44611</v>
      </c>
      <c r="AW361" s="91">
        <v>44592</v>
      </c>
      <c r="AX361" s="91">
        <v>44612</v>
      </c>
      <c r="AY361" s="99">
        <v>56640</v>
      </c>
      <c r="AZ361" s="99">
        <f>ROUNDDOWN(AY361+(AY361*MASTER!$A$2/100),0)</f>
        <v>62304</v>
      </c>
      <c r="BA361" s="60" t="s">
        <v>317</v>
      </c>
      <c r="BB361" s="64">
        <v>43000</v>
      </c>
      <c r="BC361" s="64">
        <v>47300</v>
      </c>
      <c r="BD361" s="60" t="s">
        <v>1614</v>
      </c>
      <c r="BG361" s="64">
        <v>0</v>
      </c>
      <c r="BI361" s="60" t="s">
        <v>748</v>
      </c>
      <c r="BJ361" s="64">
        <v>7800</v>
      </c>
      <c r="BK361" s="64">
        <v>8580</v>
      </c>
      <c r="BL361" s="60" t="s">
        <v>1614</v>
      </c>
      <c r="BS361" s="64">
        <v>0</v>
      </c>
      <c r="BV361" s="65">
        <v>51700</v>
      </c>
      <c r="BW361" s="65">
        <v>55880</v>
      </c>
      <c r="BX361" s="65">
        <v>44540</v>
      </c>
      <c r="BY361" s="65">
        <v>-4180</v>
      </c>
      <c r="BZ361" s="81">
        <v>-8.085106382978724</v>
      </c>
    </row>
    <row r="362" spans="1:78" x14ac:dyDescent="0.15">
      <c r="A362" s="60">
        <v>2</v>
      </c>
      <c r="B362" s="61">
        <v>44592</v>
      </c>
      <c r="C362" s="61">
        <v>44611</v>
      </c>
      <c r="D362" s="61">
        <v>44620</v>
      </c>
      <c r="E362" s="61">
        <v>44604</v>
      </c>
      <c r="F362" s="61">
        <v>44602</v>
      </c>
      <c r="G362" s="61">
        <v>44595</v>
      </c>
      <c r="H362" s="61">
        <v>44598</v>
      </c>
      <c r="I362" s="60" t="s">
        <v>511</v>
      </c>
      <c r="J362" s="60">
        <v>1</v>
      </c>
      <c r="L362" s="60">
        <v>0</v>
      </c>
      <c r="M362" s="61">
        <v>44540</v>
      </c>
      <c r="O362" s="62" t="s">
        <v>331</v>
      </c>
      <c r="P362" s="60" t="s">
        <v>26</v>
      </c>
      <c r="Q362" s="62" t="s">
        <v>125</v>
      </c>
      <c r="R362" s="62" t="s">
        <v>1478</v>
      </c>
      <c r="S362" s="63" t="s">
        <v>1239</v>
      </c>
      <c r="T362" s="63" t="s">
        <v>1479</v>
      </c>
      <c r="U362" s="64">
        <v>59000</v>
      </c>
      <c r="V362" s="64">
        <v>64900</v>
      </c>
      <c r="W362" s="64">
        <v>47000</v>
      </c>
      <c r="X362" s="64">
        <v>51700</v>
      </c>
      <c r="Y362" s="64">
        <v>12000</v>
      </c>
      <c r="Z362" s="64">
        <v>13200</v>
      </c>
      <c r="AA362" s="61">
        <v>44594</v>
      </c>
      <c r="AB362" s="61">
        <v>44595</v>
      </c>
      <c r="AC362" s="61">
        <v>44595</v>
      </c>
      <c r="AD362" s="60">
        <v>0</v>
      </c>
      <c r="AG362" s="60">
        <v>0</v>
      </c>
      <c r="AJ362" s="60">
        <v>0</v>
      </c>
      <c r="AM362" s="60" t="s">
        <v>273</v>
      </c>
      <c r="AN362" s="60" t="s">
        <v>1480</v>
      </c>
      <c r="AQ362" s="60" t="s">
        <v>1502</v>
      </c>
      <c r="AR362" s="61">
        <v>44557</v>
      </c>
      <c r="AS362" s="60">
        <v>6001975498</v>
      </c>
      <c r="AT362" s="61">
        <v>44558</v>
      </c>
      <c r="AU362" s="60" t="s">
        <v>1518</v>
      </c>
      <c r="AV362" s="61">
        <v>44611</v>
      </c>
      <c r="AW362" s="91">
        <v>44620</v>
      </c>
      <c r="AX362" s="91">
        <v>44640</v>
      </c>
      <c r="AY362" s="99">
        <v>56640</v>
      </c>
      <c r="AZ362" s="99">
        <f>ROUNDDOWN(AY362+(AY362*MASTER!$A$2/100),0)</f>
        <v>62304</v>
      </c>
      <c r="BA362" s="60" t="s">
        <v>780</v>
      </c>
      <c r="BB362" s="64">
        <v>39000</v>
      </c>
      <c r="BC362" s="64">
        <v>42900</v>
      </c>
      <c r="BD362" s="60" t="s">
        <v>2044</v>
      </c>
      <c r="BG362" s="64">
        <v>0</v>
      </c>
      <c r="BI362" s="60" t="s">
        <v>267</v>
      </c>
      <c r="BJ362" s="64">
        <v>7800</v>
      </c>
      <c r="BK362" s="64">
        <v>8580</v>
      </c>
      <c r="BL362" s="60" t="s">
        <v>2104</v>
      </c>
      <c r="BS362" s="64">
        <v>0</v>
      </c>
      <c r="BV362" s="65">
        <v>51700</v>
      </c>
      <c r="BW362" s="65">
        <v>51480</v>
      </c>
      <c r="BX362" s="65">
        <v>44540</v>
      </c>
      <c r="BY362" s="65">
        <v>220</v>
      </c>
      <c r="BZ362" s="81">
        <v>0.42553191489361702</v>
      </c>
    </row>
    <row r="363" spans="1:78" x14ac:dyDescent="0.15">
      <c r="A363" s="60">
        <v>2</v>
      </c>
      <c r="B363" s="61">
        <v>44586</v>
      </c>
      <c r="C363" s="61">
        <v>44592</v>
      </c>
      <c r="D363" s="61" t="s">
        <v>764</v>
      </c>
      <c r="E363" s="61">
        <v>44618</v>
      </c>
      <c r="F363" s="61">
        <v>44599</v>
      </c>
      <c r="G363" s="61">
        <v>44592</v>
      </c>
      <c r="H363" s="61">
        <v>44595</v>
      </c>
      <c r="I363" s="60" t="s">
        <v>612</v>
      </c>
      <c r="J363" s="60">
        <v>1</v>
      </c>
      <c r="L363" s="60">
        <v>0</v>
      </c>
      <c r="M363" s="61">
        <v>44540</v>
      </c>
      <c r="O363" s="62" t="s">
        <v>331</v>
      </c>
      <c r="P363" s="60" t="s">
        <v>26</v>
      </c>
      <c r="Q363" s="62" t="s">
        <v>125</v>
      </c>
      <c r="R363" s="62" t="s">
        <v>2084</v>
      </c>
      <c r="S363" s="63" t="s">
        <v>786</v>
      </c>
      <c r="T363" s="63" t="s">
        <v>2085</v>
      </c>
      <c r="U363" s="64">
        <v>23900</v>
      </c>
      <c r="V363" s="64">
        <v>26290</v>
      </c>
      <c r="W363" s="64">
        <v>14700</v>
      </c>
      <c r="X363" s="64">
        <v>16170</v>
      </c>
      <c r="Y363" s="64">
        <v>9200</v>
      </c>
      <c r="Z363" s="64">
        <v>10120</v>
      </c>
      <c r="AA363" s="61">
        <v>44591</v>
      </c>
      <c r="AB363" s="61">
        <v>44592</v>
      </c>
      <c r="AC363" s="61">
        <v>44592</v>
      </c>
      <c r="AD363" s="60">
        <v>0</v>
      </c>
      <c r="AG363" s="60">
        <v>0</v>
      </c>
      <c r="AJ363" s="60">
        <v>0</v>
      </c>
      <c r="AM363" s="60" t="s">
        <v>273</v>
      </c>
      <c r="AN363" s="60" t="s">
        <v>2086</v>
      </c>
      <c r="AQ363" s="60" t="s">
        <v>1426</v>
      </c>
      <c r="AR363" s="61">
        <v>44552</v>
      </c>
      <c r="AS363" s="60">
        <v>6001974231</v>
      </c>
      <c r="AT363" s="61">
        <v>44553</v>
      </c>
      <c r="AU363" s="60" t="s">
        <v>1442</v>
      </c>
      <c r="AV363" s="61">
        <v>44592</v>
      </c>
      <c r="AW363" s="91">
        <v>44592</v>
      </c>
      <c r="AX363" s="91">
        <v>44612</v>
      </c>
      <c r="AY363" s="99">
        <v>22944</v>
      </c>
      <c r="AZ363" s="99">
        <f>ROUNDDOWN(AY363+(AY363*MASTER!$A$2/100),0)</f>
        <v>25238</v>
      </c>
      <c r="BA363" s="60" t="s">
        <v>765</v>
      </c>
      <c r="BC363" s="64">
        <v>0</v>
      </c>
      <c r="BG363" s="64">
        <v>0</v>
      </c>
      <c r="BI363" s="60" t="s">
        <v>748</v>
      </c>
      <c r="BJ363" s="64">
        <v>5980</v>
      </c>
      <c r="BK363" s="64">
        <v>6578</v>
      </c>
      <c r="BL363" s="60" t="s">
        <v>1614</v>
      </c>
      <c r="BS363" s="64">
        <v>0</v>
      </c>
      <c r="BV363" s="65">
        <v>16170</v>
      </c>
      <c r="BW363" s="65">
        <v>6578</v>
      </c>
      <c r="BX363" s="65">
        <v>44540</v>
      </c>
      <c r="BY363" s="65">
        <v>9592</v>
      </c>
      <c r="BZ363" s="81">
        <v>59.319727891156461</v>
      </c>
    </row>
    <row r="364" spans="1:78" x14ac:dyDescent="0.15">
      <c r="A364" s="60">
        <v>1</v>
      </c>
      <c r="B364" s="61">
        <v>44546</v>
      </c>
      <c r="C364" s="61">
        <v>44550</v>
      </c>
      <c r="F364" s="61" t="s">
        <v>309</v>
      </c>
      <c r="H364" s="61" t="s">
        <v>309</v>
      </c>
      <c r="J364" s="60">
        <v>2</v>
      </c>
      <c r="L364" s="60">
        <v>0</v>
      </c>
      <c r="M364" s="61">
        <v>44540</v>
      </c>
      <c r="O364" s="62" t="s">
        <v>331</v>
      </c>
      <c r="P364" s="60" t="s">
        <v>26</v>
      </c>
      <c r="Q364" s="62" t="s">
        <v>125</v>
      </c>
      <c r="R364" s="62" t="s">
        <v>1275</v>
      </c>
      <c r="S364" s="63" t="s">
        <v>1083</v>
      </c>
      <c r="T364" s="63" t="s">
        <v>1276</v>
      </c>
      <c r="U364" s="64">
        <v>20000</v>
      </c>
      <c r="V364" s="64">
        <v>22000</v>
      </c>
      <c r="W364" s="64">
        <v>20000</v>
      </c>
      <c r="X364" s="64">
        <v>22000</v>
      </c>
      <c r="Z364" s="64">
        <v>0</v>
      </c>
      <c r="AA364" s="61">
        <v>44538</v>
      </c>
      <c r="AB364" s="61">
        <v>44539</v>
      </c>
      <c r="AD364" s="60">
        <v>0</v>
      </c>
      <c r="AG364" s="60">
        <v>0</v>
      </c>
      <c r="AJ364" s="60">
        <v>0</v>
      </c>
      <c r="AN364" s="60" t="s">
        <v>309</v>
      </c>
      <c r="AQ364" s="60" t="s">
        <v>753</v>
      </c>
      <c r="AR364" s="61">
        <v>44544</v>
      </c>
      <c r="AS364" s="60">
        <v>6001969605</v>
      </c>
      <c r="AT364" s="61">
        <v>44544</v>
      </c>
      <c r="AU364" s="60" t="s">
        <v>1309</v>
      </c>
      <c r="AV364" s="61">
        <v>44550</v>
      </c>
      <c r="AW364" s="91">
        <v>44561</v>
      </c>
      <c r="AX364" s="91">
        <v>44581</v>
      </c>
      <c r="AY364" s="99">
        <v>19200</v>
      </c>
      <c r="AZ364" s="99">
        <f>ROUNDDOWN(AY364+(AY364*MASTER!$A$2/100),0)</f>
        <v>21120</v>
      </c>
      <c r="BC364" s="64">
        <v>0</v>
      </c>
      <c r="BG364" s="64">
        <v>0</v>
      </c>
      <c r="BK364" s="64">
        <v>0</v>
      </c>
      <c r="BS364" s="64">
        <v>0</v>
      </c>
      <c r="BV364" s="65">
        <v>22000</v>
      </c>
      <c r="BW364" s="65">
        <v>0</v>
      </c>
      <c r="BX364" s="65">
        <v>44540</v>
      </c>
      <c r="BY364" s="65">
        <v>22000</v>
      </c>
      <c r="BZ364" s="81">
        <v>100</v>
      </c>
    </row>
    <row r="365" spans="1:78" x14ac:dyDescent="0.15">
      <c r="A365" s="60">
        <v>1</v>
      </c>
      <c r="C365" s="61" t="s">
        <v>309</v>
      </c>
      <c r="F365" s="61" t="s">
        <v>309</v>
      </c>
      <c r="H365" s="61" t="s">
        <v>309</v>
      </c>
      <c r="J365" s="60">
        <v>4</v>
      </c>
      <c r="L365" s="60">
        <v>0</v>
      </c>
      <c r="M365" s="61">
        <v>44540</v>
      </c>
      <c r="O365" s="62" t="s">
        <v>335</v>
      </c>
      <c r="P365" s="60" t="s">
        <v>430</v>
      </c>
      <c r="Q365" s="62" t="s">
        <v>1080</v>
      </c>
      <c r="R365" s="62" t="s">
        <v>1219</v>
      </c>
      <c r="S365" s="63" t="s">
        <v>602</v>
      </c>
      <c r="T365" s="63" t="s">
        <v>3294</v>
      </c>
      <c r="U365" s="64">
        <v>0</v>
      </c>
      <c r="V365" s="64">
        <v>0</v>
      </c>
      <c r="X365" s="64">
        <v>0</v>
      </c>
      <c r="Z365" s="64">
        <v>0</v>
      </c>
      <c r="AD365" s="60">
        <v>0</v>
      </c>
      <c r="AG365" s="60">
        <v>0</v>
      </c>
      <c r="AJ365" s="60">
        <v>0</v>
      </c>
      <c r="AN365" s="60" t="s">
        <v>309</v>
      </c>
      <c r="AY365" s="99">
        <f>ROUNDDOWN((0.96*U365),0)</f>
        <v>0</v>
      </c>
      <c r="AZ365" s="99">
        <f>ROUNDDOWN(AY365+(AY365*MASTER!$A$2/100),0)</f>
        <v>0</v>
      </c>
      <c r="BA365" s="60" t="s">
        <v>266</v>
      </c>
      <c r="BC365" s="64">
        <v>0</v>
      </c>
      <c r="BG365" s="64">
        <v>0</v>
      </c>
      <c r="BK365" s="64">
        <v>0</v>
      </c>
      <c r="BS365" s="64">
        <v>0</v>
      </c>
      <c r="BV365" s="65">
        <v>0</v>
      </c>
      <c r="BW365" s="65">
        <v>0</v>
      </c>
      <c r="BX365" s="65">
        <v>44540</v>
      </c>
      <c r="BY365" s="65">
        <v>0</v>
      </c>
      <c r="BZ365" s="81" t="s">
        <v>309</v>
      </c>
    </row>
    <row r="366" spans="1:78" x14ac:dyDescent="0.15">
      <c r="A366" s="60">
        <v>2</v>
      </c>
      <c r="B366" s="61">
        <v>44551</v>
      </c>
      <c r="C366" s="61">
        <v>44551</v>
      </c>
      <c r="D366" s="61">
        <v>44574</v>
      </c>
      <c r="E366" s="61">
        <v>44558</v>
      </c>
      <c r="F366" s="61">
        <v>44558</v>
      </c>
      <c r="G366" s="61">
        <v>44551</v>
      </c>
      <c r="H366" s="61">
        <v>44554</v>
      </c>
      <c r="I366" s="60" t="s">
        <v>511</v>
      </c>
      <c r="J366" s="60">
        <v>1</v>
      </c>
      <c r="L366" s="60">
        <v>0</v>
      </c>
      <c r="M366" s="61">
        <v>44540</v>
      </c>
      <c r="O366" s="62" t="s">
        <v>331</v>
      </c>
      <c r="P366" s="60" t="s">
        <v>26</v>
      </c>
      <c r="Q366" s="62" t="s">
        <v>125</v>
      </c>
      <c r="R366" s="62" t="s">
        <v>1393</v>
      </c>
      <c r="S366" s="63" t="s">
        <v>1042</v>
      </c>
      <c r="T366" s="63" t="s">
        <v>1394</v>
      </c>
      <c r="U366" s="64">
        <v>59000</v>
      </c>
      <c r="V366" s="64">
        <v>64900</v>
      </c>
      <c r="W366" s="64">
        <v>47000</v>
      </c>
      <c r="X366" s="64">
        <v>51700</v>
      </c>
      <c r="Y366" s="64">
        <v>12000</v>
      </c>
      <c r="Z366" s="64">
        <v>13200</v>
      </c>
      <c r="AA366" s="61">
        <v>44549</v>
      </c>
      <c r="AB366" s="61">
        <v>44551</v>
      </c>
      <c r="AC366" s="61">
        <v>44551</v>
      </c>
      <c r="AD366" s="60">
        <v>0</v>
      </c>
      <c r="AG366" s="60">
        <v>0</v>
      </c>
      <c r="AJ366" s="60">
        <v>0</v>
      </c>
      <c r="AM366" s="60" t="s">
        <v>273</v>
      </c>
      <c r="AN366" s="60" t="s">
        <v>1395</v>
      </c>
      <c r="AQ366" s="60" t="s">
        <v>1351</v>
      </c>
      <c r="AR366" s="61">
        <v>44546</v>
      </c>
      <c r="AS366" s="60">
        <v>6001971482</v>
      </c>
      <c r="AT366" s="61">
        <v>44546</v>
      </c>
      <c r="AU366" s="60" t="s">
        <v>1360</v>
      </c>
      <c r="AV366" s="61">
        <v>44551</v>
      </c>
      <c r="AW366" s="91">
        <v>44561</v>
      </c>
      <c r="AX366" s="91">
        <v>44581</v>
      </c>
      <c r="AY366" s="99">
        <v>56640</v>
      </c>
      <c r="AZ366" s="99">
        <f>ROUNDDOWN(AY366+(AY366*MASTER!$A$2/100),0)</f>
        <v>62304</v>
      </c>
      <c r="BA366" s="60" t="s">
        <v>314</v>
      </c>
      <c r="BB366" s="64">
        <v>23000</v>
      </c>
      <c r="BC366" s="64">
        <v>25300</v>
      </c>
      <c r="BD366" s="60" t="s">
        <v>184</v>
      </c>
      <c r="BG366" s="64">
        <v>0</v>
      </c>
      <c r="BI366" s="60" t="s">
        <v>748</v>
      </c>
      <c r="BJ366" s="64">
        <v>7800</v>
      </c>
      <c r="BK366" s="64">
        <v>8580</v>
      </c>
      <c r="BL366" s="60" t="s">
        <v>184</v>
      </c>
      <c r="BS366" s="64">
        <v>0</v>
      </c>
      <c r="BV366" s="65">
        <v>51700</v>
      </c>
      <c r="BW366" s="65">
        <v>33880</v>
      </c>
      <c r="BX366" s="65">
        <v>44540</v>
      </c>
      <c r="BY366" s="65">
        <v>17820</v>
      </c>
      <c r="BZ366" s="81">
        <v>34.468085106382979</v>
      </c>
    </row>
    <row r="367" spans="1:78" x14ac:dyDescent="0.15">
      <c r="A367" s="60">
        <v>1</v>
      </c>
      <c r="B367" s="61">
        <v>44621</v>
      </c>
      <c r="C367" s="61">
        <v>44651</v>
      </c>
      <c r="F367" s="61" t="s">
        <v>309</v>
      </c>
      <c r="H367" s="61" t="s">
        <v>309</v>
      </c>
      <c r="J367" s="60">
        <v>3</v>
      </c>
      <c r="K367" s="61">
        <v>44578</v>
      </c>
      <c r="L367" s="60" t="s">
        <v>529</v>
      </c>
      <c r="M367" s="61">
        <v>44540</v>
      </c>
      <c r="O367" s="62" t="s">
        <v>331</v>
      </c>
      <c r="P367" s="60" t="s">
        <v>6</v>
      </c>
      <c r="Q367" s="62" t="s">
        <v>125</v>
      </c>
      <c r="R367" s="62" t="s">
        <v>1220</v>
      </c>
      <c r="S367" s="63" t="s">
        <v>1221</v>
      </c>
      <c r="T367" s="63" t="s">
        <v>364</v>
      </c>
      <c r="U367" s="64">
        <v>18000</v>
      </c>
      <c r="V367" s="64">
        <v>19800</v>
      </c>
      <c r="W367" s="64">
        <v>0</v>
      </c>
      <c r="X367" s="64">
        <v>0</v>
      </c>
      <c r="Y367" s="64">
        <v>18000</v>
      </c>
      <c r="Z367" s="64">
        <v>19800</v>
      </c>
      <c r="AA367" s="61">
        <v>44505</v>
      </c>
      <c r="AB367" s="61">
        <v>44538</v>
      </c>
      <c r="AD367" s="60">
        <v>0</v>
      </c>
      <c r="AG367" s="60">
        <v>0</v>
      </c>
      <c r="AJ367" s="60">
        <v>0</v>
      </c>
      <c r="AQ367" s="60" t="s">
        <v>2231</v>
      </c>
      <c r="AR367" s="61">
        <v>44610</v>
      </c>
      <c r="AS367" s="60">
        <v>6001995916</v>
      </c>
      <c r="AT367" s="61">
        <v>44613</v>
      </c>
      <c r="AU367" s="60" t="s">
        <v>2448</v>
      </c>
      <c r="AV367" s="61">
        <v>44651</v>
      </c>
      <c r="AW367" s="91">
        <v>44620</v>
      </c>
      <c r="AX367" s="91">
        <v>44640</v>
      </c>
      <c r="AY367" s="99">
        <v>17280</v>
      </c>
      <c r="AZ367" s="99">
        <f>ROUNDDOWN(AY367+(AY367*MASTER!$A$2/100),0)</f>
        <v>19008</v>
      </c>
      <c r="BC367" s="64">
        <v>0</v>
      </c>
      <c r="BG367" s="64">
        <v>0</v>
      </c>
      <c r="BK367" s="64">
        <v>0</v>
      </c>
      <c r="BS367" s="64">
        <v>0</v>
      </c>
      <c r="BV367" s="65">
        <v>0</v>
      </c>
      <c r="BW367" s="65">
        <v>0</v>
      </c>
      <c r="BX367" s="65">
        <v>0</v>
      </c>
      <c r="BY367" s="65">
        <v>44578</v>
      </c>
      <c r="BZ367" s="81" t="s">
        <v>309</v>
      </c>
    </row>
    <row r="368" spans="1:78" x14ac:dyDescent="0.15">
      <c r="A368" s="60">
        <v>1</v>
      </c>
      <c r="B368" s="61">
        <v>44616</v>
      </c>
      <c r="C368" s="61">
        <v>44613</v>
      </c>
      <c r="F368" s="61" t="s">
        <v>309</v>
      </c>
      <c r="H368" s="61" t="s">
        <v>309</v>
      </c>
      <c r="J368" s="60">
        <v>3</v>
      </c>
      <c r="K368" s="61">
        <v>44573</v>
      </c>
      <c r="L368" s="60" t="s">
        <v>1708</v>
      </c>
      <c r="M368" s="61">
        <v>44543</v>
      </c>
      <c r="O368" s="62" t="s">
        <v>331</v>
      </c>
      <c r="P368" s="60" t="s">
        <v>6</v>
      </c>
      <c r="Q368" s="62" t="s">
        <v>125</v>
      </c>
      <c r="R368" s="62" t="s">
        <v>1304</v>
      </c>
      <c r="S368" s="63" t="s">
        <v>1305</v>
      </c>
      <c r="T368" s="63" t="s">
        <v>364</v>
      </c>
      <c r="U368" s="64">
        <v>34000</v>
      </c>
      <c r="V368" s="64">
        <v>37400</v>
      </c>
      <c r="W368" s="64">
        <v>0</v>
      </c>
      <c r="X368" s="64">
        <v>0</v>
      </c>
      <c r="Y368" s="64">
        <v>34000</v>
      </c>
      <c r="Z368" s="64">
        <v>37400</v>
      </c>
      <c r="AD368" s="60">
        <v>0</v>
      </c>
      <c r="AG368" s="60">
        <v>0</v>
      </c>
      <c r="AJ368" s="60">
        <v>0</v>
      </c>
      <c r="AN368" s="60" t="s">
        <v>309</v>
      </c>
      <c r="AQ368" s="60" t="s">
        <v>1975</v>
      </c>
      <c r="AR368" s="61">
        <v>44588</v>
      </c>
      <c r="AS368" s="60">
        <v>6001986264</v>
      </c>
      <c r="AT368" s="61">
        <v>44588</v>
      </c>
      <c r="AU368" s="60" t="s">
        <v>1982</v>
      </c>
      <c r="AV368" s="61">
        <v>44613</v>
      </c>
      <c r="AW368" s="91">
        <v>44620</v>
      </c>
      <c r="AX368" s="91">
        <v>44640</v>
      </c>
      <c r="AY368" s="99">
        <v>32640</v>
      </c>
      <c r="AZ368" s="99">
        <f>ROUNDDOWN(AY368+(AY368*MASTER!$A$2/100),0)</f>
        <v>35904</v>
      </c>
      <c r="BC368" s="64">
        <v>0</v>
      </c>
      <c r="BG368" s="64">
        <v>0</v>
      </c>
      <c r="BK368" s="64">
        <v>0</v>
      </c>
      <c r="BS368" s="64">
        <v>0</v>
      </c>
      <c r="BV368" s="65">
        <v>0</v>
      </c>
      <c r="BW368" s="65">
        <v>0</v>
      </c>
      <c r="BX368" s="65">
        <v>0</v>
      </c>
      <c r="BY368" s="65">
        <v>0</v>
      </c>
      <c r="BZ368" s="81">
        <v>44573</v>
      </c>
    </row>
    <row r="369" spans="1:89" s="152" customFormat="1" x14ac:dyDescent="0.15">
      <c r="A369" s="142">
        <v>3</v>
      </c>
      <c r="B369" s="143"/>
      <c r="C369" s="143" t="s">
        <v>309</v>
      </c>
      <c r="D369" s="143"/>
      <c r="E369" s="143"/>
      <c r="F369" s="143" t="s">
        <v>309</v>
      </c>
      <c r="G369" s="143"/>
      <c r="H369" s="143" t="s">
        <v>309</v>
      </c>
      <c r="I369" s="142"/>
      <c r="J369" s="142">
        <v>2</v>
      </c>
      <c r="K369" s="143"/>
      <c r="L369" s="142">
        <v>0</v>
      </c>
      <c r="M369" s="143">
        <v>44543</v>
      </c>
      <c r="N369" s="143"/>
      <c r="O369" s="144" t="s">
        <v>331</v>
      </c>
      <c r="P369" s="142" t="s">
        <v>26</v>
      </c>
      <c r="Q369" s="144" t="s">
        <v>125</v>
      </c>
      <c r="R369" s="144" t="s">
        <v>1222</v>
      </c>
      <c r="S369" s="145" t="s">
        <v>984</v>
      </c>
      <c r="T369" s="145" t="s">
        <v>1889</v>
      </c>
      <c r="U369" s="146">
        <v>409000</v>
      </c>
      <c r="V369" s="146">
        <v>449900</v>
      </c>
      <c r="W369" s="146">
        <v>409000</v>
      </c>
      <c r="X369" s="146">
        <v>449900</v>
      </c>
      <c r="Y369" s="146">
        <v>0</v>
      </c>
      <c r="Z369" s="146">
        <v>0</v>
      </c>
      <c r="AA369" s="143"/>
      <c r="AB369" s="143"/>
      <c r="AC369" s="143"/>
      <c r="AD369" s="142">
        <v>0</v>
      </c>
      <c r="AE369" s="142"/>
      <c r="AF369" s="142"/>
      <c r="AG369" s="142">
        <v>0</v>
      </c>
      <c r="AH369" s="142"/>
      <c r="AI369" s="142"/>
      <c r="AJ369" s="142">
        <v>0</v>
      </c>
      <c r="AK369" s="142"/>
      <c r="AL369" s="142"/>
      <c r="AM369" s="142" t="s">
        <v>273</v>
      </c>
      <c r="AN369" s="142" t="s">
        <v>1890</v>
      </c>
      <c r="AO369" s="143"/>
      <c r="AP369" s="142"/>
      <c r="AQ369" s="142"/>
      <c r="AR369" s="143"/>
      <c r="AS369" s="142"/>
      <c r="AT369" s="143"/>
      <c r="AU369" s="142"/>
      <c r="AV369" s="143"/>
      <c r="AW369" s="147"/>
      <c r="AX369" s="147"/>
      <c r="AY369" s="148">
        <v>392640</v>
      </c>
      <c r="AZ369" s="148">
        <f>ROUNDDOWN(AY369+(AY369*MASTER!$A$2/100),0)</f>
        <v>431904</v>
      </c>
      <c r="BA369" s="142"/>
      <c r="BB369" s="146"/>
      <c r="BC369" s="146">
        <v>0</v>
      </c>
      <c r="BD369" s="142"/>
      <c r="BE369" s="142"/>
      <c r="BF369" s="146"/>
      <c r="BG369" s="146">
        <v>0</v>
      </c>
      <c r="BH369" s="142"/>
      <c r="BI369" s="142"/>
      <c r="BJ369" s="146"/>
      <c r="BK369" s="146">
        <v>0</v>
      </c>
      <c r="BL369" s="142"/>
      <c r="BM369" s="146"/>
      <c r="BN369" s="146"/>
      <c r="BO369" s="146"/>
      <c r="BP369" s="146"/>
      <c r="BQ369" s="146"/>
      <c r="BR369" s="146"/>
      <c r="BS369" s="146">
        <v>0</v>
      </c>
      <c r="BT369" s="149"/>
      <c r="BU369" s="149"/>
      <c r="BV369" s="150">
        <v>449900</v>
      </c>
      <c r="BW369" s="150">
        <v>0</v>
      </c>
      <c r="BX369" s="150">
        <v>44543</v>
      </c>
      <c r="BY369" s="150">
        <v>449900</v>
      </c>
      <c r="BZ369" s="151">
        <v>100</v>
      </c>
      <c r="CA369" s="142"/>
      <c r="CB369" s="142"/>
      <c r="CC369" s="142"/>
      <c r="CD369" s="145" t="s">
        <v>2452</v>
      </c>
      <c r="CE369" s="143"/>
      <c r="CF369" s="143"/>
      <c r="CG369" s="143"/>
      <c r="CH369" s="143"/>
      <c r="CI369" s="143"/>
      <c r="CJ369" s="143"/>
      <c r="CK369" s="146"/>
    </row>
    <row r="370" spans="1:89" x14ac:dyDescent="0.15">
      <c r="A370" s="60">
        <v>2</v>
      </c>
      <c r="B370" s="61">
        <v>44578</v>
      </c>
      <c r="C370" s="61">
        <v>44582</v>
      </c>
      <c r="D370" s="61">
        <v>44604</v>
      </c>
      <c r="E370" s="61">
        <v>44588</v>
      </c>
      <c r="F370" s="61" t="s">
        <v>309</v>
      </c>
      <c r="G370" s="61">
        <v>44585</v>
      </c>
      <c r="H370" s="61" t="s">
        <v>309</v>
      </c>
      <c r="I370" s="60" t="s">
        <v>511</v>
      </c>
      <c r="J370" s="60">
        <v>2</v>
      </c>
      <c r="L370" s="60">
        <v>0</v>
      </c>
      <c r="M370" s="61">
        <v>44543</v>
      </c>
      <c r="O370" s="62" t="s">
        <v>331</v>
      </c>
      <c r="P370" s="60" t="s">
        <v>26</v>
      </c>
      <c r="Q370" s="62" t="s">
        <v>125</v>
      </c>
      <c r="R370" s="62" t="s">
        <v>1249</v>
      </c>
      <c r="S370" s="63" t="s">
        <v>700</v>
      </c>
      <c r="T370" s="63" t="s">
        <v>1248</v>
      </c>
      <c r="U370" s="64">
        <v>100500</v>
      </c>
      <c r="V370" s="64">
        <v>110550</v>
      </c>
      <c r="W370" s="64">
        <v>100500</v>
      </c>
      <c r="X370" s="64">
        <v>110550</v>
      </c>
      <c r="Y370" s="64">
        <v>0</v>
      </c>
      <c r="Z370" s="64">
        <v>0</v>
      </c>
      <c r="AA370" s="61">
        <v>44582</v>
      </c>
      <c r="AB370" s="61">
        <v>44582</v>
      </c>
      <c r="AD370" s="60">
        <v>0</v>
      </c>
      <c r="AG370" s="60">
        <v>0</v>
      </c>
      <c r="AJ370" s="60">
        <v>0</v>
      </c>
      <c r="AM370" s="60" t="s">
        <v>273</v>
      </c>
      <c r="AN370" s="60" t="s">
        <v>1407</v>
      </c>
      <c r="AQ370" s="60" t="s">
        <v>1408</v>
      </c>
      <c r="AR370" s="61">
        <v>44551</v>
      </c>
      <c r="AS370" s="60">
        <v>6001973807</v>
      </c>
      <c r="AT370" s="61">
        <v>44552</v>
      </c>
      <c r="AU370" s="60" t="s">
        <v>1423</v>
      </c>
      <c r="AV370" s="61">
        <v>44582</v>
      </c>
      <c r="AW370" s="91">
        <v>44592</v>
      </c>
      <c r="AX370" s="91">
        <v>44612</v>
      </c>
      <c r="AY370" s="99">
        <v>96480</v>
      </c>
      <c r="AZ370" s="99">
        <f>ROUNDDOWN(AY370+(AY370*MASTER!$A$2/100),0)</f>
        <v>106128</v>
      </c>
      <c r="BA370" s="60" t="s">
        <v>613</v>
      </c>
      <c r="BB370" s="64">
        <v>42000</v>
      </c>
      <c r="BC370" s="64">
        <v>46200</v>
      </c>
      <c r="BD370" s="60" t="s">
        <v>1614</v>
      </c>
      <c r="BG370" s="64">
        <v>0</v>
      </c>
      <c r="BK370" s="64">
        <v>0</v>
      </c>
      <c r="BS370" s="64">
        <v>0</v>
      </c>
      <c r="BV370" s="65">
        <v>110550</v>
      </c>
      <c r="BW370" s="65">
        <v>46200</v>
      </c>
      <c r="BX370" s="65">
        <v>44543</v>
      </c>
      <c r="BY370" s="65">
        <v>64350</v>
      </c>
      <c r="BZ370" s="81">
        <v>58.208955223880601</v>
      </c>
    </row>
    <row r="371" spans="1:89" x14ac:dyDescent="0.15">
      <c r="A371" s="60">
        <v>2</v>
      </c>
      <c r="B371" s="61">
        <v>44592</v>
      </c>
      <c r="C371" s="61">
        <v>44593</v>
      </c>
      <c r="D371" s="61">
        <v>44606</v>
      </c>
      <c r="E371" s="61">
        <v>44618</v>
      </c>
      <c r="F371" s="61">
        <v>44600</v>
      </c>
      <c r="G371" s="61">
        <v>44593</v>
      </c>
      <c r="H371" s="61">
        <v>44596</v>
      </c>
      <c r="I371" s="60" t="s">
        <v>612</v>
      </c>
      <c r="J371" s="60">
        <v>1</v>
      </c>
      <c r="L371" s="60">
        <v>0</v>
      </c>
      <c r="M371" s="61">
        <v>44543</v>
      </c>
      <c r="O371" s="62" t="s">
        <v>331</v>
      </c>
      <c r="P371" s="60" t="s">
        <v>26</v>
      </c>
      <c r="Q371" s="62" t="s">
        <v>125</v>
      </c>
      <c r="R371" s="62" t="s">
        <v>1251</v>
      </c>
      <c r="S371" s="63" t="s">
        <v>1221</v>
      </c>
      <c r="T371" s="63" t="s">
        <v>1250</v>
      </c>
      <c r="U371" s="64">
        <v>169500</v>
      </c>
      <c r="V371" s="64">
        <v>186450</v>
      </c>
      <c r="W371" s="64">
        <v>102000</v>
      </c>
      <c r="X371" s="64">
        <v>112200</v>
      </c>
      <c r="Y371" s="64">
        <v>67500</v>
      </c>
      <c r="Z371" s="64">
        <v>74250</v>
      </c>
      <c r="AA371" s="61">
        <v>44592</v>
      </c>
      <c r="AB371" s="61">
        <v>44593</v>
      </c>
      <c r="AC371" s="61">
        <v>44593</v>
      </c>
      <c r="AD371" s="60">
        <v>0</v>
      </c>
      <c r="AG371" s="60">
        <v>0</v>
      </c>
      <c r="AJ371" s="60">
        <v>0</v>
      </c>
      <c r="AM371" s="60" t="s">
        <v>273</v>
      </c>
      <c r="AN371" s="60" t="s">
        <v>1252</v>
      </c>
      <c r="AQ371" s="60" t="s">
        <v>1412</v>
      </c>
      <c r="AR371" s="61">
        <v>44551</v>
      </c>
      <c r="AS371" s="60">
        <v>6001973807</v>
      </c>
      <c r="AT371" s="61">
        <v>44552</v>
      </c>
      <c r="AU371" s="60" t="s">
        <v>1423</v>
      </c>
      <c r="AV371" s="61">
        <v>44593</v>
      </c>
      <c r="AW371" s="91">
        <v>44620</v>
      </c>
      <c r="AX371" s="91">
        <v>44640</v>
      </c>
      <c r="AY371" s="99">
        <v>162720</v>
      </c>
      <c r="AZ371" s="99">
        <f>ROUNDDOWN(AY371+(AY371*MASTER!$A$2/100),0)</f>
        <v>178992</v>
      </c>
      <c r="BA371" s="60" t="s">
        <v>318</v>
      </c>
      <c r="BB371" s="64">
        <v>48000</v>
      </c>
      <c r="BC371" s="64">
        <v>52800</v>
      </c>
      <c r="BD371" s="60" t="s">
        <v>1614</v>
      </c>
      <c r="BG371" s="64">
        <v>0</v>
      </c>
      <c r="BI371" s="60" t="s">
        <v>267</v>
      </c>
      <c r="BJ371" s="64">
        <v>43875</v>
      </c>
      <c r="BK371" s="64">
        <v>48262.5</v>
      </c>
      <c r="BL371" s="60" t="s">
        <v>2104</v>
      </c>
      <c r="BS371" s="64">
        <v>0</v>
      </c>
      <c r="BV371" s="65">
        <v>112200</v>
      </c>
      <c r="BW371" s="65">
        <v>101062.5</v>
      </c>
      <c r="BX371" s="65">
        <v>44543</v>
      </c>
      <c r="BY371" s="65">
        <v>11137.5</v>
      </c>
      <c r="BZ371" s="81">
        <v>9.9264705882352935</v>
      </c>
    </row>
    <row r="372" spans="1:89" x14ac:dyDescent="0.15">
      <c r="A372" s="60">
        <v>2</v>
      </c>
      <c r="B372" s="61">
        <v>44592</v>
      </c>
      <c r="C372" s="61">
        <v>44593</v>
      </c>
      <c r="D372" s="61">
        <v>44624</v>
      </c>
      <c r="E372" s="61">
        <v>44618</v>
      </c>
      <c r="F372" s="61">
        <v>44600</v>
      </c>
      <c r="G372" s="61">
        <v>44592</v>
      </c>
      <c r="H372" s="61">
        <v>44596</v>
      </c>
      <c r="I372" s="60" t="s">
        <v>612</v>
      </c>
      <c r="J372" s="60">
        <v>1</v>
      </c>
      <c r="L372" s="60">
        <v>0</v>
      </c>
      <c r="M372" s="61">
        <v>44543</v>
      </c>
      <c r="O372" s="62" t="s">
        <v>331</v>
      </c>
      <c r="P372" s="60" t="s">
        <v>26</v>
      </c>
      <c r="Q372" s="62" t="s">
        <v>125</v>
      </c>
      <c r="R372" s="62" t="s">
        <v>1257</v>
      </c>
      <c r="S372" s="63" t="s">
        <v>1023</v>
      </c>
      <c r="T372" s="63" t="s">
        <v>1256</v>
      </c>
      <c r="U372" s="64">
        <v>194500</v>
      </c>
      <c r="V372" s="64">
        <v>213950</v>
      </c>
      <c r="W372" s="64">
        <v>102000</v>
      </c>
      <c r="X372" s="64">
        <v>112200</v>
      </c>
      <c r="Y372" s="64">
        <v>92500</v>
      </c>
      <c r="Z372" s="64">
        <v>101750</v>
      </c>
      <c r="AA372" s="61">
        <v>44227</v>
      </c>
      <c r="AB372" s="61">
        <v>44228</v>
      </c>
      <c r="AC372" s="61">
        <v>44593</v>
      </c>
      <c r="AD372" s="60">
        <v>0</v>
      </c>
      <c r="AG372" s="60">
        <v>0</v>
      </c>
      <c r="AJ372" s="60">
        <v>0</v>
      </c>
      <c r="AM372" s="60" t="s">
        <v>273</v>
      </c>
      <c r="AN372" s="60" t="s">
        <v>2119</v>
      </c>
      <c r="AQ372" s="60" t="s">
        <v>1809</v>
      </c>
      <c r="AR372" s="61">
        <v>44579</v>
      </c>
      <c r="AS372" s="60">
        <v>6001981792</v>
      </c>
      <c r="AT372" s="61">
        <v>44579</v>
      </c>
      <c r="AU372" s="60" t="s">
        <v>1813</v>
      </c>
      <c r="AV372" s="61">
        <v>44593</v>
      </c>
      <c r="AW372" s="91">
        <v>44620</v>
      </c>
      <c r="AX372" s="91">
        <v>44640</v>
      </c>
      <c r="AY372" s="99">
        <v>186720</v>
      </c>
      <c r="AZ372" s="99">
        <f>ROUNDDOWN(AY372+(AY372*MASTER!$A$2/100),0)</f>
        <v>205392</v>
      </c>
      <c r="BA372" s="60" t="s">
        <v>317</v>
      </c>
      <c r="BB372" s="64">
        <v>35000</v>
      </c>
      <c r="BC372" s="64">
        <v>38500</v>
      </c>
      <c r="BD372" s="60" t="s">
        <v>2044</v>
      </c>
      <c r="BG372" s="64">
        <v>0</v>
      </c>
      <c r="BI372" s="60" t="s">
        <v>748</v>
      </c>
      <c r="BJ372" s="64">
        <v>60125</v>
      </c>
      <c r="BK372" s="64">
        <v>66137.5</v>
      </c>
      <c r="BL372" s="60" t="s">
        <v>2044</v>
      </c>
      <c r="BS372" s="64">
        <v>0</v>
      </c>
      <c r="BV372" s="65">
        <v>112200</v>
      </c>
      <c r="BW372" s="65">
        <v>104637.5</v>
      </c>
      <c r="BX372" s="65">
        <v>44543</v>
      </c>
      <c r="BY372" s="65">
        <v>7562.5</v>
      </c>
      <c r="BZ372" s="81">
        <v>6.7401960784313726</v>
      </c>
    </row>
    <row r="373" spans="1:89" x14ac:dyDescent="0.15">
      <c r="A373" s="60">
        <v>2</v>
      </c>
      <c r="B373" s="61">
        <v>44579</v>
      </c>
      <c r="C373" s="61">
        <v>44588</v>
      </c>
      <c r="D373" s="61">
        <v>44554</v>
      </c>
      <c r="E373" s="61">
        <v>44554</v>
      </c>
      <c r="F373" s="61" t="s">
        <v>309</v>
      </c>
      <c r="G373" s="61">
        <v>44554</v>
      </c>
      <c r="H373" s="61" t="s">
        <v>309</v>
      </c>
      <c r="I373" s="60" t="s">
        <v>766</v>
      </c>
      <c r="J373" s="60">
        <v>2</v>
      </c>
      <c r="L373" s="60">
        <v>0</v>
      </c>
      <c r="M373" s="61">
        <v>44544</v>
      </c>
      <c r="O373" s="62" t="s">
        <v>331</v>
      </c>
      <c r="P373" s="60" t="s">
        <v>6</v>
      </c>
      <c r="Q373" s="62" t="s">
        <v>125</v>
      </c>
      <c r="R373" s="62" t="s">
        <v>1456</v>
      </c>
      <c r="S373" s="63" t="s">
        <v>743</v>
      </c>
      <c r="T373" s="63" t="s">
        <v>364</v>
      </c>
      <c r="U373" s="64">
        <v>71000</v>
      </c>
      <c r="V373" s="64">
        <v>78100</v>
      </c>
      <c r="W373" s="64">
        <v>71000</v>
      </c>
      <c r="X373" s="64">
        <v>78100</v>
      </c>
      <c r="Y373" s="64">
        <v>0</v>
      </c>
      <c r="Z373" s="64">
        <v>0</v>
      </c>
      <c r="AA373" s="61">
        <v>44551</v>
      </c>
      <c r="AB373" s="61">
        <v>44552</v>
      </c>
      <c r="AD373" s="60">
        <v>0</v>
      </c>
      <c r="AG373" s="60">
        <v>0</v>
      </c>
      <c r="AJ373" s="60">
        <v>0</v>
      </c>
      <c r="AN373" s="60" t="s">
        <v>309</v>
      </c>
      <c r="AQ373" s="60" t="s">
        <v>1424</v>
      </c>
      <c r="AR373" s="61">
        <v>44552</v>
      </c>
      <c r="AS373" s="60">
        <v>6001974231</v>
      </c>
      <c r="AT373" s="61">
        <v>44553</v>
      </c>
      <c r="AU373" s="60" t="s">
        <v>1442</v>
      </c>
      <c r="AV373" s="61">
        <v>44588</v>
      </c>
      <c r="AW373" s="91">
        <v>44592</v>
      </c>
      <c r="AX373" s="91">
        <v>44612</v>
      </c>
      <c r="AY373" s="99">
        <v>68160</v>
      </c>
      <c r="AZ373" s="99">
        <f>ROUNDDOWN(AY373+(AY373*MASTER!$A$2/100),0)</f>
        <v>74976</v>
      </c>
      <c r="BA373" s="60" t="s">
        <v>317</v>
      </c>
      <c r="BB373" s="64">
        <v>56000</v>
      </c>
      <c r="BC373" s="64">
        <v>61600</v>
      </c>
      <c r="BD373" s="60" t="s">
        <v>184</v>
      </c>
      <c r="BG373" s="64">
        <v>0</v>
      </c>
      <c r="BK373" s="64">
        <v>0</v>
      </c>
      <c r="BS373" s="64">
        <v>0</v>
      </c>
      <c r="BV373" s="65">
        <v>78100</v>
      </c>
      <c r="BW373" s="65">
        <v>61600</v>
      </c>
      <c r="BX373" s="65">
        <v>44544</v>
      </c>
      <c r="BY373" s="65">
        <v>16500</v>
      </c>
      <c r="BZ373" s="81">
        <v>21.12676056338028</v>
      </c>
    </row>
    <row r="374" spans="1:89" x14ac:dyDescent="0.15">
      <c r="A374" s="60">
        <v>2</v>
      </c>
      <c r="B374" s="61">
        <v>44574</v>
      </c>
      <c r="C374" s="61">
        <v>44593</v>
      </c>
      <c r="D374" s="61" t="s">
        <v>764</v>
      </c>
      <c r="E374" s="61">
        <v>44618</v>
      </c>
      <c r="F374" s="61">
        <v>44599</v>
      </c>
      <c r="G374" s="61">
        <v>44592</v>
      </c>
      <c r="H374" s="61">
        <v>44595</v>
      </c>
      <c r="I374" s="60" t="s">
        <v>612</v>
      </c>
      <c r="J374" s="60">
        <v>1</v>
      </c>
      <c r="L374" s="60">
        <v>0</v>
      </c>
      <c r="M374" s="61">
        <v>44544</v>
      </c>
      <c r="O374" s="62" t="s">
        <v>331</v>
      </c>
      <c r="P374" s="60" t="s">
        <v>26</v>
      </c>
      <c r="Q374" s="62" t="s">
        <v>125</v>
      </c>
      <c r="R374" s="62" t="s">
        <v>1673</v>
      </c>
      <c r="S374" s="63" t="s">
        <v>1674</v>
      </c>
      <c r="T374" s="63" t="s">
        <v>1675</v>
      </c>
      <c r="U374" s="64">
        <v>23900</v>
      </c>
      <c r="V374" s="64">
        <v>26290</v>
      </c>
      <c r="W374" s="64">
        <v>14700</v>
      </c>
      <c r="X374" s="64">
        <v>16170</v>
      </c>
      <c r="Y374" s="64">
        <v>9200</v>
      </c>
      <c r="Z374" s="64">
        <v>10120</v>
      </c>
      <c r="AA374" s="61">
        <v>44591</v>
      </c>
      <c r="AB374" s="61">
        <v>44592</v>
      </c>
      <c r="AC374" s="61">
        <v>44592</v>
      </c>
      <c r="AD374" s="60">
        <v>0</v>
      </c>
      <c r="AG374" s="60">
        <v>0</v>
      </c>
      <c r="AJ374" s="60">
        <v>0</v>
      </c>
      <c r="AM374" s="60" t="s">
        <v>273</v>
      </c>
      <c r="AN374" s="60" t="s">
        <v>1676</v>
      </c>
      <c r="AQ374" s="60" t="s">
        <v>1651</v>
      </c>
      <c r="AR374" s="61">
        <v>44568</v>
      </c>
      <c r="AS374" s="60">
        <v>6001977273</v>
      </c>
      <c r="AT374" s="61">
        <v>44568</v>
      </c>
      <c r="AU374" s="60" t="s">
        <v>1755</v>
      </c>
      <c r="AV374" s="61">
        <v>44593</v>
      </c>
      <c r="AW374" s="91">
        <v>44620</v>
      </c>
      <c r="AX374" s="91">
        <v>44640</v>
      </c>
      <c r="AY374" s="99">
        <v>22944</v>
      </c>
      <c r="AZ374" s="99">
        <f>ROUNDDOWN(AY374+(AY374*MASTER!$A$2/100),0)</f>
        <v>25238</v>
      </c>
      <c r="BA374" s="60" t="s">
        <v>765</v>
      </c>
      <c r="BC374" s="64">
        <v>0</v>
      </c>
      <c r="BG374" s="64">
        <v>0</v>
      </c>
      <c r="BI374" s="60" t="s">
        <v>748</v>
      </c>
      <c r="BJ374" s="64">
        <v>5980</v>
      </c>
      <c r="BK374" s="64">
        <v>6578</v>
      </c>
      <c r="BL374" s="60" t="s">
        <v>1614</v>
      </c>
      <c r="BS374" s="64">
        <v>0</v>
      </c>
      <c r="BV374" s="65">
        <v>16170</v>
      </c>
      <c r="BW374" s="65">
        <v>6578</v>
      </c>
      <c r="BX374" s="65">
        <v>44544</v>
      </c>
      <c r="BY374" s="65">
        <v>9592</v>
      </c>
      <c r="BZ374" s="81">
        <v>59.319727891156461</v>
      </c>
    </row>
    <row r="375" spans="1:89" x14ac:dyDescent="0.15">
      <c r="A375" s="60">
        <v>2</v>
      </c>
      <c r="B375" s="61">
        <v>44596</v>
      </c>
      <c r="C375" s="61">
        <v>44603</v>
      </c>
      <c r="D375" s="61">
        <v>44622</v>
      </c>
      <c r="E375" s="61">
        <v>44618</v>
      </c>
      <c r="F375" s="61">
        <v>44610</v>
      </c>
      <c r="G375" s="61">
        <v>44608</v>
      </c>
      <c r="H375" s="61">
        <v>44606</v>
      </c>
      <c r="I375" s="60" t="s">
        <v>511</v>
      </c>
      <c r="J375" s="60">
        <v>1</v>
      </c>
      <c r="L375" s="60">
        <v>0</v>
      </c>
      <c r="M375" s="61">
        <v>44544</v>
      </c>
      <c r="O375" s="62" t="s">
        <v>331</v>
      </c>
      <c r="P375" s="60" t="s">
        <v>26</v>
      </c>
      <c r="Q375" s="62" t="s">
        <v>125</v>
      </c>
      <c r="R375" s="62" t="s">
        <v>1824</v>
      </c>
      <c r="S375" s="63" t="s">
        <v>1825</v>
      </c>
      <c r="T375" s="63" t="s">
        <v>359</v>
      </c>
      <c r="U375" s="64">
        <v>817360</v>
      </c>
      <c r="V375" s="64">
        <v>899096</v>
      </c>
      <c r="W375" s="64">
        <v>805360</v>
      </c>
      <c r="X375" s="64">
        <v>885896</v>
      </c>
      <c r="Y375" s="64">
        <v>12000</v>
      </c>
      <c r="Z375" s="64">
        <v>13200</v>
      </c>
      <c r="AA375" s="61">
        <v>44599</v>
      </c>
      <c r="AB375" s="61">
        <v>44603</v>
      </c>
      <c r="AC375" s="61">
        <v>44603</v>
      </c>
      <c r="AD375" s="60">
        <v>0</v>
      </c>
      <c r="AG375" s="60">
        <v>0</v>
      </c>
      <c r="AJ375" s="60">
        <v>0</v>
      </c>
      <c r="AM375" s="60" t="s">
        <v>273</v>
      </c>
      <c r="AN375" s="60" t="s">
        <v>1826</v>
      </c>
      <c r="AQ375" s="60" t="s">
        <v>2171</v>
      </c>
      <c r="AR375" s="61">
        <v>44581</v>
      </c>
      <c r="AS375" s="60">
        <v>6001982753</v>
      </c>
      <c r="AT375" s="61">
        <v>44581</v>
      </c>
      <c r="AU375" s="60" t="s">
        <v>1861</v>
      </c>
      <c r="AV375" s="61">
        <v>44603</v>
      </c>
      <c r="AW375" s="91">
        <v>44620</v>
      </c>
      <c r="AX375" s="91">
        <v>44640</v>
      </c>
      <c r="AY375" s="99">
        <v>784666</v>
      </c>
      <c r="AZ375" s="99">
        <v>863133</v>
      </c>
      <c r="BA375" s="60" t="s">
        <v>613</v>
      </c>
      <c r="BB375" s="64">
        <v>711000</v>
      </c>
      <c r="BC375" s="64">
        <v>782100</v>
      </c>
      <c r="BD375" s="60" t="s">
        <v>2044</v>
      </c>
      <c r="BG375" s="64">
        <v>0</v>
      </c>
      <c r="BI375" s="60" t="s">
        <v>267</v>
      </c>
      <c r="BJ375" s="64">
        <v>7800</v>
      </c>
      <c r="BK375" s="64">
        <v>8580</v>
      </c>
      <c r="BL375" s="60" t="s">
        <v>2104</v>
      </c>
      <c r="BS375" s="64">
        <v>0</v>
      </c>
      <c r="BV375" s="65">
        <v>885896</v>
      </c>
      <c r="BW375" s="65">
        <v>790680</v>
      </c>
      <c r="BX375" s="65">
        <v>44544</v>
      </c>
      <c r="BY375" s="65">
        <v>95216</v>
      </c>
      <c r="BZ375" s="81">
        <v>10.747988477202741</v>
      </c>
    </row>
    <row r="376" spans="1:89" x14ac:dyDescent="0.15">
      <c r="A376" s="60">
        <v>2</v>
      </c>
      <c r="B376" s="61">
        <v>44578</v>
      </c>
      <c r="C376" s="61">
        <v>44580</v>
      </c>
      <c r="D376" s="61">
        <v>44604</v>
      </c>
      <c r="E376" s="61">
        <v>44591</v>
      </c>
      <c r="F376" s="61">
        <v>44587</v>
      </c>
      <c r="G376" s="61">
        <v>44580</v>
      </c>
      <c r="H376" s="61">
        <v>44583</v>
      </c>
      <c r="I376" s="60" t="s">
        <v>612</v>
      </c>
      <c r="J376" s="60">
        <v>1</v>
      </c>
      <c r="L376" s="60">
        <v>0</v>
      </c>
      <c r="M376" s="61">
        <v>44544</v>
      </c>
      <c r="O376" s="62" t="s">
        <v>331</v>
      </c>
      <c r="P376" s="60" t="s">
        <v>26</v>
      </c>
      <c r="Q376" s="62" t="s">
        <v>125</v>
      </c>
      <c r="R376" s="62" t="s">
        <v>1681</v>
      </c>
      <c r="S376" s="63" t="s">
        <v>623</v>
      </c>
      <c r="T376" s="63" t="s">
        <v>442</v>
      </c>
      <c r="U376" s="64">
        <v>59000</v>
      </c>
      <c r="V376" s="64">
        <v>64900</v>
      </c>
      <c r="W376" s="64">
        <v>47000</v>
      </c>
      <c r="X376" s="64">
        <v>51700</v>
      </c>
      <c r="Y376" s="64">
        <v>12000</v>
      </c>
      <c r="Z376" s="64">
        <v>13200</v>
      </c>
      <c r="AA376" s="61">
        <v>44579</v>
      </c>
      <c r="AB376" s="61">
        <v>44580</v>
      </c>
      <c r="AC376" s="61">
        <v>44580</v>
      </c>
      <c r="AD376" s="60">
        <v>0</v>
      </c>
      <c r="AG376" s="60">
        <v>0</v>
      </c>
      <c r="AJ376" s="60">
        <v>0</v>
      </c>
      <c r="AM376" s="60" t="s">
        <v>273</v>
      </c>
      <c r="AN376" s="60" t="s">
        <v>1682</v>
      </c>
      <c r="AQ376" s="60" t="s">
        <v>1634</v>
      </c>
      <c r="AR376" s="61">
        <v>44567</v>
      </c>
      <c r="AS376" s="60">
        <v>6001976740</v>
      </c>
      <c r="AT376" s="61">
        <v>44567</v>
      </c>
      <c r="AU376" s="60" t="s">
        <v>1645</v>
      </c>
      <c r="AV376" s="61">
        <v>44580</v>
      </c>
      <c r="AW376" s="91">
        <v>44592</v>
      </c>
      <c r="AX376" s="91">
        <v>44612</v>
      </c>
      <c r="AY376" s="99">
        <v>56640</v>
      </c>
      <c r="AZ376" s="99">
        <f>ROUNDDOWN(AY376+(AY376*MASTER!$A$2/100),0)</f>
        <v>62304</v>
      </c>
      <c r="BA376" s="60" t="s">
        <v>613</v>
      </c>
      <c r="BB376" s="64">
        <v>23000</v>
      </c>
      <c r="BC376" s="64">
        <v>25300</v>
      </c>
      <c r="BD376" s="60" t="s">
        <v>1614</v>
      </c>
      <c r="BG376" s="64">
        <v>0</v>
      </c>
      <c r="BI376" s="60" t="s">
        <v>748</v>
      </c>
      <c r="BJ376" s="64">
        <v>7800</v>
      </c>
      <c r="BK376" s="64">
        <v>8580</v>
      </c>
      <c r="BL376" s="60" t="s">
        <v>1614</v>
      </c>
      <c r="BS376" s="64">
        <v>0</v>
      </c>
      <c r="BV376" s="65">
        <v>51700</v>
      </c>
      <c r="BW376" s="65">
        <v>33880</v>
      </c>
      <c r="BX376" s="65">
        <v>44544</v>
      </c>
      <c r="BY376" s="65">
        <v>17820</v>
      </c>
      <c r="BZ376" s="81">
        <v>34.468085106382979</v>
      </c>
    </row>
    <row r="377" spans="1:89" x14ac:dyDescent="0.15">
      <c r="A377" s="60">
        <v>2</v>
      </c>
      <c r="B377" s="61">
        <v>44553</v>
      </c>
      <c r="C377" s="61">
        <v>44554</v>
      </c>
      <c r="D377" s="61">
        <v>44550</v>
      </c>
      <c r="E377" s="61">
        <v>44550</v>
      </c>
      <c r="F377" s="61" t="s">
        <v>309</v>
      </c>
      <c r="G377" s="61">
        <v>44550</v>
      </c>
      <c r="H377" s="61" t="s">
        <v>309</v>
      </c>
      <c r="I377" s="60" t="s">
        <v>766</v>
      </c>
      <c r="J377" s="60">
        <v>2</v>
      </c>
      <c r="L377" s="60">
        <v>0</v>
      </c>
      <c r="M377" s="61">
        <v>44544</v>
      </c>
      <c r="O377" s="62" t="s">
        <v>331</v>
      </c>
      <c r="P377" s="60" t="s">
        <v>6</v>
      </c>
      <c r="Q377" s="62" t="s">
        <v>125</v>
      </c>
      <c r="R377" s="62" t="s">
        <v>1413</v>
      </c>
      <c r="S377" s="63" t="s">
        <v>880</v>
      </c>
      <c r="T377" s="63" t="s">
        <v>364</v>
      </c>
      <c r="U377" s="64">
        <v>35000</v>
      </c>
      <c r="V377" s="64">
        <v>38500</v>
      </c>
      <c r="W377" s="64">
        <v>35000</v>
      </c>
      <c r="X377" s="64">
        <v>38500</v>
      </c>
      <c r="Z377" s="64">
        <v>0</v>
      </c>
      <c r="AA377" s="61">
        <v>44549</v>
      </c>
      <c r="AD377" s="60">
        <v>0</v>
      </c>
      <c r="AG377" s="60">
        <v>0</v>
      </c>
      <c r="AJ377" s="60">
        <v>0</v>
      </c>
      <c r="AN377" s="60" t="s">
        <v>309</v>
      </c>
      <c r="AQ377" s="60" t="s">
        <v>1416</v>
      </c>
      <c r="AR377" s="61">
        <v>44551</v>
      </c>
      <c r="AS377" s="60">
        <v>6001973806</v>
      </c>
      <c r="AT377" s="61">
        <v>44552</v>
      </c>
      <c r="AU377" s="60" t="s">
        <v>1422</v>
      </c>
      <c r="AV377" s="61">
        <v>44554</v>
      </c>
      <c r="AW377" s="91">
        <v>44561</v>
      </c>
      <c r="AX377" s="91">
        <v>44581</v>
      </c>
      <c r="AY377" s="99">
        <v>33600</v>
      </c>
      <c r="AZ377" s="99">
        <f>ROUNDDOWN(AY377+(AY377*MASTER!$A$2/100),0)</f>
        <v>36960</v>
      </c>
      <c r="BA377" s="60" t="s">
        <v>613</v>
      </c>
      <c r="BB377" s="64">
        <v>32000</v>
      </c>
      <c r="BC377" s="64">
        <v>35200</v>
      </c>
      <c r="BD377" s="60" t="s">
        <v>184</v>
      </c>
      <c r="BG377" s="64">
        <v>0</v>
      </c>
      <c r="BK377" s="64">
        <v>0</v>
      </c>
      <c r="BS377" s="64">
        <v>0</v>
      </c>
      <c r="BV377" s="65">
        <v>38500</v>
      </c>
      <c r="BW377" s="65">
        <v>35200</v>
      </c>
      <c r="BX377" s="65">
        <v>44544</v>
      </c>
      <c r="BY377" s="65">
        <v>3300</v>
      </c>
      <c r="BZ377" s="81">
        <v>8.5714285714285712</v>
      </c>
    </row>
    <row r="378" spans="1:89" x14ac:dyDescent="0.15">
      <c r="A378" s="60">
        <v>1</v>
      </c>
      <c r="B378" s="61">
        <v>44568</v>
      </c>
      <c r="C378" s="61">
        <v>44572</v>
      </c>
      <c r="F378" s="61" t="s">
        <v>309</v>
      </c>
      <c r="G378" s="61">
        <v>44566</v>
      </c>
      <c r="H378" s="61" t="s">
        <v>309</v>
      </c>
      <c r="J378" s="60">
        <v>2</v>
      </c>
      <c r="L378" s="60">
        <v>0</v>
      </c>
      <c r="M378" s="61">
        <v>44544</v>
      </c>
      <c r="O378" s="62" t="s">
        <v>331</v>
      </c>
      <c r="P378" s="60" t="s">
        <v>6</v>
      </c>
      <c r="Q378" s="62" t="s">
        <v>125</v>
      </c>
      <c r="R378" s="62" t="s">
        <v>1628</v>
      </c>
      <c r="S378" s="63" t="s">
        <v>962</v>
      </c>
      <c r="T378" s="63" t="s">
        <v>364</v>
      </c>
      <c r="U378" s="64">
        <v>51000</v>
      </c>
      <c r="V378" s="64">
        <v>56100</v>
      </c>
      <c r="W378" s="64">
        <v>51000</v>
      </c>
      <c r="X378" s="64">
        <v>56100</v>
      </c>
      <c r="Y378" s="64">
        <v>0</v>
      </c>
      <c r="Z378" s="64">
        <v>0</v>
      </c>
      <c r="AA378" s="61">
        <v>44565</v>
      </c>
      <c r="AD378" s="60">
        <v>0</v>
      </c>
      <c r="AG378" s="60">
        <v>0</v>
      </c>
      <c r="AJ378" s="60">
        <v>0</v>
      </c>
      <c r="AN378" s="60" t="s">
        <v>309</v>
      </c>
      <c r="AQ378" s="60" t="s">
        <v>1661</v>
      </c>
      <c r="AR378" s="61">
        <v>44567</v>
      </c>
      <c r="AS378" s="60">
        <v>6001977108</v>
      </c>
      <c r="AT378" s="61">
        <v>44568</v>
      </c>
      <c r="AU378" s="60" t="s">
        <v>1652</v>
      </c>
      <c r="AV378" s="61">
        <v>44572</v>
      </c>
      <c r="AW378" s="91">
        <v>44592</v>
      </c>
      <c r="AX378" s="91">
        <v>44612</v>
      </c>
      <c r="AY378" s="99">
        <v>48960</v>
      </c>
      <c r="AZ378" s="99">
        <f>ROUNDDOWN(AY378+(AY378*MASTER!$A$2/100),0)</f>
        <v>53856</v>
      </c>
      <c r="BC378" s="64">
        <v>0</v>
      </c>
      <c r="BG378" s="64">
        <v>0</v>
      </c>
      <c r="BK378" s="64">
        <v>0</v>
      </c>
      <c r="BS378" s="64">
        <v>0</v>
      </c>
      <c r="BV378" s="65">
        <v>56100</v>
      </c>
      <c r="BW378" s="65">
        <v>0</v>
      </c>
      <c r="BX378" s="65">
        <v>44544</v>
      </c>
      <c r="BY378" s="65">
        <v>56100</v>
      </c>
      <c r="BZ378" s="81">
        <v>100</v>
      </c>
    </row>
    <row r="379" spans="1:89" x14ac:dyDescent="0.15">
      <c r="A379" s="60">
        <v>2</v>
      </c>
      <c r="B379" s="61">
        <v>44585</v>
      </c>
      <c r="C379" s="61">
        <v>44587</v>
      </c>
      <c r="D379" s="61">
        <v>44596</v>
      </c>
      <c r="E379" s="61">
        <v>44588</v>
      </c>
      <c r="F379" s="61">
        <v>44594</v>
      </c>
      <c r="G379" s="61">
        <v>44588</v>
      </c>
      <c r="H379" s="61">
        <v>44590</v>
      </c>
      <c r="I379" s="60" t="s">
        <v>511</v>
      </c>
      <c r="J379" s="60">
        <v>2</v>
      </c>
      <c r="L379" s="60">
        <v>0</v>
      </c>
      <c r="M379" s="61">
        <v>44544</v>
      </c>
      <c r="O379" s="62" t="s">
        <v>331</v>
      </c>
      <c r="P379" s="60" t="s">
        <v>26</v>
      </c>
      <c r="Q379" s="62" t="s">
        <v>125</v>
      </c>
      <c r="R379" s="62" t="s">
        <v>1287</v>
      </c>
      <c r="S379" s="63" t="s">
        <v>782</v>
      </c>
      <c r="T379" s="63" t="s">
        <v>1286</v>
      </c>
      <c r="U379" s="64">
        <v>174590</v>
      </c>
      <c r="V379" s="64">
        <v>192049</v>
      </c>
      <c r="W379" s="64">
        <v>174590</v>
      </c>
      <c r="X379" s="64">
        <v>192049</v>
      </c>
      <c r="Y379" s="64">
        <v>0</v>
      </c>
      <c r="Z379" s="64">
        <v>0</v>
      </c>
      <c r="AA379" s="61">
        <v>44219</v>
      </c>
      <c r="AB379" s="61">
        <v>44222</v>
      </c>
      <c r="AC379" s="61">
        <v>44587</v>
      </c>
      <c r="AD379" s="60">
        <v>0</v>
      </c>
      <c r="AG379" s="60">
        <v>0</v>
      </c>
      <c r="AJ379" s="60">
        <v>0</v>
      </c>
      <c r="AM379" s="60" t="s">
        <v>273</v>
      </c>
      <c r="AN379" s="60" t="s">
        <v>1971</v>
      </c>
      <c r="AQ379" s="60" t="s">
        <v>1637</v>
      </c>
      <c r="AR379" s="61">
        <v>44567</v>
      </c>
      <c r="AS379" s="60">
        <v>6001976740</v>
      </c>
      <c r="AT379" s="61">
        <v>44567</v>
      </c>
      <c r="AU379" s="60" t="s">
        <v>1645</v>
      </c>
      <c r="AV379" s="61">
        <v>44587</v>
      </c>
      <c r="AW379" s="91">
        <v>44592</v>
      </c>
      <c r="AX379" s="91">
        <v>44612</v>
      </c>
      <c r="AY379" s="99">
        <v>167606</v>
      </c>
      <c r="AZ379" s="99">
        <v>184367</v>
      </c>
      <c r="BA379" s="60" t="s">
        <v>765</v>
      </c>
      <c r="BC379" s="64">
        <v>0</v>
      </c>
      <c r="BG379" s="64">
        <v>0</v>
      </c>
      <c r="BK379" s="64">
        <v>0</v>
      </c>
      <c r="BS379" s="64">
        <v>0</v>
      </c>
      <c r="BV379" s="65">
        <v>192049</v>
      </c>
      <c r="BW379" s="65">
        <v>0</v>
      </c>
      <c r="BX379" s="65">
        <v>44544</v>
      </c>
      <c r="BY379" s="65">
        <v>192049</v>
      </c>
      <c r="BZ379" s="81">
        <v>100</v>
      </c>
    </row>
    <row r="380" spans="1:89" x14ac:dyDescent="0.15">
      <c r="A380" s="60">
        <v>1</v>
      </c>
      <c r="B380" s="61">
        <v>44547</v>
      </c>
      <c r="C380" s="61">
        <v>44550</v>
      </c>
      <c r="F380" s="61" t="s">
        <v>309</v>
      </c>
      <c r="H380" s="61" t="s">
        <v>309</v>
      </c>
      <c r="J380" s="60">
        <v>2</v>
      </c>
      <c r="L380" s="60">
        <v>0</v>
      </c>
      <c r="M380" s="61">
        <v>44544</v>
      </c>
      <c r="O380" s="62" t="s">
        <v>331</v>
      </c>
      <c r="P380" s="60" t="s">
        <v>77</v>
      </c>
      <c r="Q380" s="62" t="s">
        <v>125</v>
      </c>
      <c r="R380" s="62" t="s">
        <v>1288</v>
      </c>
      <c r="S380" s="63" t="s">
        <v>489</v>
      </c>
      <c r="T380" s="63" t="s">
        <v>1289</v>
      </c>
      <c r="U380" s="64">
        <v>19760</v>
      </c>
      <c r="V380" s="64">
        <v>21736</v>
      </c>
      <c r="W380" s="64">
        <v>19760</v>
      </c>
      <c r="X380" s="64">
        <v>21736</v>
      </c>
      <c r="Y380" s="64">
        <v>0</v>
      </c>
      <c r="Z380" s="64">
        <v>0</v>
      </c>
      <c r="AD380" s="60">
        <v>0</v>
      </c>
      <c r="AG380" s="60">
        <v>0</v>
      </c>
      <c r="AJ380" s="60">
        <v>0</v>
      </c>
      <c r="AR380" s="61">
        <v>44544</v>
      </c>
      <c r="AS380" s="60">
        <v>6001969785</v>
      </c>
      <c r="AT380" s="61">
        <v>44544</v>
      </c>
      <c r="AU380" s="60" t="s">
        <v>1298</v>
      </c>
      <c r="AV380" s="61">
        <v>44550</v>
      </c>
      <c r="AW380" s="91">
        <v>44561</v>
      </c>
      <c r="AX380" s="91">
        <v>44581</v>
      </c>
      <c r="AY380" s="107">
        <v>19760</v>
      </c>
      <c r="AZ380" s="107">
        <f>ROUNDDOWN(AY380+(AY380*MASTER!$A$2/100),0)</f>
        <v>21736</v>
      </c>
      <c r="BC380" s="64">
        <v>0</v>
      </c>
      <c r="BG380" s="64">
        <v>0</v>
      </c>
      <c r="BK380" s="64">
        <v>0</v>
      </c>
      <c r="BS380" s="64">
        <v>0</v>
      </c>
      <c r="BV380" s="65">
        <v>21736</v>
      </c>
      <c r="BW380" s="65">
        <v>0</v>
      </c>
      <c r="BX380" s="65">
        <v>44544</v>
      </c>
      <c r="BY380" s="65">
        <v>21736</v>
      </c>
      <c r="BZ380" s="81">
        <v>100</v>
      </c>
    </row>
    <row r="381" spans="1:89" x14ac:dyDescent="0.15">
      <c r="A381" s="60">
        <v>1</v>
      </c>
      <c r="B381" s="61">
        <v>44547</v>
      </c>
      <c r="C381" s="61">
        <v>44550</v>
      </c>
      <c r="F381" s="61" t="s">
        <v>309</v>
      </c>
      <c r="H381" s="61" t="s">
        <v>309</v>
      </c>
      <c r="J381" s="60">
        <v>2</v>
      </c>
      <c r="L381" s="60">
        <v>0</v>
      </c>
      <c r="M381" s="61">
        <v>44544</v>
      </c>
      <c r="O381" s="62" t="s">
        <v>331</v>
      </c>
      <c r="P381" s="60" t="s">
        <v>77</v>
      </c>
      <c r="Q381" s="62" t="s">
        <v>125</v>
      </c>
      <c r="R381" s="62" t="s">
        <v>1290</v>
      </c>
      <c r="S381" s="63" t="s">
        <v>489</v>
      </c>
      <c r="T381" s="63" t="s">
        <v>1299</v>
      </c>
      <c r="U381" s="64">
        <v>9880</v>
      </c>
      <c r="V381" s="64">
        <v>10868</v>
      </c>
      <c r="W381" s="64">
        <v>9880</v>
      </c>
      <c r="X381" s="64">
        <v>10868</v>
      </c>
      <c r="Y381" s="64">
        <v>0</v>
      </c>
      <c r="Z381" s="64">
        <v>0</v>
      </c>
      <c r="AD381" s="60">
        <v>0</v>
      </c>
      <c r="AG381" s="60">
        <v>0</v>
      </c>
      <c r="AJ381" s="60">
        <v>0</v>
      </c>
      <c r="AR381" s="61">
        <v>44544</v>
      </c>
      <c r="AS381" s="60">
        <v>6001969785</v>
      </c>
      <c r="AT381" s="61">
        <v>44544</v>
      </c>
      <c r="AU381" s="60" t="s">
        <v>1298</v>
      </c>
      <c r="AV381" s="61">
        <v>44550</v>
      </c>
      <c r="AW381" s="91">
        <v>44561</v>
      </c>
      <c r="AX381" s="91">
        <v>44581</v>
      </c>
      <c r="AY381" s="107">
        <v>9880</v>
      </c>
      <c r="AZ381" s="107">
        <f>ROUNDDOWN(AY381+(AY381*MASTER!$A$2/100),0)</f>
        <v>10868</v>
      </c>
      <c r="BC381" s="64">
        <v>0</v>
      </c>
      <c r="BG381" s="64">
        <v>0</v>
      </c>
      <c r="BK381" s="64">
        <v>0</v>
      </c>
      <c r="BS381" s="64">
        <v>0</v>
      </c>
      <c r="BV381" s="65">
        <v>10868</v>
      </c>
      <c r="BW381" s="65">
        <v>0</v>
      </c>
      <c r="BX381" s="65">
        <v>44544</v>
      </c>
      <c r="BY381" s="65">
        <v>10868</v>
      </c>
      <c r="BZ381" s="81">
        <v>100</v>
      </c>
    </row>
    <row r="382" spans="1:89" x14ac:dyDescent="0.15">
      <c r="A382" s="60">
        <v>1</v>
      </c>
      <c r="B382" s="61">
        <v>44547</v>
      </c>
      <c r="C382" s="61">
        <v>44550</v>
      </c>
      <c r="F382" s="61" t="s">
        <v>309</v>
      </c>
      <c r="H382" s="61" t="s">
        <v>309</v>
      </c>
      <c r="J382" s="60">
        <v>2</v>
      </c>
      <c r="L382" s="60">
        <v>0</v>
      </c>
      <c r="M382" s="61">
        <v>44544</v>
      </c>
      <c r="O382" s="62" t="s">
        <v>331</v>
      </c>
      <c r="P382" s="60" t="s">
        <v>77</v>
      </c>
      <c r="Q382" s="62" t="s">
        <v>125</v>
      </c>
      <c r="R382" s="62" t="s">
        <v>1291</v>
      </c>
      <c r="S382" s="63" t="s">
        <v>489</v>
      </c>
      <c r="T382" s="63" t="s">
        <v>1299</v>
      </c>
      <c r="U382" s="64">
        <v>9880</v>
      </c>
      <c r="V382" s="64">
        <v>10868</v>
      </c>
      <c r="W382" s="64">
        <v>9880</v>
      </c>
      <c r="X382" s="64">
        <v>10868</v>
      </c>
      <c r="Y382" s="64">
        <v>0</v>
      </c>
      <c r="Z382" s="64">
        <v>0</v>
      </c>
      <c r="AD382" s="60">
        <v>0</v>
      </c>
      <c r="AG382" s="60">
        <v>0</v>
      </c>
      <c r="AJ382" s="60">
        <v>0</v>
      </c>
      <c r="AR382" s="61">
        <v>44544</v>
      </c>
      <c r="AS382" s="60">
        <v>6001969785</v>
      </c>
      <c r="AT382" s="61">
        <v>44544</v>
      </c>
      <c r="AU382" s="60" t="s">
        <v>1298</v>
      </c>
      <c r="AV382" s="61">
        <v>44550</v>
      </c>
      <c r="AW382" s="91">
        <v>44561</v>
      </c>
      <c r="AX382" s="91">
        <v>44581</v>
      </c>
      <c r="AY382" s="107">
        <v>9880</v>
      </c>
      <c r="AZ382" s="107">
        <f>ROUNDDOWN(AY382+(AY382*MASTER!$A$2/100),0)</f>
        <v>10868</v>
      </c>
      <c r="BC382" s="64">
        <v>0</v>
      </c>
      <c r="BG382" s="64">
        <v>0</v>
      </c>
      <c r="BK382" s="64">
        <v>0</v>
      </c>
      <c r="BS382" s="64">
        <v>0</v>
      </c>
      <c r="BV382" s="65">
        <v>10868</v>
      </c>
      <c r="BW382" s="65">
        <v>0</v>
      </c>
      <c r="BX382" s="65">
        <v>44544</v>
      </c>
      <c r="BY382" s="65">
        <v>10868</v>
      </c>
      <c r="BZ382" s="81">
        <v>100</v>
      </c>
    </row>
    <row r="383" spans="1:89" x14ac:dyDescent="0.15">
      <c r="A383" s="60">
        <v>1</v>
      </c>
      <c r="B383" s="61">
        <v>44585</v>
      </c>
      <c r="C383" s="61">
        <v>44581</v>
      </c>
      <c r="F383" s="61" t="s">
        <v>309</v>
      </c>
      <c r="H383" s="61" t="s">
        <v>309</v>
      </c>
      <c r="J383" s="60">
        <v>2</v>
      </c>
      <c r="L383" s="60">
        <v>0</v>
      </c>
      <c r="M383" s="61">
        <v>44545</v>
      </c>
      <c r="O383" s="62" t="s">
        <v>331</v>
      </c>
      <c r="P383" s="60" t="s">
        <v>26</v>
      </c>
      <c r="Q383" s="62" t="s">
        <v>125</v>
      </c>
      <c r="R383" s="62" t="s">
        <v>1399</v>
      </c>
      <c r="S383" s="63" t="s">
        <v>354</v>
      </c>
      <c r="T383" s="63" t="s">
        <v>1400</v>
      </c>
      <c r="U383" s="64">
        <v>144000</v>
      </c>
      <c r="V383" s="64">
        <v>158400</v>
      </c>
      <c r="W383" s="64">
        <v>144000</v>
      </c>
      <c r="X383" s="64">
        <v>158400</v>
      </c>
      <c r="Y383" s="64">
        <v>0</v>
      </c>
      <c r="Z383" s="64">
        <v>0</v>
      </c>
      <c r="AA383" s="61">
        <v>44531</v>
      </c>
      <c r="AB383" s="61">
        <v>44547</v>
      </c>
      <c r="AD383" s="60">
        <v>0</v>
      </c>
      <c r="AG383" s="60">
        <v>0</v>
      </c>
      <c r="AJ383" s="60">
        <v>0</v>
      </c>
      <c r="AN383" s="60" t="s">
        <v>309</v>
      </c>
      <c r="AQ383" s="60" t="s">
        <v>1409</v>
      </c>
      <c r="AR383" s="61">
        <v>44551</v>
      </c>
      <c r="AS383" s="60">
        <v>6001973807</v>
      </c>
      <c r="AT383" s="61">
        <v>44552</v>
      </c>
      <c r="AU383" s="60" t="s">
        <v>1423</v>
      </c>
      <c r="AV383" s="61">
        <v>44581</v>
      </c>
      <c r="AW383" s="91">
        <v>44592</v>
      </c>
      <c r="AX383" s="91">
        <v>44612</v>
      </c>
      <c r="AY383" s="107">
        <v>144000</v>
      </c>
      <c r="AZ383" s="107">
        <f>ROUNDDOWN(AY383+(AY383*MASTER!$A$2/100),0)</f>
        <v>158400</v>
      </c>
      <c r="BC383" s="64">
        <v>0</v>
      </c>
      <c r="BG383" s="64">
        <v>0</v>
      </c>
      <c r="BK383" s="64">
        <v>0</v>
      </c>
      <c r="BS383" s="64">
        <v>0</v>
      </c>
      <c r="BV383" s="65">
        <v>158400</v>
      </c>
      <c r="BW383" s="65">
        <v>0</v>
      </c>
      <c r="BX383" s="65">
        <v>44545</v>
      </c>
      <c r="BY383" s="65">
        <v>158400</v>
      </c>
      <c r="BZ383" s="81">
        <v>100</v>
      </c>
    </row>
    <row r="384" spans="1:89" x14ac:dyDescent="0.15">
      <c r="A384" s="60">
        <v>2</v>
      </c>
      <c r="B384" s="61">
        <v>44585</v>
      </c>
      <c r="C384" s="61">
        <v>44588</v>
      </c>
      <c r="D384" s="61">
        <v>44612</v>
      </c>
      <c r="E384" s="61">
        <v>44618</v>
      </c>
      <c r="F384" s="61">
        <v>44595</v>
      </c>
      <c r="G384" s="61">
        <v>44587</v>
      </c>
      <c r="H384" s="61">
        <v>44591</v>
      </c>
      <c r="I384" s="60" t="s">
        <v>612</v>
      </c>
      <c r="J384" s="60">
        <v>1</v>
      </c>
      <c r="L384" s="60">
        <v>0</v>
      </c>
      <c r="M384" s="61">
        <v>44545</v>
      </c>
      <c r="O384" s="62" t="s">
        <v>331</v>
      </c>
      <c r="P384" s="60" t="s">
        <v>26</v>
      </c>
      <c r="Q384" s="62" t="s">
        <v>125</v>
      </c>
      <c r="R384" s="62" t="s">
        <v>1472</v>
      </c>
      <c r="S384" s="63" t="s">
        <v>1021</v>
      </c>
      <c r="T384" s="63" t="s">
        <v>1473</v>
      </c>
      <c r="U384" s="64">
        <v>256500</v>
      </c>
      <c r="V384" s="64">
        <v>282150</v>
      </c>
      <c r="W384" s="64">
        <v>118000</v>
      </c>
      <c r="X384" s="64">
        <v>129800</v>
      </c>
      <c r="Y384" s="64">
        <v>138500</v>
      </c>
      <c r="Z384" s="64">
        <v>152350</v>
      </c>
      <c r="AA384" s="61">
        <v>44586</v>
      </c>
      <c r="AB384" s="61">
        <v>44588</v>
      </c>
      <c r="AC384" s="61">
        <v>44588</v>
      </c>
      <c r="AD384" s="60">
        <v>0</v>
      </c>
      <c r="AG384" s="60">
        <v>0</v>
      </c>
      <c r="AJ384" s="60">
        <v>0</v>
      </c>
      <c r="AM384" s="60" t="s">
        <v>273</v>
      </c>
      <c r="AN384" s="60" t="s">
        <v>1474</v>
      </c>
      <c r="AQ384" s="60" t="s">
        <v>1500</v>
      </c>
      <c r="AR384" s="61">
        <v>44557</v>
      </c>
      <c r="AS384" s="60">
        <v>6001975498</v>
      </c>
      <c r="AT384" s="61">
        <v>44558</v>
      </c>
      <c r="AU384" s="60" t="s">
        <v>1518</v>
      </c>
      <c r="AV384" s="61">
        <v>44588</v>
      </c>
      <c r="AW384" s="91">
        <v>44592</v>
      </c>
      <c r="AX384" s="91">
        <v>44612</v>
      </c>
      <c r="AY384" s="99">
        <v>246240</v>
      </c>
      <c r="AZ384" s="99">
        <f>ROUNDDOWN(AY384+(AY384*MASTER!$A$2/100),0)</f>
        <v>270864</v>
      </c>
      <c r="BA384" s="60" t="s">
        <v>317</v>
      </c>
      <c r="BB384" s="64">
        <v>35000</v>
      </c>
      <c r="BC384" s="64">
        <v>38500</v>
      </c>
      <c r="BD384" s="60" t="s">
        <v>1614</v>
      </c>
      <c r="BG384" s="64">
        <v>0</v>
      </c>
      <c r="BI384" s="60" t="s">
        <v>748</v>
      </c>
      <c r="BJ384" s="64">
        <v>90025</v>
      </c>
      <c r="BK384" s="64">
        <v>99027.5</v>
      </c>
      <c r="BL384" s="60" t="s">
        <v>1614</v>
      </c>
      <c r="BS384" s="64">
        <v>0</v>
      </c>
      <c r="BV384" s="65">
        <v>129800</v>
      </c>
      <c r="BW384" s="65">
        <v>137527.5</v>
      </c>
      <c r="BX384" s="65">
        <v>44545</v>
      </c>
      <c r="BY384" s="65">
        <v>-7727.5</v>
      </c>
      <c r="BZ384" s="81">
        <v>-5.953389830508474</v>
      </c>
    </row>
    <row r="385" spans="1:78" x14ac:dyDescent="0.15">
      <c r="A385" s="60">
        <v>2</v>
      </c>
      <c r="B385" s="61">
        <v>44585</v>
      </c>
      <c r="C385" s="61">
        <v>44585</v>
      </c>
      <c r="D385" s="61" t="s">
        <v>764</v>
      </c>
      <c r="E385" s="61">
        <v>44604</v>
      </c>
      <c r="F385" s="61">
        <v>44592</v>
      </c>
      <c r="G385" s="61">
        <v>44586</v>
      </c>
      <c r="H385" s="61">
        <v>44588</v>
      </c>
      <c r="I385" s="60" t="s">
        <v>612</v>
      </c>
      <c r="J385" s="60">
        <v>1</v>
      </c>
      <c r="L385" s="60">
        <v>0</v>
      </c>
      <c r="M385" s="61">
        <v>44545</v>
      </c>
      <c r="O385" s="62" t="s">
        <v>331</v>
      </c>
      <c r="P385" s="60" t="s">
        <v>26</v>
      </c>
      <c r="Q385" s="62" t="s">
        <v>125</v>
      </c>
      <c r="R385" s="62" t="s">
        <v>2079</v>
      </c>
      <c r="S385" s="63" t="s">
        <v>700</v>
      </c>
      <c r="T385" s="63" t="s">
        <v>2080</v>
      </c>
      <c r="U385" s="64">
        <v>23900</v>
      </c>
      <c r="V385" s="64">
        <v>26290</v>
      </c>
      <c r="W385" s="64">
        <v>14700</v>
      </c>
      <c r="X385" s="64">
        <v>16170</v>
      </c>
      <c r="Y385" s="64">
        <v>9200</v>
      </c>
      <c r="Z385" s="64">
        <v>10120</v>
      </c>
      <c r="AA385" s="61">
        <v>44584</v>
      </c>
      <c r="AB385" s="61">
        <v>44585</v>
      </c>
      <c r="AC385" s="61">
        <v>44585</v>
      </c>
      <c r="AD385" s="60">
        <v>0</v>
      </c>
      <c r="AG385" s="60">
        <v>0</v>
      </c>
      <c r="AJ385" s="60">
        <v>0</v>
      </c>
      <c r="AM385" s="60" t="s">
        <v>273</v>
      </c>
      <c r="AN385" s="60" t="s">
        <v>2081</v>
      </c>
      <c r="AQ385" s="60" t="s">
        <v>1454</v>
      </c>
      <c r="AR385" s="61">
        <v>44554</v>
      </c>
      <c r="AS385" s="60">
        <v>6001974755</v>
      </c>
      <c r="AT385" s="61">
        <v>44554</v>
      </c>
      <c r="AU385" s="60" t="s">
        <v>1459</v>
      </c>
      <c r="AV385" s="61">
        <v>44585</v>
      </c>
      <c r="AW385" s="91">
        <v>44592</v>
      </c>
      <c r="AX385" s="91">
        <v>44612</v>
      </c>
      <c r="AY385" s="99">
        <v>22944</v>
      </c>
      <c r="AZ385" s="99">
        <f>ROUNDDOWN(AY385+(AY385*MASTER!$A$2/100),0)</f>
        <v>25238</v>
      </c>
      <c r="BA385" s="60" t="s">
        <v>765</v>
      </c>
      <c r="BC385" s="64">
        <v>0</v>
      </c>
      <c r="BG385" s="64">
        <v>0</v>
      </c>
      <c r="BI385" s="60" t="s">
        <v>748</v>
      </c>
      <c r="BJ385" s="64">
        <v>5980</v>
      </c>
      <c r="BK385" s="64">
        <v>6578</v>
      </c>
      <c r="BL385" s="60" t="s">
        <v>1614</v>
      </c>
      <c r="BS385" s="64">
        <v>0</v>
      </c>
      <c r="BV385" s="65">
        <v>16170</v>
      </c>
      <c r="BW385" s="65">
        <v>6578</v>
      </c>
      <c r="BX385" s="65">
        <v>44545</v>
      </c>
      <c r="BY385" s="65">
        <v>9592</v>
      </c>
      <c r="BZ385" s="81">
        <v>59.319727891156461</v>
      </c>
    </row>
    <row r="386" spans="1:78" x14ac:dyDescent="0.15">
      <c r="A386" s="60">
        <v>2</v>
      </c>
      <c r="B386" s="61">
        <v>44585</v>
      </c>
      <c r="C386" s="61" t="s">
        <v>309</v>
      </c>
      <c r="F386" s="61">
        <v>44915</v>
      </c>
      <c r="H386" s="61">
        <v>44911</v>
      </c>
      <c r="I386" s="60" t="s">
        <v>1630</v>
      </c>
      <c r="J386" s="60">
        <v>2</v>
      </c>
      <c r="L386" s="60">
        <v>0</v>
      </c>
      <c r="M386" s="61">
        <v>44545</v>
      </c>
      <c r="O386" s="62" t="s">
        <v>331</v>
      </c>
      <c r="P386" s="60" t="s">
        <v>77</v>
      </c>
      <c r="Q386" s="62" t="s">
        <v>125</v>
      </c>
      <c r="R386" s="62" t="s">
        <v>1303</v>
      </c>
      <c r="S386" s="63" t="s">
        <v>949</v>
      </c>
      <c r="T386" s="63" t="s">
        <v>1231</v>
      </c>
      <c r="U386" s="64">
        <v>64000</v>
      </c>
      <c r="V386" s="64">
        <v>70400</v>
      </c>
      <c r="W386" s="64">
        <v>64000</v>
      </c>
      <c r="X386" s="64">
        <v>70400</v>
      </c>
      <c r="Z386" s="64">
        <v>0</v>
      </c>
      <c r="AA386" s="61">
        <v>44543</v>
      </c>
      <c r="AB386" s="61">
        <v>44543</v>
      </c>
      <c r="AC386" s="61">
        <v>44908</v>
      </c>
      <c r="AD386" s="60">
        <v>0</v>
      </c>
      <c r="AG386" s="60">
        <v>0</v>
      </c>
      <c r="AJ386" s="60">
        <v>0</v>
      </c>
      <c r="AN386" s="60" t="s">
        <v>309</v>
      </c>
      <c r="AQ386" s="60" t="s">
        <v>1803</v>
      </c>
      <c r="AR386" s="61">
        <v>44579</v>
      </c>
      <c r="AS386" s="60">
        <v>6001981790</v>
      </c>
      <c r="AT386" s="61">
        <v>44579</v>
      </c>
      <c r="AU386" s="60" t="s">
        <v>1814</v>
      </c>
      <c r="AV386" s="61">
        <v>44581</v>
      </c>
      <c r="AW386" s="91">
        <v>44592</v>
      </c>
      <c r="AX386" s="91">
        <v>44612</v>
      </c>
      <c r="AY386" s="107">
        <v>64000</v>
      </c>
      <c r="AZ386" s="107">
        <f>ROUNDDOWN(AY386+(AY386*MASTER!$A$2/100),0)</f>
        <v>70400</v>
      </c>
      <c r="BA386" s="60" t="s">
        <v>1463</v>
      </c>
      <c r="BB386" s="64">
        <v>82860</v>
      </c>
      <c r="BC386" s="64">
        <v>91146</v>
      </c>
      <c r="BD386" s="60" t="s">
        <v>1366</v>
      </c>
      <c r="BG386" s="64">
        <v>0</v>
      </c>
      <c r="BK386" s="64">
        <v>0</v>
      </c>
      <c r="BS386" s="64">
        <v>0</v>
      </c>
      <c r="BV386" s="65">
        <v>70400</v>
      </c>
      <c r="BW386" s="65">
        <v>91146</v>
      </c>
      <c r="BX386" s="65">
        <v>44545</v>
      </c>
      <c r="BY386" s="65">
        <v>-20746</v>
      </c>
      <c r="BZ386" s="81">
        <v>-29.46875</v>
      </c>
    </row>
    <row r="387" spans="1:78" x14ac:dyDescent="0.15">
      <c r="A387" s="60">
        <v>1</v>
      </c>
      <c r="B387" s="61">
        <v>44585</v>
      </c>
      <c r="C387" s="61" t="s">
        <v>309</v>
      </c>
      <c r="F387" s="61">
        <v>44911</v>
      </c>
      <c r="H387" s="61">
        <v>44907</v>
      </c>
      <c r="I387" s="60" t="s">
        <v>774</v>
      </c>
      <c r="J387" s="60">
        <v>2</v>
      </c>
      <c r="L387" s="60">
        <v>0</v>
      </c>
      <c r="M387" s="61">
        <v>44545</v>
      </c>
      <c r="O387" s="62" t="s">
        <v>331</v>
      </c>
      <c r="P387" s="60" t="s">
        <v>77</v>
      </c>
      <c r="Q387" s="62" t="s">
        <v>125</v>
      </c>
      <c r="R387" s="62" t="s">
        <v>1629</v>
      </c>
      <c r="S387" s="63" t="s">
        <v>487</v>
      </c>
      <c r="T387" s="63" t="s">
        <v>1231</v>
      </c>
      <c r="U387" s="64">
        <v>130000</v>
      </c>
      <c r="V387" s="64">
        <v>143000</v>
      </c>
      <c r="W387" s="64">
        <v>130000</v>
      </c>
      <c r="X387" s="64">
        <v>143000</v>
      </c>
      <c r="Z387" s="64">
        <v>0</v>
      </c>
      <c r="AA387" s="61">
        <v>44535</v>
      </c>
      <c r="AB387" s="61">
        <v>44539</v>
      </c>
      <c r="AC387" s="61">
        <v>44904</v>
      </c>
      <c r="AD387" s="60">
        <v>0</v>
      </c>
      <c r="AG387" s="60">
        <v>0</v>
      </c>
      <c r="AJ387" s="60">
        <v>0</v>
      </c>
      <c r="AN387" s="60" t="s">
        <v>309</v>
      </c>
      <c r="AQ387" s="60" t="s">
        <v>1803</v>
      </c>
      <c r="AR387" s="61">
        <v>44579</v>
      </c>
      <c r="AS387" s="60">
        <v>6001981790</v>
      </c>
      <c r="AT387" s="61">
        <v>44579</v>
      </c>
      <c r="AU387" s="60" t="s">
        <v>1814</v>
      </c>
      <c r="AV387" s="61">
        <v>44581</v>
      </c>
      <c r="AW387" s="91">
        <v>44592</v>
      </c>
      <c r="AX387" s="91">
        <v>44612</v>
      </c>
      <c r="AY387" s="107">
        <v>130000</v>
      </c>
      <c r="AZ387" s="107">
        <f>ROUNDDOWN(AY387+(AY387*MASTER!$A$2/100),0)</f>
        <v>143000</v>
      </c>
      <c r="BA387" s="60" t="s">
        <v>321</v>
      </c>
      <c r="BB387" s="64">
        <v>195420</v>
      </c>
      <c r="BC387" s="64">
        <v>214962</v>
      </c>
      <c r="BD387" s="60" t="s">
        <v>184</v>
      </c>
      <c r="BG387" s="64">
        <v>0</v>
      </c>
      <c r="BK387" s="64">
        <v>0</v>
      </c>
      <c r="BS387" s="64">
        <v>0</v>
      </c>
      <c r="BV387" s="65">
        <v>143000</v>
      </c>
      <c r="BW387" s="65">
        <v>214962</v>
      </c>
      <c r="BX387" s="65">
        <v>44545</v>
      </c>
      <c r="BY387" s="65">
        <v>-71962</v>
      </c>
      <c r="BZ387" s="81">
        <v>-50.323076923076925</v>
      </c>
    </row>
    <row r="388" spans="1:78" x14ac:dyDescent="0.15">
      <c r="A388" s="60">
        <v>2</v>
      </c>
      <c r="B388" s="61">
        <v>44568</v>
      </c>
      <c r="C388" s="61">
        <v>44589</v>
      </c>
      <c r="D388" s="61">
        <v>44606</v>
      </c>
      <c r="E388" s="61">
        <v>44581</v>
      </c>
      <c r="F388" s="61">
        <v>44579</v>
      </c>
      <c r="G388" s="61">
        <v>44572</v>
      </c>
      <c r="H388" s="61">
        <v>44575</v>
      </c>
      <c r="I388" s="60" t="s">
        <v>511</v>
      </c>
      <c r="J388" s="60">
        <v>2</v>
      </c>
      <c r="L388" s="60">
        <v>0</v>
      </c>
      <c r="M388" s="61">
        <v>44545</v>
      </c>
      <c r="O388" s="62" t="s">
        <v>331</v>
      </c>
      <c r="P388" s="60" t="s">
        <v>26</v>
      </c>
      <c r="Q388" s="62" t="s">
        <v>125</v>
      </c>
      <c r="R388" s="62" t="s">
        <v>1484</v>
      </c>
      <c r="S388" s="63" t="s">
        <v>1485</v>
      </c>
      <c r="T388" s="63" t="s">
        <v>1486</v>
      </c>
      <c r="U388" s="64">
        <v>62000</v>
      </c>
      <c r="V388" s="64">
        <v>68200</v>
      </c>
      <c r="W388" s="64">
        <v>62000</v>
      </c>
      <c r="X388" s="64">
        <v>68200</v>
      </c>
      <c r="Y388" s="64">
        <v>0</v>
      </c>
      <c r="Z388" s="64">
        <v>0</v>
      </c>
      <c r="AA388" s="61">
        <v>44571</v>
      </c>
      <c r="AB388" s="61">
        <v>44572</v>
      </c>
      <c r="AC388" s="61">
        <v>44572</v>
      </c>
      <c r="AD388" s="60">
        <v>0</v>
      </c>
      <c r="AG388" s="60">
        <v>0</v>
      </c>
      <c r="AJ388" s="60">
        <v>0</v>
      </c>
      <c r="AM388" s="60" t="s">
        <v>273</v>
      </c>
      <c r="AN388" s="60" t="s">
        <v>1487</v>
      </c>
      <c r="AQ388" s="60" t="s">
        <v>1488</v>
      </c>
      <c r="AR388" s="61">
        <v>44557</v>
      </c>
      <c r="AS388" s="60">
        <v>6001975498</v>
      </c>
      <c r="AT388" s="61">
        <v>44558</v>
      </c>
      <c r="AU388" s="60" t="s">
        <v>1518</v>
      </c>
      <c r="AV388" s="61">
        <v>44589</v>
      </c>
      <c r="AW388" s="91">
        <v>44592</v>
      </c>
      <c r="AX388" s="91">
        <v>44612</v>
      </c>
      <c r="AY388" s="99">
        <v>59520</v>
      </c>
      <c r="AZ388" s="141">
        <f>ROUNDDOWN(AY388+(AY388*MASTER!$A$2/100),0)</f>
        <v>65472</v>
      </c>
      <c r="BA388" s="60" t="s">
        <v>318</v>
      </c>
      <c r="BB388" s="64">
        <v>28000</v>
      </c>
      <c r="BC388" s="64">
        <v>30800</v>
      </c>
      <c r="BD388" s="60" t="s">
        <v>1614</v>
      </c>
      <c r="BG388" s="64">
        <v>0</v>
      </c>
      <c r="BK388" s="64">
        <v>0</v>
      </c>
      <c r="BS388" s="64">
        <v>0</v>
      </c>
      <c r="BV388" s="65">
        <v>68200</v>
      </c>
      <c r="BW388" s="65">
        <v>30800</v>
      </c>
      <c r="BX388" s="65">
        <v>44545</v>
      </c>
      <c r="BY388" s="65">
        <v>37400</v>
      </c>
      <c r="BZ388" s="81">
        <v>54.838709677419352</v>
      </c>
    </row>
    <row r="389" spans="1:78" x14ac:dyDescent="0.15">
      <c r="A389" s="60">
        <v>2</v>
      </c>
      <c r="B389" s="61">
        <v>44551</v>
      </c>
      <c r="C389" s="61">
        <v>44553</v>
      </c>
      <c r="D389" s="61">
        <v>44566</v>
      </c>
      <c r="F389" s="61">
        <v>44560</v>
      </c>
      <c r="H389" s="61">
        <v>44556</v>
      </c>
      <c r="I389" s="60" t="s">
        <v>774</v>
      </c>
      <c r="J389" s="60">
        <v>2</v>
      </c>
      <c r="L389" s="60">
        <v>0</v>
      </c>
      <c r="M389" s="61">
        <v>44546</v>
      </c>
      <c r="O389" s="62" t="s">
        <v>331</v>
      </c>
      <c r="P389" s="60" t="s">
        <v>77</v>
      </c>
      <c r="Q389" s="62" t="s">
        <v>125</v>
      </c>
      <c r="R389" s="62" t="s">
        <v>1306</v>
      </c>
      <c r="S389" s="63" t="s">
        <v>889</v>
      </c>
      <c r="T389" s="63" t="s">
        <v>1283</v>
      </c>
      <c r="U389" s="64">
        <v>60000</v>
      </c>
      <c r="V389" s="64">
        <v>66000</v>
      </c>
      <c r="W389" s="64">
        <v>60000</v>
      </c>
      <c r="X389" s="64">
        <v>66000</v>
      </c>
      <c r="Z389" s="64">
        <v>0</v>
      </c>
      <c r="AA389" s="61">
        <v>44551</v>
      </c>
      <c r="AB389" s="61">
        <v>44553</v>
      </c>
      <c r="AC389" s="61">
        <v>44553</v>
      </c>
      <c r="AD389" s="60">
        <v>0</v>
      </c>
      <c r="AG389" s="60">
        <v>0</v>
      </c>
      <c r="AJ389" s="60">
        <v>0</v>
      </c>
      <c r="AM389" s="60" t="s">
        <v>1284</v>
      </c>
      <c r="AN389" s="60" t="s">
        <v>1307</v>
      </c>
      <c r="AQ389" s="60" t="s">
        <v>1359</v>
      </c>
      <c r="AR389" s="61">
        <v>44547</v>
      </c>
      <c r="AS389" s="60">
        <v>6001971916</v>
      </c>
      <c r="AT389" s="61">
        <v>44547</v>
      </c>
      <c r="AU389" s="60" t="s">
        <v>1362</v>
      </c>
      <c r="AV389" s="61">
        <v>44553</v>
      </c>
      <c r="AW389" s="91">
        <v>44561</v>
      </c>
      <c r="AX389" s="91">
        <v>44581</v>
      </c>
      <c r="AY389" s="99">
        <v>57600</v>
      </c>
      <c r="AZ389" s="141">
        <f>ROUNDDOWN(AY389+(AY389*MASTER!$A$2/100),0)</f>
        <v>63360</v>
      </c>
      <c r="BA389" s="60" t="s">
        <v>321</v>
      </c>
      <c r="BB389" s="64">
        <v>75180</v>
      </c>
      <c r="BC389" s="64">
        <v>82698</v>
      </c>
      <c r="BD389" s="60" t="s">
        <v>184</v>
      </c>
      <c r="BG389" s="64">
        <v>0</v>
      </c>
      <c r="BK389" s="64">
        <v>0</v>
      </c>
      <c r="BS389" s="64">
        <v>0</v>
      </c>
      <c r="BV389" s="65">
        <v>66000</v>
      </c>
      <c r="BW389" s="65">
        <v>82698</v>
      </c>
      <c r="BX389" s="65">
        <v>44546</v>
      </c>
      <c r="BY389" s="65">
        <v>-16698</v>
      </c>
      <c r="BZ389" s="81">
        <v>-25.3</v>
      </c>
    </row>
    <row r="390" spans="1:78" x14ac:dyDescent="0.15">
      <c r="A390" s="60">
        <v>1</v>
      </c>
      <c r="B390" s="61">
        <v>44585</v>
      </c>
      <c r="C390" s="61">
        <v>44582</v>
      </c>
      <c r="F390" s="61" t="s">
        <v>309</v>
      </c>
      <c r="H390" s="61" t="s">
        <v>309</v>
      </c>
      <c r="J390" s="60">
        <v>2</v>
      </c>
      <c r="L390" s="60">
        <v>0</v>
      </c>
      <c r="M390" s="61">
        <v>44547</v>
      </c>
      <c r="O390" s="62" t="s">
        <v>331</v>
      </c>
      <c r="P390" s="60" t="s">
        <v>263</v>
      </c>
      <c r="Q390" s="62" t="s">
        <v>125</v>
      </c>
      <c r="R390" s="62" t="s">
        <v>1427</v>
      </c>
      <c r="S390" s="63" t="s">
        <v>326</v>
      </c>
      <c r="T390" s="63" t="s">
        <v>1428</v>
      </c>
      <c r="U390" s="64">
        <v>458800</v>
      </c>
      <c r="V390" s="64">
        <v>504680</v>
      </c>
      <c r="W390" s="64">
        <v>458800</v>
      </c>
      <c r="X390" s="64">
        <v>504680</v>
      </c>
      <c r="Z390" s="64">
        <v>0</v>
      </c>
      <c r="AD390" s="60">
        <v>0</v>
      </c>
      <c r="AG390" s="60">
        <v>0</v>
      </c>
      <c r="AJ390" s="60">
        <v>0</v>
      </c>
      <c r="AN390" s="60" t="s">
        <v>309</v>
      </c>
      <c r="AQ390" s="60" t="s">
        <v>1421</v>
      </c>
      <c r="AR390" s="61">
        <v>44552</v>
      </c>
      <c r="AS390" s="60">
        <v>6001974051</v>
      </c>
      <c r="AT390" s="61">
        <v>44552</v>
      </c>
      <c r="AU390" s="60" t="s">
        <v>1429</v>
      </c>
      <c r="AV390" s="61">
        <v>44582</v>
      </c>
      <c r="AW390" s="91">
        <v>44592</v>
      </c>
      <c r="AX390" s="91">
        <v>44612</v>
      </c>
      <c r="AY390" s="107">
        <v>458800</v>
      </c>
      <c r="AZ390" s="107">
        <f>ROUNDDOWN(AY390+(AY390*MASTER!$A$2/100),0)</f>
        <v>504680</v>
      </c>
      <c r="BC390" s="64">
        <v>0</v>
      </c>
      <c r="BG390" s="64">
        <v>0</v>
      </c>
      <c r="BK390" s="64">
        <v>0</v>
      </c>
      <c r="BS390" s="64">
        <v>0</v>
      </c>
      <c r="BV390" s="65">
        <v>504680</v>
      </c>
      <c r="BW390" s="65">
        <v>0</v>
      </c>
      <c r="BX390" s="65">
        <v>44547</v>
      </c>
      <c r="BY390" s="65">
        <v>504680</v>
      </c>
      <c r="BZ390" s="81">
        <v>100</v>
      </c>
    </row>
    <row r="391" spans="1:78" x14ac:dyDescent="0.15">
      <c r="A391" s="60">
        <v>2</v>
      </c>
      <c r="B391" s="61">
        <v>44566</v>
      </c>
      <c r="C391" s="61">
        <v>44568</v>
      </c>
      <c r="D391" s="61">
        <v>44554</v>
      </c>
      <c r="E391" s="61">
        <v>44554</v>
      </c>
      <c r="F391" s="61" t="s">
        <v>309</v>
      </c>
      <c r="G391" s="61">
        <v>44554</v>
      </c>
      <c r="H391" s="61" t="s">
        <v>309</v>
      </c>
      <c r="I391" s="60" t="s">
        <v>766</v>
      </c>
      <c r="J391" s="60">
        <v>2</v>
      </c>
      <c r="L391" s="60">
        <v>0</v>
      </c>
      <c r="M391" s="61">
        <v>44547</v>
      </c>
      <c r="O391" s="62" t="s">
        <v>331</v>
      </c>
      <c r="P391" s="60" t="s">
        <v>6</v>
      </c>
      <c r="Q391" s="62" t="s">
        <v>125</v>
      </c>
      <c r="R391" s="62" t="s">
        <v>1457</v>
      </c>
      <c r="S391" s="63" t="s">
        <v>1458</v>
      </c>
      <c r="T391" s="63" t="s">
        <v>364</v>
      </c>
      <c r="U391" s="64">
        <v>51000</v>
      </c>
      <c r="V391" s="64">
        <v>56100</v>
      </c>
      <c r="W391" s="64">
        <v>51000</v>
      </c>
      <c r="X391" s="64">
        <v>56100</v>
      </c>
      <c r="Y391" s="64">
        <v>0</v>
      </c>
      <c r="Z391" s="64">
        <v>0</v>
      </c>
      <c r="AA391" s="61">
        <v>44554</v>
      </c>
      <c r="AB391" s="61">
        <v>44554</v>
      </c>
      <c r="AD391" s="60">
        <v>0</v>
      </c>
      <c r="AG391" s="60">
        <v>0</v>
      </c>
      <c r="AJ391" s="60">
        <v>0</v>
      </c>
      <c r="AN391" s="60" t="s">
        <v>309</v>
      </c>
      <c r="AQ391" s="60" t="s">
        <v>1439</v>
      </c>
      <c r="AR391" s="61">
        <v>44553</v>
      </c>
      <c r="AS391" s="60">
        <v>6001974568</v>
      </c>
      <c r="AT391" s="61">
        <v>44553</v>
      </c>
      <c r="AU391" s="60" t="s">
        <v>1445</v>
      </c>
      <c r="AV391" s="61">
        <v>44568</v>
      </c>
      <c r="AW391" s="91">
        <v>44592</v>
      </c>
      <c r="AX391" s="91">
        <v>44612</v>
      </c>
      <c r="AY391" s="99">
        <v>48960</v>
      </c>
      <c r="AZ391" s="99">
        <f>ROUNDDOWN(AY391+(AY391*MASTER!$A$2/100),0)</f>
        <v>53856</v>
      </c>
      <c r="BA391" s="60" t="s">
        <v>317</v>
      </c>
      <c r="BB391" s="64">
        <v>25000</v>
      </c>
      <c r="BC391" s="64">
        <v>27500</v>
      </c>
      <c r="BD391" s="60" t="s">
        <v>184</v>
      </c>
      <c r="BG391" s="64">
        <v>0</v>
      </c>
      <c r="BK391" s="64">
        <v>0</v>
      </c>
      <c r="BS391" s="64">
        <v>0</v>
      </c>
      <c r="BV391" s="65">
        <v>56100</v>
      </c>
      <c r="BW391" s="65">
        <v>27500</v>
      </c>
      <c r="BX391" s="65">
        <v>44547</v>
      </c>
      <c r="BY391" s="65">
        <v>28600</v>
      </c>
      <c r="BZ391" s="81">
        <v>50.980392156862742</v>
      </c>
    </row>
    <row r="392" spans="1:78" x14ac:dyDescent="0.15">
      <c r="A392" s="60">
        <v>1</v>
      </c>
      <c r="B392" s="61">
        <v>44551</v>
      </c>
      <c r="C392" s="61">
        <v>44552</v>
      </c>
      <c r="F392" s="61" t="s">
        <v>309</v>
      </c>
      <c r="H392" s="61" t="s">
        <v>309</v>
      </c>
      <c r="J392" s="60">
        <v>2</v>
      </c>
      <c r="L392" s="60">
        <v>0</v>
      </c>
      <c r="M392" s="61">
        <v>44547</v>
      </c>
      <c r="O392" s="62" t="s">
        <v>331</v>
      </c>
      <c r="P392" s="60" t="s">
        <v>26</v>
      </c>
      <c r="Q392" s="62" t="s">
        <v>125</v>
      </c>
      <c r="R392" s="62" t="s">
        <v>1418</v>
      </c>
      <c r="S392" s="63" t="s">
        <v>354</v>
      </c>
      <c r="T392" s="63" t="s">
        <v>1419</v>
      </c>
      <c r="U392" s="64">
        <v>800000</v>
      </c>
      <c r="V392" s="64">
        <v>880000</v>
      </c>
      <c r="W392" s="64">
        <v>800000</v>
      </c>
      <c r="X392" s="64">
        <v>880000</v>
      </c>
      <c r="Y392" s="64">
        <v>0</v>
      </c>
      <c r="Z392" s="64">
        <v>0</v>
      </c>
      <c r="AA392" s="61">
        <v>44531</v>
      </c>
      <c r="AB392" s="61">
        <v>44552</v>
      </c>
      <c r="AD392" s="60">
        <v>0</v>
      </c>
      <c r="AG392" s="60">
        <v>0</v>
      </c>
      <c r="AJ392" s="60">
        <v>0</v>
      </c>
      <c r="AN392" s="60" t="s">
        <v>309</v>
      </c>
      <c r="AQ392" s="60" t="s">
        <v>1370</v>
      </c>
      <c r="AR392" s="61">
        <v>44547</v>
      </c>
      <c r="AS392" s="60">
        <v>6001972237</v>
      </c>
      <c r="AT392" s="61">
        <v>44550</v>
      </c>
      <c r="AU392" s="60" t="s">
        <v>1371</v>
      </c>
      <c r="AV392" s="61">
        <v>44552</v>
      </c>
      <c r="AW392" s="91">
        <v>44561</v>
      </c>
      <c r="AX392" s="91">
        <v>44581</v>
      </c>
      <c r="AY392" s="107">
        <v>800000</v>
      </c>
      <c r="AZ392" s="107">
        <f>ROUNDDOWN(AY392+(AY392*MASTER!$A$2/100),0)</f>
        <v>880000</v>
      </c>
      <c r="BC392" s="64">
        <v>0</v>
      </c>
      <c r="BG392" s="64">
        <v>0</v>
      </c>
      <c r="BK392" s="64">
        <v>0</v>
      </c>
      <c r="BS392" s="64">
        <v>0</v>
      </c>
      <c r="BV392" s="65">
        <v>880000</v>
      </c>
      <c r="BW392" s="65">
        <v>0</v>
      </c>
      <c r="BX392" s="65">
        <v>44547</v>
      </c>
      <c r="BY392" s="65">
        <v>880000</v>
      </c>
      <c r="BZ392" s="81">
        <v>100</v>
      </c>
    </row>
    <row r="393" spans="1:78" x14ac:dyDescent="0.15">
      <c r="A393" s="60">
        <v>1</v>
      </c>
      <c r="B393" s="61">
        <v>44553</v>
      </c>
      <c r="C393" s="61">
        <v>44554</v>
      </c>
      <c r="F393" s="61" t="s">
        <v>309</v>
      </c>
      <c r="H393" s="61" t="s">
        <v>309</v>
      </c>
      <c r="J393" s="60">
        <v>2</v>
      </c>
      <c r="L393" s="60">
        <v>0</v>
      </c>
      <c r="M393" s="61">
        <v>44547</v>
      </c>
      <c r="O393" s="62" t="s">
        <v>331</v>
      </c>
      <c r="P393" s="60" t="s">
        <v>26</v>
      </c>
      <c r="Q393" s="62" t="s">
        <v>125</v>
      </c>
      <c r="R393" s="62" t="s">
        <v>1414</v>
      </c>
      <c r="S393" s="63" t="s">
        <v>326</v>
      </c>
      <c r="T393" s="63" t="s">
        <v>1415</v>
      </c>
      <c r="U393" s="64">
        <v>1041000</v>
      </c>
      <c r="V393" s="64">
        <v>1145100</v>
      </c>
      <c r="W393" s="64">
        <v>1041000</v>
      </c>
      <c r="X393" s="64">
        <v>1145100</v>
      </c>
      <c r="Y393" s="64">
        <v>0</v>
      </c>
      <c r="Z393" s="64">
        <v>0</v>
      </c>
      <c r="AD393" s="60">
        <v>0</v>
      </c>
      <c r="AG393" s="60">
        <v>0</v>
      </c>
      <c r="AJ393" s="60">
        <v>0</v>
      </c>
      <c r="AN393" s="60" t="s">
        <v>309</v>
      </c>
      <c r="AQ393" s="60" t="s">
        <v>752</v>
      </c>
      <c r="AR393" s="61">
        <v>44551</v>
      </c>
      <c r="AS393" s="60">
        <v>6001973806</v>
      </c>
      <c r="AT393" s="61">
        <v>44552</v>
      </c>
      <c r="AU393" s="60" t="s">
        <v>1422</v>
      </c>
      <c r="AV393" s="61">
        <v>44554</v>
      </c>
      <c r="AW393" s="91">
        <v>44561</v>
      </c>
      <c r="AX393" s="91">
        <v>44581</v>
      </c>
      <c r="AY393" s="107">
        <v>1041000</v>
      </c>
      <c r="AZ393" s="107">
        <f>ROUNDDOWN(AY393+(AY393*MASTER!$A$2/100),0)</f>
        <v>1145100</v>
      </c>
      <c r="BC393" s="64">
        <v>0</v>
      </c>
      <c r="BG393" s="64">
        <v>0</v>
      </c>
      <c r="BK393" s="64">
        <v>0</v>
      </c>
      <c r="BS393" s="64">
        <v>0</v>
      </c>
      <c r="BV393" s="65">
        <v>1145100</v>
      </c>
      <c r="BW393" s="65">
        <v>0</v>
      </c>
      <c r="BX393" s="65">
        <v>44547</v>
      </c>
      <c r="BY393" s="65">
        <v>1145100</v>
      </c>
      <c r="BZ393" s="81">
        <v>100</v>
      </c>
    </row>
    <row r="394" spans="1:78" x14ac:dyDescent="0.15">
      <c r="A394" s="60">
        <v>2</v>
      </c>
      <c r="B394" s="61">
        <v>44566</v>
      </c>
      <c r="C394" s="61">
        <v>44568</v>
      </c>
      <c r="D394" s="61">
        <v>44565</v>
      </c>
      <c r="E394" s="61">
        <v>44565</v>
      </c>
      <c r="F394" s="61" t="s">
        <v>309</v>
      </c>
      <c r="G394" s="61">
        <v>44565</v>
      </c>
      <c r="H394" s="61" t="s">
        <v>309</v>
      </c>
      <c r="I394" s="60" t="s">
        <v>766</v>
      </c>
      <c r="J394" s="60">
        <v>2</v>
      </c>
      <c r="L394" s="60">
        <v>0</v>
      </c>
      <c r="M394" s="61">
        <v>44550</v>
      </c>
      <c r="O394" s="62" t="s">
        <v>331</v>
      </c>
      <c r="P394" s="60" t="s">
        <v>6</v>
      </c>
      <c r="Q394" s="62" t="s">
        <v>125</v>
      </c>
      <c r="R394" s="62" t="s">
        <v>1520</v>
      </c>
      <c r="S394" s="63" t="s">
        <v>617</v>
      </c>
      <c r="T394" s="63" t="s">
        <v>364</v>
      </c>
      <c r="U394" s="64">
        <v>35000</v>
      </c>
      <c r="V394" s="64">
        <v>38500</v>
      </c>
      <c r="W394" s="64">
        <v>35000</v>
      </c>
      <c r="X394" s="64">
        <v>38500</v>
      </c>
      <c r="Z394" s="64">
        <v>0</v>
      </c>
      <c r="AA394" s="61">
        <v>44549</v>
      </c>
      <c r="AB394" s="61">
        <v>44549</v>
      </c>
      <c r="AD394" s="60">
        <v>0</v>
      </c>
      <c r="AG394" s="60">
        <v>0</v>
      </c>
      <c r="AJ394" s="60">
        <v>0</v>
      </c>
      <c r="AN394" s="60" t="s">
        <v>309</v>
      </c>
      <c r="AQ394" s="60" t="s">
        <v>1440</v>
      </c>
      <c r="AR394" s="61">
        <v>44553</v>
      </c>
      <c r="AS394" s="60">
        <v>6001974568</v>
      </c>
      <c r="AT394" s="61">
        <v>44553</v>
      </c>
      <c r="AU394" s="60" t="s">
        <v>1445</v>
      </c>
      <c r="AV394" s="61">
        <v>44568</v>
      </c>
      <c r="AW394" s="91">
        <v>44592</v>
      </c>
      <c r="AX394" s="91">
        <v>44612</v>
      </c>
      <c r="AY394" s="99">
        <v>33600</v>
      </c>
      <c r="AZ394" s="99">
        <f>ROUNDDOWN(AY394+(AY394*MASTER!$A$2/100),0)</f>
        <v>36960</v>
      </c>
      <c r="BA394" s="60" t="s">
        <v>613</v>
      </c>
      <c r="BB394" s="64">
        <v>26000</v>
      </c>
      <c r="BC394" s="64">
        <v>28600</v>
      </c>
      <c r="BD394" s="60" t="s">
        <v>184</v>
      </c>
      <c r="BG394" s="64">
        <v>0</v>
      </c>
      <c r="BK394" s="64">
        <v>0</v>
      </c>
      <c r="BS394" s="64">
        <v>0</v>
      </c>
      <c r="BV394" s="65">
        <v>38500</v>
      </c>
      <c r="BW394" s="65">
        <v>28600</v>
      </c>
      <c r="BX394" s="65">
        <v>44550</v>
      </c>
      <c r="BY394" s="65">
        <v>9900</v>
      </c>
      <c r="BZ394" s="81">
        <v>25.714285714285712</v>
      </c>
    </row>
    <row r="395" spans="1:78" x14ac:dyDescent="0.15">
      <c r="A395" s="60">
        <v>2</v>
      </c>
      <c r="B395" s="61">
        <v>44568</v>
      </c>
      <c r="C395" s="61">
        <v>44572</v>
      </c>
      <c r="D395" s="61">
        <v>44558</v>
      </c>
      <c r="E395" s="61">
        <v>44558</v>
      </c>
      <c r="F395" s="61" t="s">
        <v>309</v>
      </c>
      <c r="G395" s="61">
        <v>44558</v>
      </c>
      <c r="H395" s="61" t="s">
        <v>309</v>
      </c>
      <c r="I395" s="60" t="s">
        <v>494</v>
      </c>
      <c r="J395" s="60">
        <v>2</v>
      </c>
      <c r="L395" s="60">
        <v>0</v>
      </c>
      <c r="M395" s="61">
        <v>44551</v>
      </c>
      <c r="O395" s="62" t="s">
        <v>331</v>
      </c>
      <c r="P395" s="60" t="s">
        <v>6</v>
      </c>
      <c r="Q395" s="62" t="s">
        <v>125</v>
      </c>
      <c r="R395" s="62" t="s">
        <v>1513</v>
      </c>
      <c r="S395" s="63" t="s">
        <v>1514</v>
      </c>
      <c r="T395" s="63" t="s">
        <v>364</v>
      </c>
      <c r="U395" s="64">
        <v>35000</v>
      </c>
      <c r="V395" s="64">
        <v>38500</v>
      </c>
      <c r="W395" s="64">
        <v>35000</v>
      </c>
      <c r="X395" s="64">
        <v>38500</v>
      </c>
      <c r="Z395" s="64">
        <v>0</v>
      </c>
      <c r="AA395" s="61">
        <v>44557</v>
      </c>
      <c r="AB395" s="61">
        <v>44557</v>
      </c>
      <c r="AD395" s="60">
        <v>0</v>
      </c>
      <c r="AG395" s="60">
        <v>0</v>
      </c>
      <c r="AJ395" s="60">
        <v>0</v>
      </c>
      <c r="AN395" s="60" t="s">
        <v>309</v>
      </c>
      <c r="AQ395" s="60" t="s">
        <v>1638</v>
      </c>
      <c r="AR395" s="61">
        <v>44567</v>
      </c>
      <c r="AS395" s="60">
        <v>6001976740</v>
      </c>
      <c r="AT395" s="61">
        <v>44567</v>
      </c>
      <c r="AU395" s="60" t="s">
        <v>1645</v>
      </c>
      <c r="AV395" s="61">
        <v>44572</v>
      </c>
      <c r="AW395" s="91">
        <v>44592</v>
      </c>
      <c r="AX395" s="91">
        <v>44612</v>
      </c>
      <c r="AY395" s="99">
        <v>33600</v>
      </c>
      <c r="AZ395" s="99">
        <f>ROUNDDOWN(AY395+(AY395*MASTER!$A$2/100),0)</f>
        <v>36960</v>
      </c>
      <c r="BA395" s="60" t="s">
        <v>492</v>
      </c>
      <c r="BB395" s="64">
        <v>26000</v>
      </c>
      <c r="BC395" s="64">
        <v>28600</v>
      </c>
      <c r="BD395" s="60" t="s">
        <v>1469</v>
      </c>
      <c r="BG395" s="64">
        <v>0</v>
      </c>
      <c r="BK395" s="64">
        <v>0</v>
      </c>
      <c r="BS395" s="64">
        <v>0</v>
      </c>
      <c r="BV395" s="65">
        <v>38500</v>
      </c>
      <c r="BW395" s="65">
        <v>28600</v>
      </c>
      <c r="BX395" s="65">
        <v>44551</v>
      </c>
      <c r="BY395" s="65">
        <v>9900</v>
      </c>
      <c r="BZ395" s="81">
        <v>25.714285714285712</v>
      </c>
    </row>
    <row r="396" spans="1:78" x14ac:dyDescent="0.15">
      <c r="A396" s="60">
        <v>2</v>
      </c>
      <c r="B396" s="61">
        <v>44585</v>
      </c>
      <c r="C396" s="61">
        <v>44585</v>
      </c>
      <c r="D396" s="61" t="s">
        <v>764</v>
      </c>
      <c r="E396" s="61">
        <v>44604</v>
      </c>
      <c r="F396" s="61">
        <v>44592</v>
      </c>
      <c r="G396" s="61">
        <v>44586</v>
      </c>
      <c r="H396" s="61">
        <v>44588</v>
      </c>
      <c r="I396" s="60" t="s">
        <v>612</v>
      </c>
      <c r="J396" s="60">
        <v>1</v>
      </c>
      <c r="L396" s="60">
        <v>0</v>
      </c>
      <c r="M396" s="61">
        <v>44551</v>
      </c>
      <c r="O396" s="62" t="s">
        <v>331</v>
      </c>
      <c r="P396" s="60" t="s">
        <v>26</v>
      </c>
      <c r="Q396" s="62" t="s">
        <v>125</v>
      </c>
      <c r="R396" s="62" t="s">
        <v>2082</v>
      </c>
      <c r="S396" s="63" t="s">
        <v>1916</v>
      </c>
      <c r="T396" s="63" t="s">
        <v>502</v>
      </c>
      <c r="U396" s="64">
        <v>23900</v>
      </c>
      <c r="V396" s="64">
        <v>26290</v>
      </c>
      <c r="W396" s="64">
        <v>14700</v>
      </c>
      <c r="X396" s="64">
        <v>16170</v>
      </c>
      <c r="Y396" s="64">
        <v>9200</v>
      </c>
      <c r="Z396" s="64">
        <v>10120</v>
      </c>
      <c r="AA396" s="61">
        <v>44584</v>
      </c>
      <c r="AB396" s="61">
        <v>44585</v>
      </c>
      <c r="AC396" s="61">
        <v>44585</v>
      </c>
      <c r="AD396" s="60">
        <v>0</v>
      </c>
      <c r="AG396" s="60">
        <v>0</v>
      </c>
      <c r="AJ396" s="60">
        <v>0</v>
      </c>
      <c r="AM396" s="60" t="s">
        <v>273</v>
      </c>
      <c r="AN396" s="60" t="s">
        <v>2083</v>
      </c>
      <c r="AQ396" s="60" t="s">
        <v>1635</v>
      </c>
      <c r="AR396" s="61">
        <v>44567</v>
      </c>
      <c r="AS396" s="60">
        <v>6001976740</v>
      </c>
      <c r="AT396" s="61">
        <v>44567</v>
      </c>
      <c r="AU396" s="60" t="s">
        <v>1645</v>
      </c>
      <c r="AV396" s="61">
        <v>44585</v>
      </c>
      <c r="AW396" s="91">
        <v>44592</v>
      </c>
      <c r="AX396" s="91">
        <v>44612</v>
      </c>
      <c r="AY396" s="99">
        <v>22944</v>
      </c>
      <c r="AZ396" s="99">
        <f>ROUNDDOWN(AY396+(AY396*MASTER!$A$2/100),0)</f>
        <v>25238</v>
      </c>
      <c r="BA396" s="60" t="s">
        <v>765</v>
      </c>
      <c r="BC396" s="64">
        <v>0</v>
      </c>
      <c r="BG396" s="64">
        <v>0</v>
      </c>
      <c r="BI396" s="60" t="s">
        <v>748</v>
      </c>
      <c r="BJ396" s="64">
        <v>5980</v>
      </c>
      <c r="BK396" s="64">
        <v>6578</v>
      </c>
      <c r="BL396" s="60" t="s">
        <v>1614</v>
      </c>
      <c r="BS396" s="64">
        <v>0</v>
      </c>
      <c r="BV396" s="65">
        <v>16170</v>
      </c>
      <c r="BW396" s="65">
        <v>6578</v>
      </c>
      <c r="BX396" s="65">
        <v>44551</v>
      </c>
      <c r="BY396" s="65">
        <v>9592</v>
      </c>
      <c r="BZ396" s="81">
        <v>59.319727891156461</v>
      </c>
    </row>
    <row r="397" spans="1:78" x14ac:dyDescent="0.15">
      <c r="A397" s="60">
        <v>2</v>
      </c>
      <c r="B397" s="61">
        <v>44596</v>
      </c>
      <c r="C397" s="61">
        <v>44602</v>
      </c>
      <c r="D397" s="61">
        <v>44633</v>
      </c>
      <c r="E397" s="61">
        <v>44618</v>
      </c>
      <c r="F397" s="61">
        <v>44609</v>
      </c>
      <c r="G397" s="61">
        <v>44607</v>
      </c>
      <c r="H397" s="61">
        <v>44605</v>
      </c>
      <c r="I397" s="60" t="s">
        <v>511</v>
      </c>
      <c r="J397" s="60">
        <v>1</v>
      </c>
      <c r="L397" s="60">
        <v>0</v>
      </c>
      <c r="M397" s="61">
        <v>44551</v>
      </c>
      <c r="O397" s="62" t="s">
        <v>331</v>
      </c>
      <c r="P397" s="60" t="s">
        <v>26</v>
      </c>
      <c r="Q397" s="62" t="s">
        <v>125</v>
      </c>
      <c r="R397" s="62" t="s">
        <v>1832</v>
      </c>
      <c r="S397" s="63" t="s">
        <v>426</v>
      </c>
      <c r="T397" s="63" t="s">
        <v>1833</v>
      </c>
      <c r="U397" s="64">
        <v>59000</v>
      </c>
      <c r="V397" s="64">
        <v>64900</v>
      </c>
      <c r="W397" s="64">
        <v>47000</v>
      </c>
      <c r="X397" s="64">
        <v>51700</v>
      </c>
      <c r="Y397" s="64">
        <v>12000</v>
      </c>
      <c r="Z397" s="64">
        <v>13200</v>
      </c>
      <c r="AA397" s="61">
        <v>44600</v>
      </c>
      <c r="AB397" s="61">
        <v>44602</v>
      </c>
      <c r="AC397" s="61">
        <v>44602</v>
      </c>
      <c r="AD397" s="60">
        <v>0</v>
      </c>
      <c r="AG397" s="60">
        <v>0</v>
      </c>
      <c r="AJ397" s="60">
        <v>0</v>
      </c>
      <c r="AM397" s="60" t="s">
        <v>273</v>
      </c>
      <c r="AN397" s="60" t="s">
        <v>1834</v>
      </c>
      <c r="AQ397" s="60" t="s">
        <v>2170</v>
      </c>
      <c r="AR397" s="61">
        <v>44581</v>
      </c>
      <c r="AS397" s="60">
        <v>6001982753</v>
      </c>
      <c r="AT397" s="61">
        <v>44581</v>
      </c>
      <c r="AU397" s="60" t="s">
        <v>1861</v>
      </c>
      <c r="AV397" s="61">
        <v>44602</v>
      </c>
      <c r="AW397" s="91">
        <v>44620</v>
      </c>
      <c r="AX397" s="91">
        <v>44640</v>
      </c>
      <c r="AY397" s="99">
        <v>56640</v>
      </c>
      <c r="AZ397" s="99">
        <f>ROUNDDOWN(AY397+(AY397*MASTER!$A$2/100),0)</f>
        <v>62304</v>
      </c>
      <c r="BA397" s="60" t="s">
        <v>314</v>
      </c>
      <c r="BB397" s="64">
        <v>22000</v>
      </c>
      <c r="BC397" s="64">
        <v>24200</v>
      </c>
      <c r="BD397" s="60" t="s">
        <v>2044</v>
      </c>
      <c r="BG397" s="64">
        <v>0</v>
      </c>
      <c r="BI397" s="60" t="s">
        <v>748</v>
      </c>
      <c r="BJ397" s="64">
        <v>7800</v>
      </c>
      <c r="BK397" s="64">
        <v>8580</v>
      </c>
      <c r="BL397" s="60" t="s">
        <v>2044</v>
      </c>
      <c r="BS397" s="64">
        <v>0</v>
      </c>
      <c r="BV397" s="65">
        <v>51700</v>
      </c>
      <c r="BW397" s="65">
        <v>32780</v>
      </c>
      <c r="BX397" s="65">
        <v>44551</v>
      </c>
      <c r="BY397" s="65">
        <v>18920</v>
      </c>
      <c r="BZ397" s="81">
        <v>36.595744680851062</v>
      </c>
    </row>
    <row r="398" spans="1:78" x14ac:dyDescent="0.15">
      <c r="A398" s="60">
        <v>2</v>
      </c>
      <c r="B398" s="61">
        <v>44602</v>
      </c>
      <c r="C398" s="61">
        <v>44609</v>
      </c>
      <c r="D398" s="61">
        <v>44633</v>
      </c>
      <c r="E398" s="61">
        <v>44618</v>
      </c>
      <c r="F398" s="61">
        <v>44616</v>
      </c>
      <c r="G398" s="61">
        <v>44613</v>
      </c>
      <c r="H398" s="61">
        <v>44612</v>
      </c>
      <c r="I398" s="60" t="s">
        <v>511</v>
      </c>
      <c r="J398" s="60">
        <v>1</v>
      </c>
      <c r="L398" s="60">
        <v>0</v>
      </c>
      <c r="M398" s="61">
        <v>44552</v>
      </c>
      <c r="O398" s="62" t="s">
        <v>331</v>
      </c>
      <c r="P398" s="60" t="s">
        <v>26</v>
      </c>
      <c r="Q398" s="62" t="s">
        <v>125</v>
      </c>
      <c r="R398" s="62" t="s">
        <v>2019</v>
      </c>
      <c r="S398" s="63" t="s">
        <v>1526</v>
      </c>
      <c r="T398" s="63" t="s">
        <v>2020</v>
      </c>
      <c r="U398" s="64">
        <v>536870</v>
      </c>
      <c r="V398" s="64">
        <v>590557</v>
      </c>
      <c r="W398" s="64">
        <v>388170</v>
      </c>
      <c r="X398" s="64">
        <v>426987</v>
      </c>
      <c r="Y398" s="64">
        <v>148700</v>
      </c>
      <c r="Z398" s="64">
        <v>163570</v>
      </c>
      <c r="AA398" s="61">
        <v>44606</v>
      </c>
      <c r="AB398" s="61">
        <v>44609</v>
      </c>
      <c r="AC398" s="61">
        <v>44609</v>
      </c>
      <c r="AD398" s="60">
        <v>0</v>
      </c>
      <c r="AG398" s="60">
        <v>0</v>
      </c>
      <c r="AJ398" s="60">
        <v>0</v>
      </c>
      <c r="AM398" s="60" t="s">
        <v>273</v>
      </c>
      <c r="AN398" s="60" t="s">
        <v>2021</v>
      </c>
      <c r="AQ398" s="60" t="s">
        <v>2062</v>
      </c>
      <c r="AR398" s="61">
        <v>44593</v>
      </c>
      <c r="AS398" s="60">
        <v>6001987752</v>
      </c>
      <c r="AT398" s="61">
        <v>44593</v>
      </c>
      <c r="AU398" s="60" t="s">
        <v>2078</v>
      </c>
      <c r="AV398" s="61">
        <v>44609</v>
      </c>
      <c r="AW398" s="91">
        <v>44620</v>
      </c>
      <c r="AX398" s="91">
        <v>44640</v>
      </c>
      <c r="AY398" s="99">
        <v>515395</v>
      </c>
      <c r="AZ398" s="99">
        <v>566935</v>
      </c>
      <c r="BA398" s="60" t="s">
        <v>314</v>
      </c>
      <c r="BB398" s="64">
        <v>146800</v>
      </c>
      <c r="BC398" s="64">
        <v>161480</v>
      </c>
      <c r="BD398" s="60" t="s">
        <v>2044</v>
      </c>
      <c r="BG398" s="64">
        <v>0</v>
      </c>
      <c r="BI398" s="60" t="s">
        <v>748</v>
      </c>
      <c r="BJ398" s="64">
        <v>96655</v>
      </c>
      <c r="BK398" s="64">
        <v>106320.5</v>
      </c>
      <c r="BL398" s="60" t="s">
        <v>2044</v>
      </c>
      <c r="BS398" s="64">
        <v>0</v>
      </c>
      <c r="BV398" s="65">
        <v>426987</v>
      </c>
      <c r="BW398" s="65">
        <v>267800.5</v>
      </c>
      <c r="BX398" s="65">
        <v>44552</v>
      </c>
      <c r="BY398" s="65">
        <v>159186.5</v>
      </c>
      <c r="BZ398" s="81">
        <v>37.281345802097022</v>
      </c>
    </row>
    <row r="399" spans="1:78" x14ac:dyDescent="0.15">
      <c r="A399" s="60">
        <v>1</v>
      </c>
      <c r="B399" s="61">
        <v>44568</v>
      </c>
      <c r="C399" s="61">
        <v>44572</v>
      </c>
      <c r="F399" s="61" t="s">
        <v>309</v>
      </c>
      <c r="G399" s="61">
        <v>44558</v>
      </c>
      <c r="H399" s="61" t="s">
        <v>309</v>
      </c>
      <c r="J399" s="60">
        <v>2</v>
      </c>
      <c r="L399" s="60">
        <v>0</v>
      </c>
      <c r="M399" s="61">
        <v>44552</v>
      </c>
      <c r="O399" s="62" t="s">
        <v>331</v>
      </c>
      <c r="P399" s="60" t="s">
        <v>6</v>
      </c>
      <c r="Q399" s="62" t="s">
        <v>125</v>
      </c>
      <c r="R399" s="62" t="s">
        <v>1509</v>
      </c>
      <c r="S399" s="63" t="s">
        <v>1510</v>
      </c>
      <c r="T399" s="63" t="s">
        <v>364</v>
      </c>
      <c r="U399" s="64">
        <v>16000</v>
      </c>
      <c r="V399" s="64">
        <v>17600</v>
      </c>
      <c r="W399" s="64">
        <v>16000</v>
      </c>
      <c r="X399" s="64">
        <v>17600</v>
      </c>
      <c r="Z399" s="64">
        <v>0</v>
      </c>
      <c r="AD399" s="60">
        <v>0</v>
      </c>
      <c r="AG399" s="60">
        <v>0</v>
      </c>
      <c r="AJ399" s="60">
        <v>0</v>
      </c>
      <c r="AN399" s="60" t="s">
        <v>309</v>
      </c>
      <c r="AQ399" s="60" t="s">
        <v>1637</v>
      </c>
      <c r="AR399" s="61">
        <v>44567</v>
      </c>
      <c r="AS399" s="60">
        <v>6001976740</v>
      </c>
      <c r="AT399" s="61">
        <v>44567</v>
      </c>
      <c r="AU399" s="60" t="s">
        <v>1645</v>
      </c>
      <c r="AV399" s="61">
        <v>44572</v>
      </c>
      <c r="AW399" s="91">
        <v>44592</v>
      </c>
      <c r="AX399" s="91">
        <v>44612</v>
      </c>
      <c r="AY399" s="99">
        <v>15360</v>
      </c>
      <c r="AZ399" s="99">
        <f>ROUNDDOWN(AY399+(AY399*MASTER!$A$2/100),0)</f>
        <v>16896</v>
      </c>
      <c r="BC399" s="64">
        <v>0</v>
      </c>
      <c r="BG399" s="64">
        <v>0</v>
      </c>
      <c r="BK399" s="64">
        <v>0</v>
      </c>
      <c r="BS399" s="64">
        <v>0</v>
      </c>
      <c r="BV399" s="65">
        <v>17600</v>
      </c>
      <c r="BW399" s="65">
        <v>0</v>
      </c>
      <c r="BX399" s="65">
        <v>44552</v>
      </c>
      <c r="BY399" s="65">
        <v>17600</v>
      </c>
      <c r="BZ399" s="81">
        <v>100</v>
      </c>
    </row>
    <row r="400" spans="1:78" x14ac:dyDescent="0.15">
      <c r="A400" s="60">
        <v>2</v>
      </c>
      <c r="B400" s="61">
        <v>44592</v>
      </c>
      <c r="C400" s="61">
        <v>44596</v>
      </c>
      <c r="D400" s="61">
        <v>44622</v>
      </c>
      <c r="E400" s="61">
        <v>44604</v>
      </c>
      <c r="F400" s="61" t="s">
        <v>309</v>
      </c>
      <c r="G400" s="61">
        <v>44598</v>
      </c>
      <c r="H400" s="61" t="s">
        <v>309</v>
      </c>
      <c r="I400" s="60" t="s">
        <v>511</v>
      </c>
      <c r="J400" s="60">
        <v>2</v>
      </c>
      <c r="L400" s="60">
        <v>0</v>
      </c>
      <c r="M400" s="61">
        <v>44553</v>
      </c>
      <c r="O400" s="62" t="s">
        <v>331</v>
      </c>
      <c r="P400" s="60" t="s">
        <v>26</v>
      </c>
      <c r="Q400" s="62" t="s">
        <v>125</v>
      </c>
      <c r="R400" s="62" t="s">
        <v>1431</v>
      </c>
      <c r="S400" s="63" t="s">
        <v>342</v>
      </c>
      <c r="T400" s="63" t="s">
        <v>1432</v>
      </c>
      <c r="U400" s="64">
        <v>1389000</v>
      </c>
      <c r="V400" s="64">
        <v>1527900</v>
      </c>
      <c r="W400" s="64">
        <v>1389000</v>
      </c>
      <c r="X400" s="64">
        <v>1527900</v>
      </c>
      <c r="Y400" s="64">
        <v>0</v>
      </c>
      <c r="Z400" s="64">
        <v>0</v>
      </c>
      <c r="AA400" s="61">
        <v>44593</v>
      </c>
      <c r="AB400" s="61">
        <v>44596</v>
      </c>
      <c r="AD400" s="60">
        <v>0</v>
      </c>
      <c r="AG400" s="60">
        <v>0</v>
      </c>
      <c r="AJ400" s="60">
        <v>0</v>
      </c>
      <c r="AM400" s="60" t="s">
        <v>273</v>
      </c>
      <c r="AN400" s="60" t="s">
        <v>1433</v>
      </c>
      <c r="AQ400" s="60" t="s">
        <v>1827</v>
      </c>
      <c r="AR400" s="61">
        <v>44581</v>
      </c>
      <c r="AS400" s="60">
        <v>6001982753</v>
      </c>
      <c r="AT400" s="61">
        <v>44581</v>
      </c>
      <c r="AU400" s="60" t="s">
        <v>1861</v>
      </c>
      <c r="AV400" s="61">
        <v>44596</v>
      </c>
      <c r="AW400" s="91">
        <v>44620</v>
      </c>
      <c r="AX400" s="91">
        <v>44640</v>
      </c>
      <c r="AY400" s="99">
        <v>1333440</v>
      </c>
      <c r="AZ400" s="99">
        <f>ROUNDDOWN(AY400+(AY400*MASTER!$A$2/100),0)</f>
        <v>1466784</v>
      </c>
      <c r="BA400" s="60" t="s">
        <v>613</v>
      </c>
      <c r="BB400" s="64">
        <v>385450</v>
      </c>
      <c r="BC400" s="64">
        <v>423995</v>
      </c>
      <c r="BD400" s="60" t="s">
        <v>2044</v>
      </c>
      <c r="BG400" s="64">
        <v>0</v>
      </c>
      <c r="BK400" s="64">
        <v>0</v>
      </c>
      <c r="BS400" s="64">
        <v>0</v>
      </c>
      <c r="BV400" s="65">
        <v>1527900</v>
      </c>
      <c r="BW400" s="65">
        <v>423995</v>
      </c>
      <c r="BX400" s="65">
        <v>44553</v>
      </c>
      <c r="BY400" s="65">
        <v>1103905</v>
      </c>
      <c r="BZ400" s="81">
        <v>72.24982001439885</v>
      </c>
    </row>
    <row r="401" spans="1:89" x14ac:dyDescent="0.15">
      <c r="A401" s="60">
        <v>2</v>
      </c>
      <c r="B401" s="61">
        <v>44585</v>
      </c>
      <c r="C401" s="61">
        <v>44586</v>
      </c>
      <c r="D401" s="61">
        <v>44604</v>
      </c>
      <c r="E401" s="61">
        <v>44588</v>
      </c>
      <c r="F401" s="61" t="s">
        <v>309</v>
      </c>
      <c r="G401" s="61">
        <v>44587</v>
      </c>
      <c r="H401" s="61" t="s">
        <v>309</v>
      </c>
      <c r="I401" s="60" t="s">
        <v>511</v>
      </c>
      <c r="J401" s="60">
        <v>2</v>
      </c>
      <c r="L401" s="60">
        <v>0</v>
      </c>
      <c r="M401" s="61">
        <v>44553</v>
      </c>
      <c r="O401" s="62" t="s">
        <v>331</v>
      </c>
      <c r="P401" s="60" t="s">
        <v>26</v>
      </c>
      <c r="Q401" s="62" t="s">
        <v>125</v>
      </c>
      <c r="R401" s="62" t="s">
        <v>1966</v>
      </c>
      <c r="S401" s="63" t="s">
        <v>801</v>
      </c>
      <c r="T401" s="63" t="s">
        <v>1432</v>
      </c>
      <c r="U401" s="64">
        <v>938000</v>
      </c>
      <c r="V401" s="64">
        <v>1031800</v>
      </c>
      <c r="W401" s="64">
        <v>938000</v>
      </c>
      <c r="X401" s="64">
        <v>1031800</v>
      </c>
      <c r="Z401" s="64">
        <v>0</v>
      </c>
      <c r="AA401" s="61">
        <v>44586</v>
      </c>
      <c r="AB401" s="61">
        <v>44586</v>
      </c>
      <c r="AD401" s="60">
        <v>0</v>
      </c>
      <c r="AG401" s="60">
        <v>0</v>
      </c>
      <c r="AJ401" s="60">
        <v>0</v>
      </c>
      <c r="AM401" s="60" t="s">
        <v>273</v>
      </c>
      <c r="AN401" s="60" t="s">
        <v>1967</v>
      </c>
      <c r="AQ401" s="60" t="s">
        <v>1801</v>
      </c>
      <c r="AR401" s="61">
        <v>44579</v>
      </c>
      <c r="AS401" s="60">
        <v>6001981790</v>
      </c>
      <c r="AT401" s="61">
        <v>44579</v>
      </c>
      <c r="AU401" s="60" t="s">
        <v>1814</v>
      </c>
      <c r="AV401" s="61">
        <v>44586</v>
      </c>
      <c r="AW401" s="91">
        <v>44592</v>
      </c>
      <c r="AX401" s="91">
        <v>44612</v>
      </c>
      <c r="AY401" s="99">
        <v>900480</v>
      </c>
      <c r="AZ401" s="99">
        <f>ROUNDDOWN(AY401+(AY401*MASTER!$A$2/100),0)</f>
        <v>990528</v>
      </c>
      <c r="BA401" s="60" t="s">
        <v>613</v>
      </c>
      <c r="BB401" s="64">
        <v>298000</v>
      </c>
      <c r="BC401" s="64">
        <v>327800</v>
      </c>
      <c r="BD401" s="60" t="s">
        <v>1614</v>
      </c>
      <c r="BG401" s="64">
        <v>0</v>
      </c>
      <c r="BK401" s="64">
        <v>0</v>
      </c>
      <c r="BS401" s="64">
        <v>0</v>
      </c>
      <c r="BV401" s="65">
        <v>1031800</v>
      </c>
      <c r="BW401" s="65">
        <v>327800</v>
      </c>
      <c r="BX401" s="65">
        <v>44553</v>
      </c>
      <c r="BY401" s="65">
        <v>704000</v>
      </c>
      <c r="BZ401" s="81">
        <v>68.230277185501066</v>
      </c>
    </row>
    <row r="402" spans="1:89" x14ac:dyDescent="0.15">
      <c r="A402" s="60">
        <v>2</v>
      </c>
      <c r="B402" s="61">
        <v>44585</v>
      </c>
      <c r="C402" s="61">
        <v>44587</v>
      </c>
      <c r="D402" s="61">
        <v>44604</v>
      </c>
      <c r="E402" s="61">
        <v>44586</v>
      </c>
      <c r="F402" s="61" t="s">
        <v>309</v>
      </c>
      <c r="G402" s="61">
        <v>44588</v>
      </c>
      <c r="H402" s="61" t="s">
        <v>309</v>
      </c>
      <c r="I402" s="60" t="s">
        <v>511</v>
      </c>
      <c r="J402" s="60">
        <v>2</v>
      </c>
      <c r="L402" s="60">
        <v>0</v>
      </c>
      <c r="M402" s="61">
        <v>44553</v>
      </c>
      <c r="O402" s="62" t="s">
        <v>331</v>
      </c>
      <c r="P402" s="60" t="s">
        <v>26</v>
      </c>
      <c r="Q402" s="62" t="s">
        <v>125</v>
      </c>
      <c r="R402" s="62" t="s">
        <v>1646</v>
      </c>
      <c r="S402" s="63" t="s">
        <v>1647</v>
      </c>
      <c r="T402" s="63" t="s">
        <v>1432</v>
      </c>
      <c r="U402" s="64">
        <v>896000</v>
      </c>
      <c r="V402" s="64">
        <v>985600</v>
      </c>
      <c r="W402" s="64">
        <v>896000</v>
      </c>
      <c r="X402" s="64">
        <v>985600</v>
      </c>
      <c r="Y402" s="64">
        <v>0</v>
      </c>
      <c r="Z402" s="64">
        <v>0</v>
      </c>
      <c r="AA402" s="61">
        <v>44586</v>
      </c>
      <c r="AB402" s="61">
        <v>44586</v>
      </c>
      <c r="AD402" s="60">
        <v>0</v>
      </c>
      <c r="AG402" s="60">
        <v>0</v>
      </c>
      <c r="AJ402" s="60">
        <v>0</v>
      </c>
      <c r="AM402" s="60" t="s">
        <v>273</v>
      </c>
      <c r="AN402" s="60" t="s">
        <v>1648</v>
      </c>
      <c r="AQ402" s="60" t="s">
        <v>1823</v>
      </c>
      <c r="AR402" s="61">
        <v>44567</v>
      </c>
      <c r="AS402" s="60">
        <v>6001977108</v>
      </c>
      <c r="AT402" s="61">
        <v>44568</v>
      </c>
      <c r="AU402" s="60" t="s">
        <v>1652</v>
      </c>
      <c r="AV402" s="61">
        <v>44587</v>
      </c>
      <c r="AW402" s="91">
        <v>44592</v>
      </c>
      <c r="AX402" s="91">
        <v>44612</v>
      </c>
      <c r="AY402" s="99">
        <v>860160</v>
      </c>
      <c r="AZ402" s="99">
        <f>ROUNDDOWN(AY402+(AY402*MASTER!$A$2/100),0)</f>
        <v>946176</v>
      </c>
      <c r="BA402" s="60" t="s">
        <v>314</v>
      </c>
      <c r="BB402" s="64">
        <v>291550</v>
      </c>
      <c r="BC402" s="64">
        <v>320705</v>
      </c>
      <c r="BD402" s="60" t="s">
        <v>1614</v>
      </c>
      <c r="BG402" s="64">
        <v>0</v>
      </c>
      <c r="BK402" s="64">
        <v>0</v>
      </c>
      <c r="BS402" s="64">
        <v>0</v>
      </c>
      <c r="BV402" s="65">
        <v>985600</v>
      </c>
      <c r="BW402" s="65">
        <v>320705</v>
      </c>
      <c r="BX402" s="65">
        <v>44553</v>
      </c>
      <c r="BY402" s="65">
        <v>664895</v>
      </c>
      <c r="BZ402" s="81">
        <v>67.4609375</v>
      </c>
    </row>
    <row r="403" spans="1:89" x14ac:dyDescent="0.15">
      <c r="A403" s="60">
        <v>2</v>
      </c>
      <c r="B403" s="61">
        <v>44634</v>
      </c>
      <c r="C403" s="61">
        <v>44651</v>
      </c>
      <c r="D403" s="61">
        <v>44659</v>
      </c>
      <c r="E403" s="61">
        <v>44651</v>
      </c>
      <c r="F403" s="61">
        <v>44651</v>
      </c>
      <c r="G403" s="61">
        <v>44645</v>
      </c>
      <c r="H403" s="61">
        <v>44647</v>
      </c>
      <c r="I403" s="60" t="s">
        <v>511</v>
      </c>
      <c r="J403" s="60">
        <v>1</v>
      </c>
      <c r="L403" s="60">
        <v>0</v>
      </c>
      <c r="M403" s="61">
        <v>44553</v>
      </c>
      <c r="O403" s="62" t="s">
        <v>331</v>
      </c>
      <c r="P403" s="60" t="s">
        <v>26</v>
      </c>
      <c r="Q403" s="62" t="s">
        <v>125</v>
      </c>
      <c r="R403" s="62" t="s">
        <v>2730</v>
      </c>
      <c r="S403" s="63" t="s">
        <v>2177</v>
      </c>
      <c r="T403" s="63" t="s">
        <v>2731</v>
      </c>
      <c r="U403" s="64">
        <v>59000</v>
      </c>
      <c r="V403" s="64">
        <v>64900</v>
      </c>
      <c r="W403" s="64">
        <v>47000</v>
      </c>
      <c r="X403" s="64">
        <v>51700</v>
      </c>
      <c r="Y403" s="64">
        <v>12000</v>
      </c>
      <c r="Z403" s="64">
        <v>13200</v>
      </c>
      <c r="AA403" s="61">
        <v>44643</v>
      </c>
      <c r="AB403" s="61">
        <v>44644</v>
      </c>
      <c r="AC403" s="61">
        <v>44644</v>
      </c>
      <c r="AD403" s="60">
        <v>0</v>
      </c>
      <c r="AG403" s="60">
        <v>0</v>
      </c>
      <c r="AJ403" s="60">
        <v>0</v>
      </c>
      <c r="AM403" s="60" t="s">
        <v>273</v>
      </c>
      <c r="AN403" s="60" t="s">
        <v>2732</v>
      </c>
      <c r="AQ403" s="60" t="s">
        <v>2068</v>
      </c>
      <c r="AR403" s="61">
        <v>44593</v>
      </c>
      <c r="AS403" s="60">
        <v>6001987752</v>
      </c>
      <c r="AT403" s="61">
        <v>44593</v>
      </c>
      <c r="AU403" s="60" t="s">
        <v>2078</v>
      </c>
      <c r="AV403" s="61">
        <v>44651</v>
      </c>
      <c r="AW403" s="91">
        <v>44651</v>
      </c>
      <c r="AX403" s="91">
        <v>44671</v>
      </c>
      <c r="AY403" s="99">
        <v>56640</v>
      </c>
      <c r="AZ403" s="99">
        <f>ROUNDDOWN(AY403+(AY403*MASTER!$A$2/100),0)</f>
        <v>62304</v>
      </c>
      <c r="BA403" s="60" t="s">
        <v>318</v>
      </c>
      <c r="BB403" s="64">
        <v>26000</v>
      </c>
      <c r="BC403" s="64">
        <v>28600</v>
      </c>
      <c r="BD403" s="60" t="s">
        <v>2107</v>
      </c>
      <c r="BG403" s="64">
        <v>0</v>
      </c>
      <c r="BI403" s="60" t="s">
        <v>748</v>
      </c>
      <c r="BJ403" s="64">
        <v>7800</v>
      </c>
      <c r="BK403" s="64">
        <v>8580</v>
      </c>
      <c r="BL403" s="60" t="s">
        <v>2107</v>
      </c>
      <c r="BS403" s="64">
        <v>0</v>
      </c>
      <c r="BV403" s="65">
        <v>51700</v>
      </c>
      <c r="BW403" s="65">
        <v>37180</v>
      </c>
      <c r="BX403" s="65">
        <v>44553</v>
      </c>
      <c r="BY403" s="65">
        <v>14520</v>
      </c>
      <c r="BZ403" s="81">
        <v>28.085106382978726</v>
      </c>
    </row>
    <row r="404" spans="1:89" x14ac:dyDescent="0.15">
      <c r="A404" s="60">
        <v>2</v>
      </c>
      <c r="B404" s="61">
        <v>44596</v>
      </c>
      <c r="C404" s="61">
        <v>44601</v>
      </c>
      <c r="D404" s="61">
        <v>44633</v>
      </c>
      <c r="E404" s="61">
        <v>44622</v>
      </c>
      <c r="F404" s="61">
        <v>44608</v>
      </c>
      <c r="G404" s="61">
        <v>44601</v>
      </c>
      <c r="H404" s="61">
        <v>44604</v>
      </c>
      <c r="I404" s="60" t="s">
        <v>511</v>
      </c>
      <c r="J404" s="60">
        <v>1</v>
      </c>
      <c r="L404" s="60">
        <v>0</v>
      </c>
      <c r="M404" s="61">
        <v>44553</v>
      </c>
      <c r="O404" s="62" t="s">
        <v>331</v>
      </c>
      <c r="P404" s="60" t="s">
        <v>26</v>
      </c>
      <c r="Q404" s="62" t="s">
        <v>125</v>
      </c>
      <c r="R404" s="62" t="s">
        <v>1937</v>
      </c>
      <c r="S404" s="63" t="s">
        <v>1230</v>
      </c>
      <c r="T404" s="63" t="s">
        <v>1938</v>
      </c>
      <c r="U404" s="64">
        <v>59000</v>
      </c>
      <c r="V404" s="64">
        <v>64900</v>
      </c>
      <c r="W404" s="64">
        <v>47000</v>
      </c>
      <c r="X404" s="64">
        <v>51700</v>
      </c>
      <c r="Y404" s="64">
        <v>12000</v>
      </c>
      <c r="Z404" s="64">
        <v>13200</v>
      </c>
      <c r="AA404" s="61">
        <v>44599</v>
      </c>
      <c r="AB404" s="61">
        <v>44601</v>
      </c>
      <c r="AC404" s="61">
        <v>44601</v>
      </c>
      <c r="AD404" s="60">
        <v>0</v>
      </c>
      <c r="AG404" s="60">
        <v>0</v>
      </c>
      <c r="AJ404" s="60">
        <v>0</v>
      </c>
      <c r="AM404" s="60" t="s">
        <v>273</v>
      </c>
      <c r="AN404" s="60" t="s">
        <v>1939</v>
      </c>
      <c r="AQ404" s="60" t="s">
        <v>2169</v>
      </c>
      <c r="AR404" s="61">
        <v>44586</v>
      </c>
      <c r="AS404" s="60">
        <v>6001985074</v>
      </c>
      <c r="AT404" s="61">
        <v>44586</v>
      </c>
      <c r="AU404" s="60" t="s">
        <v>1952</v>
      </c>
      <c r="AV404" s="61">
        <v>44601</v>
      </c>
      <c r="AW404" s="91">
        <v>44620</v>
      </c>
      <c r="AX404" s="91">
        <v>44640</v>
      </c>
      <c r="AY404" s="99">
        <v>56640</v>
      </c>
      <c r="AZ404" s="99">
        <f>ROUNDDOWN(AY404+(AY404*MASTER!$A$2/100),0)</f>
        <v>62304</v>
      </c>
      <c r="BA404" s="60" t="s">
        <v>314</v>
      </c>
      <c r="BB404" s="64">
        <v>26000</v>
      </c>
      <c r="BC404" s="64">
        <v>28600</v>
      </c>
      <c r="BD404" s="60" t="s">
        <v>2044</v>
      </c>
      <c r="BG404" s="64">
        <v>0</v>
      </c>
      <c r="BI404" s="60" t="s">
        <v>748</v>
      </c>
      <c r="BJ404" s="64">
        <v>7800</v>
      </c>
      <c r="BK404" s="64">
        <v>8580</v>
      </c>
      <c r="BL404" s="60" t="s">
        <v>2044</v>
      </c>
      <c r="BS404" s="64">
        <v>0</v>
      </c>
      <c r="BV404" s="65">
        <v>51700</v>
      </c>
      <c r="BW404" s="65">
        <v>37180</v>
      </c>
      <c r="BX404" s="65">
        <v>44553</v>
      </c>
      <c r="BY404" s="65">
        <v>14520</v>
      </c>
      <c r="BZ404" s="81">
        <v>28.085106382978726</v>
      </c>
    </row>
    <row r="405" spans="1:89" x14ac:dyDescent="0.15">
      <c r="A405" s="60">
        <v>2</v>
      </c>
      <c r="B405" s="61">
        <v>44592</v>
      </c>
      <c r="C405" s="61">
        <v>44593</v>
      </c>
      <c r="D405" s="61">
        <v>44624</v>
      </c>
      <c r="E405" s="61">
        <v>44618</v>
      </c>
      <c r="F405" s="61">
        <v>44600</v>
      </c>
      <c r="G405" s="61">
        <v>44592</v>
      </c>
      <c r="H405" s="61">
        <v>44596</v>
      </c>
      <c r="I405" s="60" t="s">
        <v>612</v>
      </c>
      <c r="J405" s="60">
        <v>1</v>
      </c>
      <c r="L405" s="60">
        <v>0</v>
      </c>
      <c r="M405" s="61">
        <v>44553</v>
      </c>
      <c r="O405" s="62" t="s">
        <v>331</v>
      </c>
      <c r="P405" s="60" t="s">
        <v>26</v>
      </c>
      <c r="Q405" s="62" t="s">
        <v>125</v>
      </c>
      <c r="R405" s="62" t="s">
        <v>1443</v>
      </c>
      <c r="S405" s="63" t="s">
        <v>414</v>
      </c>
      <c r="T405" s="63" t="s">
        <v>521</v>
      </c>
      <c r="U405" s="64">
        <v>153500</v>
      </c>
      <c r="V405" s="64">
        <v>168850</v>
      </c>
      <c r="W405" s="64">
        <v>86000</v>
      </c>
      <c r="X405" s="64">
        <v>94600</v>
      </c>
      <c r="Y405" s="64">
        <v>67500</v>
      </c>
      <c r="Z405" s="64">
        <v>74250</v>
      </c>
      <c r="AA405" s="61">
        <v>44591</v>
      </c>
      <c r="AB405" s="61">
        <v>44593</v>
      </c>
      <c r="AC405" s="61">
        <v>44593</v>
      </c>
      <c r="AD405" s="60">
        <v>0</v>
      </c>
      <c r="AG405" s="60">
        <v>0</v>
      </c>
      <c r="AJ405" s="60">
        <v>0</v>
      </c>
      <c r="AM405" s="60" t="s">
        <v>273</v>
      </c>
      <c r="AN405" s="60" t="s">
        <v>1444</v>
      </c>
      <c r="AQ405" s="60" t="s">
        <v>1743</v>
      </c>
      <c r="AR405" s="61">
        <v>44574</v>
      </c>
      <c r="AS405" s="60">
        <v>6001979694</v>
      </c>
      <c r="AT405" s="61">
        <v>44574</v>
      </c>
      <c r="AU405" s="60" t="s">
        <v>1758</v>
      </c>
      <c r="AV405" s="61">
        <v>44593</v>
      </c>
      <c r="AW405" s="91">
        <v>44620</v>
      </c>
      <c r="AX405" s="91">
        <v>44640</v>
      </c>
      <c r="AY405" s="99">
        <v>147360</v>
      </c>
      <c r="AZ405" s="99">
        <f>ROUNDDOWN(AY405+(AY405*MASTER!$A$2/100),0)</f>
        <v>162096</v>
      </c>
      <c r="BA405" s="60" t="s">
        <v>317</v>
      </c>
      <c r="BB405" s="64">
        <v>35000</v>
      </c>
      <c r="BC405" s="64">
        <v>38500</v>
      </c>
      <c r="BD405" s="60" t="s">
        <v>2044</v>
      </c>
      <c r="BG405" s="64">
        <v>0</v>
      </c>
      <c r="BI405" s="60" t="s">
        <v>748</v>
      </c>
      <c r="BJ405" s="64">
        <v>43875</v>
      </c>
      <c r="BK405" s="64">
        <v>48262.5</v>
      </c>
      <c r="BL405" s="60" t="s">
        <v>2044</v>
      </c>
      <c r="BS405" s="64">
        <v>0</v>
      </c>
      <c r="BV405" s="65">
        <v>94600</v>
      </c>
      <c r="BW405" s="65">
        <v>86762.5</v>
      </c>
      <c r="BX405" s="65">
        <v>44553</v>
      </c>
      <c r="BY405" s="65">
        <v>7837.5</v>
      </c>
      <c r="BZ405" s="81">
        <v>8.2848837209302317</v>
      </c>
    </row>
    <row r="406" spans="1:89" s="152" customFormat="1" x14ac:dyDescent="0.15">
      <c r="A406" s="142">
        <v>3</v>
      </c>
      <c r="B406" s="143"/>
      <c r="C406" s="143" t="s">
        <v>309</v>
      </c>
      <c r="D406" s="143"/>
      <c r="E406" s="143"/>
      <c r="F406" s="143" t="s">
        <v>309</v>
      </c>
      <c r="G406" s="143"/>
      <c r="H406" s="143" t="s">
        <v>309</v>
      </c>
      <c r="I406" s="142"/>
      <c r="J406" s="142">
        <v>2</v>
      </c>
      <c r="K406" s="143">
        <v>44566</v>
      </c>
      <c r="L406" s="142" t="s">
        <v>529</v>
      </c>
      <c r="M406" s="143">
        <v>44553</v>
      </c>
      <c r="N406" s="143"/>
      <c r="O406" s="144" t="s">
        <v>331</v>
      </c>
      <c r="P406" s="142" t="s">
        <v>6</v>
      </c>
      <c r="Q406" s="144" t="s">
        <v>125</v>
      </c>
      <c r="R406" s="144" t="s">
        <v>1625</v>
      </c>
      <c r="S406" s="145" t="s">
        <v>453</v>
      </c>
      <c r="T406" s="145" t="s">
        <v>364</v>
      </c>
      <c r="U406" s="146">
        <v>26000</v>
      </c>
      <c r="V406" s="146">
        <v>28600</v>
      </c>
      <c r="W406" s="146">
        <v>26000</v>
      </c>
      <c r="X406" s="146">
        <v>28600</v>
      </c>
      <c r="Y406" s="146">
        <v>0</v>
      </c>
      <c r="Z406" s="146">
        <v>0</v>
      </c>
      <c r="AA406" s="143"/>
      <c r="AB406" s="143"/>
      <c r="AC406" s="143"/>
      <c r="AD406" s="142">
        <v>0</v>
      </c>
      <c r="AE406" s="142"/>
      <c r="AF406" s="142"/>
      <c r="AG406" s="142">
        <v>0</v>
      </c>
      <c r="AH406" s="142"/>
      <c r="AI406" s="142"/>
      <c r="AJ406" s="142">
        <v>0</v>
      </c>
      <c r="AK406" s="142"/>
      <c r="AL406" s="142"/>
      <c r="AM406" s="142"/>
      <c r="AN406" s="142" t="s">
        <v>309</v>
      </c>
      <c r="AO406" s="143"/>
      <c r="AP406" s="142"/>
      <c r="AQ406" s="142"/>
      <c r="AR406" s="143"/>
      <c r="AS406" s="142"/>
      <c r="AT406" s="143"/>
      <c r="AU406" s="142"/>
      <c r="AV406" s="143"/>
      <c r="AW406" s="147"/>
      <c r="AX406" s="147"/>
      <c r="AY406" s="148">
        <v>24960</v>
      </c>
      <c r="AZ406" s="148">
        <f>ROUNDDOWN(AY406+(AY406*MASTER!$A$2/100),0)</f>
        <v>27456</v>
      </c>
      <c r="BA406" s="142"/>
      <c r="BB406" s="146"/>
      <c r="BC406" s="146">
        <v>0</v>
      </c>
      <c r="BD406" s="142"/>
      <c r="BE406" s="142"/>
      <c r="BF406" s="146"/>
      <c r="BG406" s="146">
        <v>0</v>
      </c>
      <c r="BH406" s="142"/>
      <c r="BI406" s="142"/>
      <c r="BJ406" s="146"/>
      <c r="BK406" s="146">
        <v>0</v>
      </c>
      <c r="BL406" s="142"/>
      <c r="BM406" s="146"/>
      <c r="BN406" s="146"/>
      <c r="BO406" s="146"/>
      <c r="BP406" s="146"/>
      <c r="BQ406" s="146"/>
      <c r="BR406" s="146"/>
      <c r="BS406" s="146">
        <v>0</v>
      </c>
      <c r="BT406" s="149"/>
      <c r="BU406" s="149"/>
      <c r="BV406" s="150">
        <v>28600</v>
      </c>
      <c r="BW406" s="150">
        <v>0</v>
      </c>
      <c r="BX406" s="150">
        <v>0</v>
      </c>
      <c r="BY406" s="150">
        <v>44566</v>
      </c>
      <c r="BZ406" s="151">
        <v>100</v>
      </c>
      <c r="CA406" s="142"/>
      <c r="CB406" s="142"/>
      <c r="CC406" s="142"/>
      <c r="CD406" s="145" t="s">
        <v>2600</v>
      </c>
      <c r="CE406" s="143"/>
      <c r="CF406" s="143"/>
      <c r="CG406" s="143"/>
      <c r="CH406" s="143"/>
      <c r="CI406" s="143"/>
      <c r="CJ406" s="143"/>
      <c r="CK406" s="146"/>
    </row>
    <row r="407" spans="1:89" x14ac:dyDescent="0.15">
      <c r="A407" s="60">
        <v>2</v>
      </c>
      <c r="B407" s="61">
        <v>44568</v>
      </c>
      <c r="C407" s="61">
        <v>44568</v>
      </c>
      <c r="D407" s="61">
        <v>44554</v>
      </c>
      <c r="E407" s="61">
        <v>44554</v>
      </c>
      <c r="F407" s="61" t="s">
        <v>309</v>
      </c>
      <c r="G407" s="61">
        <v>44554</v>
      </c>
      <c r="H407" s="61" t="s">
        <v>309</v>
      </c>
      <c r="I407" s="60" t="s">
        <v>766</v>
      </c>
      <c r="J407" s="60">
        <v>2</v>
      </c>
      <c r="L407" s="60">
        <v>0</v>
      </c>
      <c r="M407" s="61">
        <v>44554</v>
      </c>
      <c r="O407" s="62" t="s">
        <v>331</v>
      </c>
      <c r="P407" s="60" t="s">
        <v>6</v>
      </c>
      <c r="Q407" s="62" t="s">
        <v>125</v>
      </c>
      <c r="R407" s="62" t="s">
        <v>1455</v>
      </c>
      <c r="S407" s="63" t="s">
        <v>1062</v>
      </c>
      <c r="T407" s="63" t="s">
        <v>364</v>
      </c>
      <c r="U407" s="64">
        <v>35000</v>
      </c>
      <c r="V407" s="64">
        <v>38500</v>
      </c>
      <c r="W407" s="64">
        <v>35000</v>
      </c>
      <c r="X407" s="64">
        <v>38500</v>
      </c>
      <c r="Z407" s="64">
        <v>0</v>
      </c>
      <c r="AA407" s="61">
        <v>44553</v>
      </c>
      <c r="AB407" s="61">
        <v>44553</v>
      </c>
      <c r="AD407" s="60">
        <v>0</v>
      </c>
      <c r="AG407" s="60">
        <v>0</v>
      </c>
      <c r="AJ407" s="60">
        <v>0</v>
      </c>
      <c r="AN407" s="60" t="s">
        <v>309</v>
      </c>
      <c r="AQ407" s="60" t="s">
        <v>1636</v>
      </c>
      <c r="AR407" s="61">
        <v>44567</v>
      </c>
      <c r="AS407" s="60">
        <v>6001976740</v>
      </c>
      <c r="AT407" s="61">
        <v>44567</v>
      </c>
      <c r="AU407" s="60" t="s">
        <v>1645</v>
      </c>
      <c r="AV407" s="61">
        <v>44568</v>
      </c>
      <c r="AW407" s="91">
        <v>44592</v>
      </c>
      <c r="AX407" s="91">
        <v>44612</v>
      </c>
      <c r="AY407" s="99">
        <v>33600</v>
      </c>
      <c r="AZ407" s="99">
        <f>ROUNDDOWN(AY407+(AY407*MASTER!$A$2/100),0)</f>
        <v>36960</v>
      </c>
      <c r="BA407" s="60" t="s">
        <v>318</v>
      </c>
      <c r="BB407" s="64">
        <v>21000</v>
      </c>
      <c r="BC407" s="64">
        <v>23100</v>
      </c>
      <c r="BD407" s="60" t="s">
        <v>184</v>
      </c>
      <c r="BG407" s="64">
        <v>0</v>
      </c>
      <c r="BK407" s="64">
        <v>0</v>
      </c>
      <c r="BS407" s="64">
        <v>0</v>
      </c>
      <c r="BV407" s="65">
        <v>38500</v>
      </c>
      <c r="BW407" s="65">
        <v>23100</v>
      </c>
      <c r="BX407" s="65">
        <v>44554</v>
      </c>
      <c r="BY407" s="65">
        <v>15400</v>
      </c>
      <c r="BZ407" s="81">
        <v>40</v>
      </c>
    </row>
    <row r="408" spans="1:89" x14ac:dyDescent="0.15">
      <c r="A408" s="60">
        <v>2</v>
      </c>
      <c r="B408" s="61">
        <v>44574</v>
      </c>
      <c r="C408" s="61">
        <v>44575</v>
      </c>
      <c r="D408" s="61">
        <v>44557</v>
      </c>
      <c r="E408" s="61">
        <v>44557</v>
      </c>
      <c r="F408" s="61" t="s">
        <v>309</v>
      </c>
      <c r="G408" s="61">
        <v>44557</v>
      </c>
      <c r="H408" s="61" t="s">
        <v>309</v>
      </c>
      <c r="I408" s="60" t="s">
        <v>766</v>
      </c>
      <c r="J408" s="60">
        <v>2</v>
      </c>
      <c r="L408" s="60">
        <v>0</v>
      </c>
      <c r="M408" s="61">
        <v>44557</v>
      </c>
      <c r="O408" s="62" t="s">
        <v>331</v>
      </c>
      <c r="P408" s="60" t="s">
        <v>6</v>
      </c>
      <c r="Q408" s="62" t="s">
        <v>125</v>
      </c>
      <c r="R408" s="62" t="s">
        <v>1466</v>
      </c>
      <c r="S408" s="63" t="s">
        <v>1064</v>
      </c>
      <c r="T408" s="63" t="s">
        <v>364</v>
      </c>
      <c r="U408" s="64">
        <v>35000</v>
      </c>
      <c r="V408" s="64">
        <v>38500</v>
      </c>
      <c r="W408" s="64">
        <v>35000</v>
      </c>
      <c r="X408" s="64">
        <v>38500</v>
      </c>
      <c r="Z408" s="64">
        <v>0</v>
      </c>
      <c r="AA408" s="61">
        <v>44555</v>
      </c>
      <c r="AB408" s="61">
        <v>44555</v>
      </c>
      <c r="AD408" s="60">
        <v>0</v>
      </c>
      <c r="AG408" s="60">
        <v>0</v>
      </c>
      <c r="AJ408" s="60">
        <v>0</v>
      </c>
      <c r="AN408" s="60" t="s">
        <v>309</v>
      </c>
      <c r="AQ408" s="60" t="s">
        <v>1730</v>
      </c>
      <c r="AR408" s="61">
        <v>44573</v>
      </c>
      <c r="AS408" s="60">
        <v>6001979263</v>
      </c>
      <c r="AT408" s="61">
        <v>44574</v>
      </c>
      <c r="AU408" s="60" t="s">
        <v>1751</v>
      </c>
      <c r="AV408" s="61">
        <v>44575</v>
      </c>
      <c r="AW408" s="91">
        <v>44592</v>
      </c>
      <c r="AX408" s="91">
        <v>44612</v>
      </c>
      <c r="AY408" s="99">
        <v>33600</v>
      </c>
      <c r="AZ408" s="99">
        <f>ROUNDDOWN(AY408+(AY408*MASTER!$A$2/100),0)</f>
        <v>36960</v>
      </c>
      <c r="BA408" s="60" t="s">
        <v>318</v>
      </c>
      <c r="BB408" s="64">
        <v>21000</v>
      </c>
      <c r="BC408" s="64">
        <v>23100</v>
      </c>
      <c r="BD408" s="60" t="s">
        <v>184</v>
      </c>
      <c r="BG408" s="64">
        <v>0</v>
      </c>
      <c r="BK408" s="64">
        <v>0</v>
      </c>
      <c r="BS408" s="64">
        <v>0</v>
      </c>
      <c r="BV408" s="65">
        <v>38500</v>
      </c>
      <c r="BW408" s="65">
        <v>23100</v>
      </c>
      <c r="BX408" s="65">
        <v>44557</v>
      </c>
      <c r="BY408" s="65">
        <v>15400</v>
      </c>
      <c r="BZ408" s="81">
        <v>40</v>
      </c>
    </row>
    <row r="409" spans="1:89" x14ac:dyDescent="0.15">
      <c r="A409" s="60">
        <v>2</v>
      </c>
      <c r="B409" s="61">
        <v>44585</v>
      </c>
      <c r="C409" s="61">
        <v>44585</v>
      </c>
      <c r="D409" s="61">
        <v>44612</v>
      </c>
      <c r="E409" s="61">
        <v>44604</v>
      </c>
      <c r="F409" s="61">
        <v>44592</v>
      </c>
      <c r="G409" s="61">
        <v>44585</v>
      </c>
      <c r="H409" s="61">
        <v>44588</v>
      </c>
      <c r="I409" s="60" t="s">
        <v>612</v>
      </c>
      <c r="J409" s="60">
        <v>1</v>
      </c>
      <c r="L409" s="60">
        <v>0</v>
      </c>
      <c r="M409" s="61">
        <v>44557</v>
      </c>
      <c r="O409" s="62" t="s">
        <v>331</v>
      </c>
      <c r="P409" s="60" t="s">
        <v>26</v>
      </c>
      <c r="Q409" s="62" t="s">
        <v>125</v>
      </c>
      <c r="R409" s="62" t="s">
        <v>2087</v>
      </c>
      <c r="S409" s="63" t="s">
        <v>689</v>
      </c>
      <c r="T409" s="63" t="s">
        <v>2088</v>
      </c>
      <c r="U409" s="64">
        <v>227500</v>
      </c>
      <c r="V409" s="64">
        <v>250250</v>
      </c>
      <c r="W409" s="64">
        <v>110000</v>
      </c>
      <c r="X409" s="64">
        <v>121000</v>
      </c>
      <c r="Y409" s="64">
        <v>117500</v>
      </c>
      <c r="Z409" s="64">
        <v>129250</v>
      </c>
      <c r="AA409" s="61">
        <v>44584</v>
      </c>
      <c r="AB409" s="61">
        <v>44585</v>
      </c>
      <c r="AC409" s="61">
        <v>44585</v>
      </c>
      <c r="AD409" s="60">
        <v>0</v>
      </c>
      <c r="AG409" s="60">
        <v>0</v>
      </c>
      <c r="AJ409" s="60">
        <v>0</v>
      </c>
      <c r="AM409" s="60" t="s">
        <v>273</v>
      </c>
      <c r="AN409" s="60" t="s">
        <v>2089</v>
      </c>
      <c r="AQ409" s="60" t="s">
        <v>1802</v>
      </c>
      <c r="AR409" s="61">
        <v>44579</v>
      </c>
      <c r="AS409" s="60">
        <v>6001981790</v>
      </c>
      <c r="AT409" s="61">
        <v>44579</v>
      </c>
      <c r="AU409" s="60" t="s">
        <v>1814</v>
      </c>
      <c r="AV409" s="61">
        <v>44585</v>
      </c>
      <c r="AW409" s="91">
        <v>44592</v>
      </c>
      <c r="AX409" s="91">
        <v>44612</v>
      </c>
      <c r="AY409" s="99">
        <v>218400</v>
      </c>
      <c r="AZ409" s="99">
        <f>ROUNDDOWN(AY409+(AY409*MASTER!$A$2/100),0)</f>
        <v>240240</v>
      </c>
      <c r="BA409" s="60" t="s">
        <v>317</v>
      </c>
      <c r="BB409" s="64">
        <v>35000</v>
      </c>
      <c r="BC409" s="64">
        <v>38500</v>
      </c>
      <c r="BD409" s="60" t="s">
        <v>1614</v>
      </c>
      <c r="BG409" s="64">
        <v>0</v>
      </c>
      <c r="BI409" s="60" t="s">
        <v>748</v>
      </c>
      <c r="BJ409" s="64">
        <v>76375</v>
      </c>
      <c r="BK409" s="64">
        <v>84012.5</v>
      </c>
      <c r="BL409" s="60" t="s">
        <v>1614</v>
      </c>
      <c r="BS409" s="64">
        <v>0</v>
      </c>
      <c r="BV409" s="65">
        <v>121000</v>
      </c>
      <c r="BW409" s="65">
        <v>122512.5</v>
      </c>
      <c r="BX409" s="65">
        <v>44557</v>
      </c>
      <c r="BY409" s="65">
        <v>-1512.5</v>
      </c>
      <c r="BZ409" s="81">
        <v>-1.25</v>
      </c>
    </row>
    <row r="410" spans="1:89" x14ac:dyDescent="0.15">
      <c r="A410" s="60">
        <v>2</v>
      </c>
      <c r="C410" s="61" t="s">
        <v>309</v>
      </c>
      <c r="F410" s="61" t="s">
        <v>309</v>
      </c>
      <c r="H410" s="61" t="s">
        <v>309</v>
      </c>
      <c r="J410" s="60">
        <v>4</v>
      </c>
      <c r="L410" s="60">
        <v>0</v>
      </c>
      <c r="M410" s="61">
        <v>44557</v>
      </c>
      <c r="O410" s="62" t="s">
        <v>331</v>
      </c>
      <c r="P410" s="60" t="s">
        <v>263</v>
      </c>
      <c r="Q410" s="62" t="s">
        <v>125</v>
      </c>
      <c r="R410" s="62" t="s">
        <v>1461</v>
      </c>
      <c r="S410" s="63" t="s">
        <v>354</v>
      </c>
      <c r="T410" s="63" t="s">
        <v>1462</v>
      </c>
      <c r="U410" s="64">
        <v>0</v>
      </c>
      <c r="V410" s="64">
        <v>0</v>
      </c>
      <c r="W410" s="64">
        <v>0</v>
      </c>
      <c r="X410" s="64">
        <v>0</v>
      </c>
      <c r="Y410" s="64">
        <v>0</v>
      </c>
      <c r="Z410" s="64">
        <v>0</v>
      </c>
      <c r="AA410" s="61">
        <v>44531</v>
      </c>
      <c r="AB410" s="61">
        <v>44561</v>
      </c>
      <c r="AD410" s="60">
        <v>0</v>
      </c>
      <c r="AG410" s="60">
        <v>0</v>
      </c>
      <c r="AJ410" s="60">
        <v>0</v>
      </c>
      <c r="AN410" s="60" t="s">
        <v>309</v>
      </c>
      <c r="AY410" s="99">
        <f>ROUNDDOWN((0.96*U410),0)</f>
        <v>0</v>
      </c>
      <c r="AZ410" s="99">
        <f>ROUNDDOWN(AY410+(AY410*MASTER!$A$2/100),0)</f>
        <v>0</v>
      </c>
      <c r="BA410" s="60" t="s">
        <v>318</v>
      </c>
      <c r="BB410" s="64">
        <v>4000</v>
      </c>
      <c r="BC410" s="64">
        <v>4400</v>
      </c>
      <c r="BD410" s="60" t="s">
        <v>184</v>
      </c>
      <c r="BG410" s="64">
        <v>0</v>
      </c>
      <c r="BK410" s="64">
        <v>0</v>
      </c>
      <c r="BS410" s="64">
        <v>0</v>
      </c>
      <c r="BV410" s="65">
        <v>0</v>
      </c>
      <c r="BW410" s="65">
        <v>4400</v>
      </c>
      <c r="BX410" s="65">
        <v>44557</v>
      </c>
      <c r="BY410" s="65">
        <v>-4400</v>
      </c>
      <c r="BZ410" s="81" t="s">
        <v>309</v>
      </c>
    </row>
    <row r="411" spans="1:89" x14ac:dyDescent="0.15">
      <c r="A411" s="60">
        <v>1</v>
      </c>
      <c r="C411" s="61" t="s">
        <v>309</v>
      </c>
      <c r="F411" s="61" t="s">
        <v>309</v>
      </c>
      <c r="H411" s="61" t="s">
        <v>309</v>
      </c>
      <c r="J411" s="60">
        <v>4</v>
      </c>
      <c r="L411" s="60">
        <v>0</v>
      </c>
      <c r="M411" s="61">
        <v>44557</v>
      </c>
      <c r="O411" s="62" t="s">
        <v>335</v>
      </c>
      <c r="P411" s="60" t="s">
        <v>672</v>
      </c>
      <c r="Q411" s="62" t="s">
        <v>1080</v>
      </c>
      <c r="R411" s="62" t="s">
        <v>1464</v>
      </c>
      <c r="S411" s="63" t="s">
        <v>602</v>
      </c>
      <c r="T411" s="63" t="s">
        <v>1465</v>
      </c>
      <c r="U411" s="64">
        <v>0</v>
      </c>
      <c r="V411" s="64">
        <v>0</v>
      </c>
      <c r="W411" s="64">
        <v>0</v>
      </c>
      <c r="X411" s="64">
        <v>0</v>
      </c>
      <c r="Y411" s="64">
        <v>0</v>
      </c>
      <c r="Z411" s="64">
        <v>0</v>
      </c>
      <c r="AA411" s="61">
        <v>44531</v>
      </c>
      <c r="AB411" s="61">
        <v>44561</v>
      </c>
      <c r="AD411" s="60">
        <v>0</v>
      </c>
      <c r="AG411" s="60">
        <v>0</v>
      </c>
      <c r="AJ411" s="60">
        <v>0</v>
      </c>
      <c r="AN411" s="60" t="s">
        <v>309</v>
      </c>
      <c r="AY411" s="99">
        <f>ROUNDDOWN((0.96*U411),0)</f>
        <v>0</v>
      </c>
      <c r="AZ411" s="99">
        <f>ROUNDDOWN(AY411+(AY411*MASTER!$A$2/100),0)</f>
        <v>0</v>
      </c>
      <c r="BA411" s="60" t="s">
        <v>1463</v>
      </c>
      <c r="BC411" s="64">
        <v>0</v>
      </c>
      <c r="BD411" s="60" t="s">
        <v>1366</v>
      </c>
      <c r="BG411" s="64">
        <v>0</v>
      </c>
      <c r="BK411" s="64">
        <v>0</v>
      </c>
      <c r="BS411" s="64">
        <v>0</v>
      </c>
      <c r="BV411" s="65">
        <v>0</v>
      </c>
      <c r="BW411" s="65">
        <v>0</v>
      </c>
      <c r="BX411" s="65">
        <v>44557</v>
      </c>
      <c r="BY411" s="65">
        <v>0</v>
      </c>
      <c r="BZ411" s="81" t="s">
        <v>309</v>
      </c>
    </row>
    <row r="412" spans="1:89" x14ac:dyDescent="0.15">
      <c r="A412" s="60">
        <v>2</v>
      </c>
      <c r="C412" s="61" t="s">
        <v>309</v>
      </c>
      <c r="F412" s="61" t="s">
        <v>309</v>
      </c>
      <c r="H412" s="61" t="s">
        <v>309</v>
      </c>
      <c r="J412" s="60">
        <v>4</v>
      </c>
      <c r="L412" s="60">
        <v>0</v>
      </c>
      <c r="M412" s="61">
        <v>44557</v>
      </c>
      <c r="O412" s="62" t="s">
        <v>331</v>
      </c>
      <c r="P412" s="60" t="s">
        <v>77</v>
      </c>
      <c r="Q412" s="62" t="s">
        <v>125</v>
      </c>
      <c r="R412" s="62" t="s">
        <v>1756</v>
      </c>
      <c r="S412" s="63" t="s">
        <v>354</v>
      </c>
      <c r="T412" s="63" t="s">
        <v>1757</v>
      </c>
      <c r="U412" s="64">
        <v>0</v>
      </c>
      <c r="V412" s="64">
        <v>0</v>
      </c>
      <c r="W412" s="64">
        <v>0</v>
      </c>
      <c r="X412" s="64">
        <v>0</v>
      </c>
      <c r="Y412" s="64">
        <v>0</v>
      </c>
      <c r="Z412" s="64">
        <v>0</v>
      </c>
      <c r="AA412" s="61">
        <v>44531</v>
      </c>
      <c r="AB412" s="61">
        <v>44561</v>
      </c>
      <c r="AD412" s="60">
        <v>0</v>
      </c>
      <c r="AG412" s="60">
        <v>0</v>
      </c>
      <c r="AJ412" s="60">
        <v>0</v>
      </c>
      <c r="AN412" s="60" t="s">
        <v>309</v>
      </c>
      <c r="AY412" s="99">
        <v>0</v>
      </c>
      <c r="AZ412" s="99">
        <f>ROUNDDOWN(AY412+(AY412*MASTER!$A$2/100),0)</f>
        <v>0</v>
      </c>
      <c r="BA412" s="60" t="s">
        <v>272</v>
      </c>
      <c r="BB412" s="64">
        <v>336959</v>
      </c>
      <c r="BC412" s="64">
        <v>370654.9</v>
      </c>
      <c r="BD412" s="60" t="s">
        <v>184</v>
      </c>
      <c r="BG412" s="64">
        <v>0</v>
      </c>
      <c r="BK412" s="64">
        <v>0</v>
      </c>
      <c r="BS412" s="64">
        <v>0</v>
      </c>
      <c r="BV412" s="65">
        <v>0</v>
      </c>
      <c r="BW412" s="65">
        <v>370654.9</v>
      </c>
      <c r="BX412" s="65">
        <v>44557</v>
      </c>
      <c r="BY412" s="65">
        <v>-370654.9</v>
      </c>
      <c r="BZ412" s="81" t="s">
        <v>309</v>
      </c>
    </row>
    <row r="413" spans="1:89" x14ac:dyDescent="0.15">
      <c r="A413" s="60">
        <v>2</v>
      </c>
      <c r="C413" s="61" t="s">
        <v>309</v>
      </c>
      <c r="F413" s="61" t="s">
        <v>309</v>
      </c>
      <c r="H413" s="61" t="s">
        <v>309</v>
      </c>
      <c r="J413" s="60">
        <v>4</v>
      </c>
      <c r="L413" s="60">
        <v>0</v>
      </c>
      <c r="M413" s="61">
        <v>44557</v>
      </c>
      <c r="O413" s="62" t="s">
        <v>331</v>
      </c>
      <c r="P413" s="60" t="s">
        <v>263</v>
      </c>
      <c r="Q413" s="62" t="s">
        <v>125</v>
      </c>
      <c r="R413" s="62" t="s">
        <v>1623</v>
      </c>
      <c r="S413" s="63" t="s">
        <v>354</v>
      </c>
      <c r="T413" s="63" t="s">
        <v>1624</v>
      </c>
      <c r="U413" s="64">
        <v>0</v>
      </c>
      <c r="V413" s="64">
        <v>0</v>
      </c>
      <c r="W413" s="64">
        <v>0</v>
      </c>
      <c r="X413" s="64">
        <v>0</v>
      </c>
      <c r="Y413" s="64">
        <v>0</v>
      </c>
      <c r="Z413" s="64">
        <v>0</v>
      </c>
      <c r="AA413" s="61">
        <v>44531</v>
      </c>
      <c r="AB413" s="61">
        <v>44561</v>
      </c>
      <c r="AD413" s="60">
        <v>0</v>
      </c>
      <c r="AG413" s="60">
        <v>0</v>
      </c>
      <c r="AJ413" s="60">
        <v>0</v>
      </c>
      <c r="AN413" s="60" t="s">
        <v>309</v>
      </c>
      <c r="AY413" s="99">
        <v>0</v>
      </c>
      <c r="AZ413" s="99">
        <f>ROUNDDOWN(AY413+(AY413*MASTER!$A$2/100),0)</f>
        <v>0</v>
      </c>
      <c r="BA413" s="60" t="s">
        <v>14</v>
      </c>
      <c r="BB413" s="64">
        <v>440760</v>
      </c>
      <c r="BC413" s="64">
        <v>484836</v>
      </c>
      <c r="BD413" s="60" t="s">
        <v>184</v>
      </c>
      <c r="BG413" s="64">
        <v>0</v>
      </c>
      <c r="BK413" s="64">
        <v>0</v>
      </c>
      <c r="BS413" s="64">
        <v>0</v>
      </c>
      <c r="BV413" s="65">
        <v>0</v>
      </c>
      <c r="BW413" s="65">
        <v>484836</v>
      </c>
      <c r="BX413" s="65">
        <v>44557</v>
      </c>
      <c r="BY413" s="65">
        <v>-484836</v>
      </c>
      <c r="BZ413" s="81" t="s">
        <v>309</v>
      </c>
    </row>
    <row r="414" spans="1:89" x14ac:dyDescent="0.15">
      <c r="A414" s="60">
        <v>2</v>
      </c>
      <c r="B414" s="61">
        <v>44634</v>
      </c>
      <c r="C414" s="61">
        <v>44651</v>
      </c>
      <c r="D414" s="61">
        <v>44651</v>
      </c>
      <c r="E414" s="61">
        <v>44651</v>
      </c>
      <c r="F414" s="61" t="s">
        <v>309</v>
      </c>
      <c r="G414" s="61">
        <v>44637</v>
      </c>
      <c r="H414" s="61" t="s">
        <v>309</v>
      </c>
      <c r="I414" s="60" t="s">
        <v>511</v>
      </c>
      <c r="J414" s="60">
        <v>2</v>
      </c>
      <c r="L414" s="60">
        <v>0</v>
      </c>
      <c r="M414" s="61">
        <v>44557</v>
      </c>
      <c r="O414" s="62" t="s">
        <v>331</v>
      </c>
      <c r="P414" s="60" t="s">
        <v>26</v>
      </c>
      <c r="Q414" s="62" t="s">
        <v>125</v>
      </c>
      <c r="R414" s="62" t="s">
        <v>2804</v>
      </c>
      <c r="S414" s="63" t="s">
        <v>1753</v>
      </c>
      <c r="T414" s="63" t="s">
        <v>656</v>
      </c>
      <c r="U414" s="64">
        <v>49500</v>
      </c>
      <c r="V414" s="64">
        <v>54450</v>
      </c>
      <c r="W414" s="64">
        <v>49500</v>
      </c>
      <c r="X414" s="64">
        <v>54450</v>
      </c>
      <c r="Z414" s="64">
        <v>0</v>
      </c>
      <c r="AA414" s="61">
        <v>44636</v>
      </c>
      <c r="AB414" s="61">
        <v>44637</v>
      </c>
      <c r="AD414" s="60">
        <v>0</v>
      </c>
      <c r="AG414" s="60">
        <v>0</v>
      </c>
      <c r="AJ414" s="60">
        <v>0</v>
      </c>
      <c r="AN414" s="60" t="s">
        <v>309</v>
      </c>
      <c r="AQ414" s="60" t="s">
        <v>1742</v>
      </c>
      <c r="AR414" s="61">
        <v>44574</v>
      </c>
      <c r="AS414" s="60">
        <v>6001979694</v>
      </c>
      <c r="AT414" s="61">
        <v>44574</v>
      </c>
      <c r="AU414" s="60" t="s">
        <v>1758</v>
      </c>
      <c r="AV414" s="61">
        <v>44651</v>
      </c>
      <c r="AW414" s="91">
        <v>44651</v>
      </c>
      <c r="AX414" s="91">
        <v>44671</v>
      </c>
      <c r="AY414" s="99">
        <v>47520</v>
      </c>
      <c r="AZ414" s="99">
        <f>ROUNDDOWN(AY414+(AY414*MASTER!$A$2/100),0)</f>
        <v>52272</v>
      </c>
      <c r="BA414" s="60" t="s">
        <v>582</v>
      </c>
      <c r="BB414" s="64">
        <v>24000</v>
      </c>
      <c r="BC414" s="64">
        <v>26400</v>
      </c>
      <c r="BD414" s="60" t="s">
        <v>2107</v>
      </c>
      <c r="BG414" s="64">
        <v>0</v>
      </c>
      <c r="BK414" s="64">
        <v>0</v>
      </c>
      <c r="BS414" s="64">
        <v>0</v>
      </c>
      <c r="BV414" s="65">
        <v>54450</v>
      </c>
      <c r="BW414" s="65">
        <v>26400</v>
      </c>
      <c r="BX414" s="65">
        <v>44557</v>
      </c>
      <c r="BY414" s="65">
        <v>28050</v>
      </c>
      <c r="BZ414" s="81">
        <v>51.515151515151516</v>
      </c>
    </row>
    <row r="415" spans="1:89" x14ac:dyDescent="0.15">
      <c r="A415" s="60">
        <v>1</v>
      </c>
      <c r="C415" s="61" t="s">
        <v>309</v>
      </c>
      <c r="F415" s="61" t="s">
        <v>309</v>
      </c>
      <c r="H415" s="61" t="s">
        <v>309</v>
      </c>
      <c r="J415" s="60">
        <v>4</v>
      </c>
      <c r="L415" s="60">
        <v>0</v>
      </c>
      <c r="M415" s="61">
        <v>44557</v>
      </c>
      <c r="O415" s="62" t="s">
        <v>331</v>
      </c>
      <c r="P415" s="60" t="s">
        <v>263</v>
      </c>
      <c r="Q415" s="62" t="s">
        <v>125</v>
      </c>
      <c r="R415" s="62" t="s">
        <v>1467</v>
      </c>
      <c r="S415" s="63" t="s">
        <v>354</v>
      </c>
      <c r="T415" s="63" t="s">
        <v>1468</v>
      </c>
      <c r="U415" s="64">
        <v>0</v>
      </c>
      <c r="V415" s="64">
        <v>0</v>
      </c>
      <c r="W415" s="64">
        <v>0</v>
      </c>
      <c r="X415" s="64">
        <v>0</v>
      </c>
      <c r="Y415" s="64">
        <v>0</v>
      </c>
      <c r="Z415" s="64">
        <v>0</v>
      </c>
      <c r="AA415" s="61">
        <v>44562</v>
      </c>
      <c r="AB415" s="61">
        <v>44620</v>
      </c>
      <c r="AD415" s="60">
        <v>0</v>
      </c>
      <c r="AG415" s="60">
        <v>0</v>
      </c>
      <c r="AJ415" s="60">
        <v>0</v>
      </c>
      <c r="AN415" s="60" t="s">
        <v>309</v>
      </c>
      <c r="AY415" s="99">
        <f>ROUNDDOWN((0.96*U415),0)</f>
        <v>0</v>
      </c>
      <c r="AZ415" s="99">
        <f>ROUNDDOWN(AY415+(AY415*MASTER!$A$2/100),0)</f>
        <v>0</v>
      </c>
      <c r="BA415" s="60" t="s">
        <v>356</v>
      </c>
      <c r="BB415" s="64">
        <v>32000</v>
      </c>
      <c r="BC415" s="64">
        <v>35200</v>
      </c>
      <c r="BD415" s="60" t="s">
        <v>1469</v>
      </c>
      <c r="BG415" s="64">
        <v>0</v>
      </c>
      <c r="BK415" s="64">
        <v>0</v>
      </c>
      <c r="BS415" s="64">
        <v>0</v>
      </c>
      <c r="BV415" s="65">
        <v>0</v>
      </c>
      <c r="BW415" s="65">
        <v>35200</v>
      </c>
      <c r="BX415" s="65">
        <v>44557</v>
      </c>
      <c r="BY415" s="65">
        <v>-35200</v>
      </c>
      <c r="BZ415" s="81" t="s">
        <v>309</v>
      </c>
    </row>
    <row r="416" spans="1:89" x14ac:dyDescent="0.15">
      <c r="A416" s="60">
        <v>2</v>
      </c>
      <c r="C416" s="61" t="s">
        <v>309</v>
      </c>
      <c r="F416" s="61" t="s">
        <v>309</v>
      </c>
      <c r="H416" s="61" t="s">
        <v>309</v>
      </c>
      <c r="J416" s="60">
        <v>4</v>
      </c>
      <c r="L416" s="60">
        <v>0</v>
      </c>
      <c r="M416" s="61">
        <v>44557</v>
      </c>
      <c r="O416" s="62" t="s">
        <v>331</v>
      </c>
      <c r="P416" s="60" t="s">
        <v>263</v>
      </c>
      <c r="Q416" s="62" t="s">
        <v>125</v>
      </c>
      <c r="R416" s="62" t="s">
        <v>1470</v>
      </c>
      <c r="S416" s="63" t="s">
        <v>707</v>
      </c>
      <c r="T416" s="63" t="s">
        <v>1471</v>
      </c>
      <c r="U416" s="64">
        <v>0</v>
      </c>
      <c r="V416" s="64">
        <v>0</v>
      </c>
      <c r="W416" s="64">
        <v>0</v>
      </c>
      <c r="X416" s="64">
        <v>0</v>
      </c>
      <c r="Y416" s="64">
        <v>0</v>
      </c>
      <c r="Z416" s="64">
        <v>0</v>
      </c>
      <c r="AA416" s="61">
        <v>44551</v>
      </c>
      <c r="AB416" s="61">
        <v>44551</v>
      </c>
      <c r="AD416" s="60">
        <v>0</v>
      </c>
      <c r="AG416" s="60">
        <v>0</v>
      </c>
      <c r="AJ416" s="60">
        <v>0</v>
      </c>
      <c r="AN416" s="60" t="s">
        <v>309</v>
      </c>
      <c r="AY416" s="99">
        <f>ROUNDDOWN((0.96*U416),0)</f>
        <v>0</v>
      </c>
      <c r="AZ416" s="99">
        <f>ROUNDDOWN(AY416+(AY416*MASTER!$A$2/100),0)</f>
        <v>0</v>
      </c>
      <c r="BA416" s="60" t="s">
        <v>317</v>
      </c>
      <c r="BB416" s="64">
        <v>46000</v>
      </c>
      <c r="BC416" s="64">
        <v>50600</v>
      </c>
      <c r="BD416" s="60" t="s">
        <v>184</v>
      </c>
      <c r="BG416" s="64">
        <v>0</v>
      </c>
      <c r="BK416" s="64">
        <v>0</v>
      </c>
      <c r="BS416" s="64">
        <v>0</v>
      </c>
      <c r="BV416" s="65">
        <v>0</v>
      </c>
      <c r="BW416" s="65">
        <v>50600</v>
      </c>
      <c r="BX416" s="65">
        <v>44557</v>
      </c>
      <c r="BY416" s="65">
        <v>-50600</v>
      </c>
      <c r="BZ416" s="81" t="s">
        <v>309</v>
      </c>
    </row>
    <row r="417" spans="1:78" x14ac:dyDescent="0.15">
      <c r="A417" s="60">
        <v>2</v>
      </c>
      <c r="B417" s="61">
        <v>44592</v>
      </c>
      <c r="C417" s="61">
        <v>44594</v>
      </c>
      <c r="D417" s="61">
        <v>44622</v>
      </c>
      <c r="E417" s="61">
        <v>44597</v>
      </c>
      <c r="F417" s="61">
        <v>44601</v>
      </c>
      <c r="G417" s="61">
        <v>44594</v>
      </c>
      <c r="H417" s="61">
        <v>44597</v>
      </c>
      <c r="I417" s="60" t="s">
        <v>511</v>
      </c>
      <c r="J417" s="60">
        <v>1</v>
      </c>
      <c r="L417" s="60">
        <v>0</v>
      </c>
      <c r="M417" s="61">
        <v>44557</v>
      </c>
      <c r="O417" s="62" t="s">
        <v>331</v>
      </c>
      <c r="P417" s="60" t="s">
        <v>26</v>
      </c>
      <c r="Q417" s="62" t="s">
        <v>125</v>
      </c>
      <c r="R417" s="62" t="s">
        <v>1505</v>
      </c>
      <c r="S417" s="63" t="s">
        <v>794</v>
      </c>
      <c r="T417" s="63" t="s">
        <v>1504</v>
      </c>
      <c r="U417" s="64">
        <v>330200</v>
      </c>
      <c r="V417" s="64">
        <v>363220</v>
      </c>
      <c r="W417" s="64">
        <v>231500</v>
      </c>
      <c r="X417" s="64">
        <v>254650</v>
      </c>
      <c r="Y417" s="64">
        <v>98700</v>
      </c>
      <c r="Z417" s="64">
        <v>108570</v>
      </c>
      <c r="AA417" s="61">
        <v>44592</v>
      </c>
      <c r="AB417" s="61">
        <v>44594</v>
      </c>
      <c r="AC417" s="61">
        <v>44594</v>
      </c>
      <c r="AD417" s="60">
        <v>0</v>
      </c>
      <c r="AG417" s="60">
        <v>0</v>
      </c>
      <c r="AJ417" s="60">
        <v>0</v>
      </c>
      <c r="AM417" s="60" t="s">
        <v>273</v>
      </c>
      <c r="AN417" s="60" t="s">
        <v>1506</v>
      </c>
      <c r="AQ417" s="60" t="s">
        <v>1810</v>
      </c>
      <c r="AR417" s="61">
        <v>44579</v>
      </c>
      <c r="AS417" s="60">
        <v>6001981792</v>
      </c>
      <c r="AT417" s="61">
        <v>44579</v>
      </c>
      <c r="AU417" s="60" t="s">
        <v>1813</v>
      </c>
      <c r="AV417" s="61">
        <v>44594</v>
      </c>
      <c r="AW417" s="91">
        <v>44620</v>
      </c>
      <c r="AX417" s="91">
        <v>44640</v>
      </c>
      <c r="AY417" s="99">
        <v>316992</v>
      </c>
      <c r="AZ417" s="99">
        <f>ROUNDDOWN(AY417+(AY417*MASTER!$A$2/100),0)</f>
        <v>348691</v>
      </c>
      <c r="BA417" s="60" t="s">
        <v>613</v>
      </c>
      <c r="BB417" s="64">
        <v>51000</v>
      </c>
      <c r="BC417" s="64">
        <v>56100</v>
      </c>
      <c r="BD417" s="60" t="s">
        <v>2044</v>
      </c>
      <c r="BG417" s="64">
        <v>0</v>
      </c>
      <c r="BI417" s="60" t="s">
        <v>267</v>
      </c>
      <c r="BJ417" s="64">
        <v>64155</v>
      </c>
      <c r="BK417" s="64">
        <v>70570.5</v>
      </c>
      <c r="BL417" s="60" t="s">
        <v>2104</v>
      </c>
      <c r="BS417" s="64">
        <v>0</v>
      </c>
      <c r="BV417" s="65">
        <v>254650</v>
      </c>
      <c r="BW417" s="65">
        <v>126670.5</v>
      </c>
      <c r="BX417" s="65">
        <v>44557</v>
      </c>
      <c r="BY417" s="65">
        <v>127979.5</v>
      </c>
      <c r="BZ417" s="81">
        <v>50.257019438444928</v>
      </c>
    </row>
    <row r="418" spans="1:78" x14ac:dyDescent="0.15">
      <c r="A418" s="60">
        <v>2</v>
      </c>
      <c r="B418" s="61">
        <v>44592</v>
      </c>
      <c r="C418" s="61">
        <v>44597</v>
      </c>
      <c r="D418" s="61">
        <v>44624</v>
      </c>
      <c r="E418" s="61">
        <v>44637</v>
      </c>
      <c r="F418" s="61">
        <v>44604</v>
      </c>
      <c r="G418" s="61">
        <v>44598</v>
      </c>
      <c r="H418" s="61">
        <v>44600</v>
      </c>
      <c r="I418" s="60" t="s">
        <v>612</v>
      </c>
      <c r="J418" s="60">
        <v>1</v>
      </c>
      <c r="L418" s="60">
        <v>0</v>
      </c>
      <c r="M418" s="61">
        <v>44557</v>
      </c>
      <c r="O418" s="62" t="s">
        <v>331</v>
      </c>
      <c r="P418" s="60" t="s">
        <v>26</v>
      </c>
      <c r="Q418" s="62" t="s">
        <v>125</v>
      </c>
      <c r="R418" s="62" t="s">
        <v>1507</v>
      </c>
      <c r="S418" s="63" t="s">
        <v>707</v>
      </c>
      <c r="T418" s="63" t="s">
        <v>1312</v>
      </c>
      <c r="U418" s="64">
        <v>510585</v>
      </c>
      <c r="V418" s="64">
        <v>561643.5</v>
      </c>
      <c r="W418" s="64">
        <v>411885</v>
      </c>
      <c r="X418" s="64">
        <v>453073.5</v>
      </c>
      <c r="Y418" s="64">
        <v>98700</v>
      </c>
      <c r="Z418" s="64">
        <v>108570</v>
      </c>
      <c r="AA418" s="61">
        <v>44593</v>
      </c>
      <c r="AB418" s="61">
        <v>44597</v>
      </c>
      <c r="AC418" s="61">
        <v>44597</v>
      </c>
      <c r="AD418" s="60">
        <v>0</v>
      </c>
      <c r="AG418" s="60">
        <v>0</v>
      </c>
      <c r="AJ418" s="60">
        <v>0</v>
      </c>
      <c r="AM418" s="60" t="s">
        <v>273</v>
      </c>
      <c r="AN418" s="60" t="s">
        <v>1508</v>
      </c>
      <c r="AQ418" s="60" t="s">
        <v>1936</v>
      </c>
      <c r="AR418" s="61">
        <v>44586</v>
      </c>
      <c r="AS418" s="60">
        <v>6001985074</v>
      </c>
      <c r="AT418" s="61">
        <v>44586</v>
      </c>
      <c r="AU418" s="60" t="s">
        <v>1952</v>
      </c>
      <c r="AV418" s="61">
        <v>44597</v>
      </c>
      <c r="AW418" s="91">
        <v>44620</v>
      </c>
      <c r="AX418" s="91">
        <v>44640</v>
      </c>
      <c r="AY418" s="99">
        <v>490161</v>
      </c>
      <c r="AZ418" s="99">
        <f>ROUNDDOWN(AY418+(AY418*MASTER!$A$2/100),0)</f>
        <v>539177</v>
      </c>
      <c r="BA418" s="60" t="s">
        <v>317</v>
      </c>
      <c r="BB418" s="64">
        <v>203000</v>
      </c>
      <c r="BC418" s="64">
        <v>223300</v>
      </c>
      <c r="BD418" s="60" t="s">
        <v>2044</v>
      </c>
      <c r="BG418" s="64">
        <v>0</v>
      </c>
      <c r="BI418" s="60" t="s">
        <v>748</v>
      </c>
      <c r="BJ418" s="64">
        <v>64155</v>
      </c>
      <c r="BK418" s="64">
        <v>70570.5</v>
      </c>
      <c r="BL418" s="60" t="s">
        <v>2044</v>
      </c>
      <c r="BS418" s="64">
        <v>0</v>
      </c>
      <c r="BV418" s="65">
        <v>453073.5</v>
      </c>
      <c r="BW418" s="65">
        <v>293870.5</v>
      </c>
      <c r="BX418" s="65">
        <v>44557</v>
      </c>
      <c r="BY418" s="65">
        <v>159203</v>
      </c>
      <c r="BZ418" s="81">
        <v>35.138448838874929</v>
      </c>
    </row>
    <row r="419" spans="1:78" x14ac:dyDescent="0.15">
      <c r="A419" s="60">
        <v>2</v>
      </c>
      <c r="B419" s="61">
        <v>44574</v>
      </c>
      <c r="C419" s="61">
        <v>44575</v>
      </c>
      <c r="D419" s="61">
        <v>44558</v>
      </c>
      <c r="E419" s="61">
        <v>44558</v>
      </c>
      <c r="F419" s="61" t="s">
        <v>309</v>
      </c>
      <c r="G419" s="61">
        <v>44558</v>
      </c>
      <c r="H419" s="61" t="s">
        <v>309</v>
      </c>
      <c r="I419" s="60" t="s">
        <v>766</v>
      </c>
      <c r="J419" s="60">
        <v>2</v>
      </c>
      <c r="L419" s="60">
        <v>0</v>
      </c>
      <c r="M419" s="61">
        <v>44558</v>
      </c>
      <c r="O419" s="62" t="s">
        <v>331</v>
      </c>
      <c r="P419" s="60" t="s">
        <v>6</v>
      </c>
      <c r="Q419" s="62" t="s">
        <v>125</v>
      </c>
      <c r="R419" s="62" t="s">
        <v>1511</v>
      </c>
      <c r="S419" s="63" t="s">
        <v>1512</v>
      </c>
      <c r="T419" s="63" t="s">
        <v>364</v>
      </c>
      <c r="U419" s="64">
        <v>35000</v>
      </c>
      <c r="V419" s="64">
        <v>38500</v>
      </c>
      <c r="W419" s="64">
        <v>35000</v>
      </c>
      <c r="X419" s="64">
        <v>38500</v>
      </c>
      <c r="Z419" s="64">
        <v>0</v>
      </c>
      <c r="AA419" s="61">
        <v>44557</v>
      </c>
      <c r="AB419" s="61">
        <v>44557</v>
      </c>
      <c r="AD419" s="60">
        <v>0</v>
      </c>
      <c r="AG419" s="60">
        <v>0</v>
      </c>
      <c r="AJ419" s="60">
        <v>0</v>
      </c>
      <c r="AN419" s="60" t="s">
        <v>309</v>
      </c>
      <c r="AQ419" s="60" t="s">
        <v>1711</v>
      </c>
      <c r="AR419" s="61">
        <v>44573</v>
      </c>
      <c r="AS419" s="60">
        <v>6001978758</v>
      </c>
      <c r="AT419" s="61">
        <v>44573</v>
      </c>
      <c r="AU419" s="60" t="s">
        <v>1736</v>
      </c>
      <c r="AV419" s="61">
        <v>44575</v>
      </c>
      <c r="AW419" s="91">
        <v>44592</v>
      </c>
      <c r="AX419" s="91">
        <v>44612</v>
      </c>
      <c r="AY419" s="99">
        <v>33600</v>
      </c>
      <c r="AZ419" s="99">
        <f>ROUNDDOWN(AY419+(AY419*MASTER!$A$2/100),0)</f>
        <v>36960</v>
      </c>
      <c r="BA419" s="60" t="s">
        <v>314</v>
      </c>
      <c r="BB419" s="64">
        <v>21000</v>
      </c>
      <c r="BC419" s="64">
        <v>23100</v>
      </c>
      <c r="BD419" s="60" t="s">
        <v>1614</v>
      </c>
      <c r="BG419" s="64">
        <v>0</v>
      </c>
      <c r="BK419" s="64">
        <v>0</v>
      </c>
      <c r="BS419" s="64">
        <v>0</v>
      </c>
      <c r="BV419" s="65">
        <v>38500</v>
      </c>
      <c r="BW419" s="65">
        <v>23100</v>
      </c>
      <c r="BX419" s="65">
        <v>44558</v>
      </c>
      <c r="BY419" s="65">
        <v>15400</v>
      </c>
      <c r="BZ419" s="81">
        <v>40</v>
      </c>
    </row>
    <row r="420" spans="1:78" x14ac:dyDescent="0.15">
      <c r="A420" s="60">
        <v>2</v>
      </c>
      <c r="B420" s="61">
        <v>44592</v>
      </c>
      <c r="C420" s="61">
        <v>44593</v>
      </c>
      <c r="D420" s="61">
        <v>44624</v>
      </c>
      <c r="E420" s="61">
        <v>44618</v>
      </c>
      <c r="F420" s="61">
        <v>44600</v>
      </c>
      <c r="G420" s="61">
        <v>44592</v>
      </c>
      <c r="H420" s="61">
        <v>44596</v>
      </c>
      <c r="I420" s="60" t="s">
        <v>612</v>
      </c>
      <c r="J420" s="60">
        <v>1</v>
      </c>
      <c r="L420" s="60">
        <v>0</v>
      </c>
      <c r="M420" s="61">
        <v>44558</v>
      </c>
      <c r="O420" s="62" t="s">
        <v>331</v>
      </c>
      <c r="P420" s="60" t="s">
        <v>26</v>
      </c>
      <c r="Q420" s="62" t="s">
        <v>125</v>
      </c>
      <c r="R420" s="62" t="s">
        <v>1515</v>
      </c>
      <c r="S420" s="63" t="s">
        <v>709</v>
      </c>
      <c r="T420" s="63" t="s">
        <v>1516</v>
      </c>
      <c r="U420" s="64">
        <v>153500</v>
      </c>
      <c r="V420" s="64">
        <v>168850</v>
      </c>
      <c r="W420" s="64">
        <v>86000</v>
      </c>
      <c r="X420" s="64">
        <v>94600</v>
      </c>
      <c r="Y420" s="64">
        <v>67500</v>
      </c>
      <c r="Z420" s="64">
        <v>74250</v>
      </c>
      <c r="AA420" s="61">
        <v>44591</v>
      </c>
      <c r="AB420" s="61">
        <v>44593</v>
      </c>
      <c r="AC420" s="61">
        <v>44593</v>
      </c>
      <c r="AD420" s="60">
        <v>0</v>
      </c>
      <c r="AG420" s="60">
        <v>0</v>
      </c>
      <c r="AJ420" s="60">
        <v>0</v>
      </c>
      <c r="AM420" s="60" t="s">
        <v>273</v>
      </c>
      <c r="AN420" s="60" t="s">
        <v>1517</v>
      </c>
      <c r="AR420" s="61">
        <v>44581</v>
      </c>
      <c r="AS420" s="60">
        <v>6001982753</v>
      </c>
      <c r="AT420" s="61">
        <v>44581</v>
      </c>
      <c r="AU420" s="60" t="s">
        <v>1861</v>
      </c>
      <c r="AV420" s="61">
        <v>44593</v>
      </c>
      <c r="AW420" s="91">
        <v>44620</v>
      </c>
      <c r="AX420" s="91">
        <v>44640</v>
      </c>
      <c r="AY420" s="99">
        <v>147360</v>
      </c>
      <c r="AZ420" s="99">
        <f>ROUNDDOWN(AY420+(AY420*MASTER!$A$2/100),0)</f>
        <v>162096</v>
      </c>
      <c r="BA420" s="60" t="s">
        <v>317</v>
      </c>
      <c r="BB420" s="64">
        <v>36000</v>
      </c>
      <c r="BC420" s="64">
        <v>39600</v>
      </c>
      <c r="BD420" s="60" t="s">
        <v>2044</v>
      </c>
      <c r="BG420" s="64">
        <v>0</v>
      </c>
      <c r="BI420" s="60" t="s">
        <v>748</v>
      </c>
      <c r="BJ420" s="64">
        <v>43875</v>
      </c>
      <c r="BK420" s="64">
        <v>48262.5</v>
      </c>
      <c r="BL420" s="60" t="s">
        <v>2044</v>
      </c>
      <c r="BS420" s="64">
        <v>0</v>
      </c>
      <c r="BV420" s="65">
        <v>94600</v>
      </c>
      <c r="BW420" s="65">
        <v>87862.5</v>
      </c>
      <c r="BX420" s="65">
        <v>44558</v>
      </c>
      <c r="BY420" s="65">
        <v>6737.5</v>
      </c>
      <c r="BZ420" s="81">
        <v>7.1220930232558137</v>
      </c>
    </row>
    <row r="421" spans="1:78" x14ac:dyDescent="0.15">
      <c r="A421" s="60">
        <v>2</v>
      </c>
      <c r="B421" s="61">
        <v>44585</v>
      </c>
      <c r="C421" s="61">
        <v>44587</v>
      </c>
      <c r="D421" s="61" t="s">
        <v>764</v>
      </c>
      <c r="E421" s="61">
        <v>44604</v>
      </c>
      <c r="F421" s="61">
        <v>44594</v>
      </c>
      <c r="G421" s="61">
        <v>44589</v>
      </c>
      <c r="H421" s="61">
        <v>44590</v>
      </c>
      <c r="I421" s="60" t="s">
        <v>612</v>
      </c>
      <c r="J421" s="60">
        <v>1</v>
      </c>
      <c r="L421" s="60">
        <v>0</v>
      </c>
      <c r="M421" s="61">
        <v>44558</v>
      </c>
      <c r="O421" s="62" t="s">
        <v>331</v>
      </c>
      <c r="P421" s="60" t="s">
        <v>26</v>
      </c>
      <c r="Q421" s="62" t="s">
        <v>125</v>
      </c>
      <c r="R421" s="62" t="s">
        <v>1871</v>
      </c>
      <c r="S421" s="63" t="s">
        <v>1872</v>
      </c>
      <c r="T421" s="63" t="s">
        <v>1368</v>
      </c>
      <c r="U421" s="64">
        <v>23900</v>
      </c>
      <c r="V421" s="64">
        <v>26290</v>
      </c>
      <c r="W421" s="64">
        <v>14700</v>
      </c>
      <c r="X421" s="64">
        <v>16170</v>
      </c>
      <c r="Y421" s="64">
        <v>9200</v>
      </c>
      <c r="Z421" s="64">
        <v>10120</v>
      </c>
      <c r="AA421" s="61">
        <v>44585</v>
      </c>
      <c r="AB421" s="61">
        <v>44587</v>
      </c>
      <c r="AC421" s="61">
        <v>44587</v>
      </c>
      <c r="AD421" s="60">
        <v>0</v>
      </c>
      <c r="AG421" s="60">
        <v>0</v>
      </c>
      <c r="AJ421" s="60">
        <v>0</v>
      </c>
      <c r="AM421" s="60" t="s">
        <v>273</v>
      </c>
      <c r="AN421" s="60" t="s">
        <v>1873</v>
      </c>
      <c r="AQ421" s="60" t="s">
        <v>1874</v>
      </c>
      <c r="AR421" s="61">
        <v>44582</v>
      </c>
      <c r="AS421" s="60">
        <v>6001983497</v>
      </c>
      <c r="AT421" s="61">
        <v>44582</v>
      </c>
      <c r="AU421" s="60" t="s">
        <v>1887</v>
      </c>
      <c r="AV421" s="61">
        <v>44587</v>
      </c>
      <c r="AW421" s="91">
        <v>44592</v>
      </c>
      <c r="AX421" s="91">
        <v>44612</v>
      </c>
      <c r="AY421" s="99">
        <v>22944</v>
      </c>
      <c r="AZ421" s="99">
        <f>ROUNDDOWN(AY421+(AY421*MASTER!$A$2/100),0)</f>
        <v>25238</v>
      </c>
      <c r="BA421" s="60" t="s">
        <v>765</v>
      </c>
      <c r="BC421" s="64">
        <v>0</v>
      </c>
      <c r="BG421" s="64">
        <v>0</v>
      </c>
      <c r="BI421" s="60" t="s">
        <v>748</v>
      </c>
      <c r="BJ421" s="64">
        <v>5980</v>
      </c>
      <c r="BK421" s="64">
        <v>6578</v>
      </c>
      <c r="BL421" s="60" t="s">
        <v>1614</v>
      </c>
      <c r="BS421" s="64">
        <v>0</v>
      </c>
      <c r="BV421" s="65">
        <v>16170</v>
      </c>
      <c r="BW421" s="65">
        <v>6578</v>
      </c>
      <c r="BX421" s="65">
        <v>44558</v>
      </c>
      <c r="BY421" s="65">
        <v>9592</v>
      </c>
      <c r="BZ421" s="81">
        <v>59.319727891156461</v>
      </c>
    </row>
    <row r="422" spans="1:78" x14ac:dyDescent="0.15">
      <c r="A422" s="60">
        <v>1</v>
      </c>
      <c r="B422" s="61">
        <v>44592</v>
      </c>
      <c r="C422" s="61">
        <v>44593</v>
      </c>
      <c r="F422" s="61">
        <v>44600</v>
      </c>
      <c r="G422" s="61">
        <v>44599</v>
      </c>
      <c r="H422" s="61">
        <v>44596</v>
      </c>
      <c r="J422" s="60">
        <v>1</v>
      </c>
      <c r="L422" s="60">
        <v>0</v>
      </c>
      <c r="M422" s="61">
        <v>44558</v>
      </c>
      <c r="O422" s="62" t="s">
        <v>331</v>
      </c>
      <c r="P422" s="60" t="s">
        <v>26</v>
      </c>
      <c r="Q422" s="62" t="s">
        <v>125</v>
      </c>
      <c r="R422" s="62" t="s">
        <v>1881</v>
      </c>
      <c r="S422" s="63" t="s">
        <v>1882</v>
      </c>
      <c r="T422" s="63" t="s">
        <v>1883</v>
      </c>
      <c r="U422" s="64">
        <v>23900</v>
      </c>
      <c r="V422" s="64">
        <v>26290</v>
      </c>
      <c r="W422" s="64">
        <v>14700</v>
      </c>
      <c r="X422" s="64">
        <v>16170</v>
      </c>
      <c r="Y422" s="64">
        <v>9200</v>
      </c>
      <c r="Z422" s="64">
        <v>10120</v>
      </c>
      <c r="AA422" s="61">
        <v>44592</v>
      </c>
      <c r="AB422" s="61">
        <v>44593</v>
      </c>
      <c r="AC422" s="61">
        <v>44593</v>
      </c>
      <c r="AD422" s="60">
        <v>0</v>
      </c>
      <c r="AG422" s="60">
        <v>0</v>
      </c>
      <c r="AJ422" s="60">
        <v>0</v>
      </c>
      <c r="AM422" s="60" t="s">
        <v>273</v>
      </c>
      <c r="AN422" s="60" t="s">
        <v>1884</v>
      </c>
      <c r="AQ422" s="60" t="s">
        <v>1885</v>
      </c>
      <c r="AR422" s="61">
        <v>44582</v>
      </c>
      <c r="AS422" s="60">
        <v>6001983700</v>
      </c>
      <c r="AT422" s="61">
        <v>44585</v>
      </c>
      <c r="AU422" s="60" t="s">
        <v>2120</v>
      </c>
      <c r="AV422" s="61">
        <v>44593</v>
      </c>
      <c r="AW422" s="91">
        <v>44620</v>
      </c>
      <c r="AX422" s="91">
        <v>44640</v>
      </c>
      <c r="AY422" s="99">
        <v>22944</v>
      </c>
      <c r="AZ422" s="99">
        <f>ROUNDDOWN(AY422+(AY422*MASTER!$A$2/100),0)</f>
        <v>25238</v>
      </c>
      <c r="BA422" s="60" t="s">
        <v>765</v>
      </c>
      <c r="BC422" s="64">
        <v>0</v>
      </c>
      <c r="BG422" s="64">
        <v>0</v>
      </c>
      <c r="BI422" s="60" t="s">
        <v>267</v>
      </c>
      <c r="BJ422" s="64">
        <v>5980</v>
      </c>
      <c r="BK422" s="64">
        <v>6578</v>
      </c>
      <c r="BL422" s="60" t="s">
        <v>2104</v>
      </c>
      <c r="BS422" s="64">
        <v>0</v>
      </c>
      <c r="BV422" s="65">
        <v>16170</v>
      </c>
      <c r="BW422" s="65">
        <v>6578</v>
      </c>
      <c r="BX422" s="65">
        <v>44558</v>
      </c>
      <c r="BY422" s="65">
        <v>9592</v>
      </c>
      <c r="BZ422" s="81">
        <v>59.319727891156461</v>
      </c>
    </row>
    <row r="423" spans="1:78" x14ac:dyDescent="0.15">
      <c r="A423" s="60">
        <v>2</v>
      </c>
      <c r="B423" s="61">
        <v>44602</v>
      </c>
      <c r="C423" s="61">
        <v>44610</v>
      </c>
      <c r="D423" s="61">
        <v>44635</v>
      </c>
      <c r="E423" s="61">
        <v>44618</v>
      </c>
      <c r="F423" s="61">
        <v>44616</v>
      </c>
      <c r="G423" s="61">
        <v>44609</v>
      </c>
      <c r="H423" s="61">
        <v>44612</v>
      </c>
      <c r="I423" s="60" t="s">
        <v>511</v>
      </c>
      <c r="J423" s="60">
        <v>1</v>
      </c>
      <c r="K423" s="61">
        <v>44566</v>
      </c>
      <c r="L423" s="60" t="s">
        <v>529</v>
      </c>
      <c r="M423" s="61">
        <v>44558</v>
      </c>
      <c r="O423" s="62" t="s">
        <v>331</v>
      </c>
      <c r="P423" s="60" t="s">
        <v>26</v>
      </c>
      <c r="Q423" s="62" t="s">
        <v>125</v>
      </c>
      <c r="R423" s="62" t="s">
        <v>1626</v>
      </c>
      <c r="S423" s="63" t="s">
        <v>1067</v>
      </c>
      <c r="T423" s="63" t="s">
        <v>498</v>
      </c>
      <c r="U423" s="64">
        <v>50000</v>
      </c>
      <c r="V423" s="64">
        <v>55000</v>
      </c>
      <c r="W423" s="64">
        <v>47000</v>
      </c>
      <c r="X423" s="64">
        <v>51700</v>
      </c>
      <c r="Y423" s="64">
        <v>3000</v>
      </c>
      <c r="Z423" s="64">
        <v>3300</v>
      </c>
      <c r="AA423" s="61">
        <v>44608</v>
      </c>
      <c r="AB423" s="61">
        <v>44609</v>
      </c>
      <c r="AC423" s="61">
        <v>44609</v>
      </c>
      <c r="AD423" s="60">
        <v>0</v>
      </c>
      <c r="AG423" s="60">
        <v>0</v>
      </c>
      <c r="AJ423" s="60">
        <v>0</v>
      </c>
      <c r="AM423" s="60" t="s">
        <v>273</v>
      </c>
      <c r="AN423" s="60" t="s">
        <v>1627</v>
      </c>
      <c r="AQ423" s="60" t="s">
        <v>2298</v>
      </c>
      <c r="AR423" s="61">
        <v>44582</v>
      </c>
      <c r="AS423" s="60">
        <v>6001983497</v>
      </c>
      <c r="AT423" s="61">
        <v>44582</v>
      </c>
      <c r="AU423" s="60" t="s">
        <v>1887</v>
      </c>
      <c r="AV423" s="61">
        <v>44610</v>
      </c>
      <c r="AW423" s="91">
        <v>44620</v>
      </c>
      <c r="AX423" s="91">
        <v>44640</v>
      </c>
      <c r="AY423" s="99">
        <v>48000</v>
      </c>
      <c r="AZ423" s="99">
        <f>ROUNDDOWN(AY423+(AY423*MASTER!$A$2/100),0)</f>
        <v>52800</v>
      </c>
      <c r="BA423" s="60" t="s">
        <v>319</v>
      </c>
      <c r="BB423" s="64">
        <v>23000</v>
      </c>
      <c r="BC423" s="64">
        <v>25300</v>
      </c>
      <c r="BD423" s="60" t="s">
        <v>2044</v>
      </c>
      <c r="BG423" s="64">
        <v>0</v>
      </c>
      <c r="BI423" s="60" t="s">
        <v>748</v>
      </c>
      <c r="BJ423" s="64">
        <v>1950</v>
      </c>
      <c r="BK423" s="64">
        <v>2145</v>
      </c>
      <c r="BL423" s="60" t="s">
        <v>2044</v>
      </c>
      <c r="BS423" s="64">
        <v>0</v>
      </c>
      <c r="BV423" s="65">
        <v>51700</v>
      </c>
      <c r="BW423" s="65">
        <v>27445</v>
      </c>
      <c r="BX423" s="65">
        <v>0</v>
      </c>
      <c r="BY423" s="65">
        <v>44566</v>
      </c>
      <c r="BZ423" s="81">
        <v>46.914893617021278</v>
      </c>
    </row>
    <row r="424" spans="1:78" x14ac:dyDescent="0.15">
      <c r="A424" s="60">
        <v>1</v>
      </c>
      <c r="B424" s="61">
        <v>44608</v>
      </c>
      <c r="C424" s="61">
        <v>44608</v>
      </c>
      <c r="F424" s="61" t="s">
        <v>309</v>
      </c>
      <c r="G424" s="61">
        <v>44565</v>
      </c>
      <c r="H424" s="61" t="s">
        <v>309</v>
      </c>
      <c r="J424" s="60">
        <v>2</v>
      </c>
      <c r="L424" s="60">
        <v>0</v>
      </c>
      <c r="M424" s="61">
        <v>44565</v>
      </c>
      <c r="O424" s="62" t="s">
        <v>331</v>
      </c>
      <c r="P424" s="60" t="s">
        <v>6</v>
      </c>
      <c r="Q424" s="62" t="s">
        <v>40</v>
      </c>
      <c r="R424" s="62" t="s">
        <v>1522</v>
      </c>
      <c r="S424" s="63" t="s">
        <v>1070</v>
      </c>
      <c r="T424" s="63" t="s">
        <v>1523</v>
      </c>
      <c r="U424" s="64">
        <v>219000</v>
      </c>
      <c r="V424" s="64">
        <v>240900</v>
      </c>
      <c r="W424" s="64">
        <v>219000</v>
      </c>
      <c r="X424" s="64">
        <v>240900</v>
      </c>
      <c r="Z424" s="64">
        <v>0</v>
      </c>
      <c r="AA424" s="61">
        <v>44558</v>
      </c>
      <c r="AB424" s="61">
        <v>44558</v>
      </c>
      <c r="AD424" s="60">
        <v>0</v>
      </c>
      <c r="AG424" s="60">
        <v>0</v>
      </c>
      <c r="AJ424" s="60">
        <v>0</v>
      </c>
      <c r="AN424" s="60" t="s">
        <v>309</v>
      </c>
      <c r="AQ424" s="60" t="s">
        <v>2226</v>
      </c>
      <c r="AR424" s="61">
        <v>44606</v>
      </c>
      <c r="AS424" s="60">
        <v>6001993031</v>
      </c>
      <c r="AT424" s="61">
        <v>44607</v>
      </c>
      <c r="AU424" s="60" t="s">
        <v>2314</v>
      </c>
      <c r="AV424" s="61">
        <v>44608</v>
      </c>
      <c r="AW424" s="91">
        <v>44620</v>
      </c>
      <c r="AX424" s="91">
        <v>44640</v>
      </c>
      <c r="AY424" s="107">
        <v>219000</v>
      </c>
      <c r="AZ424" s="107">
        <f>ROUNDDOWN(AY424+(AY424*MASTER!$A$2/100),0)</f>
        <v>240900</v>
      </c>
      <c r="BC424" s="64">
        <v>0</v>
      </c>
      <c r="BG424" s="64">
        <v>0</v>
      </c>
      <c r="BI424" s="60" t="s">
        <v>748</v>
      </c>
      <c r="BJ424" s="64">
        <v>73636</v>
      </c>
      <c r="BK424" s="64">
        <v>80999.600000000006</v>
      </c>
      <c r="BL424" s="60" t="s">
        <v>184</v>
      </c>
      <c r="BS424" s="64">
        <v>0</v>
      </c>
      <c r="BV424" s="65">
        <v>240900</v>
      </c>
      <c r="BW424" s="65">
        <v>80999.600000000006</v>
      </c>
      <c r="BX424" s="65">
        <v>44565</v>
      </c>
      <c r="BY424" s="65">
        <v>159900.4</v>
      </c>
      <c r="BZ424" s="81">
        <v>66.376255707762553</v>
      </c>
    </row>
    <row r="425" spans="1:78" x14ac:dyDescent="0.15">
      <c r="A425" s="60">
        <v>2</v>
      </c>
      <c r="B425" s="61">
        <v>44574</v>
      </c>
      <c r="C425" s="61">
        <v>44575</v>
      </c>
      <c r="D425" s="61">
        <v>44565</v>
      </c>
      <c r="E425" s="61">
        <v>44565</v>
      </c>
      <c r="F425" s="61" t="s">
        <v>309</v>
      </c>
      <c r="G425" s="61">
        <v>44565</v>
      </c>
      <c r="H425" s="61" t="s">
        <v>309</v>
      </c>
      <c r="I425" s="60" t="s">
        <v>766</v>
      </c>
      <c r="J425" s="60">
        <v>2</v>
      </c>
      <c r="L425" s="60">
        <v>0</v>
      </c>
      <c r="M425" s="61">
        <v>44565</v>
      </c>
      <c r="O425" s="62" t="s">
        <v>331</v>
      </c>
      <c r="P425" s="60" t="s">
        <v>6</v>
      </c>
      <c r="Q425" s="62" t="s">
        <v>40</v>
      </c>
      <c r="R425" s="62" t="s">
        <v>1610</v>
      </c>
      <c r="S425" s="63" t="s">
        <v>1323</v>
      </c>
      <c r="T425" s="63" t="s">
        <v>364</v>
      </c>
      <c r="U425" s="64">
        <v>35000</v>
      </c>
      <c r="V425" s="64">
        <v>38500</v>
      </c>
      <c r="W425" s="64">
        <v>35000</v>
      </c>
      <c r="X425" s="64">
        <v>38500</v>
      </c>
      <c r="Z425" s="64">
        <v>0</v>
      </c>
      <c r="AA425" s="61">
        <v>44558</v>
      </c>
      <c r="AB425" s="61">
        <v>44558</v>
      </c>
      <c r="AD425" s="60">
        <v>0</v>
      </c>
      <c r="AG425" s="60">
        <v>0</v>
      </c>
      <c r="AJ425" s="60">
        <v>0</v>
      </c>
      <c r="AN425" s="60" t="s">
        <v>309</v>
      </c>
      <c r="AQ425" s="60" t="s">
        <v>1712</v>
      </c>
      <c r="AR425" s="61">
        <v>44573</v>
      </c>
      <c r="AS425" s="60">
        <v>6001978758</v>
      </c>
      <c r="AT425" s="61">
        <v>44573</v>
      </c>
      <c r="AU425" s="60" t="s">
        <v>1736</v>
      </c>
      <c r="AV425" s="61">
        <v>44575</v>
      </c>
      <c r="AW425" s="91">
        <v>44592</v>
      </c>
      <c r="AX425" s="91">
        <v>44612</v>
      </c>
      <c r="AY425" s="99">
        <v>33600</v>
      </c>
      <c r="AZ425" s="99">
        <f>ROUNDDOWN(AY425+(AY425*MASTER!$A$2/100),0)</f>
        <v>36960</v>
      </c>
      <c r="BA425" s="60" t="s">
        <v>613</v>
      </c>
      <c r="BB425" s="64">
        <v>30000</v>
      </c>
      <c r="BC425" s="64">
        <v>33000</v>
      </c>
      <c r="BD425" s="60" t="s">
        <v>184</v>
      </c>
      <c r="BG425" s="64">
        <v>0</v>
      </c>
      <c r="BK425" s="64">
        <v>0</v>
      </c>
      <c r="BS425" s="64">
        <v>0</v>
      </c>
      <c r="BV425" s="65">
        <v>38500</v>
      </c>
      <c r="BW425" s="65">
        <v>33000</v>
      </c>
      <c r="BX425" s="65">
        <v>44565</v>
      </c>
      <c r="BY425" s="65">
        <v>5500</v>
      </c>
      <c r="BZ425" s="81">
        <v>14.285714285714285</v>
      </c>
    </row>
    <row r="426" spans="1:78" x14ac:dyDescent="0.15">
      <c r="A426" s="60">
        <v>2</v>
      </c>
      <c r="B426" s="61">
        <v>44574</v>
      </c>
      <c r="C426" s="61">
        <v>44575</v>
      </c>
      <c r="D426" s="61">
        <v>44565</v>
      </c>
      <c r="E426" s="61">
        <v>44565</v>
      </c>
      <c r="F426" s="61" t="s">
        <v>309</v>
      </c>
      <c r="G426" s="61">
        <v>44565</v>
      </c>
      <c r="H426" s="61" t="s">
        <v>309</v>
      </c>
      <c r="I426" s="60" t="s">
        <v>494</v>
      </c>
      <c r="J426" s="60">
        <v>2</v>
      </c>
      <c r="L426" s="60">
        <v>0</v>
      </c>
      <c r="M426" s="61">
        <v>44565</v>
      </c>
      <c r="O426" s="62" t="s">
        <v>331</v>
      </c>
      <c r="P426" s="60" t="s">
        <v>6</v>
      </c>
      <c r="Q426" s="62" t="s">
        <v>40</v>
      </c>
      <c r="R426" s="62" t="s">
        <v>1611</v>
      </c>
      <c r="S426" s="63" t="s">
        <v>1612</v>
      </c>
      <c r="T426" s="63" t="s">
        <v>364</v>
      </c>
      <c r="U426" s="64">
        <v>35000</v>
      </c>
      <c r="V426" s="64">
        <v>38500</v>
      </c>
      <c r="W426" s="64">
        <v>35000</v>
      </c>
      <c r="X426" s="64">
        <v>38500</v>
      </c>
      <c r="Z426" s="64">
        <v>0</v>
      </c>
      <c r="AA426" s="61">
        <v>44562</v>
      </c>
      <c r="AB426" s="61">
        <v>44562</v>
      </c>
      <c r="AD426" s="60">
        <v>0</v>
      </c>
      <c r="AG426" s="60">
        <v>0</v>
      </c>
      <c r="AJ426" s="60">
        <v>0</v>
      </c>
      <c r="AN426" s="60" t="s">
        <v>309</v>
      </c>
      <c r="AQ426" s="60" t="s">
        <v>1713</v>
      </c>
      <c r="AR426" s="61">
        <v>44573</v>
      </c>
      <c r="AS426" s="60">
        <v>6001978758</v>
      </c>
      <c r="AT426" s="61">
        <v>44573</v>
      </c>
      <c r="AU426" s="60" t="s">
        <v>1736</v>
      </c>
      <c r="AV426" s="61">
        <v>44575</v>
      </c>
      <c r="AW426" s="91">
        <v>44592</v>
      </c>
      <c r="AX426" s="91">
        <v>44612</v>
      </c>
      <c r="AY426" s="99">
        <v>33600</v>
      </c>
      <c r="AZ426" s="99">
        <f>ROUNDDOWN(AY426+(AY426*MASTER!$A$2/100),0)</f>
        <v>36960</v>
      </c>
      <c r="BA426" s="60" t="s">
        <v>582</v>
      </c>
      <c r="BB426" s="64">
        <v>20000</v>
      </c>
      <c r="BC426" s="64">
        <v>22000</v>
      </c>
      <c r="BD426" s="60" t="s">
        <v>1614</v>
      </c>
      <c r="BG426" s="64">
        <v>0</v>
      </c>
      <c r="BK426" s="64">
        <v>0</v>
      </c>
      <c r="BS426" s="64">
        <v>0</v>
      </c>
      <c r="BV426" s="65">
        <v>38500</v>
      </c>
      <c r="BW426" s="65">
        <v>22000</v>
      </c>
      <c r="BX426" s="65">
        <v>44565</v>
      </c>
      <c r="BY426" s="65">
        <v>16500</v>
      </c>
      <c r="BZ426" s="81">
        <v>42.857142857142854</v>
      </c>
    </row>
    <row r="427" spans="1:78" x14ac:dyDescent="0.15">
      <c r="A427" s="60">
        <v>1</v>
      </c>
      <c r="B427" s="61">
        <v>44585</v>
      </c>
      <c r="C427" s="61">
        <v>44586</v>
      </c>
      <c r="F427" s="61" t="s">
        <v>309</v>
      </c>
      <c r="G427" s="61">
        <v>44578</v>
      </c>
      <c r="H427" s="61" t="s">
        <v>309</v>
      </c>
      <c r="J427" s="60">
        <v>2</v>
      </c>
      <c r="L427" s="60">
        <v>0</v>
      </c>
      <c r="M427" s="61">
        <v>44565</v>
      </c>
      <c r="O427" s="62" t="s">
        <v>331</v>
      </c>
      <c r="P427" s="60" t="s">
        <v>6</v>
      </c>
      <c r="Q427" s="62" t="s">
        <v>40</v>
      </c>
      <c r="R427" s="62" t="s">
        <v>1773</v>
      </c>
      <c r="S427" s="63" t="s">
        <v>1014</v>
      </c>
      <c r="T427" s="63" t="s">
        <v>364</v>
      </c>
      <c r="U427" s="64">
        <v>51000</v>
      </c>
      <c r="V427" s="64">
        <v>56100</v>
      </c>
      <c r="W427" s="64">
        <v>51000</v>
      </c>
      <c r="X427" s="64">
        <v>56100</v>
      </c>
      <c r="Z427" s="64">
        <v>0</v>
      </c>
      <c r="AA427" s="61">
        <v>44574</v>
      </c>
      <c r="AB427" s="61">
        <v>44574</v>
      </c>
      <c r="AD427" s="60">
        <v>0</v>
      </c>
      <c r="AG427" s="60">
        <v>0</v>
      </c>
      <c r="AJ427" s="60">
        <v>0</v>
      </c>
      <c r="AN427" s="60" t="s">
        <v>309</v>
      </c>
      <c r="AQ427" s="60" t="s">
        <v>1831</v>
      </c>
      <c r="AR427" s="61">
        <v>44581</v>
      </c>
      <c r="AS427" s="60">
        <v>6001982753</v>
      </c>
      <c r="AT427" s="61">
        <v>44581</v>
      </c>
      <c r="AU427" s="60" t="s">
        <v>1861</v>
      </c>
      <c r="AV427" s="61">
        <v>44586</v>
      </c>
      <c r="AW427" s="91">
        <v>44592</v>
      </c>
      <c r="AX427" s="91">
        <v>44612</v>
      </c>
      <c r="AY427" s="99">
        <v>48960</v>
      </c>
      <c r="AZ427" s="99">
        <f>ROUNDDOWN(AY427+(AY427*MASTER!$A$2/100),0)</f>
        <v>53856</v>
      </c>
      <c r="BA427" s="60" t="s">
        <v>317</v>
      </c>
      <c r="BB427" s="64">
        <v>31000</v>
      </c>
      <c r="BC427" s="64">
        <v>34100</v>
      </c>
      <c r="BD427" s="60" t="s">
        <v>1614</v>
      </c>
      <c r="BG427" s="64">
        <v>0</v>
      </c>
      <c r="BK427" s="64">
        <v>0</v>
      </c>
      <c r="BS427" s="64">
        <v>0</v>
      </c>
      <c r="BV427" s="65">
        <v>56100</v>
      </c>
      <c r="BW427" s="65">
        <v>34100</v>
      </c>
      <c r="BX427" s="65">
        <v>44565</v>
      </c>
      <c r="BY427" s="65">
        <v>22000</v>
      </c>
      <c r="BZ427" s="81">
        <v>39.215686274509807</v>
      </c>
    </row>
    <row r="428" spans="1:78" x14ac:dyDescent="0.15">
      <c r="A428" s="60">
        <v>1</v>
      </c>
      <c r="B428" s="61">
        <v>44574</v>
      </c>
      <c r="C428" s="61">
        <v>44592</v>
      </c>
      <c r="D428" s="61">
        <v>44604</v>
      </c>
      <c r="F428" s="61" t="s">
        <v>309</v>
      </c>
      <c r="G428" s="61">
        <v>44581</v>
      </c>
      <c r="H428" s="61" t="s">
        <v>309</v>
      </c>
      <c r="J428" s="60">
        <v>2</v>
      </c>
      <c r="L428" s="60">
        <v>0</v>
      </c>
      <c r="M428" s="61">
        <v>44565</v>
      </c>
      <c r="O428" s="62" t="s">
        <v>331</v>
      </c>
      <c r="P428" s="60" t="s">
        <v>26</v>
      </c>
      <c r="Q428" s="62" t="s">
        <v>40</v>
      </c>
      <c r="R428" s="62" t="s">
        <v>1793</v>
      </c>
      <c r="S428" s="63" t="s">
        <v>540</v>
      </c>
      <c r="T428" s="63" t="s">
        <v>1524</v>
      </c>
      <c r="U428" s="64">
        <v>78600</v>
      </c>
      <c r="V428" s="64">
        <v>86460</v>
      </c>
      <c r="W428" s="64">
        <v>78600</v>
      </c>
      <c r="X428" s="64">
        <v>86460</v>
      </c>
      <c r="Z428" s="64">
        <v>0</v>
      </c>
      <c r="AA428" s="61">
        <v>44580</v>
      </c>
      <c r="AB428" s="61">
        <v>44581</v>
      </c>
      <c r="AD428" s="60">
        <v>0</v>
      </c>
      <c r="AG428" s="60">
        <v>0</v>
      </c>
      <c r="AJ428" s="60">
        <v>0</v>
      </c>
      <c r="AN428" s="60" t="s">
        <v>309</v>
      </c>
      <c r="AQ428" s="60" t="s">
        <v>1715</v>
      </c>
      <c r="AR428" s="61">
        <v>44573</v>
      </c>
      <c r="AS428" s="60">
        <v>6001978758</v>
      </c>
      <c r="AT428" s="61">
        <v>44573</v>
      </c>
      <c r="AU428" s="60" t="s">
        <v>1736</v>
      </c>
      <c r="AV428" s="61">
        <v>44592</v>
      </c>
      <c r="AW428" s="91">
        <v>44592</v>
      </c>
      <c r="AX428" s="91">
        <v>44612</v>
      </c>
      <c r="AY428" s="107">
        <v>78600</v>
      </c>
      <c r="AZ428" s="107">
        <f>ROUNDDOWN(AY428+(AY428*MASTER!$A$2/100),0)</f>
        <v>86460</v>
      </c>
      <c r="BA428" s="60" t="s">
        <v>613</v>
      </c>
      <c r="BB428" s="64">
        <v>28000</v>
      </c>
      <c r="BC428" s="64">
        <v>30800</v>
      </c>
      <c r="BD428" s="60" t="s">
        <v>1614</v>
      </c>
      <c r="BG428" s="64">
        <v>0</v>
      </c>
      <c r="BK428" s="64">
        <v>0</v>
      </c>
      <c r="BS428" s="64">
        <v>0</v>
      </c>
      <c r="BV428" s="65">
        <v>86460</v>
      </c>
      <c r="BW428" s="65">
        <v>30800</v>
      </c>
      <c r="BX428" s="65">
        <v>44565</v>
      </c>
      <c r="BY428" s="65">
        <v>55660</v>
      </c>
      <c r="BZ428" s="81">
        <v>64.376590330788801</v>
      </c>
    </row>
    <row r="429" spans="1:78" x14ac:dyDescent="0.15">
      <c r="A429" s="60">
        <v>1</v>
      </c>
      <c r="B429" s="61">
        <v>44574</v>
      </c>
      <c r="C429" s="61">
        <v>44592</v>
      </c>
      <c r="F429" s="61" t="s">
        <v>309</v>
      </c>
      <c r="G429" s="61">
        <v>44581</v>
      </c>
      <c r="H429" s="61" t="s">
        <v>309</v>
      </c>
      <c r="J429" s="60">
        <v>2</v>
      </c>
      <c r="L429" s="60">
        <v>0</v>
      </c>
      <c r="M429" s="61">
        <v>44565</v>
      </c>
      <c r="O429" s="62" t="s">
        <v>331</v>
      </c>
      <c r="P429" s="60" t="s">
        <v>26</v>
      </c>
      <c r="Q429" s="62" t="s">
        <v>40</v>
      </c>
      <c r="R429" s="62" t="s">
        <v>1794</v>
      </c>
      <c r="S429" s="63" t="s">
        <v>567</v>
      </c>
      <c r="T429" s="63" t="s">
        <v>1524</v>
      </c>
      <c r="U429" s="64">
        <v>78600</v>
      </c>
      <c r="V429" s="64">
        <v>86460</v>
      </c>
      <c r="W429" s="64">
        <v>78600</v>
      </c>
      <c r="X429" s="64">
        <v>86460</v>
      </c>
      <c r="Z429" s="64">
        <v>0</v>
      </c>
      <c r="AA429" s="61">
        <v>44580</v>
      </c>
      <c r="AB429" s="61">
        <v>44580</v>
      </c>
      <c r="AD429" s="60">
        <v>0</v>
      </c>
      <c r="AG429" s="60">
        <v>0</v>
      </c>
      <c r="AJ429" s="60">
        <v>0</v>
      </c>
      <c r="AN429" s="60" t="s">
        <v>309</v>
      </c>
      <c r="AQ429" s="60" t="s">
        <v>1715</v>
      </c>
      <c r="AR429" s="61">
        <v>44573</v>
      </c>
      <c r="AS429" s="60">
        <v>6001978758</v>
      </c>
      <c r="AT429" s="61">
        <v>44573</v>
      </c>
      <c r="AU429" s="60" t="s">
        <v>1736</v>
      </c>
      <c r="AV429" s="61">
        <v>44592</v>
      </c>
      <c r="AW429" s="91">
        <v>44592</v>
      </c>
      <c r="AX429" s="91">
        <v>44612</v>
      </c>
      <c r="AY429" s="107">
        <v>78600</v>
      </c>
      <c r="AZ429" s="107">
        <f>ROUNDDOWN(AY429+(AY429*MASTER!$A$2/100),0)</f>
        <v>86460</v>
      </c>
      <c r="BA429" s="60" t="s">
        <v>314</v>
      </c>
      <c r="BB429" s="64">
        <v>34000</v>
      </c>
      <c r="BC429" s="64">
        <v>37400</v>
      </c>
      <c r="BD429" s="60" t="s">
        <v>2044</v>
      </c>
      <c r="BG429" s="64">
        <v>0</v>
      </c>
      <c r="BK429" s="64">
        <v>0</v>
      </c>
      <c r="BS429" s="64">
        <v>0</v>
      </c>
      <c r="BV429" s="65">
        <v>86460</v>
      </c>
      <c r="BW429" s="65">
        <v>37400</v>
      </c>
      <c r="BX429" s="65">
        <v>44565</v>
      </c>
      <c r="BY429" s="65">
        <v>49060</v>
      </c>
      <c r="BZ429" s="81">
        <v>56.743002544529261</v>
      </c>
    </row>
    <row r="430" spans="1:78" x14ac:dyDescent="0.15">
      <c r="A430" s="60">
        <v>1</v>
      </c>
      <c r="B430" s="61">
        <v>44574</v>
      </c>
      <c r="C430" s="61">
        <v>44592</v>
      </c>
      <c r="F430" s="61" t="s">
        <v>309</v>
      </c>
      <c r="G430" s="61">
        <v>44580</v>
      </c>
      <c r="H430" s="61" t="s">
        <v>309</v>
      </c>
      <c r="J430" s="60">
        <v>2</v>
      </c>
      <c r="L430" s="60">
        <v>0</v>
      </c>
      <c r="M430" s="61">
        <v>44565</v>
      </c>
      <c r="O430" s="62" t="s">
        <v>331</v>
      </c>
      <c r="P430" s="60" t="s">
        <v>26</v>
      </c>
      <c r="Q430" s="62" t="s">
        <v>40</v>
      </c>
      <c r="R430" s="62" t="s">
        <v>1527</v>
      </c>
      <c r="S430" s="63" t="s">
        <v>574</v>
      </c>
      <c r="T430" s="63" t="s">
        <v>1524</v>
      </c>
      <c r="U430" s="64">
        <v>78600</v>
      </c>
      <c r="V430" s="64">
        <v>86460</v>
      </c>
      <c r="W430" s="64">
        <v>78600</v>
      </c>
      <c r="X430" s="64">
        <v>86460</v>
      </c>
      <c r="Z430" s="64">
        <v>0</v>
      </c>
      <c r="AA430" s="61">
        <v>44579</v>
      </c>
      <c r="AB430" s="61">
        <v>44579</v>
      </c>
      <c r="AD430" s="60">
        <v>0</v>
      </c>
      <c r="AG430" s="60">
        <v>0</v>
      </c>
      <c r="AJ430" s="60">
        <v>0</v>
      </c>
      <c r="AQ430" s="60" t="s">
        <v>1715</v>
      </c>
      <c r="AR430" s="61">
        <v>44573</v>
      </c>
      <c r="AS430" s="60">
        <v>6001978758</v>
      </c>
      <c r="AT430" s="61">
        <v>44573</v>
      </c>
      <c r="AU430" s="60" t="s">
        <v>1736</v>
      </c>
      <c r="AV430" s="61">
        <v>44592</v>
      </c>
      <c r="AW430" s="91">
        <v>44592</v>
      </c>
      <c r="AX430" s="91">
        <v>44612</v>
      </c>
      <c r="AY430" s="107">
        <v>78600</v>
      </c>
      <c r="AZ430" s="107">
        <f>ROUNDDOWN(AY430+(AY430*MASTER!$A$2/100),0)</f>
        <v>86460</v>
      </c>
      <c r="BA430" s="60" t="s">
        <v>314</v>
      </c>
      <c r="BB430" s="64">
        <v>31000</v>
      </c>
      <c r="BC430" s="64">
        <v>34100</v>
      </c>
      <c r="BD430" s="60" t="s">
        <v>2044</v>
      </c>
      <c r="BG430" s="64">
        <v>0</v>
      </c>
      <c r="BK430" s="64">
        <v>0</v>
      </c>
      <c r="BS430" s="64">
        <v>0</v>
      </c>
      <c r="BV430" s="65">
        <v>86460</v>
      </c>
      <c r="BW430" s="65">
        <v>34100</v>
      </c>
      <c r="BX430" s="65">
        <v>44565</v>
      </c>
      <c r="BY430" s="65">
        <v>52360</v>
      </c>
      <c r="BZ430" s="81">
        <v>60.559796437659031</v>
      </c>
    </row>
    <row r="431" spans="1:78" x14ac:dyDescent="0.15">
      <c r="A431" s="60">
        <v>1</v>
      </c>
      <c r="B431" s="61">
        <v>44574</v>
      </c>
      <c r="C431" s="61">
        <v>44592</v>
      </c>
      <c r="F431" s="61" t="s">
        <v>309</v>
      </c>
      <c r="G431" s="61">
        <v>44581</v>
      </c>
      <c r="H431" s="61" t="s">
        <v>309</v>
      </c>
      <c r="J431" s="60">
        <v>2</v>
      </c>
      <c r="L431" s="60">
        <v>0</v>
      </c>
      <c r="M431" s="61">
        <v>44565</v>
      </c>
      <c r="O431" s="62" t="s">
        <v>331</v>
      </c>
      <c r="P431" s="60" t="s">
        <v>26</v>
      </c>
      <c r="Q431" s="62" t="s">
        <v>40</v>
      </c>
      <c r="R431" s="62" t="s">
        <v>1528</v>
      </c>
      <c r="S431" s="63" t="s">
        <v>447</v>
      </c>
      <c r="T431" s="63" t="s">
        <v>1524</v>
      </c>
      <c r="U431" s="64">
        <v>78600</v>
      </c>
      <c r="V431" s="64">
        <v>86460</v>
      </c>
      <c r="W431" s="64">
        <v>78600</v>
      </c>
      <c r="X431" s="64">
        <v>86460</v>
      </c>
      <c r="Z431" s="64">
        <v>0</v>
      </c>
      <c r="AA431" s="61">
        <v>44580</v>
      </c>
      <c r="AB431" s="61">
        <v>44580</v>
      </c>
      <c r="AD431" s="60">
        <v>0</v>
      </c>
      <c r="AG431" s="60">
        <v>0</v>
      </c>
      <c r="AJ431" s="60">
        <v>0</v>
      </c>
      <c r="AQ431" s="60" t="s">
        <v>1715</v>
      </c>
      <c r="AR431" s="61">
        <v>44573</v>
      </c>
      <c r="AS431" s="60">
        <v>6001978758</v>
      </c>
      <c r="AT431" s="61">
        <v>44573</v>
      </c>
      <c r="AU431" s="60" t="s">
        <v>1736</v>
      </c>
      <c r="AV431" s="61">
        <v>44592</v>
      </c>
      <c r="AW431" s="91">
        <v>44592</v>
      </c>
      <c r="AX431" s="91">
        <v>44612</v>
      </c>
      <c r="AY431" s="107">
        <v>78600</v>
      </c>
      <c r="AZ431" s="107">
        <f>ROUNDDOWN(AY431+(AY431*MASTER!$A$2/100),0)</f>
        <v>86460</v>
      </c>
      <c r="BA431" s="60" t="s">
        <v>314</v>
      </c>
      <c r="BB431" s="64">
        <v>29000</v>
      </c>
      <c r="BC431" s="64">
        <v>31900</v>
      </c>
      <c r="BD431" s="60" t="s">
        <v>2044</v>
      </c>
      <c r="BG431" s="64">
        <v>0</v>
      </c>
      <c r="BK431" s="64">
        <v>0</v>
      </c>
      <c r="BS431" s="64">
        <v>0</v>
      </c>
      <c r="BV431" s="65">
        <v>86460</v>
      </c>
      <c r="BW431" s="65">
        <v>31900</v>
      </c>
      <c r="BX431" s="65">
        <v>44565</v>
      </c>
      <c r="BY431" s="65">
        <v>54560</v>
      </c>
      <c r="BZ431" s="81">
        <v>63.104325699745544</v>
      </c>
    </row>
    <row r="432" spans="1:78" x14ac:dyDescent="0.15">
      <c r="A432" s="60">
        <v>2</v>
      </c>
      <c r="B432" s="61">
        <v>44574</v>
      </c>
      <c r="C432" s="61">
        <v>44592</v>
      </c>
      <c r="D432" s="61">
        <v>44604</v>
      </c>
      <c r="F432" s="61" t="s">
        <v>309</v>
      </c>
      <c r="G432" s="61">
        <v>44581</v>
      </c>
      <c r="H432" s="61" t="s">
        <v>309</v>
      </c>
      <c r="J432" s="60">
        <v>2</v>
      </c>
      <c r="L432" s="60">
        <v>0</v>
      </c>
      <c r="M432" s="61">
        <v>44565</v>
      </c>
      <c r="O432" s="62" t="s">
        <v>331</v>
      </c>
      <c r="P432" s="60" t="s">
        <v>26</v>
      </c>
      <c r="Q432" s="62" t="s">
        <v>40</v>
      </c>
      <c r="R432" s="62" t="s">
        <v>1529</v>
      </c>
      <c r="S432" s="63" t="s">
        <v>577</v>
      </c>
      <c r="T432" s="63" t="s">
        <v>1524</v>
      </c>
      <c r="U432" s="64">
        <v>78600</v>
      </c>
      <c r="V432" s="64">
        <v>86460</v>
      </c>
      <c r="W432" s="64">
        <v>78600</v>
      </c>
      <c r="X432" s="64">
        <v>86460</v>
      </c>
      <c r="Z432" s="64">
        <v>0</v>
      </c>
      <c r="AA432" s="61">
        <v>44580</v>
      </c>
      <c r="AB432" s="61">
        <v>44581</v>
      </c>
      <c r="AD432" s="60">
        <v>0</v>
      </c>
      <c r="AG432" s="60">
        <v>0</v>
      </c>
      <c r="AJ432" s="60">
        <v>0</v>
      </c>
      <c r="AQ432" s="60" t="s">
        <v>1715</v>
      </c>
      <c r="AR432" s="61">
        <v>44573</v>
      </c>
      <c r="AS432" s="60">
        <v>6001978758</v>
      </c>
      <c r="AT432" s="61">
        <v>44573</v>
      </c>
      <c r="AU432" s="60" t="s">
        <v>1736</v>
      </c>
      <c r="AV432" s="61">
        <v>44592</v>
      </c>
      <c r="AW432" s="91">
        <v>44592</v>
      </c>
      <c r="AX432" s="91">
        <v>44612</v>
      </c>
      <c r="AY432" s="107">
        <v>78600</v>
      </c>
      <c r="AZ432" s="107">
        <f>ROUNDDOWN(AY432+(AY432*MASTER!$A$2/100),0)</f>
        <v>86460</v>
      </c>
      <c r="BA432" s="60" t="s">
        <v>613</v>
      </c>
      <c r="BB432" s="64">
        <v>27000</v>
      </c>
      <c r="BC432" s="64">
        <v>29700</v>
      </c>
      <c r="BD432" s="60" t="s">
        <v>1614</v>
      </c>
      <c r="BG432" s="64">
        <v>0</v>
      </c>
      <c r="BK432" s="64">
        <v>0</v>
      </c>
      <c r="BS432" s="64">
        <v>0</v>
      </c>
      <c r="BV432" s="65">
        <v>86460</v>
      </c>
      <c r="BW432" s="65">
        <v>29700</v>
      </c>
      <c r="BX432" s="65">
        <v>44565</v>
      </c>
      <c r="BY432" s="65">
        <v>56760</v>
      </c>
      <c r="BZ432" s="81">
        <v>65.648854961832058</v>
      </c>
    </row>
    <row r="433" spans="1:78" x14ac:dyDescent="0.15">
      <c r="A433" s="60">
        <v>1</v>
      </c>
      <c r="B433" s="61">
        <v>44574</v>
      </c>
      <c r="C433" s="61">
        <v>44592</v>
      </c>
      <c r="D433" s="61">
        <v>44604</v>
      </c>
      <c r="F433" s="61" t="s">
        <v>309</v>
      </c>
      <c r="G433" s="61">
        <v>44582</v>
      </c>
      <c r="H433" s="61" t="s">
        <v>309</v>
      </c>
      <c r="J433" s="60">
        <v>2</v>
      </c>
      <c r="L433" s="60">
        <v>0</v>
      </c>
      <c r="M433" s="61">
        <v>44565</v>
      </c>
      <c r="O433" s="62" t="s">
        <v>331</v>
      </c>
      <c r="P433" s="60" t="s">
        <v>26</v>
      </c>
      <c r="Q433" s="62" t="s">
        <v>40</v>
      </c>
      <c r="R433" s="62" t="s">
        <v>1530</v>
      </c>
      <c r="S433" s="63" t="s">
        <v>391</v>
      </c>
      <c r="T433" s="63" t="s">
        <v>1524</v>
      </c>
      <c r="U433" s="64">
        <v>78600</v>
      </c>
      <c r="V433" s="64">
        <v>86460</v>
      </c>
      <c r="W433" s="64">
        <v>78600</v>
      </c>
      <c r="X433" s="64">
        <v>86460</v>
      </c>
      <c r="Z433" s="64">
        <v>0</v>
      </c>
      <c r="AA433" s="61">
        <v>44581</v>
      </c>
      <c r="AB433" s="61">
        <v>44582</v>
      </c>
      <c r="AD433" s="60">
        <v>0</v>
      </c>
      <c r="AG433" s="60">
        <v>0</v>
      </c>
      <c r="AJ433" s="60">
        <v>0</v>
      </c>
      <c r="AQ433" s="60" t="s">
        <v>1715</v>
      </c>
      <c r="AR433" s="61">
        <v>44573</v>
      </c>
      <c r="AS433" s="60">
        <v>6001978758</v>
      </c>
      <c r="AT433" s="61">
        <v>44573</v>
      </c>
      <c r="AU433" s="60" t="s">
        <v>1736</v>
      </c>
      <c r="AV433" s="61">
        <v>44592</v>
      </c>
      <c r="AW433" s="91">
        <v>44592</v>
      </c>
      <c r="AX433" s="91">
        <v>44612</v>
      </c>
      <c r="AY433" s="107">
        <v>78600</v>
      </c>
      <c r="AZ433" s="107">
        <f>ROUNDDOWN(AY433+(AY433*MASTER!$A$2/100),0)</f>
        <v>86460</v>
      </c>
      <c r="BA433" s="60" t="s">
        <v>613</v>
      </c>
      <c r="BB433" s="64">
        <v>24000</v>
      </c>
      <c r="BC433" s="64">
        <v>26400</v>
      </c>
      <c r="BD433" s="60" t="s">
        <v>1614</v>
      </c>
      <c r="BG433" s="64">
        <v>0</v>
      </c>
      <c r="BK433" s="64">
        <v>0</v>
      </c>
      <c r="BS433" s="64">
        <v>0</v>
      </c>
      <c r="BV433" s="65">
        <v>86460</v>
      </c>
      <c r="BW433" s="65">
        <v>26400</v>
      </c>
      <c r="BX433" s="65">
        <v>44565</v>
      </c>
      <c r="BY433" s="65">
        <v>60060</v>
      </c>
      <c r="BZ433" s="81">
        <v>69.465648854961842</v>
      </c>
    </row>
    <row r="434" spans="1:78" x14ac:dyDescent="0.15">
      <c r="A434" s="60">
        <v>2</v>
      </c>
      <c r="B434" s="61">
        <v>44574</v>
      </c>
      <c r="C434" s="61">
        <v>44592</v>
      </c>
      <c r="D434" s="61">
        <v>44604</v>
      </c>
      <c r="F434" s="61" t="s">
        <v>309</v>
      </c>
      <c r="G434" s="61">
        <v>44592</v>
      </c>
      <c r="H434" s="61" t="s">
        <v>309</v>
      </c>
      <c r="J434" s="60">
        <v>2</v>
      </c>
      <c r="L434" s="60">
        <v>0</v>
      </c>
      <c r="M434" s="61">
        <v>44565</v>
      </c>
      <c r="O434" s="62" t="s">
        <v>331</v>
      </c>
      <c r="P434" s="60" t="s">
        <v>26</v>
      </c>
      <c r="Q434" s="62" t="s">
        <v>40</v>
      </c>
      <c r="R434" s="62" t="s">
        <v>1531</v>
      </c>
      <c r="S434" s="63" t="s">
        <v>1203</v>
      </c>
      <c r="T434" s="63" t="s">
        <v>1524</v>
      </c>
      <c r="U434" s="64">
        <v>78600</v>
      </c>
      <c r="V434" s="64">
        <v>86460</v>
      </c>
      <c r="W434" s="64">
        <v>78600</v>
      </c>
      <c r="X434" s="64">
        <v>86460</v>
      </c>
      <c r="Z434" s="64">
        <v>0</v>
      </c>
      <c r="AA434" s="61">
        <v>44589</v>
      </c>
      <c r="AB434" s="61">
        <v>44590</v>
      </c>
      <c r="AD434" s="60">
        <v>0</v>
      </c>
      <c r="AG434" s="60">
        <v>0</v>
      </c>
      <c r="AJ434" s="60">
        <v>0</v>
      </c>
      <c r="AQ434" s="60" t="s">
        <v>1715</v>
      </c>
      <c r="AR434" s="61">
        <v>44573</v>
      </c>
      <c r="AS434" s="60">
        <v>6001978758</v>
      </c>
      <c r="AT434" s="61">
        <v>44573</v>
      </c>
      <c r="AU434" s="60" t="s">
        <v>1736</v>
      </c>
      <c r="AV434" s="61">
        <v>44592</v>
      </c>
      <c r="AW434" s="91">
        <v>44592</v>
      </c>
      <c r="AX434" s="91">
        <v>44612</v>
      </c>
      <c r="AY434" s="107">
        <v>78600</v>
      </c>
      <c r="AZ434" s="107">
        <f>ROUNDDOWN(AY434+(AY434*MASTER!$A$2/100),0)</f>
        <v>86460</v>
      </c>
      <c r="BA434" s="60" t="s">
        <v>613</v>
      </c>
      <c r="BB434" s="64">
        <v>32000</v>
      </c>
      <c r="BC434" s="64">
        <v>35200</v>
      </c>
      <c r="BD434" s="60" t="s">
        <v>1614</v>
      </c>
      <c r="BG434" s="64">
        <v>0</v>
      </c>
      <c r="BK434" s="64">
        <v>0</v>
      </c>
      <c r="BS434" s="64">
        <v>0</v>
      </c>
      <c r="BV434" s="65">
        <v>86460</v>
      </c>
      <c r="BW434" s="65">
        <v>35200</v>
      </c>
      <c r="BX434" s="65">
        <v>44565</v>
      </c>
      <c r="BY434" s="65">
        <v>51260</v>
      </c>
      <c r="BZ434" s="81">
        <v>59.287531806615782</v>
      </c>
    </row>
    <row r="435" spans="1:78" x14ac:dyDescent="0.15">
      <c r="A435" s="60">
        <v>2</v>
      </c>
      <c r="B435" s="61">
        <v>44574</v>
      </c>
      <c r="C435" s="61">
        <v>44592</v>
      </c>
      <c r="D435" s="61">
        <v>44604</v>
      </c>
      <c r="F435" s="61" t="s">
        <v>309</v>
      </c>
      <c r="G435" s="61">
        <v>44582</v>
      </c>
      <c r="H435" s="61" t="s">
        <v>309</v>
      </c>
      <c r="J435" s="60">
        <v>2</v>
      </c>
      <c r="L435" s="60">
        <v>0</v>
      </c>
      <c r="M435" s="61">
        <v>44565</v>
      </c>
      <c r="O435" s="62" t="s">
        <v>331</v>
      </c>
      <c r="P435" s="60" t="s">
        <v>26</v>
      </c>
      <c r="Q435" s="62" t="s">
        <v>40</v>
      </c>
      <c r="R435" s="62" t="s">
        <v>1532</v>
      </c>
      <c r="S435" s="63" t="s">
        <v>550</v>
      </c>
      <c r="T435" s="63" t="s">
        <v>1524</v>
      </c>
      <c r="U435" s="64">
        <v>78600</v>
      </c>
      <c r="V435" s="64">
        <v>86460</v>
      </c>
      <c r="W435" s="64">
        <v>78600</v>
      </c>
      <c r="X435" s="64">
        <v>86460</v>
      </c>
      <c r="Z435" s="64">
        <v>0</v>
      </c>
      <c r="AA435" s="61">
        <v>44581</v>
      </c>
      <c r="AB435" s="61">
        <v>44582</v>
      </c>
      <c r="AD435" s="60">
        <v>0</v>
      </c>
      <c r="AG435" s="60">
        <v>0</v>
      </c>
      <c r="AJ435" s="60">
        <v>0</v>
      </c>
      <c r="AQ435" s="60" t="s">
        <v>1715</v>
      </c>
      <c r="AR435" s="61">
        <v>44573</v>
      </c>
      <c r="AS435" s="60">
        <v>6001978758</v>
      </c>
      <c r="AT435" s="61">
        <v>44573</v>
      </c>
      <c r="AU435" s="60" t="s">
        <v>1736</v>
      </c>
      <c r="AV435" s="61">
        <v>44592</v>
      </c>
      <c r="AW435" s="91">
        <v>44592</v>
      </c>
      <c r="AX435" s="91">
        <v>44612</v>
      </c>
      <c r="AY435" s="107">
        <v>78600</v>
      </c>
      <c r="AZ435" s="107">
        <f>ROUNDDOWN(AY435+(AY435*MASTER!$A$2/100),0)</f>
        <v>86460</v>
      </c>
      <c r="BA435" s="60" t="s">
        <v>613</v>
      </c>
      <c r="BB435" s="64">
        <v>21000</v>
      </c>
      <c r="BC435" s="64">
        <v>23100</v>
      </c>
      <c r="BD435" s="60" t="s">
        <v>1614</v>
      </c>
      <c r="BG435" s="64">
        <v>0</v>
      </c>
      <c r="BK435" s="64">
        <v>0</v>
      </c>
      <c r="BS435" s="64">
        <v>0</v>
      </c>
      <c r="BV435" s="65">
        <v>86460</v>
      </c>
      <c r="BW435" s="65">
        <v>23100</v>
      </c>
      <c r="BX435" s="65">
        <v>44565</v>
      </c>
      <c r="BY435" s="65">
        <v>63360</v>
      </c>
      <c r="BZ435" s="81">
        <v>73.282442748091597</v>
      </c>
    </row>
    <row r="436" spans="1:78" x14ac:dyDescent="0.15">
      <c r="A436" s="60">
        <v>2</v>
      </c>
      <c r="B436" s="61">
        <v>44574</v>
      </c>
      <c r="C436" s="61">
        <v>44592</v>
      </c>
      <c r="D436" s="61">
        <v>44604</v>
      </c>
      <c r="F436" s="61" t="s">
        <v>309</v>
      </c>
      <c r="G436" s="61">
        <v>44580</v>
      </c>
      <c r="H436" s="61" t="s">
        <v>309</v>
      </c>
      <c r="J436" s="60">
        <v>2</v>
      </c>
      <c r="L436" s="60">
        <v>0</v>
      </c>
      <c r="M436" s="61">
        <v>44565</v>
      </c>
      <c r="O436" s="62" t="s">
        <v>331</v>
      </c>
      <c r="P436" s="60" t="s">
        <v>26</v>
      </c>
      <c r="Q436" s="62" t="s">
        <v>40</v>
      </c>
      <c r="R436" s="62" t="s">
        <v>1533</v>
      </c>
      <c r="S436" s="63" t="s">
        <v>856</v>
      </c>
      <c r="T436" s="63" t="s">
        <v>1524</v>
      </c>
      <c r="U436" s="64">
        <v>78600</v>
      </c>
      <c r="V436" s="64">
        <v>86460</v>
      </c>
      <c r="W436" s="64">
        <v>78600</v>
      </c>
      <c r="X436" s="64">
        <v>86460</v>
      </c>
      <c r="Z436" s="64">
        <v>0</v>
      </c>
      <c r="AA436" s="61">
        <v>44578</v>
      </c>
      <c r="AB436" s="61">
        <v>44579</v>
      </c>
      <c r="AD436" s="60">
        <v>0</v>
      </c>
      <c r="AG436" s="60">
        <v>0</v>
      </c>
      <c r="AJ436" s="60">
        <v>0</v>
      </c>
      <c r="AQ436" s="60" t="s">
        <v>1715</v>
      </c>
      <c r="AR436" s="61">
        <v>44573</v>
      </c>
      <c r="AS436" s="60">
        <v>6001978758</v>
      </c>
      <c r="AT436" s="61">
        <v>44573</v>
      </c>
      <c r="AU436" s="60" t="s">
        <v>1736</v>
      </c>
      <c r="AV436" s="61">
        <v>44592</v>
      </c>
      <c r="AW436" s="91">
        <v>44592</v>
      </c>
      <c r="AX436" s="91">
        <v>44612</v>
      </c>
      <c r="AY436" s="107">
        <v>78600</v>
      </c>
      <c r="AZ436" s="107">
        <f>ROUNDDOWN(AY436+(AY436*MASTER!$A$2/100),0)</f>
        <v>86460</v>
      </c>
      <c r="BA436" s="60" t="s">
        <v>613</v>
      </c>
      <c r="BB436" s="64">
        <v>32000</v>
      </c>
      <c r="BC436" s="64">
        <v>35200</v>
      </c>
      <c r="BD436" s="60" t="s">
        <v>1614</v>
      </c>
      <c r="BG436" s="64">
        <v>0</v>
      </c>
      <c r="BK436" s="64">
        <v>0</v>
      </c>
      <c r="BS436" s="64">
        <v>0</v>
      </c>
      <c r="BV436" s="65">
        <v>86460</v>
      </c>
      <c r="BW436" s="65">
        <v>35200</v>
      </c>
      <c r="BX436" s="65">
        <v>44565</v>
      </c>
      <c r="BY436" s="65">
        <v>51260</v>
      </c>
      <c r="BZ436" s="81">
        <v>59.287531806615782</v>
      </c>
    </row>
    <row r="437" spans="1:78" x14ac:dyDescent="0.15">
      <c r="A437" s="60">
        <v>1</v>
      </c>
      <c r="B437" s="61">
        <v>44574</v>
      </c>
      <c r="C437" s="61">
        <v>44592</v>
      </c>
      <c r="F437" s="61" t="s">
        <v>309</v>
      </c>
      <c r="G437" s="61">
        <v>44580</v>
      </c>
      <c r="H437" s="61" t="s">
        <v>309</v>
      </c>
      <c r="J437" s="60">
        <v>2</v>
      </c>
      <c r="L437" s="60">
        <v>0</v>
      </c>
      <c r="M437" s="61">
        <v>44565</v>
      </c>
      <c r="O437" s="62" t="s">
        <v>331</v>
      </c>
      <c r="P437" s="60" t="s">
        <v>26</v>
      </c>
      <c r="Q437" s="62" t="s">
        <v>40</v>
      </c>
      <c r="R437" s="62" t="s">
        <v>1534</v>
      </c>
      <c r="S437" s="63" t="s">
        <v>426</v>
      </c>
      <c r="T437" s="63" t="s">
        <v>1524</v>
      </c>
      <c r="U437" s="64">
        <v>78600</v>
      </c>
      <c r="V437" s="64">
        <v>86460</v>
      </c>
      <c r="W437" s="64">
        <v>78600</v>
      </c>
      <c r="X437" s="64">
        <v>86460</v>
      </c>
      <c r="Z437" s="64">
        <v>0</v>
      </c>
      <c r="AA437" s="61">
        <v>44579</v>
      </c>
      <c r="AB437" s="61">
        <v>44579</v>
      </c>
      <c r="AD437" s="60">
        <v>0</v>
      </c>
      <c r="AG437" s="60">
        <v>0</v>
      </c>
      <c r="AJ437" s="60">
        <v>0</v>
      </c>
      <c r="AQ437" s="60" t="s">
        <v>1715</v>
      </c>
      <c r="AR437" s="61">
        <v>44573</v>
      </c>
      <c r="AS437" s="60">
        <v>6001978758</v>
      </c>
      <c r="AT437" s="61">
        <v>44573</v>
      </c>
      <c r="AU437" s="60" t="s">
        <v>1736</v>
      </c>
      <c r="AV437" s="61">
        <v>44592</v>
      </c>
      <c r="AW437" s="91">
        <v>44592</v>
      </c>
      <c r="AX437" s="91">
        <v>44612</v>
      </c>
      <c r="AY437" s="107">
        <v>78600</v>
      </c>
      <c r="AZ437" s="107">
        <f>ROUNDDOWN(AY437+(AY437*MASTER!$A$2/100),0)</f>
        <v>86460</v>
      </c>
      <c r="BA437" s="60" t="s">
        <v>314</v>
      </c>
      <c r="BB437" s="64">
        <v>30000</v>
      </c>
      <c r="BC437" s="64">
        <v>33000</v>
      </c>
      <c r="BD437" s="60" t="s">
        <v>2044</v>
      </c>
      <c r="BG437" s="64">
        <v>0</v>
      </c>
      <c r="BK437" s="64">
        <v>0</v>
      </c>
      <c r="BS437" s="64">
        <v>0</v>
      </c>
      <c r="BV437" s="65">
        <v>86460</v>
      </c>
      <c r="BW437" s="65">
        <v>33000</v>
      </c>
      <c r="BX437" s="65">
        <v>44565</v>
      </c>
      <c r="BY437" s="65">
        <v>53460</v>
      </c>
      <c r="BZ437" s="81">
        <v>61.832061068702295</v>
      </c>
    </row>
    <row r="438" spans="1:78" x14ac:dyDescent="0.15">
      <c r="A438" s="60">
        <v>1</v>
      </c>
      <c r="B438" s="61">
        <v>44574</v>
      </c>
      <c r="C438" s="61">
        <v>44592</v>
      </c>
      <c r="F438" s="61" t="s">
        <v>309</v>
      </c>
      <c r="G438" s="61">
        <v>44587</v>
      </c>
      <c r="H438" s="61" t="s">
        <v>309</v>
      </c>
      <c r="J438" s="60">
        <v>2</v>
      </c>
      <c r="L438" s="60">
        <v>0</v>
      </c>
      <c r="M438" s="61">
        <v>44565</v>
      </c>
      <c r="O438" s="62" t="s">
        <v>331</v>
      </c>
      <c r="P438" s="60" t="s">
        <v>26</v>
      </c>
      <c r="Q438" s="62" t="s">
        <v>40</v>
      </c>
      <c r="R438" s="62" t="s">
        <v>1535</v>
      </c>
      <c r="S438" s="63" t="s">
        <v>1536</v>
      </c>
      <c r="T438" s="63" t="s">
        <v>1524</v>
      </c>
      <c r="U438" s="64">
        <v>78600</v>
      </c>
      <c r="V438" s="64">
        <v>86460</v>
      </c>
      <c r="W438" s="64">
        <v>78600</v>
      </c>
      <c r="X438" s="64">
        <v>86460</v>
      </c>
      <c r="Z438" s="64">
        <v>0</v>
      </c>
      <c r="AA438" s="61">
        <v>44582</v>
      </c>
      <c r="AB438" s="61">
        <v>44583</v>
      </c>
      <c r="AD438" s="60">
        <v>0</v>
      </c>
      <c r="AG438" s="60">
        <v>0</v>
      </c>
      <c r="AJ438" s="60">
        <v>0</v>
      </c>
      <c r="AQ438" s="60" t="s">
        <v>1714</v>
      </c>
      <c r="AR438" s="61">
        <v>44573</v>
      </c>
      <c r="AS438" s="60">
        <v>6001978758</v>
      </c>
      <c r="AT438" s="61">
        <v>44573</v>
      </c>
      <c r="AU438" s="60" t="s">
        <v>1736</v>
      </c>
      <c r="AV438" s="61">
        <v>44592</v>
      </c>
      <c r="AW438" s="91">
        <v>44592</v>
      </c>
      <c r="AX438" s="91">
        <v>44612</v>
      </c>
      <c r="AY438" s="107">
        <v>78600</v>
      </c>
      <c r="AZ438" s="107">
        <f>ROUNDDOWN(AY438+(AY438*MASTER!$A$2/100),0)</f>
        <v>86460</v>
      </c>
      <c r="BA438" s="60" t="s">
        <v>318</v>
      </c>
      <c r="BB438" s="64">
        <v>50000</v>
      </c>
      <c r="BC438" s="64">
        <v>55000</v>
      </c>
      <c r="BD438" s="60" t="s">
        <v>1614</v>
      </c>
      <c r="BG438" s="64">
        <v>0</v>
      </c>
      <c r="BK438" s="64">
        <v>0</v>
      </c>
      <c r="BS438" s="64">
        <v>0</v>
      </c>
      <c r="BV438" s="65">
        <v>86460</v>
      </c>
      <c r="BW438" s="65">
        <v>55000</v>
      </c>
      <c r="BX438" s="65">
        <v>44565</v>
      </c>
      <c r="BY438" s="65">
        <v>31460</v>
      </c>
      <c r="BZ438" s="81">
        <v>36.386768447837149</v>
      </c>
    </row>
    <row r="439" spans="1:78" x14ac:dyDescent="0.15">
      <c r="A439" s="60">
        <v>1</v>
      </c>
      <c r="B439" s="61">
        <v>44574</v>
      </c>
      <c r="C439" s="61">
        <v>44592</v>
      </c>
      <c r="F439" s="61" t="s">
        <v>309</v>
      </c>
      <c r="G439" s="61">
        <v>44575</v>
      </c>
      <c r="H439" s="61" t="s">
        <v>309</v>
      </c>
      <c r="J439" s="60">
        <v>2</v>
      </c>
      <c r="L439" s="60">
        <v>0</v>
      </c>
      <c r="M439" s="61">
        <v>44565</v>
      </c>
      <c r="O439" s="62" t="s">
        <v>331</v>
      </c>
      <c r="P439" s="60" t="s">
        <v>26</v>
      </c>
      <c r="Q439" s="62" t="s">
        <v>40</v>
      </c>
      <c r="R439" s="62" t="s">
        <v>1537</v>
      </c>
      <c r="S439" s="63" t="s">
        <v>1070</v>
      </c>
      <c r="T439" s="63" t="s">
        <v>1524</v>
      </c>
      <c r="U439" s="64">
        <v>78600</v>
      </c>
      <c r="V439" s="64">
        <v>86460</v>
      </c>
      <c r="W439" s="64">
        <v>78600</v>
      </c>
      <c r="X439" s="64">
        <v>86460</v>
      </c>
      <c r="Z439" s="64">
        <v>0</v>
      </c>
      <c r="AA439" s="61" t="s">
        <v>1614</v>
      </c>
      <c r="AD439" s="60">
        <v>0</v>
      </c>
      <c r="AG439" s="60">
        <v>0</v>
      </c>
      <c r="AJ439" s="60">
        <v>0</v>
      </c>
      <c r="AQ439" s="60" t="s">
        <v>1714</v>
      </c>
      <c r="AR439" s="61">
        <v>44573</v>
      </c>
      <c r="AS439" s="60">
        <v>6001978758</v>
      </c>
      <c r="AT439" s="61">
        <v>44573</v>
      </c>
      <c r="AU439" s="60" t="s">
        <v>1736</v>
      </c>
      <c r="AV439" s="61">
        <v>44592</v>
      </c>
      <c r="AW439" s="91">
        <v>44592</v>
      </c>
      <c r="AX439" s="91">
        <v>44612</v>
      </c>
      <c r="AY439" s="107">
        <v>78600</v>
      </c>
      <c r="AZ439" s="107">
        <f>ROUNDDOWN(AY439+(AY439*MASTER!$A$2/100),0)</f>
        <v>86460</v>
      </c>
      <c r="BC439" s="64">
        <v>0</v>
      </c>
      <c r="BG439" s="64">
        <v>0</v>
      </c>
      <c r="BK439" s="64">
        <v>0</v>
      </c>
      <c r="BS439" s="64">
        <v>0</v>
      </c>
      <c r="BV439" s="65">
        <v>86460</v>
      </c>
      <c r="BW439" s="65">
        <v>0</v>
      </c>
      <c r="BX439" s="65">
        <v>44565</v>
      </c>
      <c r="BY439" s="65">
        <v>86460</v>
      </c>
      <c r="BZ439" s="81">
        <v>100</v>
      </c>
    </row>
    <row r="440" spans="1:78" x14ac:dyDescent="0.15">
      <c r="A440" s="60">
        <v>2</v>
      </c>
      <c r="B440" s="61">
        <v>44574</v>
      </c>
      <c r="C440" s="61">
        <v>44592</v>
      </c>
      <c r="D440" s="61">
        <v>44596</v>
      </c>
      <c r="F440" s="61" t="s">
        <v>309</v>
      </c>
      <c r="G440" s="61">
        <v>44578</v>
      </c>
      <c r="H440" s="61" t="s">
        <v>309</v>
      </c>
      <c r="J440" s="60">
        <v>2</v>
      </c>
      <c r="L440" s="60">
        <v>0</v>
      </c>
      <c r="M440" s="61">
        <v>44565</v>
      </c>
      <c r="O440" s="62" t="s">
        <v>331</v>
      </c>
      <c r="P440" s="60" t="s">
        <v>26</v>
      </c>
      <c r="Q440" s="62" t="s">
        <v>40</v>
      </c>
      <c r="R440" s="62" t="s">
        <v>1538</v>
      </c>
      <c r="S440" s="63" t="s">
        <v>406</v>
      </c>
      <c r="T440" s="63" t="s">
        <v>1524</v>
      </c>
      <c r="U440" s="64">
        <v>78600</v>
      </c>
      <c r="V440" s="64">
        <v>86460</v>
      </c>
      <c r="W440" s="64">
        <v>78600</v>
      </c>
      <c r="X440" s="64">
        <v>86460</v>
      </c>
      <c r="Z440" s="64">
        <v>0</v>
      </c>
      <c r="AA440" s="61" t="s">
        <v>1614</v>
      </c>
      <c r="AD440" s="60">
        <v>0</v>
      </c>
      <c r="AG440" s="60">
        <v>0</v>
      </c>
      <c r="AJ440" s="60">
        <v>0</v>
      </c>
      <c r="AQ440" s="60" t="s">
        <v>1714</v>
      </c>
      <c r="AR440" s="61">
        <v>44573</v>
      </c>
      <c r="AS440" s="60">
        <v>6001978758</v>
      </c>
      <c r="AT440" s="61">
        <v>44573</v>
      </c>
      <c r="AU440" s="60" t="s">
        <v>1736</v>
      </c>
      <c r="AV440" s="61">
        <v>44592</v>
      </c>
      <c r="AW440" s="91">
        <v>44592</v>
      </c>
      <c r="AX440" s="91">
        <v>44612</v>
      </c>
      <c r="AY440" s="107">
        <v>78600</v>
      </c>
      <c r="AZ440" s="107">
        <f>ROUNDDOWN(AY440+(AY440*MASTER!$A$2/100),0)</f>
        <v>86460</v>
      </c>
      <c r="BC440" s="64">
        <v>0</v>
      </c>
      <c r="BG440" s="64">
        <v>0</v>
      </c>
      <c r="BK440" s="64">
        <v>0</v>
      </c>
      <c r="BS440" s="64">
        <v>0</v>
      </c>
      <c r="BV440" s="65">
        <v>86460</v>
      </c>
      <c r="BW440" s="65">
        <v>0</v>
      </c>
      <c r="BX440" s="65">
        <v>44565</v>
      </c>
      <c r="BY440" s="65">
        <v>86460</v>
      </c>
      <c r="BZ440" s="81">
        <v>100</v>
      </c>
    </row>
    <row r="441" spans="1:78" x14ac:dyDescent="0.15">
      <c r="A441" s="60">
        <v>2</v>
      </c>
      <c r="B441" s="61">
        <v>44574</v>
      </c>
      <c r="C441" s="61">
        <v>44592</v>
      </c>
      <c r="D441" s="61">
        <v>44604</v>
      </c>
      <c r="F441" s="61" t="s">
        <v>309</v>
      </c>
      <c r="G441" s="61">
        <v>44580</v>
      </c>
      <c r="H441" s="61" t="s">
        <v>309</v>
      </c>
      <c r="J441" s="60">
        <v>2</v>
      </c>
      <c r="L441" s="60">
        <v>0</v>
      </c>
      <c r="M441" s="61">
        <v>44565</v>
      </c>
      <c r="O441" s="62" t="s">
        <v>331</v>
      </c>
      <c r="P441" s="60" t="s">
        <v>26</v>
      </c>
      <c r="Q441" s="62" t="s">
        <v>40</v>
      </c>
      <c r="R441" s="62" t="s">
        <v>1539</v>
      </c>
      <c r="S441" s="63" t="s">
        <v>520</v>
      </c>
      <c r="T441" s="63" t="s">
        <v>1524</v>
      </c>
      <c r="U441" s="64">
        <v>78600</v>
      </c>
      <c r="V441" s="64">
        <v>86460</v>
      </c>
      <c r="W441" s="64">
        <v>78600</v>
      </c>
      <c r="X441" s="64">
        <v>86460</v>
      </c>
      <c r="Z441" s="64">
        <v>0</v>
      </c>
      <c r="AA441" s="61">
        <v>44578</v>
      </c>
      <c r="AB441" s="61">
        <v>44579</v>
      </c>
      <c r="AD441" s="60">
        <v>0</v>
      </c>
      <c r="AG441" s="60">
        <v>0</v>
      </c>
      <c r="AJ441" s="60">
        <v>0</v>
      </c>
      <c r="AQ441" s="60" t="s">
        <v>1714</v>
      </c>
      <c r="AR441" s="61">
        <v>44573</v>
      </c>
      <c r="AS441" s="60">
        <v>6001978758</v>
      </c>
      <c r="AT441" s="61">
        <v>44573</v>
      </c>
      <c r="AU441" s="60" t="s">
        <v>1736</v>
      </c>
      <c r="AV441" s="61">
        <v>44592</v>
      </c>
      <c r="AW441" s="91">
        <v>44592</v>
      </c>
      <c r="AX441" s="91">
        <v>44612</v>
      </c>
      <c r="AY441" s="107">
        <v>78600</v>
      </c>
      <c r="AZ441" s="107">
        <f>ROUNDDOWN(AY441+(AY441*MASTER!$A$2/100),0)</f>
        <v>86460</v>
      </c>
      <c r="BA441" s="60" t="s">
        <v>613</v>
      </c>
      <c r="BB441" s="64">
        <v>26000</v>
      </c>
      <c r="BC441" s="64">
        <v>28600</v>
      </c>
      <c r="BD441" s="60" t="s">
        <v>1614</v>
      </c>
      <c r="BG441" s="64">
        <v>0</v>
      </c>
      <c r="BK441" s="64">
        <v>0</v>
      </c>
      <c r="BS441" s="64">
        <v>0</v>
      </c>
      <c r="BV441" s="65">
        <v>86460</v>
      </c>
      <c r="BW441" s="65">
        <v>28600</v>
      </c>
      <c r="BX441" s="65">
        <v>44565</v>
      </c>
      <c r="BY441" s="65">
        <v>57860</v>
      </c>
      <c r="BZ441" s="81">
        <v>66.921119592875328</v>
      </c>
    </row>
    <row r="442" spans="1:78" x14ac:dyDescent="0.15">
      <c r="A442" s="60">
        <v>2</v>
      </c>
      <c r="B442" s="61">
        <v>44574</v>
      </c>
      <c r="C442" s="61">
        <v>44592</v>
      </c>
      <c r="D442" s="61">
        <v>44604</v>
      </c>
      <c r="F442" s="61" t="s">
        <v>309</v>
      </c>
      <c r="G442" s="61">
        <v>44592</v>
      </c>
      <c r="H442" s="61" t="s">
        <v>309</v>
      </c>
      <c r="J442" s="60">
        <v>2</v>
      </c>
      <c r="L442" s="60">
        <v>0</v>
      </c>
      <c r="M442" s="61">
        <v>44565</v>
      </c>
      <c r="O442" s="62" t="s">
        <v>331</v>
      </c>
      <c r="P442" s="60" t="s">
        <v>26</v>
      </c>
      <c r="Q442" s="62" t="s">
        <v>40</v>
      </c>
      <c r="R442" s="62" t="s">
        <v>1540</v>
      </c>
      <c r="S442" s="63" t="s">
        <v>1381</v>
      </c>
      <c r="T442" s="63" t="s">
        <v>1524</v>
      </c>
      <c r="U442" s="64">
        <v>78600</v>
      </c>
      <c r="V442" s="64">
        <v>86460</v>
      </c>
      <c r="W442" s="64">
        <v>78600</v>
      </c>
      <c r="X442" s="64">
        <v>86460</v>
      </c>
      <c r="Z442" s="64">
        <v>0</v>
      </c>
      <c r="AA442" s="61">
        <v>44589</v>
      </c>
      <c r="AB442" s="61">
        <v>44590</v>
      </c>
      <c r="AD442" s="60">
        <v>0</v>
      </c>
      <c r="AG442" s="60">
        <v>0</v>
      </c>
      <c r="AJ442" s="60">
        <v>0</v>
      </c>
      <c r="AQ442" s="60" t="s">
        <v>1714</v>
      </c>
      <c r="AR442" s="61">
        <v>44573</v>
      </c>
      <c r="AS442" s="60">
        <v>6001978758</v>
      </c>
      <c r="AT442" s="61">
        <v>44573</v>
      </c>
      <c r="AU442" s="60" t="s">
        <v>1736</v>
      </c>
      <c r="AV442" s="61">
        <v>44592</v>
      </c>
      <c r="AW442" s="91">
        <v>44592</v>
      </c>
      <c r="AX442" s="91">
        <v>44612</v>
      </c>
      <c r="AY442" s="107">
        <v>78600</v>
      </c>
      <c r="AZ442" s="107">
        <f>ROUNDDOWN(AY442+(AY442*MASTER!$A$2/100),0)</f>
        <v>86460</v>
      </c>
      <c r="BA442" s="60" t="s">
        <v>613</v>
      </c>
      <c r="BB442" s="64">
        <v>32000</v>
      </c>
      <c r="BC442" s="64">
        <v>35200</v>
      </c>
      <c r="BD442" s="60" t="s">
        <v>1614</v>
      </c>
      <c r="BG442" s="64">
        <v>0</v>
      </c>
      <c r="BK442" s="64">
        <v>0</v>
      </c>
      <c r="BS442" s="64">
        <v>0</v>
      </c>
      <c r="BV442" s="65">
        <v>86460</v>
      </c>
      <c r="BW442" s="65">
        <v>35200</v>
      </c>
      <c r="BX442" s="65">
        <v>44565</v>
      </c>
      <c r="BY442" s="65">
        <v>51260</v>
      </c>
      <c r="BZ442" s="81">
        <v>59.287531806615782</v>
      </c>
    </row>
    <row r="443" spans="1:78" x14ac:dyDescent="0.15">
      <c r="A443" s="60">
        <v>1</v>
      </c>
      <c r="B443" s="61">
        <v>44574</v>
      </c>
      <c r="C443" s="61">
        <v>44592</v>
      </c>
      <c r="F443" s="61" t="s">
        <v>309</v>
      </c>
      <c r="G443" s="61">
        <v>44588</v>
      </c>
      <c r="H443" s="61" t="s">
        <v>309</v>
      </c>
      <c r="J443" s="60">
        <v>2</v>
      </c>
      <c r="L443" s="60">
        <v>0</v>
      </c>
      <c r="M443" s="61">
        <v>44565</v>
      </c>
      <c r="O443" s="62" t="s">
        <v>331</v>
      </c>
      <c r="P443" s="60" t="s">
        <v>26</v>
      </c>
      <c r="Q443" s="62" t="s">
        <v>40</v>
      </c>
      <c r="R443" s="62" t="s">
        <v>1541</v>
      </c>
      <c r="S443" s="63" t="s">
        <v>1542</v>
      </c>
      <c r="T443" s="63" t="s">
        <v>1524</v>
      </c>
      <c r="U443" s="64">
        <v>78600</v>
      </c>
      <c r="V443" s="64">
        <v>86460</v>
      </c>
      <c r="W443" s="64">
        <v>78600</v>
      </c>
      <c r="X443" s="64">
        <v>86460</v>
      </c>
      <c r="Z443" s="64">
        <v>0</v>
      </c>
      <c r="AA443" s="61">
        <v>44587</v>
      </c>
      <c r="AB443" s="61">
        <v>44587</v>
      </c>
      <c r="AD443" s="60">
        <v>0</v>
      </c>
      <c r="AG443" s="60">
        <v>0</v>
      </c>
      <c r="AJ443" s="60">
        <v>0</v>
      </c>
      <c r="AQ443" s="60" t="s">
        <v>1714</v>
      </c>
      <c r="AR443" s="61">
        <v>44573</v>
      </c>
      <c r="AS443" s="60">
        <v>6001978758</v>
      </c>
      <c r="AT443" s="61">
        <v>44573</v>
      </c>
      <c r="AU443" s="60" t="s">
        <v>1736</v>
      </c>
      <c r="AV443" s="61">
        <v>44592</v>
      </c>
      <c r="AW443" s="91">
        <v>44592</v>
      </c>
      <c r="AX443" s="91">
        <v>44612</v>
      </c>
      <c r="AY443" s="107">
        <v>78600</v>
      </c>
      <c r="AZ443" s="107">
        <f>ROUNDDOWN(AY443+(AY443*MASTER!$A$2/100),0)</f>
        <v>86460</v>
      </c>
      <c r="BA443" s="60" t="s">
        <v>314</v>
      </c>
      <c r="BB443" s="64">
        <v>36000</v>
      </c>
      <c r="BC443" s="64">
        <v>39600</v>
      </c>
      <c r="BD443" s="60" t="s">
        <v>2044</v>
      </c>
      <c r="BG443" s="64">
        <v>0</v>
      </c>
      <c r="BK443" s="64">
        <v>0</v>
      </c>
      <c r="BS443" s="64">
        <v>0</v>
      </c>
      <c r="BV443" s="65">
        <v>86460</v>
      </c>
      <c r="BW443" s="65">
        <v>39600</v>
      </c>
      <c r="BX443" s="65">
        <v>44565</v>
      </c>
      <c r="BY443" s="65">
        <v>46860</v>
      </c>
      <c r="BZ443" s="81">
        <v>54.198473282442748</v>
      </c>
    </row>
    <row r="444" spans="1:78" x14ac:dyDescent="0.15">
      <c r="A444" s="60">
        <v>2</v>
      </c>
      <c r="B444" s="61">
        <v>44574</v>
      </c>
      <c r="C444" s="61">
        <v>44592</v>
      </c>
      <c r="D444" s="61">
        <v>44612</v>
      </c>
      <c r="F444" s="61" t="s">
        <v>309</v>
      </c>
      <c r="G444" s="61">
        <v>44582</v>
      </c>
      <c r="H444" s="61" t="s">
        <v>309</v>
      </c>
      <c r="J444" s="60">
        <v>2</v>
      </c>
      <c r="L444" s="60">
        <v>0</v>
      </c>
      <c r="M444" s="61">
        <v>44565</v>
      </c>
      <c r="O444" s="62" t="s">
        <v>331</v>
      </c>
      <c r="P444" s="60" t="s">
        <v>26</v>
      </c>
      <c r="Q444" s="62" t="s">
        <v>40</v>
      </c>
      <c r="R444" s="62" t="s">
        <v>1543</v>
      </c>
      <c r="S444" s="63" t="s">
        <v>1525</v>
      </c>
      <c r="T444" s="63" t="s">
        <v>1524</v>
      </c>
      <c r="U444" s="64">
        <v>78600</v>
      </c>
      <c r="V444" s="64">
        <v>86460</v>
      </c>
      <c r="W444" s="64">
        <v>78600</v>
      </c>
      <c r="X444" s="64">
        <v>86460</v>
      </c>
      <c r="Z444" s="64">
        <v>0</v>
      </c>
      <c r="AA444" s="61">
        <v>44581</v>
      </c>
      <c r="AB444" s="61">
        <v>44581</v>
      </c>
      <c r="AD444" s="60">
        <v>0</v>
      </c>
      <c r="AG444" s="60">
        <v>0</v>
      </c>
      <c r="AJ444" s="60">
        <v>0</v>
      </c>
      <c r="AQ444" s="60" t="s">
        <v>1714</v>
      </c>
      <c r="AR444" s="61">
        <v>44573</v>
      </c>
      <c r="AS444" s="60">
        <v>6001978758</v>
      </c>
      <c r="AT444" s="61">
        <v>44573</v>
      </c>
      <c r="AU444" s="60" t="s">
        <v>1736</v>
      </c>
      <c r="AV444" s="61">
        <v>44592</v>
      </c>
      <c r="AW444" s="91">
        <v>44592</v>
      </c>
      <c r="AX444" s="91">
        <v>44612</v>
      </c>
      <c r="AY444" s="107">
        <v>78600</v>
      </c>
      <c r="AZ444" s="107">
        <f>ROUNDDOWN(AY444+(AY444*MASTER!$A$2/100),0)</f>
        <v>86460</v>
      </c>
      <c r="BA444" s="60" t="s">
        <v>317</v>
      </c>
      <c r="BB444" s="64">
        <v>35000</v>
      </c>
      <c r="BC444" s="64">
        <v>38500</v>
      </c>
      <c r="BD444" s="60" t="s">
        <v>1614</v>
      </c>
      <c r="BG444" s="64">
        <v>0</v>
      </c>
      <c r="BK444" s="64">
        <v>0</v>
      </c>
      <c r="BS444" s="64">
        <v>0</v>
      </c>
      <c r="BV444" s="65">
        <v>86460</v>
      </c>
      <c r="BW444" s="65">
        <v>38500</v>
      </c>
      <c r="BX444" s="65">
        <v>44565</v>
      </c>
      <c r="BY444" s="65">
        <v>47960</v>
      </c>
      <c r="BZ444" s="81">
        <v>55.470737913486005</v>
      </c>
    </row>
    <row r="445" spans="1:78" x14ac:dyDescent="0.15">
      <c r="A445" s="60">
        <v>2</v>
      </c>
      <c r="B445" s="61">
        <v>44574</v>
      </c>
      <c r="C445" s="61">
        <v>44592</v>
      </c>
      <c r="D445" s="61">
        <v>44612</v>
      </c>
      <c r="F445" s="61" t="s">
        <v>309</v>
      </c>
      <c r="G445" s="61">
        <v>44587</v>
      </c>
      <c r="H445" s="61" t="s">
        <v>309</v>
      </c>
      <c r="J445" s="60">
        <v>2</v>
      </c>
      <c r="L445" s="60">
        <v>0</v>
      </c>
      <c r="M445" s="61">
        <v>44565</v>
      </c>
      <c r="O445" s="62" t="s">
        <v>331</v>
      </c>
      <c r="P445" s="60" t="s">
        <v>26</v>
      </c>
      <c r="Q445" s="62" t="s">
        <v>40</v>
      </c>
      <c r="R445" s="62" t="s">
        <v>1544</v>
      </c>
      <c r="S445" s="63" t="s">
        <v>1545</v>
      </c>
      <c r="T445" s="63" t="s">
        <v>1524</v>
      </c>
      <c r="U445" s="64">
        <v>78600</v>
      </c>
      <c r="V445" s="64">
        <v>86460</v>
      </c>
      <c r="W445" s="64">
        <v>78600</v>
      </c>
      <c r="X445" s="64">
        <v>86460</v>
      </c>
      <c r="Z445" s="64">
        <v>0</v>
      </c>
      <c r="AA445" s="61">
        <v>44580</v>
      </c>
      <c r="AB445" s="61">
        <v>44580</v>
      </c>
      <c r="AD445" s="60">
        <v>0</v>
      </c>
      <c r="AG445" s="60">
        <v>0</v>
      </c>
      <c r="AJ445" s="60">
        <v>0</v>
      </c>
      <c r="AQ445" s="60" t="s">
        <v>1714</v>
      </c>
      <c r="AR445" s="61">
        <v>44573</v>
      </c>
      <c r="AS445" s="60">
        <v>6001978758</v>
      </c>
      <c r="AT445" s="61">
        <v>44573</v>
      </c>
      <c r="AU445" s="60" t="s">
        <v>1736</v>
      </c>
      <c r="AV445" s="61">
        <v>44592</v>
      </c>
      <c r="AW445" s="91">
        <v>44592</v>
      </c>
      <c r="AX445" s="91">
        <v>44612</v>
      </c>
      <c r="AY445" s="107">
        <v>78600</v>
      </c>
      <c r="AZ445" s="107">
        <f>ROUNDDOWN(AY445+(AY445*MASTER!$A$2/100),0)</f>
        <v>86460</v>
      </c>
      <c r="BA445" s="60" t="s">
        <v>317</v>
      </c>
      <c r="BB445" s="64">
        <v>33000</v>
      </c>
      <c r="BC445" s="64">
        <v>36300</v>
      </c>
      <c r="BD445" s="60" t="s">
        <v>1614</v>
      </c>
      <c r="BG445" s="64">
        <v>0</v>
      </c>
      <c r="BK445" s="64">
        <v>0</v>
      </c>
      <c r="BS445" s="64">
        <v>0</v>
      </c>
      <c r="BV445" s="65">
        <v>86460</v>
      </c>
      <c r="BW445" s="65">
        <v>36300</v>
      </c>
      <c r="BX445" s="65">
        <v>44565</v>
      </c>
      <c r="BY445" s="65">
        <v>50160</v>
      </c>
      <c r="BZ445" s="81">
        <v>58.015267175572518</v>
      </c>
    </row>
    <row r="446" spans="1:78" x14ac:dyDescent="0.15">
      <c r="A446" s="60">
        <v>2</v>
      </c>
      <c r="B446" s="61">
        <v>44574</v>
      </c>
      <c r="C446" s="61">
        <v>44592</v>
      </c>
      <c r="D446" s="61">
        <v>44612</v>
      </c>
      <c r="F446" s="61" t="s">
        <v>309</v>
      </c>
      <c r="G446" s="61">
        <v>44580</v>
      </c>
      <c r="H446" s="61" t="s">
        <v>309</v>
      </c>
      <c r="I446" s="60" t="s">
        <v>612</v>
      </c>
      <c r="J446" s="60">
        <v>2</v>
      </c>
      <c r="L446" s="60">
        <v>0</v>
      </c>
      <c r="M446" s="61">
        <v>44565</v>
      </c>
      <c r="O446" s="62" t="s">
        <v>331</v>
      </c>
      <c r="P446" s="60" t="s">
        <v>26</v>
      </c>
      <c r="Q446" s="62" t="s">
        <v>40</v>
      </c>
      <c r="R446" s="62" t="s">
        <v>1546</v>
      </c>
      <c r="S446" s="63" t="s">
        <v>1305</v>
      </c>
      <c r="T446" s="63" t="s">
        <v>1524</v>
      </c>
      <c r="U446" s="64">
        <v>78600</v>
      </c>
      <c r="V446" s="64">
        <v>86460</v>
      </c>
      <c r="W446" s="64">
        <v>78600</v>
      </c>
      <c r="X446" s="64">
        <v>86460</v>
      </c>
      <c r="Z446" s="64">
        <v>0</v>
      </c>
      <c r="AA446" s="61">
        <v>44579</v>
      </c>
      <c r="AB446" s="61">
        <v>44579</v>
      </c>
      <c r="AD446" s="60">
        <v>0</v>
      </c>
      <c r="AG446" s="60">
        <v>0</v>
      </c>
      <c r="AJ446" s="60">
        <v>0</v>
      </c>
      <c r="AQ446" s="60" t="s">
        <v>1714</v>
      </c>
      <c r="AR446" s="61">
        <v>44573</v>
      </c>
      <c r="AS446" s="60">
        <v>6001978758</v>
      </c>
      <c r="AT446" s="61">
        <v>44573</v>
      </c>
      <c r="AU446" s="60" t="s">
        <v>1736</v>
      </c>
      <c r="AV446" s="61">
        <v>44592</v>
      </c>
      <c r="AW446" s="91">
        <v>44592</v>
      </c>
      <c r="AX446" s="91">
        <v>44612</v>
      </c>
      <c r="AY446" s="107">
        <v>78600</v>
      </c>
      <c r="AZ446" s="107">
        <f>ROUNDDOWN(AY446+(AY446*MASTER!$A$2/100),0)</f>
        <v>86460</v>
      </c>
      <c r="BA446" s="60" t="s">
        <v>317</v>
      </c>
      <c r="BB446" s="64">
        <v>29000</v>
      </c>
      <c r="BC446" s="64">
        <v>31900</v>
      </c>
      <c r="BD446" s="60" t="s">
        <v>1614</v>
      </c>
      <c r="BG446" s="64">
        <v>0</v>
      </c>
      <c r="BK446" s="64">
        <v>0</v>
      </c>
      <c r="BS446" s="64">
        <v>0</v>
      </c>
      <c r="BV446" s="65">
        <v>86460</v>
      </c>
      <c r="BW446" s="65">
        <v>31900</v>
      </c>
      <c r="BX446" s="65">
        <v>44565</v>
      </c>
      <c r="BY446" s="65">
        <v>54560</v>
      </c>
      <c r="BZ446" s="81">
        <v>63.104325699745544</v>
      </c>
    </row>
    <row r="447" spans="1:78" x14ac:dyDescent="0.15">
      <c r="A447" s="60">
        <v>2</v>
      </c>
      <c r="B447" s="61">
        <v>44574</v>
      </c>
      <c r="C447" s="61">
        <v>44592</v>
      </c>
      <c r="D447" s="61">
        <v>44612</v>
      </c>
      <c r="F447" s="61" t="s">
        <v>309</v>
      </c>
      <c r="G447" s="61">
        <v>44582</v>
      </c>
      <c r="H447" s="61" t="s">
        <v>309</v>
      </c>
      <c r="J447" s="60">
        <v>2</v>
      </c>
      <c r="L447" s="60">
        <v>0</v>
      </c>
      <c r="M447" s="61">
        <v>44565</v>
      </c>
      <c r="O447" s="62" t="s">
        <v>331</v>
      </c>
      <c r="P447" s="60" t="s">
        <v>26</v>
      </c>
      <c r="Q447" s="62" t="s">
        <v>40</v>
      </c>
      <c r="R447" s="62" t="s">
        <v>1547</v>
      </c>
      <c r="S447" s="63" t="s">
        <v>1548</v>
      </c>
      <c r="T447" s="63" t="s">
        <v>1524</v>
      </c>
      <c r="U447" s="64">
        <v>78600</v>
      </c>
      <c r="V447" s="64">
        <v>86460</v>
      </c>
      <c r="W447" s="64">
        <v>78600</v>
      </c>
      <c r="X447" s="64">
        <v>86460</v>
      </c>
      <c r="Z447" s="64">
        <v>0</v>
      </c>
      <c r="AA447" s="61">
        <v>44582</v>
      </c>
      <c r="AB447" s="61">
        <v>44582</v>
      </c>
      <c r="AD447" s="60">
        <v>0</v>
      </c>
      <c r="AG447" s="60">
        <v>0</v>
      </c>
      <c r="AJ447" s="60">
        <v>0</v>
      </c>
      <c r="AQ447" s="60" t="s">
        <v>1714</v>
      </c>
      <c r="AR447" s="61">
        <v>44573</v>
      </c>
      <c r="AS447" s="60">
        <v>6001978758</v>
      </c>
      <c r="AT447" s="61">
        <v>44573</v>
      </c>
      <c r="AU447" s="60" t="s">
        <v>1736</v>
      </c>
      <c r="AV447" s="61">
        <v>44592</v>
      </c>
      <c r="AW447" s="91">
        <v>44592</v>
      </c>
      <c r="AX447" s="91">
        <v>44612</v>
      </c>
      <c r="AY447" s="107">
        <v>78600</v>
      </c>
      <c r="AZ447" s="107">
        <f>ROUNDDOWN(AY447+(AY447*MASTER!$A$2/100),0)</f>
        <v>86460</v>
      </c>
      <c r="BA447" s="60" t="s">
        <v>317</v>
      </c>
      <c r="BB447" s="64">
        <v>50000</v>
      </c>
      <c r="BC447" s="64">
        <v>55000</v>
      </c>
      <c r="BD447" s="60" t="s">
        <v>1614</v>
      </c>
      <c r="BG447" s="64">
        <v>0</v>
      </c>
      <c r="BK447" s="64">
        <v>0</v>
      </c>
      <c r="BS447" s="64">
        <v>0</v>
      </c>
      <c r="BV447" s="65">
        <v>86460</v>
      </c>
      <c r="BW447" s="65">
        <v>55000</v>
      </c>
      <c r="BX447" s="65">
        <v>44565</v>
      </c>
      <c r="BY447" s="65">
        <v>31460</v>
      </c>
      <c r="BZ447" s="81">
        <v>36.386768447837149</v>
      </c>
    </row>
    <row r="448" spans="1:78" x14ac:dyDescent="0.15">
      <c r="A448" s="60">
        <v>1</v>
      </c>
      <c r="B448" s="61">
        <v>44594</v>
      </c>
      <c r="C448" s="61">
        <v>44620</v>
      </c>
      <c r="F448" s="61" t="s">
        <v>309</v>
      </c>
      <c r="G448" s="61">
        <v>44608</v>
      </c>
      <c r="H448" s="61" t="s">
        <v>309</v>
      </c>
      <c r="J448" s="60">
        <v>2</v>
      </c>
      <c r="L448" s="60">
        <v>0</v>
      </c>
      <c r="M448" s="61">
        <v>44565</v>
      </c>
      <c r="O448" s="62" t="s">
        <v>331</v>
      </c>
      <c r="P448" s="60" t="s">
        <v>26</v>
      </c>
      <c r="Q448" s="62" t="s">
        <v>40</v>
      </c>
      <c r="R448" s="62" t="s">
        <v>1549</v>
      </c>
      <c r="S448" s="63" t="s">
        <v>1068</v>
      </c>
      <c r="T448" s="63" t="s">
        <v>1524</v>
      </c>
      <c r="U448" s="64">
        <v>78600</v>
      </c>
      <c r="V448" s="64">
        <v>86460</v>
      </c>
      <c r="W448" s="64">
        <v>78600</v>
      </c>
      <c r="X448" s="64">
        <v>86460</v>
      </c>
      <c r="Z448" s="64">
        <v>0</v>
      </c>
      <c r="AA448" s="61" t="s">
        <v>2044</v>
      </c>
      <c r="AD448" s="60">
        <v>0</v>
      </c>
      <c r="AG448" s="60">
        <v>0</v>
      </c>
      <c r="AJ448" s="60">
        <v>0</v>
      </c>
      <c r="AQ448" s="60" t="s">
        <v>1683</v>
      </c>
      <c r="AR448" s="61">
        <v>44572</v>
      </c>
      <c r="AS448" s="60">
        <v>6001978157</v>
      </c>
      <c r="AT448" s="61">
        <v>44572</v>
      </c>
      <c r="AU448" s="60" t="s">
        <v>1709</v>
      </c>
      <c r="AV448" s="61">
        <v>44620</v>
      </c>
      <c r="AW448" s="91">
        <v>44620</v>
      </c>
      <c r="AX448" s="91">
        <v>44640</v>
      </c>
      <c r="AY448" s="107">
        <v>78600</v>
      </c>
      <c r="AZ448" s="107">
        <f>ROUNDDOWN(AY448+(AY448*MASTER!$A$2/100),0)</f>
        <v>86460</v>
      </c>
      <c r="BC448" s="64">
        <v>0</v>
      </c>
      <c r="BG448" s="64">
        <v>0</v>
      </c>
      <c r="BK448" s="64">
        <v>0</v>
      </c>
      <c r="BS448" s="64">
        <v>0</v>
      </c>
      <c r="BV448" s="65">
        <v>86460</v>
      </c>
      <c r="BW448" s="65">
        <v>0</v>
      </c>
      <c r="BX448" s="65">
        <v>44565</v>
      </c>
      <c r="BY448" s="65">
        <v>86460</v>
      </c>
      <c r="BZ448" s="81">
        <v>100</v>
      </c>
    </row>
    <row r="449" spans="1:78" x14ac:dyDescent="0.15">
      <c r="A449" s="60">
        <v>2</v>
      </c>
      <c r="B449" s="61">
        <v>44602</v>
      </c>
      <c r="C449" s="61">
        <v>44620</v>
      </c>
      <c r="D449" s="61">
        <v>44635</v>
      </c>
      <c r="F449" s="61" t="s">
        <v>309</v>
      </c>
      <c r="G449" s="61">
        <v>44621</v>
      </c>
      <c r="H449" s="61" t="s">
        <v>309</v>
      </c>
      <c r="J449" s="60">
        <v>2</v>
      </c>
      <c r="L449" s="60">
        <v>0</v>
      </c>
      <c r="M449" s="61">
        <v>44565</v>
      </c>
      <c r="O449" s="62" t="s">
        <v>331</v>
      </c>
      <c r="P449" s="60" t="s">
        <v>26</v>
      </c>
      <c r="Q449" s="62" t="s">
        <v>40</v>
      </c>
      <c r="R449" s="62" t="s">
        <v>1550</v>
      </c>
      <c r="S449" s="63" t="s">
        <v>1273</v>
      </c>
      <c r="T449" s="63" t="s">
        <v>1524</v>
      </c>
      <c r="U449" s="64">
        <v>78600</v>
      </c>
      <c r="V449" s="64">
        <v>86460</v>
      </c>
      <c r="W449" s="64">
        <v>78600</v>
      </c>
      <c r="X449" s="64">
        <v>86460</v>
      </c>
      <c r="Z449" s="64">
        <v>0</v>
      </c>
      <c r="AA449" s="61">
        <v>44619</v>
      </c>
      <c r="AB449" s="61">
        <v>44619</v>
      </c>
      <c r="AD449" s="60">
        <v>0</v>
      </c>
      <c r="AG449" s="60">
        <v>0</v>
      </c>
      <c r="AJ449" s="60">
        <v>0</v>
      </c>
      <c r="AQ449" s="60" t="s">
        <v>1683</v>
      </c>
      <c r="AR449" s="61">
        <v>44572</v>
      </c>
      <c r="AS449" s="60">
        <v>6001978157</v>
      </c>
      <c r="AT449" s="61">
        <v>44572</v>
      </c>
      <c r="AU449" s="60" t="s">
        <v>1709</v>
      </c>
      <c r="AV449" s="61">
        <v>44620</v>
      </c>
      <c r="AW449" s="91">
        <v>44620</v>
      </c>
      <c r="AX449" s="91">
        <v>44640</v>
      </c>
      <c r="AY449" s="107">
        <v>78600</v>
      </c>
      <c r="AZ449" s="107">
        <f>ROUNDDOWN(AY449+(AY449*MASTER!$A$2/100),0)</f>
        <v>86460</v>
      </c>
      <c r="BA449" s="60" t="s">
        <v>318</v>
      </c>
      <c r="BB449" s="64">
        <v>52000</v>
      </c>
      <c r="BC449" s="64">
        <v>57200</v>
      </c>
      <c r="BD449" s="60" t="s">
        <v>2044</v>
      </c>
      <c r="BG449" s="64">
        <v>0</v>
      </c>
      <c r="BK449" s="64">
        <v>0</v>
      </c>
      <c r="BS449" s="64">
        <v>0</v>
      </c>
      <c r="BV449" s="65">
        <v>86460</v>
      </c>
      <c r="BW449" s="65">
        <v>57200</v>
      </c>
      <c r="BX449" s="65">
        <v>44565</v>
      </c>
      <c r="BY449" s="65">
        <v>29260</v>
      </c>
      <c r="BZ449" s="81">
        <v>33.842239185750635</v>
      </c>
    </row>
    <row r="450" spans="1:78" x14ac:dyDescent="0.15">
      <c r="A450" s="60">
        <v>1</v>
      </c>
      <c r="B450" s="61">
        <v>44594</v>
      </c>
      <c r="C450" s="61">
        <v>44620</v>
      </c>
      <c r="D450" s="61">
        <v>44624</v>
      </c>
      <c r="F450" s="61" t="s">
        <v>309</v>
      </c>
      <c r="G450" s="61">
        <v>44608</v>
      </c>
      <c r="H450" s="61" t="s">
        <v>309</v>
      </c>
      <c r="J450" s="60">
        <v>2</v>
      </c>
      <c r="L450" s="60">
        <v>0</v>
      </c>
      <c r="M450" s="61">
        <v>44565</v>
      </c>
      <c r="O450" s="62" t="s">
        <v>331</v>
      </c>
      <c r="P450" s="60" t="s">
        <v>26</v>
      </c>
      <c r="Q450" s="62" t="s">
        <v>40</v>
      </c>
      <c r="R450" s="62" t="s">
        <v>1551</v>
      </c>
      <c r="S450" s="63" t="s">
        <v>782</v>
      </c>
      <c r="T450" s="63" t="s">
        <v>1524</v>
      </c>
      <c r="U450" s="64">
        <v>78600</v>
      </c>
      <c r="V450" s="64">
        <v>86460</v>
      </c>
      <c r="W450" s="64">
        <v>78600</v>
      </c>
      <c r="X450" s="64">
        <v>86460</v>
      </c>
      <c r="Z450" s="64">
        <v>0</v>
      </c>
      <c r="AA450" s="61">
        <v>44607</v>
      </c>
      <c r="AB450" s="61">
        <v>44607</v>
      </c>
      <c r="AD450" s="60">
        <v>0</v>
      </c>
      <c r="AG450" s="60">
        <v>0</v>
      </c>
      <c r="AJ450" s="60">
        <v>0</v>
      </c>
      <c r="AQ450" s="60" t="s">
        <v>1683</v>
      </c>
      <c r="AR450" s="61">
        <v>44572</v>
      </c>
      <c r="AS450" s="60">
        <v>6001978157</v>
      </c>
      <c r="AT450" s="61">
        <v>44572</v>
      </c>
      <c r="AU450" s="60" t="s">
        <v>1709</v>
      </c>
      <c r="AV450" s="61">
        <v>44620</v>
      </c>
      <c r="AW450" s="91">
        <v>44620</v>
      </c>
      <c r="AX450" s="91">
        <v>44640</v>
      </c>
      <c r="AY450" s="107">
        <v>78600</v>
      </c>
      <c r="AZ450" s="107">
        <f>ROUNDDOWN(AY450+(AY450*MASTER!$A$2/100),0)</f>
        <v>86460</v>
      </c>
      <c r="BA450" s="60" t="s">
        <v>582</v>
      </c>
      <c r="BB450" s="64">
        <v>23000</v>
      </c>
      <c r="BC450" s="64">
        <v>25300</v>
      </c>
      <c r="BD450" s="60" t="s">
        <v>2044</v>
      </c>
      <c r="BG450" s="64">
        <v>0</v>
      </c>
      <c r="BK450" s="64">
        <v>0</v>
      </c>
      <c r="BS450" s="64">
        <v>0</v>
      </c>
      <c r="BV450" s="65">
        <v>86460</v>
      </c>
      <c r="BW450" s="65">
        <v>25300</v>
      </c>
      <c r="BX450" s="65">
        <v>44565</v>
      </c>
      <c r="BY450" s="65">
        <v>61160</v>
      </c>
      <c r="BZ450" s="81">
        <v>70.737913486005084</v>
      </c>
    </row>
    <row r="451" spans="1:78" x14ac:dyDescent="0.15">
      <c r="A451" s="60">
        <v>1</v>
      </c>
      <c r="B451" s="61">
        <v>44592</v>
      </c>
      <c r="C451" s="61">
        <v>44620</v>
      </c>
      <c r="D451" s="61">
        <v>44624</v>
      </c>
      <c r="F451" s="61" t="s">
        <v>309</v>
      </c>
      <c r="G451" s="61">
        <v>44596</v>
      </c>
      <c r="H451" s="61" t="s">
        <v>309</v>
      </c>
      <c r="J451" s="60">
        <v>2</v>
      </c>
      <c r="L451" s="60">
        <v>0</v>
      </c>
      <c r="M451" s="61">
        <v>44565</v>
      </c>
      <c r="O451" s="62" t="s">
        <v>331</v>
      </c>
      <c r="P451" s="60" t="s">
        <v>26</v>
      </c>
      <c r="Q451" s="62" t="s">
        <v>40</v>
      </c>
      <c r="R451" s="62" t="s">
        <v>1552</v>
      </c>
      <c r="S451" s="63" t="s">
        <v>1207</v>
      </c>
      <c r="T451" s="63" t="s">
        <v>1524</v>
      </c>
      <c r="U451" s="64">
        <v>78600</v>
      </c>
      <c r="V451" s="64">
        <v>86460</v>
      </c>
      <c r="W451" s="64">
        <v>78600</v>
      </c>
      <c r="X451" s="64">
        <v>86460</v>
      </c>
      <c r="Z451" s="64">
        <v>0</v>
      </c>
      <c r="AA451" s="61">
        <v>44596</v>
      </c>
      <c r="AB451" s="61">
        <v>44596</v>
      </c>
      <c r="AD451" s="60">
        <v>0</v>
      </c>
      <c r="AG451" s="60">
        <v>0</v>
      </c>
      <c r="AJ451" s="60">
        <v>0</v>
      </c>
      <c r="AQ451" s="60" t="s">
        <v>1683</v>
      </c>
      <c r="AR451" s="61">
        <v>44572</v>
      </c>
      <c r="AS451" s="60">
        <v>6001978157</v>
      </c>
      <c r="AT451" s="61">
        <v>44572</v>
      </c>
      <c r="AU451" s="60" t="s">
        <v>1709</v>
      </c>
      <c r="AV451" s="61">
        <v>44620</v>
      </c>
      <c r="AW451" s="91">
        <v>44620</v>
      </c>
      <c r="AX451" s="91">
        <v>44640</v>
      </c>
      <c r="AY451" s="107">
        <v>78600</v>
      </c>
      <c r="AZ451" s="107">
        <f>ROUNDDOWN(AY451+(AY451*MASTER!$A$2/100),0)</f>
        <v>86460</v>
      </c>
      <c r="BA451" s="60" t="s">
        <v>317</v>
      </c>
      <c r="BB451" s="64">
        <v>44000</v>
      </c>
      <c r="BC451" s="64">
        <v>48400</v>
      </c>
      <c r="BD451" s="60" t="s">
        <v>2044</v>
      </c>
      <c r="BG451" s="64">
        <v>0</v>
      </c>
      <c r="BK451" s="64">
        <v>0</v>
      </c>
      <c r="BS451" s="64">
        <v>0</v>
      </c>
      <c r="BV451" s="65">
        <v>86460</v>
      </c>
      <c r="BW451" s="65">
        <v>48400</v>
      </c>
      <c r="BX451" s="65">
        <v>44565</v>
      </c>
      <c r="BY451" s="65">
        <v>38060</v>
      </c>
      <c r="BZ451" s="81">
        <v>44.020356234096688</v>
      </c>
    </row>
    <row r="452" spans="1:78" x14ac:dyDescent="0.15">
      <c r="A452" s="60">
        <v>1</v>
      </c>
      <c r="B452" s="61">
        <v>44594</v>
      </c>
      <c r="C452" s="61">
        <v>44620</v>
      </c>
      <c r="D452" s="61">
        <v>44624</v>
      </c>
      <c r="F452" s="61" t="s">
        <v>309</v>
      </c>
      <c r="G452" s="61">
        <v>44609</v>
      </c>
      <c r="H452" s="61" t="s">
        <v>309</v>
      </c>
      <c r="J452" s="60">
        <v>2</v>
      </c>
      <c r="L452" s="60">
        <v>0</v>
      </c>
      <c r="M452" s="61">
        <v>44565</v>
      </c>
      <c r="O452" s="62" t="s">
        <v>331</v>
      </c>
      <c r="P452" s="60" t="s">
        <v>26</v>
      </c>
      <c r="Q452" s="62" t="s">
        <v>40</v>
      </c>
      <c r="R452" s="62" t="s">
        <v>1553</v>
      </c>
      <c r="S452" s="63" t="s">
        <v>915</v>
      </c>
      <c r="T452" s="63" t="s">
        <v>1524</v>
      </c>
      <c r="U452" s="64">
        <v>78600</v>
      </c>
      <c r="V452" s="64">
        <v>86460</v>
      </c>
      <c r="W452" s="64">
        <v>78600</v>
      </c>
      <c r="X452" s="64">
        <v>86460</v>
      </c>
      <c r="Z452" s="64">
        <v>0</v>
      </c>
      <c r="AA452" s="61">
        <v>44608</v>
      </c>
      <c r="AB452" s="61">
        <v>44608</v>
      </c>
      <c r="AD452" s="60">
        <v>0</v>
      </c>
      <c r="AG452" s="60">
        <v>0</v>
      </c>
      <c r="AJ452" s="60">
        <v>0</v>
      </c>
      <c r="AQ452" s="60" t="s">
        <v>1683</v>
      </c>
      <c r="AR452" s="61">
        <v>44572</v>
      </c>
      <c r="AS452" s="60">
        <v>6001978157</v>
      </c>
      <c r="AT452" s="61">
        <v>44572</v>
      </c>
      <c r="AU452" s="60" t="s">
        <v>1709</v>
      </c>
      <c r="AV452" s="61">
        <v>44620</v>
      </c>
      <c r="AW452" s="91">
        <v>44620</v>
      </c>
      <c r="AX452" s="91">
        <v>44640</v>
      </c>
      <c r="AY452" s="107">
        <v>78600</v>
      </c>
      <c r="AZ452" s="107">
        <f>ROUNDDOWN(AY452+(AY452*MASTER!$A$2/100),0)</f>
        <v>86460</v>
      </c>
      <c r="BA452" s="60" t="s">
        <v>582</v>
      </c>
      <c r="BB452" s="64">
        <v>39000</v>
      </c>
      <c r="BC452" s="64">
        <v>42900</v>
      </c>
      <c r="BD452" s="60" t="s">
        <v>2044</v>
      </c>
      <c r="BG452" s="64">
        <v>0</v>
      </c>
      <c r="BK452" s="64">
        <v>0</v>
      </c>
      <c r="BS452" s="64">
        <v>0</v>
      </c>
      <c r="BV452" s="65">
        <v>86460</v>
      </c>
      <c r="BW452" s="65">
        <v>42900</v>
      </c>
      <c r="BX452" s="65">
        <v>44565</v>
      </c>
      <c r="BY452" s="65">
        <v>43560</v>
      </c>
      <c r="BZ452" s="81">
        <v>50.381679389312971</v>
      </c>
    </row>
    <row r="453" spans="1:78" x14ac:dyDescent="0.15">
      <c r="A453" s="60">
        <v>2</v>
      </c>
      <c r="B453" s="61">
        <v>44600</v>
      </c>
      <c r="C453" s="61">
        <v>44620</v>
      </c>
      <c r="D453" s="61">
        <v>44635</v>
      </c>
      <c r="F453" s="61" t="s">
        <v>309</v>
      </c>
      <c r="G453" s="61">
        <v>44608</v>
      </c>
      <c r="H453" s="61" t="s">
        <v>309</v>
      </c>
      <c r="J453" s="60">
        <v>2</v>
      </c>
      <c r="L453" s="60">
        <v>0</v>
      </c>
      <c r="M453" s="61">
        <v>44565</v>
      </c>
      <c r="O453" s="62" t="s">
        <v>331</v>
      </c>
      <c r="P453" s="60" t="s">
        <v>26</v>
      </c>
      <c r="Q453" s="62" t="s">
        <v>40</v>
      </c>
      <c r="R453" s="62" t="s">
        <v>1554</v>
      </c>
      <c r="S453" s="63" t="s">
        <v>1170</v>
      </c>
      <c r="T453" s="63" t="s">
        <v>1524</v>
      </c>
      <c r="U453" s="64">
        <v>78600</v>
      </c>
      <c r="V453" s="64">
        <v>86460</v>
      </c>
      <c r="W453" s="64">
        <v>78600</v>
      </c>
      <c r="X453" s="64">
        <v>86460</v>
      </c>
      <c r="Z453" s="64">
        <v>0</v>
      </c>
      <c r="AA453" s="61">
        <v>44605</v>
      </c>
      <c r="AB453" s="61">
        <v>44605</v>
      </c>
      <c r="AD453" s="60">
        <v>0</v>
      </c>
      <c r="AG453" s="60">
        <v>0</v>
      </c>
      <c r="AJ453" s="60">
        <v>0</v>
      </c>
      <c r="AQ453" s="60" t="s">
        <v>1683</v>
      </c>
      <c r="AR453" s="61">
        <v>44572</v>
      </c>
      <c r="AS453" s="60">
        <v>6001978157</v>
      </c>
      <c r="AT453" s="61">
        <v>44572</v>
      </c>
      <c r="AU453" s="60" t="s">
        <v>1709</v>
      </c>
      <c r="AV453" s="61">
        <v>44620</v>
      </c>
      <c r="AW453" s="91">
        <v>44620</v>
      </c>
      <c r="AX453" s="91">
        <v>44640</v>
      </c>
      <c r="AY453" s="107">
        <v>78600</v>
      </c>
      <c r="AZ453" s="107">
        <f>ROUNDDOWN(AY453+(AY453*MASTER!$A$2/100),0)</f>
        <v>86460</v>
      </c>
      <c r="BA453" s="60" t="s">
        <v>319</v>
      </c>
      <c r="BB453" s="64">
        <v>33000</v>
      </c>
      <c r="BC453" s="64">
        <v>36300</v>
      </c>
      <c r="BD453" s="60" t="s">
        <v>2044</v>
      </c>
      <c r="BG453" s="64">
        <v>0</v>
      </c>
      <c r="BK453" s="64">
        <v>0</v>
      </c>
      <c r="BS453" s="64">
        <v>0</v>
      </c>
      <c r="BV453" s="65">
        <v>86460</v>
      </c>
      <c r="BW453" s="65">
        <v>36300</v>
      </c>
      <c r="BX453" s="65">
        <v>44565</v>
      </c>
      <c r="BY453" s="65">
        <v>50160</v>
      </c>
      <c r="BZ453" s="81">
        <v>58.015267175572518</v>
      </c>
    </row>
    <row r="454" spans="1:78" x14ac:dyDescent="0.15">
      <c r="A454" s="60">
        <v>2</v>
      </c>
      <c r="B454" s="61">
        <v>44592</v>
      </c>
      <c r="C454" s="61">
        <v>44620</v>
      </c>
      <c r="D454" s="61">
        <v>44624</v>
      </c>
      <c r="F454" s="61" t="s">
        <v>309</v>
      </c>
      <c r="G454" s="61">
        <v>44600</v>
      </c>
      <c r="H454" s="61" t="s">
        <v>309</v>
      </c>
      <c r="J454" s="60">
        <v>2</v>
      </c>
      <c r="L454" s="60">
        <v>0</v>
      </c>
      <c r="M454" s="61">
        <v>44565</v>
      </c>
      <c r="O454" s="62" t="s">
        <v>331</v>
      </c>
      <c r="P454" s="60" t="s">
        <v>26</v>
      </c>
      <c r="Q454" s="62" t="s">
        <v>40</v>
      </c>
      <c r="R454" s="62" t="s">
        <v>1555</v>
      </c>
      <c r="S454" s="63" t="s">
        <v>707</v>
      </c>
      <c r="T454" s="63" t="s">
        <v>1524</v>
      </c>
      <c r="U454" s="64">
        <v>78600</v>
      </c>
      <c r="V454" s="64">
        <v>86460</v>
      </c>
      <c r="W454" s="64">
        <v>78600</v>
      </c>
      <c r="X454" s="64">
        <v>86460</v>
      </c>
      <c r="Z454" s="64">
        <v>0</v>
      </c>
      <c r="AA454" s="61">
        <v>44595</v>
      </c>
      <c r="AB454" s="61">
        <v>44595</v>
      </c>
      <c r="AD454" s="60">
        <v>0</v>
      </c>
      <c r="AG454" s="60">
        <v>0</v>
      </c>
      <c r="AJ454" s="60">
        <v>0</v>
      </c>
      <c r="AQ454" s="60" t="s">
        <v>1683</v>
      </c>
      <c r="AR454" s="61">
        <v>44572</v>
      </c>
      <c r="AS454" s="60">
        <v>6001978157</v>
      </c>
      <c r="AT454" s="61">
        <v>44572</v>
      </c>
      <c r="AU454" s="60" t="s">
        <v>1709</v>
      </c>
      <c r="AV454" s="61">
        <v>44620</v>
      </c>
      <c r="AW454" s="91">
        <v>44620</v>
      </c>
      <c r="AX454" s="91">
        <v>44640</v>
      </c>
      <c r="AY454" s="107">
        <v>78600</v>
      </c>
      <c r="AZ454" s="107">
        <f>ROUNDDOWN(AY454+(AY454*MASTER!$A$2/100),0)</f>
        <v>86460</v>
      </c>
      <c r="BA454" s="60" t="s">
        <v>317</v>
      </c>
      <c r="BB454" s="64">
        <v>52000</v>
      </c>
      <c r="BC454" s="64">
        <v>57200</v>
      </c>
      <c r="BD454" s="60" t="s">
        <v>2044</v>
      </c>
      <c r="BG454" s="64">
        <v>0</v>
      </c>
      <c r="BK454" s="64">
        <v>0</v>
      </c>
      <c r="BS454" s="64">
        <v>0</v>
      </c>
      <c r="BV454" s="65">
        <v>86460</v>
      </c>
      <c r="BW454" s="65">
        <v>57200</v>
      </c>
      <c r="BX454" s="65">
        <v>44565</v>
      </c>
      <c r="BY454" s="65">
        <v>29260</v>
      </c>
      <c r="BZ454" s="81">
        <v>33.842239185750635</v>
      </c>
    </row>
    <row r="455" spans="1:78" x14ac:dyDescent="0.15">
      <c r="A455" s="60">
        <v>2</v>
      </c>
      <c r="B455" s="61">
        <v>44592</v>
      </c>
      <c r="C455" s="61">
        <v>44620</v>
      </c>
      <c r="D455" s="61">
        <v>44633</v>
      </c>
      <c r="F455" s="61" t="s">
        <v>309</v>
      </c>
      <c r="G455" s="61">
        <v>44613</v>
      </c>
      <c r="H455" s="61" t="s">
        <v>309</v>
      </c>
      <c r="J455" s="60">
        <v>2</v>
      </c>
      <c r="L455" s="60">
        <v>0</v>
      </c>
      <c r="M455" s="61">
        <v>44565</v>
      </c>
      <c r="O455" s="62" t="s">
        <v>331</v>
      </c>
      <c r="P455" s="60" t="s">
        <v>26</v>
      </c>
      <c r="Q455" s="62" t="s">
        <v>40</v>
      </c>
      <c r="R455" s="62" t="s">
        <v>1556</v>
      </c>
      <c r="S455" s="63" t="s">
        <v>1557</v>
      </c>
      <c r="T455" s="63" t="s">
        <v>1524</v>
      </c>
      <c r="U455" s="64">
        <v>78600</v>
      </c>
      <c r="V455" s="64">
        <v>86460</v>
      </c>
      <c r="W455" s="64">
        <v>78600</v>
      </c>
      <c r="X455" s="64">
        <v>86460</v>
      </c>
      <c r="Z455" s="64">
        <v>0</v>
      </c>
      <c r="AA455" s="61">
        <v>44610</v>
      </c>
      <c r="AB455" s="61">
        <v>44610</v>
      </c>
      <c r="AD455" s="60">
        <v>0</v>
      </c>
      <c r="AG455" s="60">
        <v>0</v>
      </c>
      <c r="AJ455" s="60">
        <v>0</v>
      </c>
      <c r="AQ455" s="60" t="s">
        <v>1683</v>
      </c>
      <c r="AR455" s="61">
        <v>44572</v>
      </c>
      <c r="AS455" s="60">
        <v>6001978157</v>
      </c>
      <c r="AT455" s="61">
        <v>44572</v>
      </c>
      <c r="AU455" s="60" t="s">
        <v>1709</v>
      </c>
      <c r="AV455" s="61">
        <v>44620</v>
      </c>
      <c r="AW455" s="91">
        <v>44620</v>
      </c>
      <c r="AX455" s="91">
        <v>44640</v>
      </c>
      <c r="AY455" s="107">
        <v>78600</v>
      </c>
      <c r="AZ455" s="107">
        <f>ROUNDDOWN(AY455+(AY455*MASTER!$A$2/100),0)</f>
        <v>86460</v>
      </c>
      <c r="BA455" s="60" t="s">
        <v>314</v>
      </c>
      <c r="BB455" s="64">
        <v>30000</v>
      </c>
      <c r="BC455" s="64">
        <v>33000</v>
      </c>
      <c r="BD455" s="60" t="s">
        <v>2044</v>
      </c>
      <c r="BG455" s="64">
        <v>0</v>
      </c>
      <c r="BK455" s="64">
        <v>0</v>
      </c>
      <c r="BS455" s="64">
        <v>0</v>
      </c>
      <c r="BV455" s="65">
        <v>86460</v>
      </c>
      <c r="BW455" s="65">
        <v>33000</v>
      </c>
      <c r="BX455" s="65">
        <v>44565</v>
      </c>
      <c r="BY455" s="65">
        <v>53460</v>
      </c>
      <c r="BZ455" s="81">
        <v>61.832061068702295</v>
      </c>
    </row>
    <row r="456" spans="1:78" x14ac:dyDescent="0.15">
      <c r="A456" s="60">
        <v>2</v>
      </c>
      <c r="B456" s="61">
        <v>44592</v>
      </c>
      <c r="C456" s="61">
        <v>44620</v>
      </c>
      <c r="D456" s="61">
        <v>44633</v>
      </c>
      <c r="F456" s="61" t="s">
        <v>309</v>
      </c>
      <c r="G456" s="61">
        <v>44606</v>
      </c>
      <c r="H456" s="61" t="s">
        <v>309</v>
      </c>
      <c r="J456" s="60">
        <v>2</v>
      </c>
      <c r="L456" s="60">
        <v>0</v>
      </c>
      <c r="M456" s="61">
        <v>44565</v>
      </c>
      <c r="O456" s="62" t="s">
        <v>331</v>
      </c>
      <c r="P456" s="60" t="s">
        <v>26</v>
      </c>
      <c r="Q456" s="62" t="s">
        <v>40</v>
      </c>
      <c r="R456" s="62" t="s">
        <v>1558</v>
      </c>
      <c r="S456" s="63" t="s">
        <v>788</v>
      </c>
      <c r="T456" s="63" t="s">
        <v>1524</v>
      </c>
      <c r="U456" s="64">
        <v>78600</v>
      </c>
      <c r="V456" s="64">
        <v>86460</v>
      </c>
      <c r="W456" s="64">
        <v>78600</v>
      </c>
      <c r="X456" s="64">
        <v>86460</v>
      </c>
      <c r="Z456" s="64">
        <v>0</v>
      </c>
      <c r="AA456" s="61">
        <v>44602</v>
      </c>
      <c r="AB456" s="61">
        <v>44602</v>
      </c>
      <c r="AD456" s="60">
        <v>0</v>
      </c>
      <c r="AG456" s="60">
        <v>0</v>
      </c>
      <c r="AJ456" s="60">
        <v>0</v>
      </c>
      <c r="AQ456" s="60" t="s">
        <v>1683</v>
      </c>
      <c r="AR456" s="61">
        <v>44572</v>
      </c>
      <c r="AS456" s="60">
        <v>6001978157</v>
      </c>
      <c r="AT456" s="61">
        <v>44572</v>
      </c>
      <c r="AU456" s="60" t="s">
        <v>1709</v>
      </c>
      <c r="AV456" s="61">
        <v>44620</v>
      </c>
      <c r="AW456" s="91">
        <v>44620</v>
      </c>
      <c r="AX456" s="91">
        <v>44640</v>
      </c>
      <c r="AY456" s="107">
        <v>78600</v>
      </c>
      <c r="AZ456" s="107">
        <f>ROUNDDOWN(AY456+(AY456*MASTER!$A$2/100),0)</f>
        <v>86460</v>
      </c>
      <c r="BA456" s="60" t="s">
        <v>314</v>
      </c>
      <c r="BB456" s="64">
        <v>39000</v>
      </c>
      <c r="BC456" s="64">
        <v>42900</v>
      </c>
      <c r="BD456" s="60" t="s">
        <v>2044</v>
      </c>
      <c r="BG456" s="64">
        <v>0</v>
      </c>
      <c r="BK456" s="64">
        <v>0</v>
      </c>
      <c r="BS456" s="64">
        <v>0</v>
      </c>
      <c r="BV456" s="65">
        <v>86460</v>
      </c>
      <c r="BW456" s="65">
        <v>42900</v>
      </c>
      <c r="BX456" s="65">
        <v>44565</v>
      </c>
      <c r="BY456" s="65">
        <v>43560</v>
      </c>
      <c r="BZ456" s="81">
        <v>50.381679389312971</v>
      </c>
    </row>
    <row r="457" spans="1:78" x14ac:dyDescent="0.15">
      <c r="A457" s="60">
        <v>2</v>
      </c>
      <c r="B457" s="61">
        <v>44592</v>
      </c>
      <c r="C457" s="61">
        <v>44620</v>
      </c>
      <c r="D457" s="61">
        <v>44633</v>
      </c>
      <c r="F457" s="61" t="s">
        <v>309</v>
      </c>
      <c r="G457" s="61">
        <v>44616</v>
      </c>
      <c r="H457" s="61" t="s">
        <v>309</v>
      </c>
      <c r="J457" s="60">
        <v>2</v>
      </c>
      <c r="L457" s="60">
        <v>0</v>
      </c>
      <c r="M457" s="61">
        <v>44565</v>
      </c>
      <c r="O457" s="62" t="s">
        <v>331</v>
      </c>
      <c r="P457" s="60" t="s">
        <v>26</v>
      </c>
      <c r="Q457" s="62" t="s">
        <v>40</v>
      </c>
      <c r="R457" s="62" t="s">
        <v>1559</v>
      </c>
      <c r="S457" s="63" t="s">
        <v>897</v>
      </c>
      <c r="T457" s="63" t="s">
        <v>1524</v>
      </c>
      <c r="U457" s="64">
        <v>78600</v>
      </c>
      <c r="V457" s="64">
        <v>86460</v>
      </c>
      <c r="W457" s="64">
        <v>78600</v>
      </c>
      <c r="X457" s="64">
        <v>86460</v>
      </c>
      <c r="Z457" s="64">
        <v>0</v>
      </c>
      <c r="AA457" s="61">
        <v>44614</v>
      </c>
      <c r="AB457" s="61">
        <v>44614</v>
      </c>
      <c r="AD457" s="60">
        <v>0</v>
      </c>
      <c r="AG457" s="60">
        <v>0</v>
      </c>
      <c r="AJ457" s="60">
        <v>0</v>
      </c>
      <c r="AQ457" s="60" t="s">
        <v>1683</v>
      </c>
      <c r="AR457" s="61">
        <v>44572</v>
      </c>
      <c r="AS457" s="60">
        <v>6001978157</v>
      </c>
      <c r="AT457" s="61">
        <v>44572</v>
      </c>
      <c r="AU457" s="60" t="s">
        <v>1709</v>
      </c>
      <c r="AV457" s="61">
        <v>44620</v>
      </c>
      <c r="AW457" s="91">
        <v>44620</v>
      </c>
      <c r="AX457" s="91">
        <v>44640</v>
      </c>
      <c r="AY457" s="107">
        <v>78600</v>
      </c>
      <c r="AZ457" s="107">
        <f>ROUNDDOWN(AY457+(AY457*MASTER!$A$2/100),0)</f>
        <v>86460</v>
      </c>
      <c r="BA457" s="60" t="s">
        <v>314</v>
      </c>
      <c r="BB457" s="64">
        <v>31000</v>
      </c>
      <c r="BC457" s="64">
        <v>34100</v>
      </c>
      <c r="BD457" s="60" t="s">
        <v>2044</v>
      </c>
      <c r="BG457" s="64">
        <v>0</v>
      </c>
      <c r="BK457" s="64">
        <v>0</v>
      </c>
      <c r="BS457" s="64">
        <v>0</v>
      </c>
      <c r="BV457" s="65">
        <v>86460</v>
      </c>
      <c r="BW457" s="65">
        <v>34100</v>
      </c>
      <c r="BX457" s="65">
        <v>44565</v>
      </c>
      <c r="BY457" s="65">
        <v>52360</v>
      </c>
      <c r="BZ457" s="81">
        <v>60.559796437659031</v>
      </c>
    </row>
    <row r="458" spans="1:78" x14ac:dyDescent="0.15">
      <c r="A458" s="60">
        <v>2</v>
      </c>
      <c r="B458" s="61">
        <v>44594</v>
      </c>
      <c r="C458" s="61">
        <v>44620</v>
      </c>
      <c r="D458" s="61">
        <v>44622</v>
      </c>
      <c r="F458" s="61" t="s">
        <v>309</v>
      </c>
      <c r="G458" s="61">
        <v>44598</v>
      </c>
      <c r="H458" s="61" t="s">
        <v>309</v>
      </c>
      <c r="J458" s="60">
        <v>2</v>
      </c>
      <c r="L458" s="60">
        <v>0</v>
      </c>
      <c r="M458" s="61">
        <v>44565</v>
      </c>
      <c r="O458" s="62" t="s">
        <v>331</v>
      </c>
      <c r="P458" s="60" t="s">
        <v>26</v>
      </c>
      <c r="Q458" s="62" t="s">
        <v>40</v>
      </c>
      <c r="R458" s="62" t="s">
        <v>1560</v>
      </c>
      <c r="S458" s="63" t="s">
        <v>664</v>
      </c>
      <c r="T458" s="63" t="s">
        <v>1524</v>
      </c>
      <c r="U458" s="64">
        <v>78600</v>
      </c>
      <c r="V458" s="64">
        <v>86460</v>
      </c>
      <c r="W458" s="64">
        <v>78600</v>
      </c>
      <c r="X458" s="64">
        <v>86460</v>
      </c>
      <c r="Z458" s="64">
        <v>0</v>
      </c>
      <c r="AA458" s="61">
        <v>44597</v>
      </c>
      <c r="AB458" s="61">
        <v>44597</v>
      </c>
      <c r="AD458" s="60">
        <v>0</v>
      </c>
      <c r="AG458" s="60">
        <v>0</v>
      </c>
      <c r="AJ458" s="60">
        <v>0</v>
      </c>
      <c r="AQ458" s="60" t="s">
        <v>1683</v>
      </c>
      <c r="AR458" s="61">
        <v>44572</v>
      </c>
      <c r="AS458" s="60">
        <v>6001978157</v>
      </c>
      <c r="AT458" s="61">
        <v>44572</v>
      </c>
      <c r="AU458" s="60" t="s">
        <v>1709</v>
      </c>
      <c r="AV458" s="61">
        <v>44620</v>
      </c>
      <c r="AW458" s="91">
        <v>44620</v>
      </c>
      <c r="AX458" s="91">
        <v>44640</v>
      </c>
      <c r="AY458" s="107">
        <v>78600</v>
      </c>
      <c r="AZ458" s="107">
        <f>ROUNDDOWN(AY458+(AY458*MASTER!$A$2/100),0)</f>
        <v>86460</v>
      </c>
      <c r="BA458" s="60" t="s">
        <v>613</v>
      </c>
      <c r="BB458" s="64">
        <v>21000</v>
      </c>
      <c r="BC458" s="64">
        <v>23100</v>
      </c>
      <c r="BD458" s="60" t="s">
        <v>2044</v>
      </c>
      <c r="BG458" s="64">
        <v>0</v>
      </c>
      <c r="BK458" s="64">
        <v>0</v>
      </c>
      <c r="BS458" s="64">
        <v>0</v>
      </c>
      <c r="BV458" s="65">
        <v>86460</v>
      </c>
      <c r="BW458" s="65">
        <v>23100</v>
      </c>
      <c r="BX458" s="65">
        <v>44565</v>
      </c>
      <c r="BY458" s="65">
        <v>63360</v>
      </c>
      <c r="BZ458" s="81">
        <v>73.282442748091597</v>
      </c>
    </row>
    <row r="459" spans="1:78" x14ac:dyDescent="0.15">
      <c r="A459" s="60">
        <v>2</v>
      </c>
      <c r="B459" s="61">
        <v>44592</v>
      </c>
      <c r="C459" s="61">
        <v>44620</v>
      </c>
      <c r="D459" s="61">
        <v>44633</v>
      </c>
      <c r="F459" s="61" t="s">
        <v>309</v>
      </c>
      <c r="G459" s="61">
        <v>44607</v>
      </c>
      <c r="H459" s="61" t="s">
        <v>309</v>
      </c>
      <c r="J459" s="60">
        <v>2</v>
      </c>
      <c r="L459" s="60">
        <v>0</v>
      </c>
      <c r="M459" s="61">
        <v>44565</v>
      </c>
      <c r="O459" s="62" t="s">
        <v>331</v>
      </c>
      <c r="P459" s="60" t="s">
        <v>26</v>
      </c>
      <c r="Q459" s="62" t="s">
        <v>40</v>
      </c>
      <c r="R459" s="62" t="s">
        <v>1561</v>
      </c>
      <c r="S459" s="63" t="s">
        <v>1514</v>
      </c>
      <c r="T459" s="63" t="s">
        <v>1524</v>
      </c>
      <c r="U459" s="64">
        <v>78600</v>
      </c>
      <c r="V459" s="64">
        <v>86460</v>
      </c>
      <c r="W459" s="64">
        <v>78600</v>
      </c>
      <c r="X459" s="64">
        <v>86460</v>
      </c>
      <c r="Z459" s="64">
        <v>0</v>
      </c>
      <c r="AA459" s="61">
        <v>44599</v>
      </c>
      <c r="AB459" s="61">
        <v>44599</v>
      </c>
      <c r="AD459" s="60">
        <v>0</v>
      </c>
      <c r="AG459" s="60">
        <v>0</v>
      </c>
      <c r="AJ459" s="60">
        <v>0</v>
      </c>
      <c r="AQ459" s="60" t="s">
        <v>1683</v>
      </c>
      <c r="AR459" s="61">
        <v>44572</v>
      </c>
      <c r="AS459" s="60">
        <v>6001978157</v>
      </c>
      <c r="AT459" s="61">
        <v>44572</v>
      </c>
      <c r="AU459" s="60" t="s">
        <v>1709</v>
      </c>
      <c r="AV459" s="61">
        <v>44620</v>
      </c>
      <c r="AW459" s="91">
        <v>44620</v>
      </c>
      <c r="AX459" s="91">
        <v>44640</v>
      </c>
      <c r="AY459" s="107">
        <v>78600</v>
      </c>
      <c r="AZ459" s="107">
        <f>ROUNDDOWN(AY459+(AY459*MASTER!$A$2/100),0)</f>
        <v>86460</v>
      </c>
      <c r="BA459" s="60" t="s">
        <v>314</v>
      </c>
      <c r="BB459" s="64">
        <v>34000</v>
      </c>
      <c r="BC459" s="64">
        <v>37400</v>
      </c>
      <c r="BD459" s="60" t="s">
        <v>2044</v>
      </c>
      <c r="BG459" s="64">
        <v>0</v>
      </c>
      <c r="BK459" s="64">
        <v>0</v>
      </c>
      <c r="BS459" s="64">
        <v>0</v>
      </c>
      <c r="BV459" s="65">
        <v>86460</v>
      </c>
      <c r="BW459" s="65">
        <v>37400</v>
      </c>
      <c r="BX459" s="65">
        <v>44565</v>
      </c>
      <c r="BY459" s="65">
        <v>49060</v>
      </c>
      <c r="BZ459" s="81">
        <v>56.743002544529261</v>
      </c>
    </row>
    <row r="460" spans="1:78" x14ac:dyDescent="0.15">
      <c r="A460" s="60">
        <v>2</v>
      </c>
      <c r="B460" s="61">
        <v>44592</v>
      </c>
      <c r="C460" s="61">
        <v>44620</v>
      </c>
      <c r="D460" s="61">
        <v>44633</v>
      </c>
      <c r="F460" s="61" t="s">
        <v>309</v>
      </c>
      <c r="G460" s="61">
        <v>44621</v>
      </c>
      <c r="H460" s="61" t="s">
        <v>309</v>
      </c>
      <c r="J460" s="60">
        <v>2</v>
      </c>
      <c r="L460" s="60">
        <v>0</v>
      </c>
      <c r="M460" s="61">
        <v>44565</v>
      </c>
      <c r="O460" s="62" t="s">
        <v>331</v>
      </c>
      <c r="P460" s="60" t="s">
        <v>26</v>
      </c>
      <c r="Q460" s="62" t="s">
        <v>40</v>
      </c>
      <c r="R460" s="62" t="s">
        <v>1562</v>
      </c>
      <c r="S460" s="63" t="s">
        <v>900</v>
      </c>
      <c r="T460" s="63" t="s">
        <v>1524</v>
      </c>
      <c r="U460" s="64">
        <v>78600</v>
      </c>
      <c r="V460" s="64">
        <v>86460</v>
      </c>
      <c r="W460" s="64">
        <v>78600</v>
      </c>
      <c r="X460" s="64">
        <v>86460</v>
      </c>
      <c r="Z460" s="64">
        <v>0</v>
      </c>
      <c r="AA460" s="61">
        <v>44617</v>
      </c>
      <c r="AB460" s="61">
        <v>44617</v>
      </c>
      <c r="AD460" s="60">
        <v>0</v>
      </c>
      <c r="AG460" s="60">
        <v>0</v>
      </c>
      <c r="AJ460" s="60">
        <v>0</v>
      </c>
      <c r="AQ460" s="60" t="s">
        <v>1683</v>
      </c>
      <c r="AR460" s="61">
        <v>44572</v>
      </c>
      <c r="AS460" s="60">
        <v>6001978157</v>
      </c>
      <c r="AT460" s="61">
        <v>44572</v>
      </c>
      <c r="AU460" s="60" t="s">
        <v>1709</v>
      </c>
      <c r="AV460" s="61">
        <v>44620</v>
      </c>
      <c r="AW460" s="91">
        <v>44620</v>
      </c>
      <c r="AX460" s="91">
        <v>44640</v>
      </c>
      <c r="AY460" s="107">
        <v>78600</v>
      </c>
      <c r="AZ460" s="107">
        <f>ROUNDDOWN(AY460+(AY460*MASTER!$A$2/100),0)</f>
        <v>86460</v>
      </c>
      <c r="BA460" s="60" t="s">
        <v>314</v>
      </c>
      <c r="BB460" s="64">
        <v>36000</v>
      </c>
      <c r="BC460" s="64">
        <v>39600</v>
      </c>
      <c r="BD460" s="60" t="s">
        <v>2044</v>
      </c>
      <c r="BG460" s="64">
        <v>0</v>
      </c>
      <c r="BK460" s="64">
        <v>0</v>
      </c>
      <c r="BS460" s="64">
        <v>0</v>
      </c>
      <c r="BV460" s="65">
        <v>86460</v>
      </c>
      <c r="BW460" s="65">
        <v>39600</v>
      </c>
      <c r="BX460" s="65">
        <v>44565</v>
      </c>
      <c r="BY460" s="65">
        <v>46860</v>
      </c>
      <c r="BZ460" s="81">
        <v>54.198473282442748</v>
      </c>
    </row>
    <row r="461" spans="1:78" x14ac:dyDescent="0.15">
      <c r="A461" s="60">
        <v>2</v>
      </c>
      <c r="B461" s="61">
        <v>44592</v>
      </c>
      <c r="C461" s="61">
        <v>44620</v>
      </c>
      <c r="D461" s="61">
        <v>44633</v>
      </c>
      <c r="F461" s="61" t="s">
        <v>309</v>
      </c>
      <c r="G461" s="61">
        <v>44613</v>
      </c>
      <c r="H461" s="61" t="s">
        <v>309</v>
      </c>
      <c r="J461" s="60">
        <v>2</v>
      </c>
      <c r="L461" s="60">
        <v>0</v>
      </c>
      <c r="M461" s="61">
        <v>44565</v>
      </c>
      <c r="O461" s="62" t="s">
        <v>331</v>
      </c>
      <c r="P461" s="60" t="s">
        <v>26</v>
      </c>
      <c r="Q461" s="62" t="s">
        <v>40</v>
      </c>
      <c r="R461" s="62" t="s">
        <v>1563</v>
      </c>
      <c r="S461" s="63" t="s">
        <v>1526</v>
      </c>
      <c r="T461" s="63" t="s">
        <v>1524</v>
      </c>
      <c r="U461" s="64">
        <v>78600</v>
      </c>
      <c r="V461" s="64">
        <v>86460</v>
      </c>
      <c r="W461" s="64">
        <v>78600</v>
      </c>
      <c r="X461" s="64">
        <v>86460</v>
      </c>
      <c r="Z461" s="64">
        <v>0</v>
      </c>
      <c r="AA461" s="61">
        <v>44607</v>
      </c>
      <c r="AB461" s="61">
        <v>44607</v>
      </c>
      <c r="AD461" s="60">
        <v>0</v>
      </c>
      <c r="AG461" s="60">
        <v>0</v>
      </c>
      <c r="AJ461" s="60">
        <v>0</v>
      </c>
      <c r="AQ461" s="60" t="s">
        <v>1683</v>
      </c>
      <c r="AR461" s="61">
        <v>44572</v>
      </c>
      <c r="AS461" s="60">
        <v>6001978157</v>
      </c>
      <c r="AT461" s="61">
        <v>44572</v>
      </c>
      <c r="AU461" s="60" t="s">
        <v>1709</v>
      </c>
      <c r="AV461" s="61">
        <v>44620</v>
      </c>
      <c r="AW461" s="91">
        <v>44620</v>
      </c>
      <c r="AX461" s="91">
        <v>44640</v>
      </c>
      <c r="AY461" s="107">
        <v>78600</v>
      </c>
      <c r="AZ461" s="107">
        <f>ROUNDDOWN(AY461+(AY461*MASTER!$A$2/100),0)</f>
        <v>86460</v>
      </c>
      <c r="BA461" s="60" t="s">
        <v>314</v>
      </c>
      <c r="BB461" s="64">
        <v>31000</v>
      </c>
      <c r="BC461" s="64">
        <v>34100</v>
      </c>
      <c r="BD461" s="60" t="s">
        <v>2044</v>
      </c>
      <c r="BG461" s="64">
        <v>0</v>
      </c>
      <c r="BK461" s="64">
        <v>0</v>
      </c>
      <c r="BS461" s="64">
        <v>0</v>
      </c>
      <c r="BV461" s="65">
        <v>86460</v>
      </c>
      <c r="BW461" s="65">
        <v>34100</v>
      </c>
      <c r="BX461" s="65">
        <v>44565</v>
      </c>
      <c r="BY461" s="65">
        <v>52360</v>
      </c>
      <c r="BZ461" s="81">
        <v>60.559796437659031</v>
      </c>
    </row>
    <row r="462" spans="1:78" x14ac:dyDescent="0.15">
      <c r="A462" s="60">
        <v>1</v>
      </c>
      <c r="B462" s="61">
        <v>44613</v>
      </c>
      <c r="C462" s="61">
        <v>44620</v>
      </c>
      <c r="D462" s="61">
        <v>44621</v>
      </c>
      <c r="F462" s="61" t="s">
        <v>309</v>
      </c>
      <c r="G462" s="61">
        <v>44635</v>
      </c>
      <c r="H462" s="61" t="s">
        <v>309</v>
      </c>
      <c r="J462" s="60">
        <v>2</v>
      </c>
      <c r="L462" s="60">
        <v>0</v>
      </c>
      <c r="M462" s="61">
        <v>44565</v>
      </c>
      <c r="O462" s="62" t="s">
        <v>331</v>
      </c>
      <c r="P462" s="60" t="s">
        <v>26</v>
      </c>
      <c r="Q462" s="62" t="s">
        <v>40</v>
      </c>
      <c r="R462" s="62" t="s">
        <v>1564</v>
      </c>
      <c r="S462" s="63" t="s">
        <v>1565</v>
      </c>
      <c r="T462" s="63" t="s">
        <v>1524</v>
      </c>
      <c r="U462" s="64">
        <v>78600</v>
      </c>
      <c r="V462" s="64">
        <v>86460</v>
      </c>
      <c r="W462" s="64">
        <v>78600</v>
      </c>
      <c r="X462" s="64">
        <v>86460</v>
      </c>
      <c r="Z462" s="64">
        <v>0</v>
      </c>
      <c r="AA462" s="61">
        <v>44617</v>
      </c>
      <c r="AB462" s="61">
        <v>44617</v>
      </c>
      <c r="AD462" s="60">
        <v>0</v>
      </c>
      <c r="AG462" s="60">
        <v>0</v>
      </c>
      <c r="AJ462" s="60">
        <v>0</v>
      </c>
      <c r="AQ462" s="60" t="s">
        <v>1683</v>
      </c>
      <c r="AR462" s="61">
        <v>44572</v>
      </c>
      <c r="AS462" s="60">
        <v>6001978157</v>
      </c>
      <c r="AT462" s="61">
        <v>44572</v>
      </c>
      <c r="AU462" s="60" t="s">
        <v>1709</v>
      </c>
      <c r="AV462" s="61">
        <v>44620</v>
      </c>
      <c r="AW462" s="91">
        <v>44620</v>
      </c>
      <c r="AX462" s="91">
        <v>44640</v>
      </c>
      <c r="AY462" s="107">
        <v>78600</v>
      </c>
      <c r="AZ462" s="107">
        <f>ROUNDDOWN(AY462+(AY462*MASTER!$A$2/100),0)</f>
        <v>86460</v>
      </c>
      <c r="BA462" s="60" t="s">
        <v>765</v>
      </c>
      <c r="BC462" s="64">
        <v>0</v>
      </c>
      <c r="BG462" s="64">
        <v>0</v>
      </c>
      <c r="BK462" s="64">
        <v>0</v>
      </c>
      <c r="BS462" s="64">
        <v>0</v>
      </c>
      <c r="BV462" s="65">
        <v>86460</v>
      </c>
      <c r="BW462" s="65">
        <v>0</v>
      </c>
      <c r="BX462" s="65">
        <v>44565</v>
      </c>
      <c r="BY462" s="65">
        <v>86460</v>
      </c>
      <c r="BZ462" s="81">
        <v>100</v>
      </c>
    </row>
    <row r="463" spans="1:78" x14ac:dyDescent="0.15">
      <c r="A463" s="60">
        <v>1</v>
      </c>
      <c r="B463" s="61">
        <v>44610</v>
      </c>
      <c r="C463" s="61">
        <v>44620</v>
      </c>
      <c r="D463" s="61">
        <v>44621</v>
      </c>
      <c r="F463" s="61" t="s">
        <v>309</v>
      </c>
      <c r="G463" s="61">
        <v>44616</v>
      </c>
      <c r="H463" s="61" t="s">
        <v>309</v>
      </c>
      <c r="J463" s="60">
        <v>2</v>
      </c>
      <c r="L463" s="60">
        <v>0</v>
      </c>
      <c r="M463" s="61">
        <v>44565</v>
      </c>
      <c r="O463" s="62" t="s">
        <v>331</v>
      </c>
      <c r="P463" s="60" t="s">
        <v>26</v>
      </c>
      <c r="Q463" s="62" t="s">
        <v>40</v>
      </c>
      <c r="R463" s="62" t="s">
        <v>1566</v>
      </c>
      <c r="S463" s="63" t="s">
        <v>949</v>
      </c>
      <c r="T463" s="63" t="s">
        <v>1524</v>
      </c>
      <c r="U463" s="64">
        <v>78600</v>
      </c>
      <c r="V463" s="64">
        <v>86460</v>
      </c>
      <c r="W463" s="64">
        <v>78600</v>
      </c>
      <c r="X463" s="64">
        <v>86460</v>
      </c>
      <c r="Z463" s="64">
        <v>0</v>
      </c>
      <c r="AA463" s="61">
        <v>44613</v>
      </c>
      <c r="AB463" s="61">
        <v>44613</v>
      </c>
      <c r="AD463" s="60">
        <v>0</v>
      </c>
      <c r="AG463" s="60">
        <v>0</v>
      </c>
      <c r="AJ463" s="60">
        <v>0</v>
      </c>
      <c r="AQ463" s="60" t="s">
        <v>1683</v>
      </c>
      <c r="AR463" s="61">
        <v>44572</v>
      </c>
      <c r="AS463" s="60">
        <v>6001978157</v>
      </c>
      <c r="AT463" s="61">
        <v>44572</v>
      </c>
      <c r="AU463" s="60" t="s">
        <v>1709</v>
      </c>
      <c r="AV463" s="61">
        <v>44620</v>
      </c>
      <c r="AW463" s="91">
        <v>44620</v>
      </c>
      <c r="AX463" s="91">
        <v>44640</v>
      </c>
      <c r="AY463" s="107">
        <v>78600</v>
      </c>
      <c r="AZ463" s="107">
        <f>ROUNDDOWN(AY463+(AY463*MASTER!$A$2/100),0)</f>
        <v>86460</v>
      </c>
      <c r="BA463" s="60" t="s">
        <v>765</v>
      </c>
      <c r="BC463" s="64">
        <v>0</v>
      </c>
      <c r="BG463" s="64">
        <v>0</v>
      </c>
      <c r="BK463" s="64">
        <v>0</v>
      </c>
      <c r="BS463" s="64">
        <v>0</v>
      </c>
      <c r="BV463" s="65">
        <v>86460</v>
      </c>
      <c r="BW463" s="65">
        <v>0</v>
      </c>
      <c r="BX463" s="65">
        <v>44565</v>
      </c>
      <c r="BY463" s="65">
        <v>86460</v>
      </c>
      <c r="BZ463" s="81">
        <v>100</v>
      </c>
    </row>
    <row r="464" spans="1:78" x14ac:dyDescent="0.15">
      <c r="A464" s="60">
        <v>2</v>
      </c>
      <c r="B464" s="61">
        <v>44594</v>
      </c>
      <c r="C464" s="61">
        <v>44620</v>
      </c>
      <c r="D464" s="61">
        <v>44624</v>
      </c>
      <c r="F464" s="61" t="s">
        <v>309</v>
      </c>
      <c r="G464" s="61">
        <v>44600</v>
      </c>
      <c r="H464" s="61" t="s">
        <v>309</v>
      </c>
      <c r="J464" s="60">
        <v>2</v>
      </c>
      <c r="L464" s="60">
        <v>0</v>
      </c>
      <c r="M464" s="61">
        <v>44565</v>
      </c>
      <c r="O464" s="62" t="s">
        <v>331</v>
      </c>
      <c r="P464" s="60" t="s">
        <v>26</v>
      </c>
      <c r="Q464" s="62" t="s">
        <v>40</v>
      </c>
      <c r="R464" s="62" t="s">
        <v>1567</v>
      </c>
      <c r="S464" s="63" t="s">
        <v>1568</v>
      </c>
      <c r="T464" s="63" t="s">
        <v>1524</v>
      </c>
      <c r="U464" s="64">
        <v>78600</v>
      </c>
      <c r="V464" s="64">
        <v>86460</v>
      </c>
      <c r="W464" s="64">
        <v>78600</v>
      </c>
      <c r="X464" s="64">
        <v>86460</v>
      </c>
      <c r="Z464" s="64">
        <v>0</v>
      </c>
      <c r="AA464" s="61">
        <v>44600</v>
      </c>
      <c r="AB464" s="61">
        <v>44600</v>
      </c>
      <c r="AD464" s="60">
        <v>0</v>
      </c>
      <c r="AG464" s="60">
        <v>0</v>
      </c>
      <c r="AJ464" s="60">
        <v>0</v>
      </c>
      <c r="AQ464" s="60" t="s">
        <v>1683</v>
      </c>
      <c r="AR464" s="61">
        <v>44572</v>
      </c>
      <c r="AS464" s="60">
        <v>6001978157</v>
      </c>
      <c r="AT464" s="61">
        <v>44572</v>
      </c>
      <c r="AU464" s="60" t="s">
        <v>1709</v>
      </c>
      <c r="AV464" s="61">
        <v>44620</v>
      </c>
      <c r="AW464" s="91">
        <v>44620</v>
      </c>
      <c r="AX464" s="91">
        <v>44640</v>
      </c>
      <c r="AY464" s="107">
        <v>78600</v>
      </c>
      <c r="AZ464" s="107">
        <f>ROUNDDOWN(AY464+(AY464*MASTER!$A$2/100),0)</f>
        <v>86460</v>
      </c>
      <c r="BA464" s="60" t="s">
        <v>317</v>
      </c>
      <c r="BB464" s="64">
        <v>30000</v>
      </c>
      <c r="BC464" s="64">
        <v>33000</v>
      </c>
      <c r="BD464" s="60" t="s">
        <v>2044</v>
      </c>
      <c r="BG464" s="64">
        <v>0</v>
      </c>
      <c r="BK464" s="64">
        <v>0</v>
      </c>
      <c r="BS464" s="64">
        <v>0</v>
      </c>
      <c r="BV464" s="65">
        <v>86460</v>
      </c>
      <c r="BW464" s="65">
        <v>33000</v>
      </c>
      <c r="BX464" s="65">
        <v>44565</v>
      </c>
      <c r="BY464" s="65">
        <v>53460</v>
      </c>
      <c r="BZ464" s="81">
        <v>61.832061068702295</v>
      </c>
    </row>
    <row r="465" spans="1:78" x14ac:dyDescent="0.15">
      <c r="A465" s="60">
        <v>1</v>
      </c>
      <c r="B465" s="61">
        <v>44613</v>
      </c>
      <c r="C465" s="61">
        <v>44620</v>
      </c>
      <c r="D465" s="61">
        <v>44621</v>
      </c>
      <c r="F465" s="61" t="s">
        <v>309</v>
      </c>
      <c r="G465" s="61">
        <v>44636</v>
      </c>
      <c r="H465" s="61" t="s">
        <v>309</v>
      </c>
      <c r="J465" s="60">
        <v>2</v>
      </c>
      <c r="L465" s="60">
        <v>0</v>
      </c>
      <c r="M465" s="61">
        <v>44565</v>
      </c>
      <c r="O465" s="62" t="s">
        <v>331</v>
      </c>
      <c r="P465" s="60" t="s">
        <v>26</v>
      </c>
      <c r="Q465" s="62" t="s">
        <v>40</v>
      </c>
      <c r="R465" s="62" t="s">
        <v>1569</v>
      </c>
      <c r="S465" s="63" t="s">
        <v>1570</v>
      </c>
      <c r="T465" s="63" t="s">
        <v>1524</v>
      </c>
      <c r="U465" s="64">
        <v>78600</v>
      </c>
      <c r="V465" s="64">
        <v>86460</v>
      </c>
      <c r="W465" s="64">
        <v>78600</v>
      </c>
      <c r="X465" s="64">
        <v>86460</v>
      </c>
      <c r="Z465" s="64">
        <v>0</v>
      </c>
      <c r="AA465" s="61">
        <v>44618</v>
      </c>
      <c r="AB465" s="61">
        <v>44618</v>
      </c>
      <c r="AD465" s="60">
        <v>0</v>
      </c>
      <c r="AG465" s="60">
        <v>0</v>
      </c>
      <c r="AJ465" s="60">
        <v>0</v>
      </c>
      <c r="AQ465" s="60" t="s">
        <v>1683</v>
      </c>
      <c r="AR465" s="61">
        <v>44572</v>
      </c>
      <c r="AS465" s="60">
        <v>6001978157</v>
      </c>
      <c r="AT465" s="61">
        <v>44572</v>
      </c>
      <c r="AU465" s="60" t="s">
        <v>1709</v>
      </c>
      <c r="AV465" s="61">
        <v>44620</v>
      </c>
      <c r="AW465" s="91">
        <v>44620</v>
      </c>
      <c r="AX465" s="91">
        <v>44640</v>
      </c>
      <c r="AY465" s="107">
        <v>78600</v>
      </c>
      <c r="AZ465" s="107">
        <f>ROUNDDOWN(AY465+(AY465*MASTER!$A$2/100),0)</f>
        <v>86460</v>
      </c>
      <c r="BA465" s="60" t="s">
        <v>765</v>
      </c>
      <c r="BC465" s="64">
        <v>0</v>
      </c>
      <c r="BG465" s="64">
        <v>0</v>
      </c>
      <c r="BK465" s="64">
        <v>0</v>
      </c>
      <c r="BS465" s="64">
        <v>0</v>
      </c>
      <c r="BV465" s="65">
        <v>86460</v>
      </c>
      <c r="BW465" s="65">
        <v>0</v>
      </c>
      <c r="BX465" s="65">
        <v>44565</v>
      </c>
      <c r="BY465" s="65">
        <v>86460</v>
      </c>
      <c r="BZ465" s="81">
        <v>100</v>
      </c>
    </row>
    <row r="466" spans="1:78" x14ac:dyDescent="0.15">
      <c r="A466" s="60">
        <v>1</v>
      </c>
      <c r="B466" s="61">
        <v>44610</v>
      </c>
      <c r="C466" s="61">
        <v>44620</v>
      </c>
      <c r="D466" s="61">
        <v>44621</v>
      </c>
      <c r="F466" s="61" t="s">
        <v>309</v>
      </c>
      <c r="G466" s="61">
        <v>44616</v>
      </c>
      <c r="H466" s="61" t="s">
        <v>309</v>
      </c>
      <c r="J466" s="60">
        <v>2</v>
      </c>
      <c r="L466" s="60">
        <v>0</v>
      </c>
      <c r="M466" s="61">
        <v>44565</v>
      </c>
      <c r="O466" s="62" t="s">
        <v>331</v>
      </c>
      <c r="P466" s="60" t="s">
        <v>26</v>
      </c>
      <c r="Q466" s="62" t="s">
        <v>40</v>
      </c>
      <c r="R466" s="62" t="s">
        <v>1571</v>
      </c>
      <c r="S466" s="63" t="s">
        <v>1572</v>
      </c>
      <c r="T466" s="63" t="s">
        <v>1524</v>
      </c>
      <c r="U466" s="64">
        <v>78600</v>
      </c>
      <c r="V466" s="64">
        <v>86460</v>
      </c>
      <c r="W466" s="64">
        <v>78600</v>
      </c>
      <c r="X466" s="64">
        <v>86460</v>
      </c>
      <c r="Z466" s="64">
        <v>0</v>
      </c>
      <c r="AA466" s="61">
        <v>44614</v>
      </c>
      <c r="AB466" s="61">
        <v>44614</v>
      </c>
      <c r="AD466" s="60">
        <v>0</v>
      </c>
      <c r="AG466" s="60">
        <v>0</v>
      </c>
      <c r="AJ466" s="60">
        <v>0</v>
      </c>
      <c r="AQ466" s="60" t="s">
        <v>1683</v>
      </c>
      <c r="AR466" s="61">
        <v>44572</v>
      </c>
      <c r="AS466" s="60">
        <v>6001978157</v>
      </c>
      <c r="AT466" s="61">
        <v>44572</v>
      </c>
      <c r="AU466" s="60" t="s">
        <v>1709</v>
      </c>
      <c r="AV466" s="61">
        <v>44620</v>
      </c>
      <c r="AW466" s="91">
        <v>44620</v>
      </c>
      <c r="AX466" s="91">
        <v>44640</v>
      </c>
      <c r="AY466" s="107">
        <v>78600</v>
      </c>
      <c r="AZ466" s="107">
        <f>ROUNDDOWN(AY466+(AY466*MASTER!$A$2/100),0)</f>
        <v>86460</v>
      </c>
      <c r="BA466" s="60" t="s">
        <v>765</v>
      </c>
      <c r="BC466" s="64">
        <v>0</v>
      </c>
      <c r="BG466" s="64">
        <v>0</v>
      </c>
      <c r="BK466" s="64">
        <v>0</v>
      </c>
      <c r="BS466" s="64">
        <v>0</v>
      </c>
      <c r="BV466" s="65">
        <v>86460</v>
      </c>
      <c r="BW466" s="65">
        <v>0</v>
      </c>
      <c r="BX466" s="65">
        <v>44565</v>
      </c>
      <c r="BY466" s="65">
        <v>86460</v>
      </c>
      <c r="BZ466" s="81">
        <v>100</v>
      </c>
    </row>
    <row r="467" spans="1:78" x14ac:dyDescent="0.15">
      <c r="A467" s="60">
        <v>2</v>
      </c>
      <c r="B467" s="61">
        <v>44602</v>
      </c>
      <c r="C467" s="61">
        <v>44620</v>
      </c>
      <c r="D467" s="61">
        <v>44624</v>
      </c>
      <c r="F467" s="61" t="s">
        <v>309</v>
      </c>
      <c r="G467" s="61">
        <v>44608</v>
      </c>
      <c r="H467" s="61" t="s">
        <v>309</v>
      </c>
      <c r="J467" s="60">
        <v>2</v>
      </c>
      <c r="L467" s="60">
        <v>0</v>
      </c>
      <c r="M467" s="61">
        <v>44565</v>
      </c>
      <c r="O467" s="62" t="s">
        <v>331</v>
      </c>
      <c r="P467" s="60" t="s">
        <v>26</v>
      </c>
      <c r="Q467" s="62" t="s">
        <v>40</v>
      </c>
      <c r="R467" s="62" t="s">
        <v>1573</v>
      </c>
      <c r="S467" s="63" t="s">
        <v>1574</v>
      </c>
      <c r="T467" s="63" t="s">
        <v>1524</v>
      </c>
      <c r="U467" s="64">
        <v>78600</v>
      </c>
      <c r="V467" s="64">
        <v>86460</v>
      </c>
      <c r="W467" s="64">
        <v>78600</v>
      </c>
      <c r="X467" s="64">
        <v>86460</v>
      </c>
      <c r="Z467" s="64">
        <v>0</v>
      </c>
      <c r="AA467" s="61">
        <v>44599</v>
      </c>
      <c r="AB467" s="61">
        <v>44599</v>
      </c>
      <c r="AD467" s="60">
        <v>0</v>
      </c>
      <c r="AG467" s="60">
        <v>0</v>
      </c>
      <c r="AJ467" s="60">
        <v>0</v>
      </c>
      <c r="AQ467" s="60" t="s">
        <v>1683</v>
      </c>
      <c r="AR467" s="61">
        <v>44572</v>
      </c>
      <c r="AS467" s="60">
        <v>6001978157</v>
      </c>
      <c r="AT467" s="61">
        <v>44572</v>
      </c>
      <c r="AU467" s="60" t="s">
        <v>1709</v>
      </c>
      <c r="AV467" s="61">
        <v>44620</v>
      </c>
      <c r="AW467" s="91">
        <v>44620</v>
      </c>
      <c r="AX467" s="91">
        <v>44640</v>
      </c>
      <c r="AY467" s="107">
        <v>78600</v>
      </c>
      <c r="AZ467" s="107">
        <f>ROUNDDOWN(AY467+(AY467*MASTER!$A$2/100),0)</f>
        <v>86460</v>
      </c>
      <c r="BA467" s="60" t="s">
        <v>317</v>
      </c>
      <c r="BB467" s="64">
        <v>30000</v>
      </c>
      <c r="BC467" s="64">
        <v>33000</v>
      </c>
      <c r="BD467" s="60" t="s">
        <v>2044</v>
      </c>
      <c r="BG467" s="64">
        <v>0</v>
      </c>
      <c r="BK467" s="64">
        <v>0</v>
      </c>
      <c r="BS467" s="64">
        <v>0</v>
      </c>
      <c r="BV467" s="65">
        <v>86460</v>
      </c>
      <c r="BW467" s="65">
        <v>33000</v>
      </c>
      <c r="BX467" s="65">
        <v>44565</v>
      </c>
      <c r="BY467" s="65">
        <v>53460</v>
      </c>
      <c r="BZ467" s="81">
        <v>61.832061068702295</v>
      </c>
    </row>
    <row r="468" spans="1:78" x14ac:dyDescent="0.15">
      <c r="A468" s="60">
        <v>2</v>
      </c>
      <c r="B468" s="61">
        <v>44602</v>
      </c>
      <c r="C468" s="61">
        <v>44620</v>
      </c>
      <c r="D468" s="61">
        <v>44624</v>
      </c>
      <c r="F468" s="61" t="s">
        <v>309</v>
      </c>
      <c r="G468" s="61">
        <v>44606</v>
      </c>
      <c r="H468" s="61" t="s">
        <v>309</v>
      </c>
      <c r="J468" s="60">
        <v>2</v>
      </c>
      <c r="L468" s="60">
        <v>0</v>
      </c>
      <c r="M468" s="61">
        <v>44565</v>
      </c>
      <c r="O468" s="62" t="s">
        <v>331</v>
      </c>
      <c r="P468" s="60" t="s">
        <v>26</v>
      </c>
      <c r="Q468" s="62" t="s">
        <v>40</v>
      </c>
      <c r="R468" s="62" t="s">
        <v>1575</v>
      </c>
      <c r="S468" s="63" t="s">
        <v>1576</v>
      </c>
      <c r="T468" s="63" t="s">
        <v>1524</v>
      </c>
      <c r="U468" s="64">
        <v>78600</v>
      </c>
      <c r="V468" s="64">
        <v>86460</v>
      </c>
      <c r="W468" s="64">
        <v>78600</v>
      </c>
      <c r="X468" s="64">
        <v>86460</v>
      </c>
      <c r="Z468" s="64">
        <v>0</v>
      </c>
      <c r="AA468" s="61">
        <v>44606</v>
      </c>
      <c r="AB468" s="61">
        <v>44606</v>
      </c>
      <c r="AD468" s="60">
        <v>0</v>
      </c>
      <c r="AG468" s="60">
        <v>0</v>
      </c>
      <c r="AJ468" s="60">
        <v>0</v>
      </c>
      <c r="AQ468" s="60" t="s">
        <v>1683</v>
      </c>
      <c r="AR468" s="61">
        <v>44572</v>
      </c>
      <c r="AS468" s="60">
        <v>6001978157</v>
      </c>
      <c r="AT468" s="61">
        <v>44572</v>
      </c>
      <c r="AU468" s="60" t="s">
        <v>1709</v>
      </c>
      <c r="AV468" s="61">
        <v>44620</v>
      </c>
      <c r="AW468" s="91">
        <v>44620</v>
      </c>
      <c r="AX468" s="91">
        <v>44640</v>
      </c>
      <c r="AY468" s="107">
        <v>78600</v>
      </c>
      <c r="AZ468" s="107">
        <f>ROUNDDOWN(AY468+(AY468*MASTER!$A$2/100),0)</f>
        <v>86460</v>
      </c>
      <c r="BA468" s="60" t="s">
        <v>317</v>
      </c>
      <c r="BB468" s="64">
        <v>30000</v>
      </c>
      <c r="BC468" s="64">
        <v>33000</v>
      </c>
      <c r="BD468" s="60" t="s">
        <v>2044</v>
      </c>
      <c r="BG468" s="64">
        <v>0</v>
      </c>
      <c r="BK468" s="64">
        <v>0</v>
      </c>
      <c r="BS468" s="64">
        <v>0</v>
      </c>
      <c r="BV468" s="65">
        <v>86460</v>
      </c>
      <c r="BW468" s="65">
        <v>33000</v>
      </c>
      <c r="BX468" s="65">
        <v>44565</v>
      </c>
      <c r="BY468" s="65">
        <v>53460</v>
      </c>
      <c r="BZ468" s="81">
        <v>61.832061068702295</v>
      </c>
    </row>
    <row r="469" spans="1:78" x14ac:dyDescent="0.15">
      <c r="A469" s="60">
        <v>2</v>
      </c>
      <c r="B469" s="61">
        <v>44630</v>
      </c>
      <c r="C469" s="61">
        <v>44651</v>
      </c>
      <c r="D469" s="61">
        <v>44664</v>
      </c>
      <c r="F469" s="61" t="s">
        <v>309</v>
      </c>
      <c r="G469" s="61">
        <v>44636</v>
      </c>
      <c r="H469" s="61" t="s">
        <v>309</v>
      </c>
      <c r="J469" s="60">
        <v>2</v>
      </c>
      <c r="L469" s="60">
        <v>0</v>
      </c>
      <c r="M469" s="61">
        <v>44565</v>
      </c>
      <c r="O469" s="62" t="s">
        <v>331</v>
      </c>
      <c r="P469" s="60" t="s">
        <v>26</v>
      </c>
      <c r="Q469" s="62" t="s">
        <v>40</v>
      </c>
      <c r="R469" s="62" t="s">
        <v>1577</v>
      </c>
      <c r="S469" s="63" t="s">
        <v>848</v>
      </c>
      <c r="T469" s="63" t="s">
        <v>1524</v>
      </c>
      <c r="U469" s="64">
        <v>78600</v>
      </c>
      <c r="V469" s="64">
        <v>86460</v>
      </c>
      <c r="W469" s="64">
        <v>78600</v>
      </c>
      <c r="X469" s="64">
        <v>86460</v>
      </c>
      <c r="Z469" s="64">
        <v>0</v>
      </c>
      <c r="AA469" s="61">
        <v>44635</v>
      </c>
      <c r="AB469" s="61">
        <v>44635</v>
      </c>
      <c r="AD469" s="60">
        <v>0</v>
      </c>
      <c r="AG469" s="60">
        <v>0</v>
      </c>
      <c r="AJ469" s="60">
        <v>0</v>
      </c>
      <c r="AQ469" s="60" t="s">
        <v>2582</v>
      </c>
      <c r="AR469" s="61">
        <v>44572</v>
      </c>
      <c r="AS469" s="60">
        <v>6001978158</v>
      </c>
      <c r="AT469" s="61">
        <v>44572</v>
      </c>
      <c r="AU469" s="60" t="s">
        <v>1710</v>
      </c>
      <c r="AV469" s="61">
        <v>44651</v>
      </c>
      <c r="AW469" s="91">
        <v>44651</v>
      </c>
      <c r="AX469" s="91">
        <v>44671</v>
      </c>
      <c r="AY469" s="107">
        <v>78600</v>
      </c>
      <c r="AZ469" s="107">
        <f>ROUNDDOWN(AY469+(AY469*MASTER!$A$2/100),0)</f>
        <v>86460</v>
      </c>
      <c r="BA469" s="60" t="s">
        <v>319</v>
      </c>
      <c r="BB469" s="64">
        <v>21000</v>
      </c>
      <c r="BC469" s="64">
        <v>23100</v>
      </c>
      <c r="BD469" s="60" t="s">
        <v>2107</v>
      </c>
      <c r="BG469" s="64">
        <v>0</v>
      </c>
      <c r="BK469" s="64">
        <v>0</v>
      </c>
      <c r="BS469" s="64">
        <v>0</v>
      </c>
      <c r="BV469" s="65">
        <v>86460</v>
      </c>
      <c r="BW469" s="65">
        <v>23100</v>
      </c>
      <c r="BX469" s="65">
        <v>44565</v>
      </c>
      <c r="BY469" s="65">
        <v>63360</v>
      </c>
      <c r="BZ469" s="81">
        <v>73.282442748091597</v>
      </c>
    </row>
    <row r="470" spans="1:78" x14ac:dyDescent="0.15">
      <c r="A470" s="60">
        <v>2</v>
      </c>
      <c r="B470" s="61">
        <v>44624</v>
      </c>
      <c r="C470" s="61">
        <v>44651</v>
      </c>
      <c r="D470" s="61">
        <v>44655</v>
      </c>
      <c r="F470" s="61" t="s">
        <v>309</v>
      </c>
      <c r="G470" s="61">
        <v>44629</v>
      </c>
      <c r="H470" s="61" t="s">
        <v>309</v>
      </c>
      <c r="I470" s="60" t="s">
        <v>774</v>
      </c>
      <c r="J470" s="60">
        <v>2</v>
      </c>
      <c r="L470" s="60">
        <v>0</v>
      </c>
      <c r="M470" s="61">
        <v>44565</v>
      </c>
      <c r="O470" s="62" t="s">
        <v>331</v>
      </c>
      <c r="P470" s="60" t="s">
        <v>26</v>
      </c>
      <c r="Q470" s="62" t="s">
        <v>40</v>
      </c>
      <c r="R470" s="62" t="s">
        <v>1578</v>
      </c>
      <c r="S470" s="63" t="s">
        <v>1497</v>
      </c>
      <c r="T470" s="63" t="s">
        <v>1524</v>
      </c>
      <c r="U470" s="64">
        <v>78600</v>
      </c>
      <c r="V470" s="64">
        <v>86460</v>
      </c>
      <c r="W470" s="64">
        <v>78600</v>
      </c>
      <c r="X470" s="64">
        <v>86460</v>
      </c>
      <c r="Z470" s="64">
        <v>0</v>
      </c>
      <c r="AA470" s="61">
        <v>44628</v>
      </c>
      <c r="AB470" s="61">
        <v>44628</v>
      </c>
      <c r="AD470" s="60">
        <v>0</v>
      </c>
      <c r="AG470" s="60">
        <v>0</v>
      </c>
      <c r="AJ470" s="60">
        <v>0</v>
      </c>
      <c r="AQ470" s="60" t="s">
        <v>2582</v>
      </c>
      <c r="AR470" s="61">
        <v>44572</v>
      </c>
      <c r="AS470" s="60">
        <v>6001978158</v>
      </c>
      <c r="AT470" s="61">
        <v>44572</v>
      </c>
      <c r="AU470" s="60" t="s">
        <v>1710</v>
      </c>
      <c r="AV470" s="61">
        <v>44651</v>
      </c>
      <c r="AW470" s="91">
        <v>44651</v>
      </c>
      <c r="AX470" s="91">
        <v>44671</v>
      </c>
      <c r="AY470" s="107">
        <v>78600</v>
      </c>
      <c r="AZ470" s="107">
        <f>ROUNDDOWN(AY470+(AY470*MASTER!$A$2/100),0)</f>
        <v>86460</v>
      </c>
      <c r="BA470" s="60" t="s">
        <v>582</v>
      </c>
      <c r="BB470" s="64">
        <v>25000</v>
      </c>
      <c r="BC470" s="64">
        <v>27500</v>
      </c>
      <c r="BD470" s="60" t="s">
        <v>2107</v>
      </c>
      <c r="BG470" s="64">
        <v>0</v>
      </c>
      <c r="BK470" s="64">
        <v>0</v>
      </c>
      <c r="BS470" s="64">
        <v>0</v>
      </c>
      <c r="BV470" s="65">
        <v>86460</v>
      </c>
      <c r="BW470" s="65">
        <v>27500</v>
      </c>
      <c r="BX470" s="65">
        <v>44565</v>
      </c>
      <c r="BY470" s="65">
        <v>58960</v>
      </c>
      <c r="BZ470" s="81">
        <v>68.193384223918571</v>
      </c>
    </row>
    <row r="471" spans="1:78" x14ac:dyDescent="0.15">
      <c r="A471" s="60">
        <v>2</v>
      </c>
      <c r="B471" s="61">
        <v>44630</v>
      </c>
      <c r="C471" s="61">
        <v>44651</v>
      </c>
      <c r="D471" s="61">
        <v>44664</v>
      </c>
      <c r="F471" s="61" t="s">
        <v>309</v>
      </c>
      <c r="G471" s="61">
        <v>44635</v>
      </c>
      <c r="H471" s="61" t="s">
        <v>309</v>
      </c>
      <c r="J471" s="60">
        <v>2</v>
      </c>
      <c r="L471" s="60">
        <v>0</v>
      </c>
      <c r="M471" s="61">
        <v>44565</v>
      </c>
      <c r="O471" s="62" t="s">
        <v>331</v>
      </c>
      <c r="P471" s="60" t="s">
        <v>26</v>
      </c>
      <c r="Q471" s="62" t="s">
        <v>40</v>
      </c>
      <c r="R471" s="62" t="s">
        <v>1579</v>
      </c>
      <c r="S471" s="63" t="s">
        <v>2779</v>
      </c>
      <c r="T471" s="63" t="s">
        <v>1524</v>
      </c>
      <c r="U471" s="64">
        <v>78600</v>
      </c>
      <c r="V471" s="64">
        <v>86460</v>
      </c>
      <c r="W471" s="64">
        <v>78600</v>
      </c>
      <c r="X471" s="64">
        <v>86460</v>
      </c>
      <c r="Z471" s="64">
        <v>0</v>
      </c>
      <c r="AA471" s="61">
        <v>44634</v>
      </c>
      <c r="AB471" s="61">
        <v>44634</v>
      </c>
      <c r="AD471" s="60">
        <v>0</v>
      </c>
      <c r="AG471" s="60">
        <v>0</v>
      </c>
      <c r="AJ471" s="60">
        <v>0</v>
      </c>
      <c r="AQ471" s="60" t="s">
        <v>2582</v>
      </c>
      <c r="AR471" s="61">
        <v>44572</v>
      </c>
      <c r="AS471" s="60">
        <v>6001978158</v>
      </c>
      <c r="AT471" s="61">
        <v>44572</v>
      </c>
      <c r="AU471" s="60" t="s">
        <v>1710</v>
      </c>
      <c r="AV471" s="61">
        <v>44651</v>
      </c>
      <c r="AW471" s="91">
        <v>44651</v>
      </c>
      <c r="AX471" s="91">
        <v>44671</v>
      </c>
      <c r="AY471" s="107">
        <v>78600</v>
      </c>
      <c r="AZ471" s="107">
        <f>ROUNDDOWN(AY471+(AY471*MASTER!$A$2/100),0)</f>
        <v>86460</v>
      </c>
      <c r="BA471" s="60" t="s">
        <v>319</v>
      </c>
      <c r="BB471" s="64">
        <v>24000</v>
      </c>
      <c r="BC471" s="64">
        <v>26400</v>
      </c>
      <c r="BD471" s="60" t="s">
        <v>2107</v>
      </c>
      <c r="BG471" s="64">
        <v>0</v>
      </c>
      <c r="BK471" s="64">
        <v>0</v>
      </c>
      <c r="BS471" s="64">
        <v>0</v>
      </c>
      <c r="BV471" s="65">
        <v>86460</v>
      </c>
      <c r="BW471" s="65">
        <v>26400</v>
      </c>
      <c r="BX471" s="65">
        <v>44565</v>
      </c>
      <c r="BY471" s="65">
        <v>60060</v>
      </c>
      <c r="BZ471" s="81">
        <v>69.465648854961842</v>
      </c>
    </row>
    <row r="472" spans="1:78" x14ac:dyDescent="0.15">
      <c r="A472" s="60">
        <v>2</v>
      </c>
      <c r="B472" s="61">
        <v>44629</v>
      </c>
      <c r="C472" s="61">
        <v>44651</v>
      </c>
      <c r="D472" s="61">
        <v>44658</v>
      </c>
      <c r="F472" s="61" t="s">
        <v>309</v>
      </c>
      <c r="G472" s="61">
        <v>44644</v>
      </c>
      <c r="H472" s="61" t="s">
        <v>309</v>
      </c>
      <c r="J472" s="60">
        <v>2</v>
      </c>
      <c r="L472" s="60">
        <v>0</v>
      </c>
      <c r="M472" s="61">
        <v>44565</v>
      </c>
      <c r="O472" s="62" t="s">
        <v>331</v>
      </c>
      <c r="P472" s="60" t="s">
        <v>26</v>
      </c>
      <c r="Q472" s="62" t="s">
        <v>40</v>
      </c>
      <c r="R472" s="62" t="s">
        <v>1580</v>
      </c>
      <c r="S472" s="63" t="s">
        <v>403</v>
      </c>
      <c r="T472" s="63" t="s">
        <v>1524</v>
      </c>
      <c r="U472" s="64">
        <v>78600</v>
      </c>
      <c r="V472" s="64">
        <v>86460</v>
      </c>
      <c r="W472" s="64">
        <v>78600</v>
      </c>
      <c r="X472" s="64">
        <v>86460</v>
      </c>
      <c r="Z472" s="64">
        <v>0</v>
      </c>
      <c r="AA472" s="61">
        <v>44641</v>
      </c>
      <c r="AB472" s="61">
        <v>44641</v>
      </c>
      <c r="AD472" s="60">
        <v>0</v>
      </c>
      <c r="AG472" s="60">
        <v>0</v>
      </c>
      <c r="AJ472" s="60">
        <v>0</v>
      </c>
      <c r="AQ472" s="60" t="s">
        <v>2582</v>
      </c>
      <c r="AR472" s="61">
        <v>44572</v>
      </c>
      <c r="AS472" s="60">
        <v>6001978158</v>
      </c>
      <c r="AT472" s="61">
        <v>44572</v>
      </c>
      <c r="AU472" s="60" t="s">
        <v>1710</v>
      </c>
      <c r="AV472" s="61">
        <v>44651</v>
      </c>
      <c r="AW472" s="91">
        <v>44651</v>
      </c>
      <c r="AX472" s="91">
        <v>44671</v>
      </c>
      <c r="AY472" s="107">
        <v>78600</v>
      </c>
      <c r="AZ472" s="107">
        <f>ROUNDDOWN(AY472+(AY472*MASTER!$A$2/100),0)</f>
        <v>86460</v>
      </c>
      <c r="BA472" s="60" t="s">
        <v>317</v>
      </c>
      <c r="BB472" s="64">
        <v>48000</v>
      </c>
      <c r="BC472" s="64">
        <v>52800</v>
      </c>
      <c r="BD472" s="60" t="s">
        <v>2107</v>
      </c>
      <c r="BG472" s="64">
        <v>0</v>
      </c>
      <c r="BK472" s="64">
        <v>0</v>
      </c>
      <c r="BS472" s="64">
        <v>0</v>
      </c>
      <c r="BV472" s="65">
        <v>86460</v>
      </c>
      <c r="BW472" s="65">
        <v>52800</v>
      </c>
      <c r="BX472" s="65">
        <v>44565</v>
      </c>
      <c r="BY472" s="65">
        <v>33660</v>
      </c>
      <c r="BZ472" s="81">
        <v>38.931297709923662</v>
      </c>
    </row>
    <row r="473" spans="1:78" x14ac:dyDescent="0.15">
      <c r="A473" s="60">
        <v>2</v>
      </c>
      <c r="B473" s="61">
        <v>44630</v>
      </c>
      <c r="C473" s="61">
        <v>44651</v>
      </c>
      <c r="D473" s="61">
        <v>44658</v>
      </c>
      <c r="F473" s="61" t="s">
        <v>309</v>
      </c>
      <c r="G473" s="61">
        <v>44628</v>
      </c>
      <c r="H473" s="61" t="s">
        <v>309</v>
      </c>
      <c r="J473" s="60">
        <v>2</v>
      </c>
      <c r="L473" s="60">
        <v>0</v>
      </c>
      <c r="M473" s="61">
        <v>44565</v>
      </c>
      <c r="O473" s="62" t="s">
        <v>331</v>
      </c>
      <c r="P473" s="60" t="s">
        <v>26</v>
      </c>
      <c r="Q473" s="62" t="s">
        <v>40</v>
      </c>
      <c r="R473" s="62" t="s">
        <v>1581</v>
      </c>
      <c r="S473" s="63" t="s">
        <v>414</v>
      </c>
      <c r="T473" s="63" t="s">
        <v>1524</v>
      </c>
      <c r="U473" s="64">
        <v>78600</v>
      </c>
      <c r="V473" s="64">
        <v>86460</v>
      </c>
      <c r="W473" s="64">
        <v>78600</v>
      </c>
      <c r="X473" s="64">
        <v>86460</v>
      </c>
      <c r="Z473" s="64">
        <v>0</v>
      </c>
      <c r="AA473" s="61">
        <v>44627</v>
      </c>
      <c r="AB473" s="61">
        <v>44627</v>
      </c>
      <c r="AD473" s="60">
        <v>0</v>
      </c>
      <c r="AG473" s="60">
        <v>0</v>
      </c>
      <c r="AJ473" s="60">
        <v>0</v>
      </c>
      <c r="AQ473" s="60" t="s">
        <v>2582</v>
      </c>
      <c r="AR473" s="61">
        <v>44572</v>
      </c>
      <c r="AS473" s="60">
        <v>6001978158</v>
      </c>
      <c r="AT473" s="61">
        <v>44572</v>
      </c>
      <c r="AU473" s="60" t="s">
        <v>1710</v>
      </c>
      <c r="AV473" s="61">
        <v>44651</v>
      </c>
      <c r="AW473" s="91">
        <v>44651</v>
      </c>
      <c r="AX473" s="91">
        <v>44671</v>
      </c>
      <c r="AY473" s="107">
        <v>78600</v>
      </c>
      <c r="AZ473" s="107">
        <f>ROUNDDOWN(AY473+(AY473*MASTER!$A$2/100),0)</f>
        <v>86460</v>
      </c>
      <c r="BA473" s="60" t="s">
        <v>317</v>
      </c>
      <c r="BB473" s="64">
        <v>41000</v>
      </c>
      <c r="BC473" s="64">
        <v>45100</v>
      </c>
      <c r="BD473" s="60" t="s">
        <v>2107</v>
      </c>
      <c r="BG473" s="64">
        <v>0</v>
      </c>
      <c r="BK473" s="64">
        <v>0</v>
      </c>
      <c r="BS473" s="64">
        <v>0</v>
      </c>
      <c r="BV473" s="65">
        <v>86460</v>
      </c>
      <c r="BW473" s="65">
        <v>45100</v>
      </c>
      <c r="BX473" s="65">
        <v>44565</v>
      </c>
      <c r="BY473" s="65">
        <v>41360</v>
      </c>
      <c r="BZ473" s="81">
        <v>47.837150127226465</v>
      </c>
    </row>
    <row r="474" spans="1:78" x14ac:dyDescent="0.15">
      <c r="A474" s="60">
        <v>2</v>
      </c>
      <c r="B474" s="61">
        <v>44629</v>
      </c>
      <c r="C474" s="61">
        <v>44651</v>
      </c>
      <c r="D474" s="61">
        <v>44659</v>
      </c>
      <c r="F474" s="61" t="s">
        <v>309</v>
      </c>
      <c r="G474" s="61">
        <v>44631</v>
      </c>
      <c r="H474" s="61" t="s">
        <v>309</v>
      </c>
      <c r="J474" s="60">
        <v>2</v>
      </c>
      <c r="L474" s="60">
        <v>0</v>
      </c>
      <c r="M474" s="61">
        <v>44565</v>
      </c>
      <c r="O474" s="62" t="s">
        <v>331</v>
      </c>
      <c r="P474" s="60" t="s">
        <v>26</v>
      </c>
      <c r="Q474" s="62" t="s">
        <v>40</v>
      </c>
      <c r="R474" s="62" t="s">
        <v>1582</v>
      </c>
      <c r="S474" s="63" t="s">
        <v>830</v>
      </c>
      <c r="T474" s="63" t="s">
        <v>1524</v>
      </c>
      <c r="U474" s="64">
        <v>78600</v>
      </c>
      <c r="V474" s="64">
        <v>86460</v>
      </c>
      <c r="W474" s="64">
        <v>78600</v>
      </c>
      <c r="X474" s="64">
        <v>86460</v>
      </c>
      <c r="Z474" s="64">
        <v>0</v>
      </c>
      <c r="AA474" s="61">
        <v>44629</v>
      </c>
      <c r="AB474" s="61">
        <v>44629</v>
      </c>
      <c r="AD474" s="60">
        <v>0</v>
      </c>
      <c r="AG474" s="60">
        <v>0</v>
      </c>
      <c r="AJ474" s="60">
        <v>0</v>
      </c>
      <c r="AQ474" s="60" t="s">
        <v>2582</v>
      </c>
      <c r="AR474" s="61">
        <v>44572</v>
      </c>
      <c r="AS474" s="60">
        <v>6001978158</v>
      </c>
      <c r="AT474" s="61">
        <v>44572</v>
      </c>
      <c r="AU474" s="60" t="s">
        <v>1710</v>
      </c>
      <c r="AV474" s="61">
        <v>44651</v>
      </c>
      <c r="AW474" s="91">
        <v>44651</v>
      </c>
      <c r="AX474" s="91">
        <v>44671</v>
      </c>
      <c r="AY474" s="107">
        <v>78600</v>
      </c>
      <c r="AZ474" s="107">
        <f>ROUNDDOWN(AY474+(AY474*MASTER!$A$2/100),0)</f>
        <v>86460</v>
      </c>
      <c r="BA474" s="60" t="s">
        <v>318</v>
      </c>
      <c r="BB474" s="64">
        <v>44000</v>
      </c>
      <c r="BC474" s="64">
        <v>48400</v>
      </c>
      <c r="BD474" s="60" t="s">
        <v>2107</v>
      </c>
      <c r="BG474" s="64">
        <v>0</v>
      </c>
      <c r="BK474" s="64">
        <v>0</v>
      </c>
      <c r="BS474" s="64">
        <v>0</v>
      </c>
      <c r="BV474" s="65">
        <v>86460</v>
      </c>
      <c r="BW474" s="65">
        <v>48400</v>
      </c>
      <c r="BX474" s="65">
        <v>44565</v>
      </c>
      <c r="BY474" s="65">
        <v>38060</v>
      </c>
      <c r="BZ474" s="81">
        <v>44.020356234096688</v>
      </c>
    </row>
    <row r="475" spans="1:78" x14ac:dyDescent="0.15">
      <c r="A475" s="60">
        <v>2</v>
      </c>
      <c r="B475" s="61">
        <v>44623</v>
      </c>
      <c r="C475" s="61">
        <v>44651</v>
      </c>
      <c r="D475" s="61">
        <v>44659</v>
      </c>
      <c r="F475" s="61" t="s">
        <v>309</v>
      </c>
      <c r="G475" s="61">
        <v>44636</v>
      </c>
      <c r="H475" s="61" t="s">
        <v>309</v>
      </c>
      <c r="J475" s="60">
        <v>2</v>
      </c>
      <c r="L475" s="60">
        <v>0</v>
      </c>
      <c r="M475" s="61">
        <v>44565</v>
      </c>
      <c r="O475" s="62" t="s">
        <v>331</v>
      </c>
      <c r="P475" s="60" t="s">
        <v>26</v>
      </c>
      <c r="Q475" s="62" t="s">
        <v>40</v>
      </c>
      <c r="R475" s="62" t="s">
        <v>1583</v>
      </c>
      <c r="S475" s="63" t="s">
        <v>1584</v>
      </c>
      <c r="T475" s="63" t="s">
        <v>1524</v>
      </c>
      <c r="U475" s="64">
        <v>78600</v>
      </c>
      <c r="V475" s="64">
        <v>86460</v>
      </c>
      <c r="W475" s="64">
        <v>78600</v>
      </c>
      <c r="X475" s="64">
        <v>86460</v>
      </c>
      <c r="Z475" s="64">
        <v>0</v>
      </c>
      <c r="AA475" s="61">
        <v>44635</v>
      </c>
      <c r="AB475" s="61">
        <v>44635</v>
      </c>
      <c r="AD475" s="60">
        <v>0</v>
      </c>
      <c r="AG475" s="60">
        <v>0</v>
      </c>
      <c r="AJ475" s="60">
        <v>0</v>
      </c>
      <c r="AQ475" s="60" t="s">
        <v>2582</v>
      </c>
      <c r="AR475" s="61">
        <v>44572</v>
      </c>
      <c r="AS475" s="60">
        <v>6001978158</v>
      </c>
      <c r="AT475" s="61">
        <v>44572</v>
      </c>
      <c r="AU475" s="60" t="s">
        <v>1710</v>
      </c>
      <c r="AV475" s="61">
        <v>44651</v>
      </c>
      <c r="AW475" s="91">
        <v>44651</v>
      </c>
      <c r="AX475" s="91">
        <v>44671</v>
      </c>
      <c r="AY475" s="107">
        <v>78600</v>
      </c>
      <c r="AZ475" s="107">
        <f>ROUNDDOWN(AY475+(AY475*MASTER!$A$2/100),0)</f>
        <v>86460</v>
      </c>
      <c r="BA475" s="60" t="s">
        <v>318</v>
      </c>
      <c r="BB475" s="64">
        <v>38000</v>
      </c>
      <c r="BC475" s="64">
        <v>41800</v>
      </c>
      <c r="BD475" s="60" t="s">
        <v>2107</v>
      </c>
      <c r="BG475" s="64">
        <v>0</v>
      </c>
      <c r="BK475" s="64">
        <v>0</v>
      </c>
      <c r="BS475" s="64">
        <v>0</v>
      </c>
      <c r="BV475" s="65">
        <v>86460</v>
      </c>
      <c r="BW475" s="65">
        <v>41800</v>
      </c>
      <c r="BX475" s="65">
        <v>44565</v>
      </c>
      <c r="BY475" s="65">
        <v>44660</v>
      </c>
      <c r="BZ475" s="81">
        <v>51.653944020356235</v>
      </c>
    </row>
    <row r="476" spans="1:78" x14ac:dyDescent="0.15">
      <c r="A476" s="60">
        <v>2</v>
      </c>
      <c r="B476" s="61">
        <v>44634</v>
      </c>
      <c r="C476" s="61">
        <v>44651</v>
      </c>
      <c r="D476" s="61">
        <v>44658</v>
      </c>
      <c r="F476" s="61" t="s">
        <v>309</v>
      </c>
      <c r="G476" s="61">
        <v>44637</v>
      </c>
      <c r="H476" s="61" t="s">
        <v>309</v>
      </c>
      <c r="J476" s="60">
        <v>2</v>
      </c>
      <c r="L476" s="60">
        <v>0</v>
      </c>
      <c r="M476" s="61">
        <v>44565</v>
      </c>
      <c r="O476" s="62" t="s">
        <v>331</v>
      </c>
      <c r="P476" s="60" t="s">
        <v>26</v>
      </c>
      <c r="Q476" s="62" t="s">
        <v>40</v>
      </c>
      <c r="R476" s="62" t="s">
        <v>1585</v>
      </c>
      <c r="S476" s="63" t="s">
        <v>1586</v>
      </c>
      <c r="T476" s="63" t="s">
        <v>1524</v>
      </c>
      <c r="U476" s="64">
        <v>78600</v>
      </c>
      <c r="V476" s="64">
        <v>86460</v>
      </c>
      <c r="W476" s="64">
        <v>78600</v>
      </c>
      <c r="X476" s="64">
        <v>86460</v>
      </c>
      <c r="Z476" s="64">
        <v>0</v>
      </c>
      <c r="AA476" s="61">
        <v>44636</v>
      </c>
      <c r="AB476" s="61">
        <v>44636</v>
      </c>
      <c r="AD476" s="60">
        <v>0</v>
      </c>
      <c r="AG476" s="60">
        <v>0</v>
      </c>
      <c r="AJ476" s="60">
        <v>0</v>
      </c>
      <c r="AQ476" s="60" t="s">
        <v>2582</v>
      </c>
      <c r="AR476" s="61">
        <v>44572</v>
      </c>
      <c r="AS476" s="60">
        <v>6001978158</v>
      </c>
      <c r="AT476" s="61">
        <v>44572</v>
      </c>
      <c r="AU476" s="60" t="s">
        <v>1710</v>
      </c>
      <c r="AV476" s="61">
        <v>44651</v>
      </c>
      <c r="AW476" s="91">
        <v>44651</v>
      </c>
      <c r="AX476" s="91">
        <v>44671</v>
      </c>
      <c r="AY476" s="107">
        <v>78600</v>
      </c>
      <c r="AZ476" s="107">
        <f>ROUNDDOWN(AY476+(AY476*MASTER!$A$2/100),0)</f>
        <v>86460</v>
      </c>
      <c r="BA476" s="60" t="s">
        <v>314</v>
      </c>
      <c r="BB476" s="64">
        <v>31000</v>
      </c>
      <c r="BC476" s="64">
        <v>34100</v>
      </c>
      <c r="BD476" s="60" t="s">
        <v>2107</v>
      </c>
      <c r="BG476" s="64">
        <v>0</v>
      </c>
      <c r="BK476" s="64">
        <v>0</v>
      </c>
      <c r="BS476" s="64">
        <v>0</v>
      </c>
      <c r="BV476" s="65">
        <v>86460</v>
      </c>
      <c r="BW476" s="65">
        <v>34100</v>
      </c>
      <c r="BX476" s="65">
        <v>44565</v>
      </c>
      <c r="BY476" s="65">
        <v>52360</v>
      </c>
      <c r="BZ476" s="81">
        <v>60.559796437659031</v>
      </c>
    </row>
    <row r="477" spans="1:78" x14ac:dyDescent="0.15">
      <c r="A477" s="60">
        <v>2</v>
      </c>
      <c r="B477" s="61">
        <v>44627</v>
      </c>
      <c r="C477" s="61">
        <v>44651</v>
      </c>
      <c r="D477" s="61">
        <v>44658</v>
      </c>
      <c r="F477" s="61" t="s">
        <v>309</v>
      </c>
      <c r="G477" s="61">
        <v>44631</v>
      </c>
      <c r="H477" s="61" t="s">
        <v>309</v>
      </c>
      <c r="J477" s="60">
        <v>2</v>
      </c>
      <c r="L477" s="60">
        <v>0</v>
      </c>
      <c r="M477" s="61">
        <v>44565</v>
      </c>
      <c r="O477" s="62" t="s">
        <v>331</v>
      </c>
      <c r="P477" s="60" t="s">
        <v>26</v>
      </c>
      <c r="Q477" s="62" t="s">
        <v>40</v>
      </c>
      <c r="R477" s="62" t="s">
        <v>1587</v>
      </c>
      <c r="S477" s="63" t="s">
        <v>1588</v>
      </c>
      <c r="T477" s="63" t="s">
        <v>1524</v>
      </c>
      <c r="U477" s="64">
        <v>78600</v>
      </c>
      <c r="V477" s="64">
        <v>86460</v>
      </c>
      <c r="W477" s="64">
        <v>78600</v>
      </c>
      <c r="X477" s="64">
        <v>86460</v>
      </c>
      <c r="Z477" s="64">
        <v>0</v>
      </c>
      <c r="AA477" s="61">
        <v>44630</v>
      </c>
      <c r="AB477" s="61">
        <v>44630</v>
      </c>
      <c r="AD477" s="60">
        <v>0</v>
      </c>
      <c r="AG477" s="60">
        <v>0</v>
      </c>
      <c r="AJ477" s="60">
        <v>0</v>
      </c>
      <c r="AQ477" s="60" t="s">
        <v>2582</v>
      </c>
      <c r="AR477" s="61">
        <v>44572</v>
      </c>
      <c r="AS477" s="60">
        <v>6001978158</v>
      </c>
      <c r="AT477" s="61">
        <v>44572</v>
      </c>
      <c r="AU477" s="60" t="s">
        <v>1710</v>
      </c>
      <c r="AV477" s="61">
        <v>44651</v>
      </c>
      <c r="AW477" s="91">
        <v>44651</v>
      </c>
      <c r="AX477" s="91">
        <v>44671</v>
      </c>
      <c r="AY477" s="107">
        <v>78600</v>
      </c>
      <c r="AZ477" s="107">
        <f>ROUNDDOWN(AY477+(AY477*MASTER!$A$2/100),0)</f>
        <v>86460</v>
      </c>
      <c r="BA477" s="60" t="s">
        <v>613</v>
      </c>
      <c r="BB477" s="64">
        <v>31000</v>
      </c>
      <c r="BC477" s="64">
        <v>34100</v>
      </c>
      <c r="BD477" s="60" t="s">
        <v>2107</v>
      </c>
      <c r="BG477" s="64">
        <v>0</v>
      </c>
      <c r="BK477" s="64">
        <v>0</v>
      </c>
      <c r="BS477" s="64">
        <v>0</v>
      </c>
      <c r="BV477" s="65">
        <v>86460</v>
      </c>
      <c r="BW477" s="65">
        <v>34100</v>
      </c>
      <c r="BX477" s="65">
        <v>44565</v>
      </c>
      <c r="BY477" s="65">
        <v>52360</v>
      </c>
      <c r="BZ477" s="81">
        <v>60.559796437659031</v>
      </c>
    </row>
    <row r="478" spans="1:78" x14ac:dyDescent="0.15">
      <c r="A478" s="60">
        <v>2</v>
      </c>
      <c r="B478" s="61">
        <v>44627</v>
      </c>
      <c r="C478" s="61">
        <v>44651</v>
      </c>
      <c r="D478" s="61">
        <v>44658</v>
      </c>
      <c r="F478" s="61" t="s">
        <v>309</v>
      </c>
      <c r="G478" s="61">
        <v>44631</v>
      </c>
      <c r="H478" s="61" t="s">
        <v>309</v>
      </c>
      <c r="J478" s="60">
        <v>2</v>
      </c>
      <c r="L478" s="60">
        <v>0</v>
      </c>
      <c r="M478" s="61">
        <v>44565</v>
      </c>
      <c r="O478" s="62" t="s">
        <v>331</v>
      </c>
      <c r="P478" s="60" t="s">
        <v>26</v>
      </c>
      <c r="Q478" s="62" t="s">
        <v>40</v>
      </c>
      <c r="R478" s="62" t="s">
        <v>1589</v>
      </c>
      <c r="S478" s="63" t="s">
        <v>1590</v>
      </c>
      <c r="T478" s="63" t="s">
        <v>1524</v>
      </c>
      <c r="U478" s="64">
        <v>78600</v>
      </c>
      <c r="V478" s="64">
        <v>86460</v>
      </c>
      <c r="W478" s="64">
        <v>78600</v>
      </c>
      <c r="X478" s="64">
        <v>86460</v>
      </c>
      <c r="Z478" s="64">
        <v>0</v>
      </c>
      <c r="AA478" s="61">
        <v>44629</v>
      </c>
      <c r="AB478" s="61">
        <v>44629</v>
      </c>
      <c r="AD478" s="60">
        <v>0</v>
      </c>
      <c r="AG478" s="60">
        <v>0</v>
      </c>
      <c r="AJ478" s="60">
        <v>0</v>
      </c>
      <c r="AQ478" s="60" t="s">
        <v>2582</v>
      </c>
      <c r="AR478" s="61">
        <v>44572</v>
      </c>
      <c r="AS478" s="60">
        <v>6001978158</v>
      </c>
      <c r="AT478" s="61">
        <v>44572</v>
      </c>
      <c r="AU478" s="60" t="s">
        <v>1710</v>
      </c>
      <c r="AV478" s="61">
        <v>44651</v>
      </c>
      <c r="AW478" s="91">
        <v>44651</v>
      </c>
      <c r="AX478" s="91">
        <v>44671</v>
      </c>
      <c r="AY478" s="107">
        <v>78600</v>
      </c>
      <c r="AZ478" s="107">
        <f>ROUNDDOWN(AY478+(AY478*MASTER!$A$2/100),0)</f>
        <v>86460</v>
      </c>
      <c r="BA478" s="60" t="s">
        <v>613</v>
      </c>
      <c r="BB478" s="64">
        <v>28000</v>
      </c>
      <c r="BC478" s="64">
        <v>30800</v>
      </c>
      <c r="BD478" s="60" t="s">
        <v>2107</v>
      </c>
      <c r="BG478" s="64">
        <v>0</v>
      </c>
      <c r="BK478" s="64">
        <v>0</v>
      </c>
      <c r="BS478" s="64">
        <v>0</v>
      </c>
      <c r="BV478" s="65">
        <v>86460</v>
      </c>
      <c r="BW478" s="65">
        <v>30800</v>
      </c>
      <c r="BX478" s="65">
        <v>44565</v>
      </c>
      <c r="BY478" s="65">
        <v>55660</v>
      </c>
      <c r="BZ478" s="81">
        <v>64.376590330788801</v>
      </c>
    </row>
    <row r="479" spans="1:78" x14ac:dyDescent="0.15">
      <c r="A479" s="60">
        <v>2</v>
      </c>
      <c r="B479" s="61">
        <v>44634</v>
      </c>
      <c r="C479" s="61">
        <v>44651</v>
      </c>
      <c r="D479" s="61">
        <v>44658</v>
      </c>
      <c r="F479" s="61" t="s">
        <v>309</v>
      </c>
      <c r="G479" s="61">
        <v>44644</v>
      </c>
      <c r="H479" s="61" t="s">
        <v>309</v>
      </c>
      <c r="J479" s="60">
        <v>2</v>
      </c>
      <c r="L479" s="60">
        <v>0</v>
      </c>
      <c r="M479" s="61">
        <v>44565</v>
      </c>
      <c r="O479" s="62" t="s">
        <v>331</v>
      </c>
      <c r="P479" s="60" t="s">
        <v>26</v>
      </c>
      <c r="Q479" s="62" t="s">
        <v>40</v>
      </c>
      <c r="R479" s="62" t="s">
        <v>1591</v>
      </c>
      <c r="S479" s="63" t="s">
        <v>698</v>
      </c>
      <c r="T479" s="63" t="s">
        <v>1524</v>
      </c>
      <c r="U479" s="64">
        <v>78600</v>
      </c>
      <c r="V479" s="64">
        <v>86460</v>
      </c>
      <c r="W479" s="64">
        <v>78600</v>
      </c>
      <c r="X479" s="64">
        <v>86460</v>
      </c>
      <c r="Z479" s="64">
        <v>0</v>
      </c>
      <c r="AA479" s="61">
        <v>44643</v>
      </c>
      <c r="AB479" s="61">
        <v>44643</v>
      </c>
      <c r="AD479" s="60">
        <v>0</v>
      </c>
      <c r="AG479" s="60">
        <v>0</v>
      </c>
      <c r="AJ479" s="60">
        <v>0</v>
      </c>
      <c r="AQ479" s="60" t="s">
        <v>2582</v>
      </c>
      <c r="AR479" s="61">
        <v>44572</v>
      </c>
      <c r="AS479" s="60">
        <v>6001978158</v>
      </c>
      <c r="AT479" s="61">
        <v>44572</v>
      </c>
      <c r="AU479" s="60" t="s">
        <v>1710</v>
      </c>
      <c r="AV479" s="61">
        <v>44651</v>
      </c>
      <c r="AW479" s="91">
        <v>44651</v>
      </c>
      <c r="AX479" s="91">
        <v>44671</v>
      </c>
      <c r="AY479" s="107">
        <v>78600</v>
      </c>
      <c r="AZ479" s="107">
        <f>ROUNDDOWN(AY479+(AY479*MASTER!$A$2/100),0)</f>
        <v>86460</v>
      </c>
      <c r="BA479" s="60" t="s">
        <v>314</v>
      </c>
      <c r="BB479" s="64">
        <v>36000</v>
      </c>
      <c r="BC479" s="64">
        <v>39600</v>
      </c>
      <c r="BD479" s="60" t="s">
        <v>2107</v>
      </c>
      <c r="BG479" s="64">
        <v>0</v>
      </c>
      <c r="BK479" s="64">
        <v>0</v>
      </c>
      <c r="BS479" s="64">
        <v>0</v>
      </c>
      <c r="BV479" s="65">
        <v>86460</v>
      </c>
      <c r="BW479" s="65">
        <v>39600</v>
      </c>
      <c r="BX479" s="65">
        <v>44565</v>
      </c>
      <c r="BY479" s="65">
        <v>46860</v>
      </c>
      <c r="BZ479" s="81">
        <v>54.198473282442748</v>
      </c>
    </row>
    <row r="480" spans="1:78" x14ac:dyDescent="0.15">
      <c r="A480" s="60">
        <v>2</v>
      </c>
      <c r="B480" s="61">
        <v>44627</v>
      </c>
      <c r="C480" s="61">
        <v>44651</v>
      </c>
      <c r="D480" s="61">
        <v>44658</v>
      </c>
      <c r="F480" s="61" t="s">
        <v>309</v>
      </c>
      <c r="G480" s="61">
        <v>44636</v>
      </c>
      <c r="H480" s="61" t="s">
        <v>309</v>
      </c>
      <c r="J480" s="60">
        <v>2</v>
      </c>
      <c r="L480" s="60">
        <v>0</v>
      </c>
      <c r="M480" s="61">
        <v>44565</v>
      </c>
      <c r="O480" s="62" t="s">
        <v>331</v>
      </c>
      <c r="P480" s="60" t="s">
        <v>26</v>
      </c>
      <c r="Q480" s="62" t="s">
        <v>40</v>
      </c>
      <c r="R480" s="62" t="s">
        <v>1592</v>
      </c>
      <c r="S480" s="63" t="s">
        <v>583</v>
      </c>
      <c r="T480" s="63" t="s">
        <v>1524</v>
      </c>
      <c r="U480" s="64">
        <v>78600</v>
      </c>
      <c r="V480" s="64">
        <v>86460</v>
      </c>
      <c r="W480" s="64">
        <v>78600</v>
      </c>
      <c r="X480" s="64">
        <v>86460</v>
      </c>
      <c r="Z480" s="64">
        <v>0</v>
      </c>
      <c r="AA480" s="61">
        <v>44635</v>
      </c>
      <c r="AB480" s="61">
        <v>44635</v>
      </c>
      <c r="AD480" s="60">
        <v>0</v>
      </c>
      <c r="AG480" s="60">
        <v>0</v>
      </c>
      <c r="AJ480" s="60">
        <v>0</v>
      </c>
      <c r="AQ480" s="60" t="s">
        <v>2582</v>
      </c>
      <c r="AR480" s="61">
        <v>44572</v>
      </c>
      <c r="AS480" s="60">
        <v>6001978158</v>
      </c>
      <c r="AT480" s="61">
        <v>44572</v>
      </c>
      <c r="AU480" s="60" t="s">
        <v>1710</v>
      </c>
      <c r="AV480" s="61">
        <v>44651</v>
      </c>
      <c r="AW480" s="91">
        <v>44651</v>
      </c>
      <c r="AX480" s="91">
        <v>44671</v>
      </c>
      <c r="AY480" s="107">
        <v>78600</v>
      </c>
      <c r="AZ480" s="107">
        <f>ROUNDDOWN(AY480+(AY480*MASTER!$A$2/100),0)</f>
        <v>86460</v>
      </c>
      <c r="BA480" s="60" t="s">
        <v>613</v>
      </c>
      <c r="BB480" s="64">
        <v>21000</v>
      </c>
      <c r="BC480" s="64">
        <v>23100</v>
      </c>
      <c r="BD480" s="60" t="s">
        <v>2107</v>
      </c>
      <c r="BG480" s="64">
        <v>0</v>
      </c>
      <c r="BK480" s="64">
        <v>0</v>
      </c>
      <c r="BS480" s="64">
        <v>0</v>
      </c>
      <c r="BV480" s="65">
        <v>86460</v>
      </c>
      <c r="BW480" s="65">
        <v>23100</v>
      </c>
      <c r="BX480" s="65">
        <v>44565</v>
      </c>
      <c r="BY480" s="65">
        <v>63360</v>
      </c>
      <c r="BZ480" s="81">
        <v>73.282442748091597</v>
      </c>
    </row>
    <row r="481" spans="1:82" x14ac:dyDescent="0.15">
      <c r="A481" s="60">
        <v>2</v>
      </c>
      <c r="B481" s="61">
        <v>44627</v>
      </c>
      <c r="C481" s="61">
        <v>44651</v>
      </c>
      <c r="D481" s="61">
        <v>44658</v>
      </c>
      <c r="F481" s="61" t="s">
        <v>309</v>
      </c>
      <c r="G481" s="61">
        <v>44635</v>
      </c>
      <c r="H481" s="61" t="s">
        <v>309</v>
      </c>
      <c r="J481" s="60">
        <v>2</v>
      </c>
      <c r="L481" s="60">
        <v>0</v>
      </c>
      <c r="M481" s="61">
        <v>44565</v>
      </c>
      <c r="O481" s="62" t="s">
        <v>331</v>
      </c>
      <c r="P481" s="60" t="s">
        <v>26</v>
      </c>
      <c r="Q481" s="62" t="s">
        <v>40</v>
      </c>
      <c r="R481" s="62" t="s">
        <v>1593</v>
      </c>
      <c r="S481" s="63" t="s">
        <v>1212</v>
      </c>
      <c r="T481" s="63" t="s">
        <v>1524</v>
      </c>
      <c r="U481" s="64">
        <v>78600</v>
      </c>
      <c r="V481" s="64">
        <v>86460</v>
      </c>
      <c r="W481" s="64">
        <v>78600</v>
      </c>
      <c r="X481" s="64">
        <v>86460</v>
      </c>
      <c r="Z481" s="64">
        <v>0</v>
      </c>
      <c r="AA481" s="61">
        <v>44634</v>
      </c>
      <c r="AB481" s="61">
        <v>44634</v>
      </c>
      <c r="AD481" s="60">
        <v>0</v>
      </c>
      <c r="AG481" s="60">
        <v>0</v>
      </c>
      <c r="AJ481" s="60">
        <v>0</v>
      </c>
      <c r="AQ481" s="60" t="s">
        <v>2582</v>
      </c>
      <c r="AR481" s="61">
        <v>44572</v>
      </c>
      <c r="AS481" s="60">
        <v>6001978158</v>
      </c>
      <c r="AT481" s="61">
        <v>44572</v>
      </c>
      <c r="AU481" s="60" t="s">
        <v>1710</v>
      </c>
      <c r="AV481" s="61">
        <v>44651</v>
      </c>
      <c r="AW481" s="91">
        <v>44651</v>
      </c>
      <c r="AX481" s="91">
        <v>44671</v>
      </c>
      <c r="AY481" s="107">
        <v>78600</v>
      </c>
      <c r="AZ481" s="107">
        <f>ROUNDDOWN(AY481+(AY481*MASTER!$A$2/100),0)</f>
        <v>86460</v>
      </c>
      <c r="BA481" s="60" t="s">
        <v>613</v>
      </c>
      <c r="BB481" s="64">
        <v>33000</v>
      </c>
      <c r="BC481" s="64">
        <v>36300</v>
      </c>
      <c r="BD481" s="60" t="s">
        <v>2107</v>
      </c>
      <c r="BG481" s="64">
        <v>0</v>
      </c>
      <c r="BK481" s="64">
        <v>0</v>
      </c>
      <c r="BS481" s="64">
        <v>0</v>
      </c>
      <c r="BV481" s="65">
        <v>86460</v>
      </c>
      <c r="BW481" s="65">
        <v>36300</v>
      </c>
      <c r="BX481" s="65">
        <v>44565</v>
      </c>
      <c r="BY481" s="65">
        <v>50160</v>
      </c>
      <c r="BZ481" s="81">
        <v>58.015267175572518</v>
      </c>
    </row>
    <row r="482" spans="1:82" x14ac:dyDescent="0.15">
      <c r="A482" s="60">
        <v>2</v>
      </c>
      <c r="B482" s="61">
        <v>44629</v>
      </c>
      <c r="C482" s="61">
        <v>44651</v>
      </c>
      <c r="D482" s="61">
        <v>44658</v>
      </c>
      <c r="F482" s="61" t="s">
        <v>309</v>
      </c>
      <c r="G482" s="61">
        <v>44636</v>
      </c>
      <c r="H482" s="61" t="s">
        <v>309</v>
      </c>
      <c r="J482" s="60">
        <v>2</v>
      </c>
      <c r="L482" s="60">
        <v>0</v>
      </c>
      <c r="M482" s="61">
        <v>44565</v>
      </c>
      <c r="O482" s="62" t="s">
        <v>331</v>
      </c>
      <c r="P482" s="60" t="s">
        <v>26</v>
      </c>
      <c r="Q482" s="62" t="s">
        <v>40</v>
      </c>
      <c r="R482" s="62" t="s">
        <v>1594</v>
      </c>
      <c r="S482" s="63" t="s">
        <v>455</v>
      </c>
      <c r="T482" s="63" t="s">
        <v>1524</v>
      </c>
      <c r="U482" s="64">
        <v>78600</v>
      </c>
      <c r="V482" s="64">
        <v>86460</v>
      </c>
      <c r="W482" s="64">
        <v>78600</v>
      </c>
      <c r="X482" s="64">
        <v>86460</v>
      </c>
      <c r="Z482" s="64">
        <v>0</v>
      </c>
      <c r="AA482" s="61">
        <v>44635</v>
      </c>
      <c r="AB482" s="61">
        <v>44635</v>
      </c>
      <c r="AD482" s="60">
        <v>0</v>
      </c>
      <c r="AG482" s="60">
        <v>0</v>
      </c>
      <c r="AJ482" s="60">
        <v>0</v>
      </c>
      <c r="AQ482" s="60" t="s">
        <v>2582</v>
      </c>
      <c r="AR482" s="61">
        <v>44572</v>
      </c>
      <c r="AS482" s="60">
        <v>6001978158</v>
      </c>
      <c r="AT482" s="61">
        <v>44572</v>
      </c>
      <c r="AU482" s="60" t="s">
        <v>1710</v>
      </c>
      <c r="AV482" s="61">
        <v>44651</v>
      </c>
      <c r="AW482" s="91">
        <v>44651</v>
      </c>
      <c r="AX482" s="91">
        <v>44671</v>
      </c>
      <c r="AY482" s="107">
        <v>78600</v>
      </c>
      <c r="AZ482" s="107">
        <f>ROUNDDOWN(AY482+(AY482*MASTER!$A$2/100),0)</f>
        <v>86460</v>
      </c>
      <c r="BA482" s="60" t="s">
        <v>317</v>
      </c>
      <c r="BB482" s="64">
        <v>30000</v>
      </c>
      <c r="BC482" s="64">
        <v>33000</v>
      </c>
      <c r="BD482" s="60" t="s">
        <v>2107</v>
      </c>
      <c r="BG482" s="64">
        <v>0</v>
      </c>
      <c r="BK482" s="64">
        <v>0</v>
      </c>
      <c r="BS482" s="64">
        <v>0</v>
      </c>
      <c r="BV482" s="65">
        <v>86460</v>
      </c>
      <c r="BW482" s="65">
        <v>33000</v>
      </c>
      <c r="BX482" s="65">
        <v>44565</v>
      </c>
      <c r="BY482" s="65">
        <v>53460</v>
      </c>
      <c r="BZ482" s="81">
        <v>61.832061068702295</v>
      </c>
    </row>
    <row r="483" spans="1:82" x14ac:dyDescent="0.15">
      <c r="A483" s="60">
        <v>2</v>
      </c>
      <c r="B483" s="61">
        <v>44629</v>
      </c>
      <c r="C483" s="61">
        <v>44651</v>
      </c>
      <c r="D483" s="61">
        <v>44658</v>
      </c>
      <c r="F483" s="61" t="s">
        <v>309</v>
      </c>
      <c r="G483" s="61">
        <v>44636</v>
      </c>
      <c r="H483" s="61" t="s">
        <v>309</v>
      </c>
      <c r="J483" s="60">
        <v>2</v>
      </c>
      <c r="L483" s="60">
        <v>0</v>
      </c>
      <c r="M483" s="61">
        <v>44565</v>
      </c>
      <c r="O483" s="62" t="s">
        <v>331</v>
      </c>
      <c r="P483" s="60" t="s">
        <v>26</v>
      </c>
      <c r="Q483" s="62" t="s">
        <v>40</v>
      </c>
      <c r="R483" s="62" t="s">
        <v>1595</v>
      </c>
      <c r="S483" s="63" t="s">
        <v>1596</v>
      </c>
      <c r="T483" s="63" t="s">
        <v>1524</v>
      </c>
      <c r="U483" s="64">
        <v>78600</v>
      </c>
      <c r="V483" s="64">
        <v>86460</v>
      </c>
      <c r="W483" s="64">
        <v>78600</v>
      </c>
      <c r="X483" s="64">
        <v>86460</v>
      </c>
      <c r="Z483" s="64">
        <v>0</v>
      </c>
      <c r="AA483" s="61">
        <v>44634</v>
      </c>
      <c r="AB483" s="61">
        <v>44634</v>
      </c>
      <c r="AD483" s="60">
        <v>0</v>
      </c>
      <c r="AG483" s="60">
        <v>0</v>
      </c>
      <c r="AJ483" s="60">
        <v>0</v>
      </c>
      <c r="AQ483" s="60" t="s">
        <v>2582</v>
      </c>
      <c r="AR483" s="61">
        <v>44572</v>
      </c>
      <c r="AS483" s="60">
        <v>6001978158</v>
      </c>
      <c r="AT483" s="61">
        <v>44572</v>
      </c>
      <c r="AU483" s="60" t="s">
        <v>1710</v>
      </c>
      <c r="AV483" s="61">
        <v>44651</v>
      </c>
      <c r="AW483" s="91">
        <v>44651</v>
      </c>
      <c r="AX483" s="91">
        <v>44671</v>
      </c>
      <c r="AY483" s="107">
        <v>78600</v>
      </c>
      <c r="AZ483" s="107">
        <f>ROUNDDOWN(AY483+(AY483*MASTER!$A$2/100),0)</f>
        <v>86460</v>
      </c>
      <c r="BA483" s="60" t="s">
        <v>317</v>
      </c>
      <c r="BB483" s="64">
        <v>30000</v>
      </c>
      <c r="BC483" s="64">
        <v>33000</v>
      </c>
      <c r="BD483" s="60" t="s">
        <v>2107</v>
      </c>
      <c r="BG483" s="64">
        <v>0</v>
      </c>
      <c r="BK483" s="64">
        <v>0</v>
      </c>
      <c r="BS483" s="64">
        <v>0</v>
      </c>
      <c r="BV483" s="65">
        <v>86460</v>
      </c>
      <c r="BW483" s="65">
        <v>33000</v>
      </c>
      <c r="BX483" s="65">
        <v>44565</v>
      </c>
      <c r="BY483" s="65">
        <v>53460</v>
      </c>
      <c r="BZ483" s="81">
        <v>61.832061068702295</v>
      </c>
    </row>
    <row r="484" spans="1:82" x14ac:dyDescent="0.15">
      <c r="A484" s="60">
        <v>2</v>
      </c>
      <c r="B484" s="61">
        <v>44629</v>
      </c>
      <c r="C484" s="61">
        <v>44651</v>
      </c>
      <c r="D484" s="61">
        <v>44658</v>
      </c>
      <c r="F484" s="61" t="s">
        <v>309</v>
      </c>
      <c r="G484" s="61">
        <v>44637</v>
      </c>
      <c r="H484" s="61" t="s">
        <v>309</v>
      </c>
      <c r="J484" s="60">
        <v>2</v>
      </c>
      <c r="L484" s="60">
        <v>0</v>
      </c>
      <c r="M484" s="61">
        <v>44565</v>
      </c>
      <c r="O484" s="62" t="s">
        <v>331</v>
      </c>
      <c r="P484" s="60" t="s">
        <v>26</v>
      </c>
      <c r="Q484" s="62" t="s">
        <v>40</v>
      </c>
      <c r="R484" s="62" t="s">
        <v>1597</v>
      </c>
      <c r="S484" s="63" t="s">
        <v>1598</v>
      </c>
      <c r="T484" s="63" t="s">
        <v>1524</v>
      </c>
      <c r="U484" s="64">
        <v>78600</v>
      </c>
      <c r="V484" s="64">
        <v>86460</v>
      </c>
      <c r="W484" s="64">
        <v>78600</v>
      </c>
      <c r="X484" s="64">
        <v>86460</v>
      </c>
      <c r="Z484" s="64">
        <v>0</v>
      </c>
      <c r="AA484" s="61">
        <v>44636</v>
      </c>
      <c r="AB484" s="61">
        <v>44636</v>
      </c>
      <c r="AD484" s="60">
        <v>0</v>
      </c>
      <c r="AG484" s="60">
        <v>0</v>
      </c>
      <c r="AJ484" s="60">
        <v>0</v>
      </c>
      <c r="AQ484" s="60" t="s">
        <v>2582</v>
      </c>
      <c r="AR484" s="61">
        <v>44572</v>
      </c>
      <c r="AS484" s="60">
        <v>6001978158</v>
      </c>
      <c r="AT484" s="61">
        <v>44572</v>
      </c>
      <c r="AU484" s="60" t="s">
        <v>1710</v>
      </c>
      <c r="AV484" s="61">
        <v>44651</v>
      </c>
      <c r="AW484" s="91">
        <v>44651</v>
      </c>
      <c r="AX484" s="91">
        <v>44671</v>
      </c>
      <c r="AY484" s="107">
        <v>78600</v>
      </c>
      <c r="AZ484" s="107">
        <f>ROUNDDOWN(AY484+(AY484*MASTER!$A$2/100),0)</f>
        <v>86460</v>
      </c>
      <c r="BA484" s="60" t="s">
        <v>317</v>
      </c>
      <c r="BB484" s="64">
        <v>34000</v>
      </c>
      <c r="BC484" s="64">
        <v>37400</v>
      </c>
      <c r="BD484" s="60" t="s">
        <v>2107</v>
      </c>
      <c r="BG484" s="64">
        <v>0</v>
      </c>
      <c r="BK484" s="64">
        <v>0</v>
      </c>
      <c r="BS484" s="64">
        <v>0</v>
      </c>
      <c r="BV484" s="65">
        <v>86460</v>
      </c>
      <c r="BW484" s="65">
        <v>37400</v>
      </c>
      <c r="BX484" s="65">
        <v>44565</v>
      </c>
      <c r="BY484" s="65">
        <v>49060</v>
      </c>
      <c r="BZ484" s="81">
        <v>56.743002544529261</v>
      </c>
    </row>
    <row r="485" spans="1:82" x14ac:dyDescent="0.15">
      <c r="A485" s="60">
        <v>2</v>
      </c>
      <c r="B485" s="61">
        <v>44623</v>
      </c>
      <c r="C485" s="61">
        <v>44651</v>
      </c>
      <c r="D485" s="61">
        <v>44658</v>
      </c>
      <c r="F485" s="61" t="s">
        <v>309</v>
      </c>
      <c r="G485" s="61">
        <v>44638</v>
      </c>
      <c r="H485" s="61" t="s">
        <v>309</v>
      </c>
      <c r="J485" s="60">
        <v>2</v>
      </c>
      <c r="L485" s="60">
        <v>0</v>
      </c>
      <c r="M485" s="61">
        <v>44565</v>
      </c>
      <c r="O485" s="62" t="s">
        <v>331</v>
      </c>
      <c r="P485" s="60" t="s">
        <v>26</v>
      </c>
      <c r="Q485" s="62" t="s">
        <v>40</v>
      </c>
      <c r="R485" s="62" t="s">
        <v>1599</v>
      </c>
      <c r="S485" s="63" t="s">
        <v>453</v>
      </c>
      <c r="T485" s="63" t="s">
        <v>1524</v>
      </c>
      <c r="U485" s="64">
        <v>78600</v>
      </c>
      <c r="V485" s="64">
        <v>86460</v>
      </c>
      <c r="W485" s="64">
        <v>78600</v>
      </c>
      <c r="X485" s="64">
        <v>86460</v>
      </c>
      <c r="Z485" s="64">
        <v>0</v>
      </c>
      <c r="AA485" s="61">
        <v>44637</v>
      </c>
      <c r="AB485" s="61">
        <v>44637</v>
      </c>
      <c r="AD485" s="60">
        <v>0</v>
      </c>
      <c r="AG485" s="60">
        <v>0</v>
      </c>
      <c r="AJ485" s="60">
        <v>0</v>
      </c>
      <c r="AQ485" s="60" t="s">
        <v>2582</v>
      </c>
      <c r="AR485" s="61">
        <v>44572</v>
      </c>
      <c r="AS485" s="60">
        <v>6001978158</v>
      </c>
      <c r="AT485" s="61">
        <v>44572</v>
      </c>
      <c r="AU485" s="60" t="s">
        <v>1710</v>
      </c>
      <c r="AV485" s="61">
        <v>44651</v>
      </c>
      <c r="AW485" s="91">
        <v>44651</v>
      </c>
      <c r="AX485" s="91">
        <v>44671</v>
      </c>
      <c r="AY485" s="107">
        <v>78600</v>
      </c>
      <c r="AZ485" s="107">
        <f>ROUNDDOWN(AY485+(AY485*MASTER!$A$2/100),0)</f>
        <v>86460</v>
      </c>
      <c r="BA485" s="60" t="s">
        <v>317</v>
      </c>
      <c r="BB485" s="64">
        <v>29000</v>
      </c>
      <c r="BC485" s="64">
        <v>31900</v>
      </c>
      <c r="BD485" s="60" t="s">
        <v>2107</v>
      </c>
      <c r="BG485" s="64">
        <v>0</v>
      </c>
      <c r="BK485" s="64">
        <v>0</v>
      </c>
      <c r="BS485" s="64">
        <v>0</v>
      </c>
      <c r="BV485" s="65">
        <v>86460</v>
      </c>
      <c r="BW485" s="65">
        <v>31900</v>
      </c>
      <c r="BX485" s="65">
        <v>44565</v>
      </c>
      <c r="BY485" s="65">
        <v>54560</v>
      </c>
      <c r="BZ485" s="81">
        <v>63.104325699745544</v>
      </c>
    </row>
    <row r="486" spans="1:82" x14ac:dyDescent="0.15">
      <c r="A486" s="60">
        <v>2</v>
      </c>
      <c r="B486" s="61">
        <v>44629</v>
      </c>
      <c r="C486" s="61">
        <v>44651</v>
      </c>
      <c r="D486" s="61">
        <v>44658</v>
      </c>
      <c r="F486" s="61" t="s">
        <v>309</v>
      </c>
      <c r="G486" s="61">
        <v>44637</v>
      </c>
      <c r="H486" s="61" t="s">
        <v>309</v>
      </c>
      <c r="J486" s="60">
        <v>2</v>
      </c>
      <c r="L486" s="60">
        <v>0</v>
      </c>
      <c r="M486" s="61">
        <v>44565</v>
      </c>
      <c r="O486" s="62" t="s">
        <v>331</v>
      </c>
      <c r="P486" s="60" t="s">
        <v>26</v>
      </c>
      <c r="Q486" s="62" t="s">
        <v>40</v>
      </c>
      <c r="R486" s="62" t="s">
        <v>1600</v>
      </c>
      <c r="S486" s="63" t="s">
        <v>838</v>
      </c>
      <c r="T486" s="63" t="s">
        <v>1524</v>
      </c>
      <c r="U486" s="64">
        <v>78600</v>
      </c>
      <c r="V486" s="64">
        <v>86460</v>
      </c>
      <c r="W486" s="64">
        <v>78600</v>
      </c>
      <c r="X486" s="64">
        <v>86460</v>
      </c>
      <c r="Z486" s="64">
        <v>0</v>
      </c>
      <c r="AA486" s="61">
        <v>44637</v>
      </c>
      <c r="AB486" s="61">
        <v>44637</v>
      </c>
      <c r="AD486" s="60">
        <v>0</v>
      </c>
      <c r="AG486" s="60">
        <v>0</v>
      </c>
      <c r="AJ486" s="60">
        <v>0</v>
      </c>
      <c r="AQ486" s="60" t="s">
        <v>2582</v>
      </c>
      <c r="AR486" s="61">
        <v>44572</v>
      </c>
      <c r="AS486" s="60">
        <v>6001978158</v>
      </c>
      <c r="AT486" s="61">
        <v>44572</v>
      </c>
      <c r="AU486" s="60" t="s">
        <v>1710</v>
      </c>
      <c r="AV486" s="61">
        <v>44651</v>
      </c>
      <c r="AW486" s="91">
        <v>44651</v>
      </c>
      <c r="AX486" s="91">
        <v>44671</v>
      </c>
      <c r="AY486" s="107">
        <v>78600</v>
      </c>
      <c r="AZ486" s="107">
        <f>ROUNDDOWN(AY486+(AY486*MASTER!$A$2/100),0)</f>
        <v>86460</v>
      </c>
      <c r="BA486" s="60" t="s">
        <v>317</v>
      </c>
      <c r="BB486" s="64">
        <v>59000</v>
      </c>
      <c r="BC486" s="64">
        <v>64900</v>
      </c>
      <c r="BD486" s="60" t="s">
        <v>2107</v>
      </c>
      <c r="BG486" s="64">
        <v>0</v>
      </c>
      <c r="BK486" s="64">
        <v>0</v>
      </c>
      <c r="BS486" s="64">
        <v>0</v>
      </c>
      <c r="BV486" s="65">
        <v>86460</v>
      </c>
      <c r="BW486" s="65">
        <v>64900</v>
      </c>
      <c r="BX486" s="65">
        <v>44565</v>
      </c>
      <c r="BY486" s="65">
        <v>21560</v>
      </c>
      <c r="BZ486" s="81">
        <v>24.936386768447839</v>
      </c>
    </row>
    <row r="487" spans="1:82" x14ac:dyDescent="0.15">
      <c r="A487" s="60">
        <v>2</v>
      </c>
      <c r="B487" s="61">
        <v>44629</v>
      </c>
      <c r="C487" s="61">
        <v>44651</v>
      </c>
      <c r="D487" s="61">
        <v>44658</v>
      </c>
      <c r="F487" s="61" t="s">
        <v>309</v>
      </c>
      <c r="G487" s="61">
        <v>44638</v>
      </c>
      <c r="H487" s="61" t="s">
        <v>309</v>
      </c>
      <c r="J487" s="60">
        <v>2</v>
      </c>
      <c r="L487" s="60">
        <v>0</v>
      </c>
      <c r="M487" s="61">
        <v>44565</v>
      </c>
      <c r="O487" s="62" t="s">
        <v>331</v>
      </c>
      <c r="P487" s="60" t="s">
        <v>26</v>
      </c>
      <c r="Q487" s="62" t="s">
        <v>40</v>
      </c>
      <c r="R487" s="62" t="s">
        <v>1601</v>
      </c>
      <c r="S487" s="63" t="s">
        <v>450</v>
      </c>
      <c r="T487" s="63" t="s">
        <v>1524</v>
      </c>
      <c r="U487" s="64">
        <v>78600</v>
      </c>
      <c r="V487" s="64">
        <v>86460</v>
      </c>
      <c r="W487" s="64">
        <v>78600</v>
      </c>
      <c r="X487" s="64">
        <v>86460</v>
      </c>
      <c r="Z487" s="64">
        <v>0</v>
      </c>
      <c r="AA487" s="61">
        <v>44635</v>
      </c>
      <c r="AB487" s="61">
        <v>44635</v>
      </c>
      <c r="AD487" s="60">
        <v>0</v>
      </c>
      <c r="AG487" s="60">
        <v>0</v>
      </c>
      <c r="AJ487" s="60">
        <v>0</v>
      </c>
      <c r="AQ487" s="60" t="s">
        <v>2582</v>
      </c>
      <c r="AR487" s="61">
        <v>44572</v>
      </c>
      <c r="AS487" s="60">
        <v>6001978158</v>
      </c>
      <c r="AT487" s="61">
        <v>44572</v>
      </c>
      <c r="AU487" s="60" t="s">
        <v>1710</v>
      </c>
      <c r="AV487" s="61">
        <v>44651</v>
      </c>
      <c r="AW487" s="91">
        <v>44651</v>
      </c>
      <c r="AX487" s="91">
        <v>44671</v>
      </c>
      <c r="AY487" s="107">
        <v>78600</v>
      </c>
      <c r="AZ487" s="107">
        <f>ROUNDDOWN(AY487+(AY487*MASTER!$A$2/100),0)</f>
        <v>86460</v>
      </c>
      <c r="BA487" s="60" t="s">
        <v>317</v>
      </c>
      <c r="BB487" s="64">
        <v>31000</v>
      </c>
      <c r="BC487" s="64">
        <v>34100</v>
      </c>
      <c r="BD487" s="60" t="s">
        <v>2107</v>
      </c>
      <c r="BG487" s="64">
        <v>0</v>
      </c>
      <c r="BK487" s="64">
        <v>0</v>
      </c>
      <c r="BS487" s="64">
        <v>0</v>
      </c>
      <c r="BV487" s="65">
        <v>86460</v>
      </c>
      <c r="BW487" s="65">
        <v>34100</v>
      </c>
      <c r="BX487" s="65">
        <v>44565</v>
      </c>
      <c r="BY487" s="65">
        <v>52360</v>
      </c>
      <c r="BZ487" s="81">
        <v>60.559796437659031</v>
      </c>
    </row>
    <row r="488" spans="1:82" x14ac:dyDescent="0.15">
      <c r="A488" s="60">
        <v>2</v>
      </c>
      <c r="B488" s="61">
        <v>44630</v>
      </c>
      <c r="C488" s="61">
        <v>44651</v>
      </c>
      <c r="D488" s="61">
        <v>44660</v>
      </c>
      <c r="F488" s="61">
        <v>44649</v>
      </c>
      <c r="G488" s="61">
        <v>44644</v>
      </c>
      <c r="H488" s="61">
        <v>44645</v>
      </c>
      <c r="J488" s="60">
        <v>2</v>
      </c>
      <c r="L488" s="60">
        <v>0</v>
      </c>
      <c r="M488" s="61">
        <v>44565</v>
      </c>
      <c r="O488" s="62" t="s">
        <v>331</v>
      </c>
      <c r="P488" s="60" t="s">
        <v>26</v>
      </c>
      <c r="Q488" s="62" t="s">
        <v>40</v>
      </c>
      <c r="R488" s="62" t="s">
        <v>1602</v>
      </c>
      <c r="S488" s="63" t="s">
        <v>962</v>
      </c>
      <c r="T488" s="63" t="s">
        <v>1524</v>
      </c>
      <c r="U488" s="64">
        <v>78600</v>
      </c>
      <c r="V488" s="64">
        <v>86460</v>
      </c>
      <c r="W488" s="64">
        <v>78600</v>
      </c>
      <c r="X488" s="64">
        <v>86460</v>
      </c>
      <c r="Z488" s="64">
        <v>0</v>
      </c>
      <c r="AA488" s="61">
        <v>44642</v>
      </c>
      <c r="AB488" s="61">
        <v>44642</v>
      </c>
      <c r="AC488" s="61">
        <v>44642</v>
      </c>
      <c r="AD488" s="60">
        <v>0</v>
      </c>
      <c r="AG488" s="60">
        <v>0</v>
      </c>
      <c r="AJ488" s="60">
        <v>0</v>
      </c>
      <c r="AQ488" s="60" t="s">
        <v>2582</v>
      </c>
      <c r="AR488" s="61">
        <v>44572</v>
      </c>
      <c r="AS488" s="60">
        <v>6001978158</v>
      </c>
      <c r="AT488" s="61">
        <v>44572</v>
      </c>
      <c r="AU488" s="60" t="s">
        <v>1710</v>
      </c>
      <c r="AV488" s="61">
        <v>44651</v>
      </c>
      <c r="AW488" s="91">
        <v>44651</v>
      </c>
      <c r="AX488" s="91">
        <v>44671</v>
      </c>
      <c r="AY488" s="107">
        <v>78600</v>
      </c>
      <c r="AZ488" s="107">
        <f>ROUNDDOWN(AY488+(AY488*MASTER!$A$2/100),0)</f>
        <v>86460</v>
      </c>
      <c r="BC488" s="64">
        <v>0</v>
      </c>
      <c r="BG488" s="64">
        <v>0</v>
      </c>
      <c r="BK488" s="64">
        <v>0</v>
      </c>
      <c r="BS488" s="64">
        <v>0</v>
      </c>
      <c r="BV488" s="65">
        <v>86460</v>
      </c>
      <c r="BW488" s="65">
        <v>0</v>
      </c>
      <c r="BX488" s="65">
        <v>44565</v>
      </c>
      <c r="BY488" s="65">
        <v>86460</v>
      </c>
      <c r="BZ488" s="81">
        <v>100</v>
      </c>
    </row>
    <row r="489" spans="1:82" x14ac:dyDescent="0.15">
      <c r="A489" s="60">
        <v>2</v>
      </c>
      <c r="B489" s="61">
        <v>44623</v>
      </c>
      <c r="C489" s="61">
        <v>44651</v>
      </c>
      <c r="D489" s="61">
        <v>44658</v>
      </c>
      <c r="F489" s="61" t="s">
        <v>309</v>
      </c>
      <c r="G489" s="61">
        <v>44638</v>
      </c>
      <c r="H489" s="61" t="s">
        <v>309</v>
      </c>
      <c r="J489" s="60">
        <v>2</v>
      </c>
      <c r="L489" s="60">
        <v>0</v>
      </c>
      <c r="M489" s="61">
        <v>44565</v>
      </c>
      <c r="O489" s="62" t="s">
        <v>331</v>
      </c>
      <c r="P489" s="60" t="s">
        <v>26</v>
      </c>
      <c r="Q489" s="62" t="s">
        <v>40</v>
      </c>
      <c r="R489" s="62" t="s">
        <v>1603</v>
      </c>
      <c r="S489" s="63" t="s">
        <v>1604</v>
      </c>
      <c r="T489" s="63" t="s">
        <v>1524</v>
      </c>
      <c r="U489" s="64">
        <v>78600</v>
      </c>
      <c r="V489" s="64">
        <v>86460</v>
      </c>
      <c r="W489" s="64">
        <v>78600</v>
      </c>
      <c r="X489" s="64">
        <v>86460</v>
      </c>
      <c r="Z489" s="64">
        <v>0</v>
      </c>
      <c r="AA489" s="61">
        <v>44638</v>
      </c>
      <c r="AB489" s="61">
        <v>44638</v>
      </c>
      <c r="AD489" s="60">
        <v>0</v>
      </c>
      <c r="AG489" s="60">
        <v>0</v>
      </c>
      <c r="AJ489" s="60">
        <v>0</v>
      </c>
      <c r="AQ489" s="60" t="s">
        <v>2582</v>
      </c>
      <c r="AR489" s="61">
        <v>44572</v>
      </c>
      <c r="AS489" s="60">
        <v>6001978158</v>
      </c>
      <c r="AT489" s="61">
        <v>44572</v>
      </c>
      <c r="AU489" s="60" t="s">
        <v>1710</v>
      </c>
      <c r="AV489" s="61">
        <v>44651</v>
      </c>
      <c r="AW489" s="91">
        <v>44651</v>
      </c>
      <c r="AX489" s="91">
        <v>44671</v>
      </c>
      <c r="AY489" s="107">
        <v>78600</v>
      </c>
      <c r="AZ489" s="107">
        <f>ROUNDDOWN(AY489+(AY489*MASTER!$A$2/100),0)</f>
        <v>86460</v>
      </c>
      <c r="BA489" s="60" t="s">
        <v>317</v>
      </c>
      <c r="BB489" s="64">
        <v>29000</v>
      </c>
      <c r="BC489" s="64">
        <v>31900</v>
      </c>
      <c r="BD489" s="60" t="s">
        <v>2107</v>
      </c>
      <c r="BG489" s="64">
        <v>0</v>
      </c>
      <c r="BK489" s="64">
        <v>0</v>
      </c>
      <c r="BS489" s="64">
        <v>0</v>
      </c>
      <c r="BV489" s="65">
        <v>86460</v>
      </c>
      <c r="BW489" s="65">
        <v>31900</v>
      </c>
      <c r="BX489" s="65">
        <v>44565</v>
      </c>
      <c r="BY489" s="65">
        <v>54560</v>
      </c>
      <c r="BZ489" s="81">
        <v>63.104325699745544</v>
      </c>
    </row>
    <row r="490" spans="1:82" x14ac:dyDescent="0.15">
      <c r="A490" s="60">
        <v>2</v>
      </c>
      <c r="B490" s="61">
        <v>44630</v>
      </c>
      <c r="C490" s="61">
        <v>44651</v>
      </c>
      <c r="D490" s="61">
        <v>44660</v>
      </c>
      <c r="F490" s="61" t="s">
        <v>309</v>
      </c>
      <c r="G490" s="61">
        <v>44644</v>
      </c>
      <c r="H490" s="61" t="s">
        <v>309</v>
      </c>
      <c r="J490" s="60">
        <v>2</v>
      </c>
      <c r="L490" s="60">
        <v>0</v>
      </c>
      <c r="M490" s="61">
        <v>44565</v>
      </c>
      <c r="O490" s="62" t="s">
        <v>331</v>
      </c>
      <c r="P490" s="60" t="s">
        <v>26</v>
      </c>
      <c r="Q490" s="62" t="s">
        <v>40</v>
      </c>
      <c r="R490" s="62" t="s">
        <v>1605</v>
      </c>
      <c r="S490" s="63" t="s">
        <v>1606</v>
      </c>
      <c r="T490" s="63" t="s">
        <v>1524</v>
      </c>
      <c r="U490" s="64">
        <v>78600</v>
      </c>
      <c r="V490" s="64">
        <v>86460</v>
      </c>
      <c r="W490" s="64">
        <v>78600</v>
      </c>
      <c r="X490" s="64">
        <v>86460</v>
      </c>
      <c r="Z490" s="64">
        <v>0</v>
      </c>
      <c r="AA490" s="61">
        <v>44644</v>
      </c>
      <c r="AB490" s="61">
        <v>44644</v>
      </c>
      <c r="AD490" s="60">
        <v>0</v>
      </c>
      <c r="AG490" s="60">
        <v>0</v>
      </c>
      <c r="AJ490" s="60">
        <v>0</v>
      </c>
      <c r="AQ490" s="60" t="s">
        <v>2582</v>
      </c>
      <c r="AR490" s="61">
        <v>44572</v>
      </c>
      <c r="AS490" s="60">
        <v>6001978158</v>
      </c>
      <c r="AT490" s="61">
        <v>44572</v>
      </c>
      <c r="AU490" s="60" t="s">
        <v>1710</v>
      </c>
      <c r="AV490" s="61">
        <v>44651</v>
      </c>
      <c r="AW490" s="91">
        <v>44651</v>
      </c>
      <c r="AX490" s="91">
        <v>44671</v>
      </c>
      <c r="AY490" s="107">
        <v>78600</v>
      </c>
      <c r="AZ490" s="107">
        <f>ROUNDDOWN(AY490+(AY490*MASTER!$A$2/100),0)</f>
        <v>86460</v>
      </c>
      <c r="BC490" s="64">
        <v>0</v>
      </c>
      <c r="BG490" s="64">
        <v>0</v>
      </c>
      <c r="BK490" s="64">
        <v>0</v>
      </c>
      <c r="BS490" s="64">
        <v>0</v>
      </c>
      <c r="BV490" s="65">
        <v>86460</v>
      </c>
      <c r="BW490" s="65">
        <v>0</v>
      </c>
      <c r="BX490" s="65">
        <v>44565</v>
      </c>
      <c r="BY490" s="65">
        <v>86460</v>
      </c>
      <c r="BZ490" s="81">
        <v>100</v>
      </c>
    </row>
    <row r="491" spans="1:82" x14ac:dyDescent="0.15">
      <c r="A491" s="60">
        <v>2</v>
      </c>
      <c r="B491" s="61">
        <v>44630</v>
      </c>
      <c r="C491" s="61">
        <v>44651</v>
      </c>
      <c r="D491" s="61">
        <v>44660</v>
      </c>
      <c r="F491" s="61" t="s">
        <v>309</v>
      </c>
      <c r="G491" s="61">
        <v>44644</v>
      </c>
      <c r="H491" s="61" t="s">
        <v>309</v>
      </c>
      <c r="J491" s="60">
        <v>2</v>
      </c>
      <c r="L491" s="60">
        <v>0</v>
      </c>
      <c r="M491" s="61">
        <v>44565</v>
      </c>
      <c r="O491" s="62" t="s">
        <v>331</v>
      </c>
      <c r="P491" s="60" t="s">
        <v>26</v>
      </c>
      <c r="Q491" s="62" t="s">
        <v>40</v>
      </c>
      <c r="R491" s="62" t="s">
        <v>1607</v>
      </c>
      <c r="S491" s="63" t="s">
        <v>1608</v>
      </c>
      <c r="T491" s="63" t="s">
        <v>1524</v>
      </c>
      <c r="U491" s="64">
        <v>78600</v>
      </c>
      <c r="V491" s="64">
        <v>86460</v>
      </c>
      <c r="W491" s="64">
        <v>78600</v>
      </c>
      <c r="X491" s="64">
        <v>86460</v>
      </c>
      <c r="Z491" s="64">
        <v>0</v>
      </c>
      <c r="AA491" s="61">
        <v>44643</v>
      </c>
      <c r="AB491" s="61">
        <v>44643</v>
      </c>
      <c r="AD491" s="60">
        <v>0</v>
      </c>
      <c r="AG491" s="60">
        <v>0</v>
      </c>
      <c r="AJ491" s="60">
        <v>0</v>
      </c>
      <c r="AQ491" s="60" t="s">
        <v>2582</v>
      </c>
      <c r="AR491" s="61">
        <v>44572</v>
      </c>
      <c r="AS491" s="60">
        <v>6001978158</v>
      </c>
      <c r="AT491" s="61">
        <v>44572</v>
      </c>
      <c r="AU491" s="60" t="s">
        <v>1710</v>
      </c>
      <c r="AV491" s="61">
        <v>44651</v>
      </c>
      <c r="AW491" s="91">
        <v>44651</v>
      </c>
      <c r="AX491" s="91">
        <v>44671</v>
      </c>
      <c r="AY491" s="107">
        <v>78600</v>
      </c>
      <c r="AZ491" s="107">
        <f>ROUNDDOWN(AY491+(AY491*MASTER!$A$2/100),0)</f>
        <v>86460</v>
      </c>
      <c r="BC491" s="64">
        <v>0</v>
      </c>
      <c r="BG491" s="64">
        <v>0</v>
      </c>
      <c r="BK491" s="64">
        <v>0</v>
      </c>
      <c r="BS491" s="64">
        <v>0</v>
      </c>
      <c r="BV491" s="65">
        <v>86460</v>
      </c>
      <c r="BW491" s="65">
        <v>0</v>
      </c>
      <c r="BX491" s="65">
        <v>44565</v>
      </c>
      <c r="BY491" s="65">
        <v>86460</v>
      </c>
      <c r="BZ491" s="81">
        <v>100</v>
      </c>
    </row>
    <row r="492" spans="1:82" x14ac:dyDescent="0.15">
      <c r="A492" s="60">
        <v>1</v>
      </c>
      <c r="B492" s="61">
        <v>44585</v>
      </c>
      <c r="C492" s="61">
        <v>44586</v>
      </c>
      <c r="F492" s="61" t="s">
        <v>309</v>
      </c>
      <c r="H492" s="61" t="s">
        <v>309</v>
      </c>
      <c r="J492" s="60">
        <v>2</v>
      </c>
      <c r="L492" s="60">
        <v>0</v>
      </c>
      <c r="M492" s="61">
        <v>44565</v>
      </c>
      <c r="O492" s="62" t="s">
        <v>331</v>
      </c>
      <c r="P492" s="60" t="s">
        <v>263</v>
      </c>
      <c r="Q492" s="62" t="s">
        <v>40</v>
      </c>
      <c r="R492" s="62" t="s">
        <v>1609</v>
      </c>
      <c r="S492" s="63" t="s">
        <v>326</v>
      </c>
      <c r="T492" s="63" t="s">
        <v>1613</v>
      </c>
      <c r="U492" s="64">
        <v>7127</v>
      </c>
      <c r="V492" s="64">
        <v>7839.7</v>
      </c>
      <c r="W492" s="64">
        <v>7127</v>
      </c>
      <c r="X492" s="64">
        <v>7839.7</v>
      </c>
      <c r="Y492" s="64">
        <v>0</v>
      </c>
      <c r="Z492" s="64">
        <v>0</v>
      </c>
      <c r="AD492" s="60">
        <v>0</v>
      </c>
      <c r="AG492" s="60">
        <v>0</v>
      </c>
      <c r="AJ492" s="60">
        <v>0</v>
      </c>
      <c r="AQ492" s="60" t="s">
        <v>1821</v>
      </c>
      <c r="AR492" s="61">
        <v>44580</v>
      </c>
      <c r="AS492" s="60">
        <v>6001982685</v>
      </c>
      <c r="AT492" s="61">
        <v>44581</v>
      </c>
      <c r="AU492" s="60" t="s">
        <v>1864</v>
      </c>
      <c r="AV492" s="61">
        <v>44586</v>
      </c>
      <c r="AW492" s="91">
        <v>44592</v>
      </c>
      <c r="AX492" s="91">
        <v>44612</v>
      </c>
      <c r="AY492" s="107">
        <v>7127</v>
      </c>
      <c r="AZ492" s="107">
        <v>7840</v>
      </c>
      <c r="BC492" s="64">
        <v>0</v>
      </c>
      <c r="BG492" s="64">
        <v>0</v>
      </c>
      <c r="BK492" s="64">
        <v>0</v>
      </c>
      <c r="BS492" s="64">
        <v>0</v>
      </c>
      <c r="BV492" s="65">
        <v>7839.7</v>
      </c>
      <c r="BW492" s="65">
        <v>0</v>
      </c>
      <c r="BX492" s="65">
        <v>44565</v>
      </c>
      <c r="BY492" s="65">
        <v>7839.7</v>
      </c>
      <c r="BZ492" s="81">
        <v>100</v>
      </c>
      <c r="CD492" s="63" t="s">
        <v>1820</v>
      </c>
    </row>
    <row r="493" spans="1:82" x14ac:dyDescent="0.15">
      <c r="A493" s="60">
        <v>2</v>
      </c>
      <c r="B493" s="61">
        <v>44579</v>
      </c>
      <c r="C493" s="61">
        <v>44582</v>
      </c>
      <c r="D493" s="61">
        <v>44578</v>
      </c>
      <c r="E493" s="61">
        <v>44578</v>
      </c>
      <c r="F493" s="61" t="s">
        <v>309</v>
      </c>
      <c r="G493" s="61">
        <v>44578</v>
      </c>
      <c r="H493" s="61" t="s">
        <v>309</v>
      </c>
      <c r="I493" s="60" t="s">
        <v>494</v>
      </c>
      <c r="J493" s="60">
        <v>2</v>
      </c>
      <c r="L493" s="60">
        <v>0</v>
      </c>
      <c r="M493" s="61">
        <v>44566</v>
      </c>
      <c r="O493" s="62" t="s">
        <v>331</v>
      </c>
      <c r="P493" s="60" t="s">
        <v>6</v>
      </c>
      <c r="Q493" s="62" t="s">
        <v>40</v>
      </c>
      <c r="R493" s="62" t="s">
        <v>1784</v>
      </c>
      <c r="S493" s="63" t="s">
        <v>786</v>
      </c>
      <c r="T493" s="63" t="s">
        <v>364</v>
      </c>
      <c r="U493" s="64">
        <v>35000</v>
      </c>
      <c r="V493" s="64">
        <v>38500</v>
      </c>
      <c r="W493" s="64">
        <v>35000</v>
      </c>
      <c r="X493" s="64">
        <v>38500</v>
      </c>
      <c r="Z493" s="64">
        <v>0</v>
      </c>
      <c r="AA493" s="61">
        <v>44576</v>
      </c>
      <c r="AB493" s="61">
        <v>44576</v>
      </c>
      <c r="AD493" s="60">
        <v>0</v>
      </c>
      <c r="AG493" s="60">
        <v>0</v>
      </c>
      <c r="AJ493" s="60">
        <v>0</v>
      </c>
      <c r="AN493" s="60" t="s">
        <v>309</v>
      </c>
      <c r="AQ493" s="60" t="s">
        <v>1746</v>
      </c>
      <c r="AR493" s="61">
        <v>44574</v>
      </c>
      <c r="AS493" s="60">
        <v>6001979694</v>
      </c>
      <c r="AT493" s="61">
        <v>44574</v>
      </c>
      <c r="AU493" s="60" t="s">
        <v>1758</v>
      </c>
      <c r="AV493" s="61">
        <v>44582</v>
      </c>
      <c r="AW493" s="91">
        <v>44592</v>
      </c>
      <c r="AX493" s="91">
        <v>44612</v>
      </c>
      <c r="AY493" s="99">
        <v>33600</v>
      </c>
      <c r="AZ493" s="99">
        <f>ROUNDDOWN(AY493+(AY493*MASTER!$A$2/100),0)</f>
        <v>36960</v>
      </c>
      <c r="BA493" s="60" t="s">
        <v>613</v>
      </c>
      <c r="BB493" s="64">
        <v>26000</v>
      </c>
      <c r="BC493" s="64">
        <v>28600</v>
      </c>
      <c r="BD493" s="60" t="s">
        <v>1614</v>
      </c>
      <c r="BG493" s="64">
        <v>0</v>
      </c>
      <c r="BK493" s="64">
        <v>0</v>
      </c>
      <c r="BS493" s="64">
        <v>0</v>
      </c>
      <c r="BV493" s="65">
        <v>38500</v>
      </c>
      <c r="BW493" s="65">
        <v>28600</v>
      </c>
      <c r="BX493" s="65">
        <v>44566</v>
      </c>
      <c r="BY493" s="65">
        <v>9900</v>
      </c>
      <c r="BZ493" s="81">
        <v>25.714285714285712</v>
      </c>
    </row>
    <row r="494" spans="1:82" x14ac:dyDescent="0.15">
      <c r="A494" s="60">
        <v>1</v>
      </c>
      <c r="B494" s="61">
        <v>44574</v>
      </c>
      <c r="C494" s="61">
        <v>44581</v>
      </c>
      <c r="F494" s="61" t="s">
        <v>309</v>
      </c>
      <c r="H494" s="61" t="s">
        <v>309</v>
      </c>
      <c r="J494" s="60">
        <v>2</v>
      </c>
      <c r="L494" s="60">
        <v>0</v>
      </c>
      <c r="M494" s="61">
        <v>44565</v>
      </c>
      <c r="O494" s="62" t="s">
        <v>331</v>
      </c>
      <c r="P494" s="60" t="s">
        <v>262</v>
      </c>
      <c r="Q494" s="62" t="s">
        <v>40</v>
      </c>
      <c r="R494" s="62" t="s">
        <v>1615</v>
      </c>
      <c r="S494" s="63" t="s">
        <v>326</v>
      </c>
      <c r="T494" s="63" t="s">
        <v>1616</v>
      </c>
      <c r="U494" s="64">
        <v>438000</v>
      </c>
      <c r="V494" s="64">
        <v>481800</v>
      </c>
      <c r="W494" s="64">
        <v>438000</v>
      </c>
      <c r="X494" s="64">
        <v>481800</v>
      </c>
      <c r="Y494" s="64">
        <v>0</v>
      </c>
      <c r="Z494" s="64">
        <v>0</v>
      </c>
      <c r="AA494" s="61">
        <v>44562</v>
      </c>
      <c r="AB494" s="61">
        <v>44592</v>
      </c>
      <c r="AD494" s="60">
        <v>0</v>
      </c>
      <c r="AG494" s="60">
        <v>0</v>
      </c>
      <c r="AJ494" s="60">
        <v>0</v>
      </c>
      <c r="AQ494" s="60" t="s">
        <v>1662</v>
      </c>
      <c r="AR494" s="61">
        <v>44568</v>
      </c>
      <c r="AS494" s="60">
        <v>6001977613</v>
      </c>
      <c r="AT494" s="61">
        <v>44572</v>
      </c>
      <c r="AU494" s="60" t="s">
        <v>1684</v>
      </c>
      <c r="AV494" s="61">
        <v>44581</v>
      </c>
      <c r="AW494" s="91">
        <v>44592</v>
      </c>
      <c r="AX494" s="91">
        <v>44612</v>
      </c>
      <c r="AY494" s="107">
        <v>438000</v>
      </c>
      <c r="AZ494" s="107">
        <f>ROUNDDOWN(AY494+(AY494*MASTER!$A$2/100),0)</f>
        <v>481800</v>
      </c>
      <c r="BC494" s="64">
        <v>0</v>
      </c>
      <c r="BG494" s="64">
        <v>0</v>
      </c>
      <c r="BK494" s="64">
        <v>0</v>
      </c>
      <c r="BS494" s="64">
        <v>0</v>
      </c>
      <c r="BV494" s="65">
        <v>481800</v>
      </c>
      <c r="BW494" s="65">
        <v>0</v>
      </c>
      <c r="BX494" s="65">
        <v>44565</v>
      </c>
      <c r="BY494" s="65">
        <v>481800</v>
      </c>
      <c r="BZ494" s="81">
        <v>100</v>
      </c>
    </row>
    <row r="495" spans="1:82" x14ac:dyDescent="0.15">
      <c r="A495" s="60">
        <v>1</v>
      </c>
      <c r="B495" s="61">
        <v>44574</v>
      </c>
      <c r="C495" s="61">
        <v>44581</v>
      </c>
      <c r="F495" s="61" t="s">
        <v>309</v>
      </c>
      <c r="H495" s="61" t="s">
        <v>309</v>
      </c>
      <c r="J495" s="60">
        <v>2</v>
      </c>
      <c r="L495" s="60">
        <v>0</v>
      </c>
      <c r="M495" s="61">
        <v>44565</v>
      </c>
      <c r="O495" s="62" t="s">
        <v>331</v>
      </c>
      <c r="P495" s="60" t="s">
        <v>262</v>
      </c>
      <c r="Q495" s="62" t="s">
        <v>40</v>
      </c>
      <c r="R495" s="62" t="s">
        <v>1617</v>
      </c>
      <c r="S495" s="63" t="s">
        <v>326</v>
      </c>
      <c r="T495" s="63" t="s">
        <v>1618</v>
      </c>
      <c r="U495" s="64">
        <v>438000</v>
      </c>
      <c r="V495" s="64">
        <v>481800</v>
      </c>
      <c r="W495" s="64">
        <v>438000</v>
      </c>
      <c r="X495" s="64">
        <v>481800</v>
      </c>
      <c r="Y495" s="64">
        <v>0</v>
      </c>
      <c r="Z495" s="64">
        <v>0</v>
      </c>
      <c r="AA495" s="61">
        <v>44562</v>
      </c>
      <c r="AB495" s="61">
        <v>44592</v>
      </c>
      <c r="AD495" s="60">
        <v>0</v>
      </c>
      <c r="AG495" s="60">
        <v>0</v>
      </c>
      <c r="AJ495" s="60">
        <v>0</v>
      </c>
      <c r="AQ495" s="60" t="s">
        <v>1662</v>
      </c>
      <c r="AR495" s="61">
        <v>44568</v>
      </c>
      <c r="AS495" s="60">
        <v>6001977613</v>
      </c>
      <c r="AT495" s="61">
        <v>44572</v>
      </c>
      <c r="AU495" s="60" t="s">
        <v>1684</v>
      </c>
      <c r="AV495" s="61">
        <v>44581</v>
      </c>
      <c r="AW495" s="91">
        <v>44592</v>
      </c>
      <c r="AX495" s="91">
        <v>44612</v>
      </c>
      <c r="AY495" s="107">
        <v>438000</v>
      </c>
      <c r="AZ495" s="107">
        <f>ROUNDDOWN(AY495+(AY495*MASTER!$A$2/100),0)</f>
        <v>481800</v>
      </c>
      <c r="BC495" s="64">
        <v>0</v>
      </c>
      <c r="BG495" s="64">
        <v>0</v>
      </c>
      <c r="BK495" s="64">
        <v>0</v>
      </c>
      <c r="BS495" s="64">
        <v>0</v>
      </c>
      <c r="BV495" s="65">
        <v>481800</v>
      </c>
      <c r="BW495" s="65">
        <v>0</v>
      </c>
      <c r="BX495" s="65">
        <v>44565</v>
      </c>
      <c r="BY495" s="65">
        <v>481800</v>
      </c>
      <c r="BZ495" s="81">
        <v>100</v>
      </c>
    </row>
    <row r="496" spans="1:82" x14ac:dyDescent="0.15">
      <c r="A496" s="60">
        <v>1</v>
      </c>
      <c r="B496" s="61">
        <v>44574</v>
      </c>
      <c r="C496" s="61">
        <v>44581</v>
      </c>
      <c r="F496" s="61" t="s">
        <v>309</v>
      </c>
      <c r="H496" s="61" t="s">
        <v>309</v>
      </c>
      <c r="J496" s="60">
        <v>2</v>
      </c>
      <c r="L496" s="60">
        <v>0</v>
      </c>
      <c r="M496" s="61">
        <v>44565</v>
      </c>
      <c r="O496" s="62" t="s">
        <v>331</v>
      </c>
      <c r="P496" s="60" t="s">
        <v>262</v>
      </c>
      <c r="Q496" s="62" t="s">
        <v>40</v>
      </c>
      <c r="R496" s="62" t="s">
        <v>1619</v>
      </c>
      <c r="S496" s="63" t="s">
        <v>326</v>
      </c>
      <c r="T496" s="63" t="s">
        <v>1620</v>
      </c>
      <c r="U496" s="64">
        <v>262000</v>
      </c>
      <c r="V496" s="64">
        <v>288200</v>
      </c>
      <c r="W496" s="64">
        <v>262000</v>
      </c>
      <c r="X496" s="64">
        <v>288200</v>
      </c>
      <c r="Y496" s="64">
        <v>0</v>
      </c>
      <c r="Z496" s="64">
        <v>0</v>
      </c>
      <c r="AA496" s="61">
        <v>44562</v>
      </c>
      <c r="AB496" s="61">
        <v>44592</v>
      </c>
      <c r="AD496" s="60">
        <v>0</v>
      </c>
      <c r="AG496" s="60">
        <v>0</v>
      </c>
      <c r="AJ496" s="60">
        <v>0</v>
      </c>
      <c r="AQ496" s="60" t="s">
        <v>1662</v>
      </c>
      <c r="AR496" s="61">
        <v>44568</v>
      </c>
      <c r="AS496" s="60">
        <v>6001977613</v>
      </c>
      <c r="AT496" s="61">
        <v>44572</v>
      </c>
      <c r="AU496" s="60" t="s">
        <v>1684</v>
      </c>
      <c r="AV496" s="61">
        <v>44581</v>
      </c>
      <c r="AW496" s="91">
        <v>44592</v>
      </c>
      <c r="AX496" s="91">
        <v>44612</v>
      </c>
      <c r="AY496" s="107">
        <v>262000</v>
      </c>
      <c r="AZ496" s="107">
        <f>ROUNDDOWN(AY496+(AY496*MASTER!$A$2/100),0)</f>
        <v>288200</v>
      </c>
      <c r="BC496" s="64">
        <v>0</v>
      </c>
      <c r="BG496" s="64">
        <v>0</v>
      </c>
      <c r="BK496" s="64">
        <v>0</v>
      </c>
      <c r="BS496" s="64">
        <v>0</v>
      </c>
      <c r="BV496" s="65">
        <v>288200</v>
      </c>
      <c r="BW496" s="65">
        <v>0</v>
      </c>
      <c r="BX496" s="65">
        <v>44565</v>
      </c>
      <c r="BY496" s="65">
        <v>288200</v>
      </c>
      <c r="BZ496" s="81">
        <v>100</v>
      </c>
    </row>
    <row r="497" spans="1:89" x14ac:dyDescent="0.15">
      <c r="A497" s="60">
        <v>1</v>
      </c>
      <c r="B497" s="61">
        <v>44574</v>
      </c>
      <c r="C497" s="61">
        <v>44581</v>
      </c>
      <c r="F497" s="61" t="s">
        <v>309</v>
      </c>
      <c r="H497" s="61" t="s">
        <v>309</v>
      </c>
      <c r="J497" s="60">
        <v>2</v>
      </c>
      <c r="L497" s="60">
        <v>0</v>
      </c>
      <c r="M497" s="61">
        <v>44565</v>
      </c>
      <c r="O497" s="62" t="s">
        <v>331</v>
      </c>
      <c r="P497" s="60" t="s">
        <v>260</v>
      </c>
      <c r="Q497" s="62" t="s">
        <v>40</v>
      </c>
      <c r="R497" s="62" t="s">
        <v>1621</v>
      </c>
      <c r="S497" s="63" t="s">
        <v>417</v>
      </c>
      <c r="T497" s="63" t="s">
        <v>1622</v>
      </c>
      <c r="U497" s="64">
        <v>66000</v>
      </c>
      <c r="V497" s="64">
        <v>72600</v>
      </c>
      <c r="W497" s="64">
        <v>66000</v>
      </c>
      <c r="X497" s="64">
        <v>72600</v>
      </c>
      <c r="Y497" s="64">
        <v>0</v>
      </c>
      <c r="Z497" s="64">
        <v>0</v>
      </c>
      <c r="AA497" s="61">
        <v>44562</v>
      </c>
      <c r="AB497" s="61">
        <v>44592</v>
      </c>
      <c r="AD497" s="60">
        <v>0</v>
      </c>
      <c r="AG497" s="60">
        <v>0</v>
      </c>
      <c r="AJ497" s="60">
        <v>0</v>
      </c>
      <c r="AQ497" s="60" t="s">
        <v>1665</v>
      </c>
      <c r="AR497" s="61">
        <v>44568</v>
      </c>
      <c r="AS497" s="60">
        <v>6001977613</v>
      </c>
      <c r="AT497" s="61">
        <v>44572</v>
      </c>
      <c r="AU497" s="60" t="s">
        <v>1684</v>
      </c>
      <c r="AV497" s="61">
        <v>44581</v>
      </c>
      <c r="AW497" s="91">
        <v>44592</v>
      </c>
      <c r="AX497" s="91">
        <v>44612</v>
      </c>
      <c r="AY497" s="107">
        <v>66000</v>
      </c>
      <c r="AZ497" s="107">
        <f>ROUNDDOWN(AY497+(AY497*MASTER!$A$2/100),0)</f>
        <v>72600</v>
      </c>
      <c r="BC497" s="64">
        <v>0</v>
      </c>
      <c r="BG497" s="64">
        <v>0</v>
      </c>
      <c r="BK497" s="64">
        <v>0</v>
      </c>
      <c r="BS497" s="64">
        <v>0</v>
      </c>
      <c r="BV497" s="65">
        <v>72600</v>
      </c>
      <c r="BW497" s="65">
        <v>0</v>
      </c>
      <c r="BX497" s="65">
        <v>44565</v>
      </c>
      <c r="BY497" s="65">
        <v>72600</v>
      </c>
      <c r="BZ497" s="81">
        <v>100</v>
      </c>
    </row>
    <row r="498" spans="1:89" x14ac:dyDescent="0.15">
      <c r="A498" s="60">
        <v>2</v>
      </c>
      <c r="B498" s="61">
        <v>44592</v>
      </c>
      <c r="C498" s="61">
        <v>44593</v>
      </c>
      <c r="D498" s="61">
        <v>44624</v>
      </c>
      <c r="E498" s="61">
        <v>44622</v>
      </c>
      <c r="F498" s="61">
        <v>44600</v>
      </c>
      <c r="G498" s="61">
        <v>44593</v>
      </c>
      <c r="H498" s="61">
        <v>44596</v>
      </c>
      <c r="I498" s="60" t="s">
        <v>612</v>
      </c>
      <c r="J498" s="60">
        <v>1</v>
      </c>
      <c r="L498" s="60">
        <v>0</v>
      </c>
      <c r="M498" s="61">
        <v>44566</v>
      </c>
      <c r="O498" s="62" t="s">
        <v>331</v>
      </c>
      <c r="P498" s="60" t="s">
        <v>26</v>
      </c>
      <c r="Q498" s="62" t="s">
        <v>40</v>
      </c>
      <c r="R498" s="62" t="s">
        <v>1933</v>
      </c>
      <c r="S498" s="63" t="s">
        <v>1021</v>
      </c>
      <c r="T498" s="63" t="s">
        <v>1934</v>
      </c>
      <c r="U498" s="64">
        <v>242700</v>
      </c>
      <c r="V498" s="64">
        <v>266970</v>
      </c>
      <c r="W498" s="64">
        <v>94000</v>
      </c>
      <c r="X498" s="64">
        <v>103400</v>
      </c>
      <c r="Y498" s="64">
        <v>148700</v>
      </c>
      <c r="Z498" s="64">
        <v>163570</v>
      </c>
      <c r="AA498" s="61">
        <v>44592</v>
      </c>
      <c r="AB498" s="61">
        <v>44593</v>
      </c>
      <c r="AC498" s="61">
        <v>44593</v>
      </c>
      <c r="AD498" s="60">
        <v>0</v>
      </c>
      <c r="AG498" s="60">
        <v>0</v>
      </c>
      <c r="AJ498" s="60">
        <v>0</v>
      </c>
      <c r="AM498" s="60" t="s">
        <v>273</v>
      </c>
      <c r="AN498" s="60" t="s">
        <v>1517</v>
      </c>
      <c r="AQ498" s="60" t="s">
        <v>1935</v>
      </c>
      <c r="AR498" s="61">
        <v>44586</v>
      </c>
      <c r="AS498" s="60">
        <v>6001985074</v>
      </c>
      <c r="AT498" s="61">
        <v>44586</v>
      </c>
      <c r="AU498" s="60" t="s">
        <v>1952</v>
      </c>
      <c r="AV498" s="61">
        <v>44593</v>
      </c>
      <c r="AW498" s="91">
        <v>44620</v>
      </c>
      <c r="AX498" s="91">
        <v>44640</v>
      </c>
      <c r="AY498" s="99">
        <v>232992</v>
      </c>
      <c r="AZ498" s="141">
        <f>ROUNDDOWN(AY498+(AY498*MASTER!$A$2/100),0)</f>
        <v>256291</v>
      </c>
      <c r="BA498" s="60" t="s">
        <v>317</v>
      </c>
      <c r="BB498" s="64">
        <v>35000</v>
      </c>
      <c r="BC498" s="64">
        <v>38500</v>
      </c>
      <c r="BD498" s="60" t="s">
        <v>2044</v>
      </c>
      <c r="BG498" s="64">
        <v>0</v>
      </c>
      <c r="BI498" s="60" t="s">
        <v>748</v>
      </c>
      <c r="BJ498" s="64">
        <v>96655</v>
      </c>
      <c r="BK498" s="64">
        <v>106320.5</v>
      </c>
      <c r="BL498" s="60" t="s">
        <v>2044</v>
      </c>
      <c r="BS498" s="64">
        <v>0</v>
      </c>
      <c r="BV498" s="65">
        <v>103400</v>
      </c>
      <c r="BW498" s="65">
        <v>144820.5</v>
      </c>
      <c r="BX498" s="65">
        <v>44566</v>
      </c>
      <c r="BY498" s="65">
        <v>-41420.5</v>
      </c>
      <c r="BZ498" s="81">
        <v>-40.058510638297875</v>
      </c>
    </row>
    <row r="499" spans="1:89" x14ac:dyDescent="0.15">
      <c r="A499" s="60">
        <v>1</v>
      </c>
      <c r="B499" s="61">
        <v>44568</v>
      </c>
      <c r="C499" s="61">
        <v>44572</v>
      </c>
      <c r="F499" s="61" t="s">
        <v>309</v>
      </c>
      <c r="H499" s="61" t="s">
        <v>309</v>
      </c>
      <c r="J499" s="60">
        <v>2</v>
      </c>
      <c r="L499" s="60">
        <v>0</v>
      </c>
      <c r="M499" s="61">
        <v>44566</v>
      </c>
      <c r="O499" s="62" t="s">
        <v>331</v>
      </c>
      <c r="P499" s="60" t="s">
        <v>77</v>
      </c>
      <c r="Q499" s="62" t="s">
        <v>40</v>
      </c>
      <c r="R499" s="62" t="s">
        <v>1631</v>
      </c>
      <c r="S499" s="63" t="s">
        <v>489</v>
      </c>
      <c r="T499" s="63" t="s">
        <v>1299</v>
      </c>
      <c r="U499" s="64">
        <v>9880</v>
      </c>
      <c r="V499" s="64">
        <v>10868</v>
      </c>
      <c r="W499" s="64">
        <v>9880</v>
      </c>
      <c r="X499" s="64">
        <v>10868</v>
      </c>
      <c r="Y499" s="64">
        <v>0</v>
      </c>
      <c r="Z499" s="64">
        <v>0</v>
      </c>
      <c r="AD499" s="60">
        <v>0</v>
      </c>
      <c r="AG499" s="60">
        <v>0</v>
      </c>
      <c r="AJ499" s="60">
        <v>0</v>
      </c>
      <c r="AR499" s="61">
        <v>44566</v>
      </c>
      <c r="AS499" s="60">
        <v>6001976550</v>
      </c>
      <c r="AT499" s="61">
        <v>44566</v>
      </c>
      <c r="AU499" s="60" t="s">
        <v>1654</v>
      </c>
      <c r="AV499" s="61">
        <v>44572</v>
      </c>
      <c r="AW499" s="91">
        <v>44592</v>
      </c>
      <c r="AX499" s="91">
        <v>44612</v>
      </c>
      <c r="AY499" s="107">
        <v>9880</v>
      </c>
      <c r="AZ499" s="107">
        <f>ROUNDDOWN(AY499+(AY499*MASTER!$A$2/100),0)</f>
        <v>10868</v>
      </c>
      <c r="BC499" s="64">
        <v>0</v>
      </c>
      <c r="BG499" s="64">
        <v>0</v>
      </c>
      <c r="BK499" s="64">
        <v>0</v>
      </c>
      <c r="BS499" s="64">
        <v>0</v>
      </c>
      <c r="BV499" s="65">
        <v>10868</v>
      </c>
      <c r="BW499" s="65">
        <v>0</v>
      </c>
      <c r="BX499" s="65">
        <v>44566</v>
      </c>
      <c r="BY499" s="65">
        <v>10868</v>
      </c>
      <c r="BZ499" s="81">
        <v>100</v>
      </c>
    </row>
    <row r="500" spans="1:89" x14ac:dyDescent="0.15">
      <c r="A500" s="60">
        <v>1</v>
      </c>
      <c r="B500" s="61">
        <v>44579</v>
      </c>
      <c r="C500" s="61">
        <v>44581</v>
      </c>
      <c r="F500" s="61" t="s">
        <v>309</v>
      </c>
      <c r="G500" s="61">
        <v>44578</v>
      </c>
      <c r="H500" s="61" t="s">
        <v>309</v>
      </c>
      <c r="J500" s="60">
        <v>2</v>
      </c>
      <c r="L500" s="60">
        <v>0</v>
      </c>
      <c r="M500" s="61">
        <v>44568</v>
      </c>
      <c r="O500" s="62" t="s">
        <v>331</v>
      </c>
      <c r="P500" s="60" t="s">
        <v>6</v>
      </c>
      <c r="Q500" s="62" t="s">
        <v>40</v>
      </c>
      <c r="R500" s="62" t="s">
        <v>1774</v>
      </c>
      <c r="S500" s="63" t="s">
        <v>986</v>
      </c>
      <c r="T500" s="63" t="s">
        <v>364</v>
      </c>
      <c r="U500" s="64">
        <v>51000</v>
      </c>
      <c r="V500" s="64">
        <v>56100</v>
      </c>
      <c r="W500" s="64">
        <v>51000</v>
      </c>
      <c r="X500" s="64">
        <v>56100</v>
      </c>
      <c r="Z500" s="64">
        <v>0</v>
      </c>
      <c r="AA500" s="61">
        <v>44573</v>
      </c>
      <c r="AB500" s="61">
        <v>44573</v>
      </c>
      <c r="AD500" s="60">
        <v>0</v>
      </c>
      <c r="AG500" s="60">
        <v>0</v>
      </c>
      <c r="AJ500" s="60">
        <v>0</v>
      </c>
      <c r="AN500" s="60" t="s">
        <v>309</v>
      </c>
      <c r="AQ500" s="60" t="s">
        <v>1745</v>
      </c>
      <c r="AR500" s="61">
        <v>44574</v>
      </c>
      <c r="AS500" s="60">
        <v>6001979694</v>
      </c>
      <c r="AT500" s="61">
        <v>44574</v>
      </c>
      <c r="AU500" s="60" t="s">
        <v>1758</v>
      </c>
      <c r="AV500" s="61">
        <v>44581</v>
      </c>
      <c r="AW500" s="91">
        <v>44592</v>
      </c>
      <c r="AX500" s="91">
        <v>44612</v>
      </c>
      <c r="AY500" s="99">
        <v>48960</v>
      </c>
      <c r="AZ500" s="141">
        <f>ROUNDDOWN(AY500+(AY500*MASTER!$A$2/100),0)</f>
        <v>53856</v>
      </c>
      <c r="BA500" s="60" t="s">
        <v>317</v>
      </c>
      <c r="BB500" s="64">
        <v>21000</v>
      </c>
      <c r="BC500" s="64">
        <v>23100</v>
      </c>
      <c r="BD500" s="60" t="s">
        <v>1614</v>
      </c>
      <c r="BG500" s="64">
        <v>0</v>
      </c>
      <c r="BK500" s="64">
        <v>0</v>
      </c>
      <c r="BS500" s="64">
        <v>0</v>
      </c>
      <c r="BV500" s="65">
        <v>56100</v>
      </c>
      <c r="BW500" s="65">
        <v>23100</v>
      </c>
      <c r="BX500" s="65">
        <v>44568</v>
      </c>
      <c r="BY500" s="65">
        <v>33000</v>
      </c>
      <c r="BZ500" s="81">
        <v>58.82352941176471</v>
      </c>
    </row>
    <row r="501" spans="1:89" x14ac:dyDescent="0.15">
      <c r="A501" s="60">
        <v>1</v>
      </c>
      <c r="B501" s="61">
        <v>44575</v>
      </c>
      <c r="C501" s="61">
        <v>44575</v>
      </c>
      <c r="F501" s="61" t="s">
        <v>309</v>
      </c>
      <c r="G501" s="61">
        <v>44568</v>
      </c>
      <c r="H501" s="61" t="s">
        <v>309</v>
      </c>
      <c r="J501" s="60">
        <v>2</v>
      </c>
      <c r="L501" s="60">
        <v>0</v>
      </c>
      <c r="M501" s="61">
        <v>44568</v>
      </c>
      <c r="O501" s="62" t="s">
        <v>331</v>
      </c>
      <c r="P501" s="60" t="s">
        <v>6</v>
      </c>
      <c r="Q501" s="62" t="s">
        <v>40</v>
      </c>
      <c r="R501" s="62" t="s">
        <v>1650</v>
      </c>
      <c r="S501" s="63" t="s">
        <v>1239</v>
      </c>
      <c r="T501" s="63" t="s">
        <v>364</v>
      </c>
      <c r="U501" s="64">
        <v>35000</v>
      </c>
      <c r="V501" s="64">
        <v>38500</v>
      </c>
      <c r="W501" s="64">
        <v>35000</v>
      </c>
      <c r="X501" s="64">
        <v>38500</v>
      </c>
      <c r="Z501" s="64">
        <v>0</v>
      </c>
      <c r="AA501" s="61">
        <v>44567</v>
      </c>
      <c r="AB501" s="61">
        <v>44567</v>
      </c>
      <c r="AD501" s="60">
        <v>0</v>
      </c>
      <c r="AG501" s="60">
        <v>0</v>
      </c>
      <c r="AJ501" s="60">
        <v>0</v>
      </c>
      <c r="AN501" s="60" t="s">
        <v>309</v>
      </c>
      <c r="AQ501" s="60" t="s">
        <v>1744</v>
      </c>
      <c r="AR501" s="61">
        <v>44574</v>
      </c>
      <c r="AS501" s="60">
        <v>6001979694</v>
      </c>
      <c r="AT501" s="61">
        <v>44574</v>
      </c>
      <c r="AU501" s="60" t="s">
        <v>1758</v>
      </c>
      <c r="AV501" s="61">
        <v>44575</v>
      </c>
      <c r="AW501" s="91">
        <v>44592</v>
      </c>
      <c r="AX501" s="91">
        <v>44612</v>
      </c>
      <c r="AY501" s="99">
        <v>33600</v>
      </c>
      <c r="AZ501" s="141">
        <f>ROUNDDOWN(AY501+(AY501*MASTER!$A$2/100),0)</f>
        <v>36960</v>
      </c>
      <c r="BA501" s="60" t="s">
        <v>780</v>
      </c>
      <c r="BB501" s="64">
        <v>21000</v>
      </c>
      <c r="BC501" s="64">
        <v>23100</v>
      </c>
      <c r="BD501" s="60" t="s">
        <v>1614</v>
      </c>
      <c r="BG501" s="64">
        <v>0</v>
      </c>
      <c r="BK501" s="64">
        <v>0</v>
      </c>
      <c r="BS501" s="64">
        <v>0</v>
      </c>
      <c r="BV501" s="65">
        <v>38500</v>
      </c>
      <c r="BW501" s="65">
        <v>23100</v>
      </c>
      <c r="BX501" s="65">
        <v>44568</v>
      </c>
      <c r="BY501" s="65">
        <v>15400</v>
      </c>
      <c r="BZ501" s="81">
        <v>40</v>
      </c>
    </row>
    <row r="502" spans="1:89" x14ac:dyDescent="0.15">
      <c r="A502" s="60">
        <v>2</v>
      </c>
      <c r="B502" s="61">
        <v>44579</v>
      </c>
      <c r="C502" s="61">
        <v>44589</v>
      </c>
      <c r="D502" s="61">
        <v>44612</v>
      </c>
      <c r="E502" s="61">
        <v>44618</v>
      </c>
      <c r="F502" s="61">
        <v>44588</v>
      </c>
      <c r="G502" s="61">
        <v>44580</v>
      </c>
      <c r="H502" s="61">
        <v>44584</v>
      </c>
      <c r="I502" s="60" t="s">
        <v>612</v>
      </c>
      <c r="J502" s="60">
        <v>1</v>
      </c>
      <c r="L502" s="60">
        <v>0</v>
      </c>
      <c r="M502" s="61">
        <v>44568</v>
      </c>
      <c r="O502" s="62" t="s">
        <v>331</v>
      </c>
      <c r="P502" s="60" t="s">
        <v>26</v>
      </c>
      <c r="Q502" s="62" t="s">
        <v>40</v>
      </c>
      <c r="R502" s="62" t="s">
        <v>1663</v>
      </c>
      <c r="S502" s="63" t="s">
        <v>1664</v>
      </c>
      <c r="T502" s="63" t="s">
        <v>1653</v>
      </c>
      <c r="U502" s="64">
        <v>175300</v>
      </c>
      <c r="V502" s="64">
        <v>192830</v>
      </c>
      <c r="W502" s="64">
        <v>144300</v>
      </c>
      <c r="X502" s="64">
        <v>158730</v>
      </c>
      <c r="Y502" s="64">
        <v>31000</v>
      </c>
      <c r="Z502" s="64">
        <v>34100</v>
      </c>
      <c r="AA502" s="61">
        <v>44580</v>
      </c>
      <c r="AB502" s="61">
        <v>44581</v>
      </c>
      <c r="AC502" s="61">
        <v>44581</v>
      </c>
      <c r="AD502" s="60">
        <v>0</v>
      </c>
      <c r="AG502" s="60">
        <v>0</v>
      </c>
      <c r="AJ502" s="60">
        <v>0</v>
      </c>
      <c r="AQ502" s="60" t="s">
        <v>1716</v>
      </c>
      <c r="AR502" s="61">
        <v>44573</v>
      </c>
      <c r="AS502" s="60">
        <v>6001978758</v>
      </c>
      <c r="AT502" s="61">
        <v>44573</v>
      </c>
      <c r="AU502" s="60" t="s">
        <v>1736</v>
      </c>
      <c r="AV502" s="61">
        <v>44589</v>
      </c>
      <c r="AW502" s="91">
        <v>44592</v>
      </c>
      <c r="AX502" s="91">
        <v>44612</v>
      </c>
      <c r="AY502" s="107">
        <v>175300</v>
      </c>
      <c r="AZ502" s="107">
        <f>ROUNDDOWN(AY502+(AY502*MASTER!$A$2/100),0)</f>
        <v>192830</v>
      </c>
      <c r="BA502" s="60" t="s">
        <v>317</v>
      </c>
      <c r="BB502" s="64">
        <v>40000</v>
      </c>
      <c r="BC502" s="64">
        <v>44000</v>
      </c>
      <c r="BD502" s="60" t="s">
        <v>1614</v>
      </c>
      <c r="BG502" s="64">
        <v>0</v>
      </c>
      <c r="BK502" s="64">
        <v>0</v>
      </c>
      <c r="BS502" s="64">
        <v>0</v>
      </c>
      <c r="BV502" s="65">
        <v>158730</v>
      </c>
      <c r="BW502" s="65">
        <v>44000</v>
      </c>
      <c r="BX502" s="65">
        <v>44568</v>
      </c>
      <c r="BY502" s="65">
        <v>114730</v>
      </c>
      <c r="BZ502" s="81">
        <v>72.279972279972284</v>
      </c>
    </row>
    <row r="503" spans="1:89" x14ac:dyDescent="0.15">
      <c r="A503" s="60">
        <v>1</v>
      </c>
      <c r="B503" s="61">
        <v>44585</v>
      </c>
      <c r="C503" s="61">
        <v>44586</v>
      </c>
      <c r="F503" s="61" t="s">
        <v>309</v>
      </c>
      <c r="G503" s="61">
        <v>44578</v>
      </c>
      <c r="H503" s="61" t="s">
        <v>309</v>
      </c>
      <c r="J503" s="60">
        <v>2</v>
      </c>
      <c r="L503" s="60">
        <v>0</v>
      </c>
      <c r="M503" s="61">
        <v>44572</v>
      </c>
      <c r="O503" s="62" t="s">
        <v>331</v>
      </c>
      <c r="P503" s="60" t="s">
        <v>6</v>
      </c>
      <c r="Q503" s="62" t="s">
        <v>40</v>
      </c>
      <c r="R503" s="62" t="s">
        <v>1775</v>
      </c>
      <c r="S503" s="63" t="s">
        <v>1548</v>
      </c>
      <c r="T503" s="63" t="s">
        <v>364</v>
      </c>
      <c r="U503" s="64">
        <v>35000</v>
      </c>
      <c r="V503" s="64">
        <v>38500</v>
      </c>
      <c r="W503" s="64">
        <v>35000</v>
      </c>
      <c r="X503" s="64">
        <v>38500</v>
      </c>
      <c r="Z503" s="64">
        <v>0</v>
      </c>
      <c r="AA503" s="61">
        <v>44573</v>
      </c>
      <c r="AB503" s="61">
        <v>44573</v>
      </c>
      <c r="AD503" s="60">
        <v>0</v>
      </c>
      <c r="AG503" s="60">
        <v>0</v>
      </c>
      <c r="AJ503" s="60">
        <v>0</v>
      </c>
      <c r="AN503" s="60" t="s">
        <v>309</v>
      </c>
      <c r="AQ503" s="60" t="s">
        <v>1830</v>
      </c>
      <c r="AR503" s="61">
        <v>44581</v>
      </c>
      <c r="AS503" s="60">
        <v>6001982753</v>
      </c>
      <c r="AT503" s="61">
        <v>44581</v>
      </c>
      <c r="AU503" s="60" t="s">
        <v>1861</v>
      </c>
      <c r="AV503" s="61">
        <v>44586</v>
      </c>
      <c r="AW503" s="91">
        <v>44592</v>
      </c>
      <c r="AX503" s="91">
        <v>44612</v>
      </c>
      <c r="AY503" s="99">
        <v>48960</v>
      </c>
      <c r="AZ503" s="141">
        <f>ROUNDDOWN(AY503+(AY503*MASTER!$A$2/100),0)</f>
        <v>53856</v>
      </c>
      <c r="BA503" s="60" t="s">
        <v>317</v>
      </c>
      <c r="BB503" s="64">
        <v>42000</v>
      </c>
      <c r="BC503" s="64">
        <v>46200</v>
      </c>
      <c r="BD503" s="60" t="s">
        <v>1614</v>
      </c>
      <c r="BG503" s="64">
        <v>0</v>
      </c>
      <c r="BK503" s="64">
        <v>0</v>
      </c>
      <c r="BS503" s="64">
        <v>0</v>
      </c>
      <c r="BV503" s="65">
        <v>38500</v>
      </c>
      <c r="BW503" s="65">
        <v>46200</v>
      </c>
      <c r="BX503" s="65">
        <v>44572</v>
      </c>
      <c r="BY503" s="65">
        <v>-7700</v>
      </c>
      <c r="BZ503" s="81">
        <v>-20</v>
      </c>
    </row>
    <row r="504" spans="1:89" s="152" customFormat="1" x14ac:dyDescent="0.15">
      <c r="A504" s="142">
        <v>3</v>
      </c>
      <c r="B504" s="143"/>
      <c r="C504" s="143" t="s">
        <v>309</v>
      </c>
      <c r="D504" s="143"/>
      <c r="E504" s="143"/>
      <c r="F504" s="143" t="s">
        <v>309</v>
      </c>
      <c r="G504" s="143"/>
      <c r="H504" s="143" t="s">
        <v>309</v>
      </c>
      <c r="I504" s="142"/>
      <c r="J504" s="142">
        <v>2</v>
      </c>
      <c r="K504" s="143"/>
      <c r="L504" s="142">
        <v>0</v>
      </c>
      <c r="M504" s="143">
        <v>44572</v>
      </c>
      <c r="N504" s="143"/>
      <c r="O504" s="144" t="s">
        <v>331</v>
      </c>
      <c r="P504" s="142" t="s">
        <v>6</v>
      </c>
      <c r="Q504" s="144" t="s">
        <v>40</v>
      </c>
      <c r="R504" s="144" t="s">
        <v>2662</v>
      </c>
      <c r="S504" s="145" t="s">
        <v>449</v>
      </c>
      <c r="T504" s="145" t="s">
        <v>364</v>
      </c>
      <c r="U504" s="146">
        <v>16000</v>
      </c>
      <c r="V504" s="146">
        <v>17600</v>
      </c>
      <c r="W504" s="146">
        <v>16000</v>
      </c>
      <c r="X504" s="146">
        <v>17600</v>
      </c>
      <c r="Y504" s="146"/>
      <c r="Z504" s="146">
        <v>0</v>
      </c>
      <c r="AA504" s="143"/>
      <c r="AB504" s="143"/>
      <c r="AC504" s="143"/>
      <c r="AD504" s="142">
        <v>0</v>
      </c>
      <c r="AE504" s="142"/>
      <c r="AF504" s="142"/>
      <c r="AG504" s="142">
        <v>0</v>
      </c>
      <c r="AH504" s="142"/>
      <c r="AI504" s="142"/>
      <c r="AJ504" s="142">
        <v>0</v>
      </c>
      <c r="AK504" s="142"/>
      <c r="AL504" s="142"/>
      <c r="AM504" s="142"/>
      <c r="AN504" s="142" t="s">
        <v>309</v>
      </c>
      <c r="AO504" s="143"/>
      <c r="AP504" s="142"/>
      <c r="AQ504" s="142"/>
      <c r="AR504" s="143"/>
      <c r="AS504" s="142"/>
      <c r="AT504" s="143"/>
      <c r="AU504" s="142"/>
      <c r="AV504" s="143"/>
      <c r="AW504" s="147"/>
      <c r="AX504" s="147"/>
      <c r="AY504" s="148">
        <v>15360</v>
      </c>
      <c r="AZ504" s="173">
        <f>ROUNDDOWN(AY504+(AY504*MASTER!$A$2/100),0)</f>
        <v>16896</v>
      </c>
      <c r="BA504" s="142"/>
      <c r="BB504" s="146"/>
      <c r="BC504" s="146">
        <v>0</v>
      </c>
      <c r="BD504" s="142"/>
      <c r="BE504" s="142"/>
      <c r="BF504" s="146"/>
      <c r="BG504" s="146">
        <v>0</v>
      </c>
      <c r="BH504" s="142"/>
      <c r="BI504" s="142"/>
      <c r="BJ504" s="146"/>
      <c r="BK504" s="146">
        <v>0</v>
      </c>
      <c r="BL504" s="142"/>
      <c r="BM504" s="146"/>
      <c r="BN504" s="146"/>
      <c r="BO504" s="146"/>
      <c r="BP504" s="146"/>
      <c r="BQ504" s="146"/>
      <c r="BR504" s="146"/>
      <c r="BS504" s="146">
        <v>0</v>
      </c>
      <c r="BT504" s="149"/>
      <c r="BU504" s="149"/>
      <c r="BV504" s="150">
        <v>17600</v>
      </c>
      <c r="BW504" s="150">
        <v>0</v>
      </c>
      <c r="BX504" s="150">
        <v>44572</v>
      </c>
      <c r="BY504" s="150">
        <v>17600</v>
      </c>
      <c r="BZ504" s="151">
        <v>100</v>
      </c>
      <c r="CA504" s="142"/>
      <c r="CB504" s="142"/>
      <c r="CC504" s="142"/>
      <c r="CD504" s="145" t="s">
        <v>2661</v>
      </c>
      <c r="CE504" s="143"/>
      <c r="CF504" s="143"/>
      <c r="CG504" s="143"/>
      <c r="CH504" s="143"/>
      <c r="CI504" s="143"/>
      <c r="CJ504" s="143"/>
      <c r="CK504" s="146"/>
    </row>
    <row r="505" spans="1:89" x14ac:dyDescent="0.15">
      <c r="A505" s="60">
        <v>2</v>
      </c>
      <c r="B505" s="61">
        <v>44585</v>
      </c>
      <c r="C505" s="61">
        <v>44586</v>
      </c>
      <c r="D505" s="61">
        <v>44578</v>
      </c>
      <c r="E505" s="61">
        <v>44578</v>
      </c>
      <c r="F505" s="61" t="s">
        <v>309</v>
      </c>
      <c r="G505" s="61">
        <v>44578</v>
      </c>
      <c r="H505" s="61" t="s">
        <v>309</v>
      </c>
      <c r="I505" s="60" t="s">
        <v>766</v>
      </c>
      <c r="J505" s="60">
        <v>2</v>
      </c>
      <c r="L505" s="60">
        <v>0</v>
      </c>
      <c r="M505" s="61">
        <v>44572</v>
      </c>
      <c r="O505" s="62" t="s">
        <v>331</v>
      </c>
      <c r="P505" s="60" t="s">
        <v>6</v>
      </c>
      <c r="Q505" s="62" t="s">
        <v>40</v>
      </c>
      <c r="R505" s="62" t="s">
        <v>1783</v>
      </c>
      <c r="S505" s="63" t="s">
        <v>1069</v>
      </c>
      <c r="T505" s="63" t="s">
        <v>364</v>
      </c>
      <c r="U505" s="64">
        <v>35000</v>
      </c>
      <c r="V505" s="64">
        <v>38500</v>
      </c>
      <c r="W505" s="64">
        <v>35000</v>
      </c>
      <c r="X505" s="64">
        <v>38500</v>
      </c>
      <c r="Y505" s="64">
        <v>0</v>
      </c>
      <c r="Z505" s="64">
        <v>0</v>
      </c>
      <c r="AA505" s="61">
        <v>44573</v>
      </c>
      <c r="AB505" s="61">
        <v>44573</v>
      </c>
      <c r="AD505" s="60">
        <v>0</v>
      </c>
      <c r="AG505" s="60">
        <v>0</v>
      </c>
      <c r="AJ505" s="60">
        <v>0</v>
      </c>
      <c r="AN505" s="60" t="s">
        <v>309</v>
      </c>
      <c r="AR505" s="61">
        <v>44581</v>
      </c>
      <c r="AS505" s="60">
        <v>6001982753</v>
      </c>
      <c r="AT505" s="61">
        <v>44581</v>
      </c>
      <c r="AU505" s="60" t="s">
        <v>1861</v>
      </c>
      <c r="AV505" s="61">
        <v>44586</v>
      </c>
      <c r="AW505" s="91">
        <v>44592</v>
      </c>
      <c r="AX505" s="91">
        <v>44612</v>
      </c>
      <c r="AY505" s="99">
        <v>33600</v>
      </c>
      <c r="AZ505" s="141">
        <f>ROUNDDOWN(AY505+(AY505*MASTER!$A$2/100),0)</f>
        <v>36960</v>
      </c>
      <c r="BA505" s="60" t="s">
        <v>582</v>
      </c>
      <c r="BB505" s="64">
        <v>36000</v>
      </c>
      <c r="BC505" s="64">
        <v>39600</v>
      </c>
      <c r="BD505" s="60" t="s">
        <v>1614</v>
      </c>
      <c r="BG505" s="64">
        <v>0</v>
      </c>
      <c r="BK505" s="64">
        <v>0</v>
      </c>
      <c r="BS505" s="64">
        <v>0</v>
      </c>
      <c r="BV505" s="65">
        <v>38500</v>
      </c>
      <c r="BW505" s="65">
        <v>39600</v>
      </c>
      <c r="BX505" s="65">
        <v>44572</v>
      </c>
      <c r="BY505" s="65">
        <v>-1100</v>
      </c>
      <c r="BZ505" s="81">
        <v>-2.8571428571428572</v>
      </c>
    </row>
    <row r="506" spans="1:89" x14ac:dyDescent="0.15">
      <c r="A506" s="60">
        <v>2</v>
      </c>
      <c r="B506" s="61">
        <v>44634</v>
      </c>
      <c r="C506" s="61">
        <v>44666</v>
      </c>
      <c r="D506" s="61">
        <v>44651</v>
      </c>
      <c r="E506" s="61">
        <v>44651</v>
      </c>
      <c r="F506" s="61" t="s">
        <v>309</v>
      </c>
      <c r="G506" s="61">
        <v>44637</v>
      </c>
      <c r="H506" s="61" t="s">
        <v>309</v>
      </c>
      <c r="I506" s="60" t="s">
        <v>511</v>
      </c>
      <c r="J506" s="60">
        <v>2</v>
      </c>
      <c r="L506" s="60">
        <v>0</v>
      </c>
      <c r="M506" s="61">
        <v>44572</v>
      </c>
      <c r="O506" s="62" t="s">
        <v>331</v>
      </c>
      <c r="P506" s="60" t="s">
        <v>26</v>
      </c>
      <c r="Q506" s="62" t="s">
        <v>40</v>
      </c>
      <c r="R506" s="62" t="s">
        <v>2739</v>
      </c>
      <c r="S506" s="63" t="s">
        <v>1989</v>
      </c>
      <c r="T506" s="63" t="s">
        <v>656</v>
      </c>
      <c r="U506" s="64">
        <v>49500</v>
      </c>
      <c r="V506" s="64">
        <v>54450</v>
      </c>
      <c r="W506" s="64">
        <v>49500</v>
      </c>
      <c r="X506" s="64">
        <v>54450</v>
      </c>
      <c r="Z506" s="64">
        <v>0</v>
      </c>
      <c r="AA506" s="61">
        <v>44636</v>
      </c>
      <c r="AB506" s="61">
        <v>44636</v>
      </c>
      <c r="AD506" s="60">
        <v>0</v>
      </c>
      <c r="AG506" s="60">
        <v>0</v>
      </c>
      <c r="AJ506" s="60">
        <v>0</v>
      </c>
      <c r="AN506" s="60" t="s">
        <v>309</v>
      </c>
      <c r="AQ506" s="60" t="s">
        <v>2266</v>
      </c>
      <c r="AR506" s="61">
        <v>44606</v>
      </c>
      <c r="AS506" s="60">
        <v>6001993157</v>
      </c>
      <c r="AT506" s="61">
        <v>44607</v>
      </c>
      <c r="AU506" s="60" t="s">
        <v>2316</v>
      </c>
      <c r="AV506" s="61">
        <v>44666</v>
      </c>
      <c r="AW506" s="91">
        <v>44651</v>
      </c>
      <c r="AX506" s="91">
        <v>44671</v>
      </c>
      <c r="AY506" s="99">
        <v>47520</v>
      </c>
      <c r="AZ506" s="141">
        <f>ROUNDDOWN(AY506+(AY506*MASTER!$A$2/100),0)</f>
        <v>52272</v>
      </c>
      <c r="BA506" s="60" t="s">
        <v>613</v>
      </c>
      <c r="BB506" s="64">
        <v>28000</v>
      </c>
      <c r="BC506" s="64">
        <v>30800</v>
      </c>
      <c r="BD506" s="60" t="s">
        <v>2107</v>
      </c>
      <c r="BG506" s="64">
        <v>0</v>
      </c>
      <c r="BK506" s="64">
        <v>0</v>
      </c>
      <c r="BS506" s="64">
        <v>0</v>
      </c>
      <c r="BV506" s="65">
        <v>54450</v>
      </c>
      <c r="BW506" s="65">
        <v>30800</v>
      </c>
      <c r="BX506" s="65">
        <v>44572</v>
      </c>
      <c r="BY506" s="65">
        <v>23650</v>
      </c>
      <c r="BZ506" s="81">
        <v>43.43434343434344</v>
      </c>
    </row>
    <row r="507" spans="1:89" x14ac:dyDescent="0.15">
      <c r="A507" s="60">
        <v>2</v>
      </c>
      <c r="B507" s="61">
        <v>44635</v>
      </c>
      <c r="C507" s="61">
        <v>44630</v>
      </c>
      <c r="D507" s="61">
        <v>44658</v>
      </c>
      <c r="E507" s="61">
        <v>44655</v>
      </c>
      <c r="F507" s="61">
        <v>44652</v>
      </c>
      <c r="G507" s="61">
        <v>44646</v>
      </c>
      <c r="H507" s="61">
        <v>44648</v>
      </c>
      <c r="I507" s="60" t="s">
        <v>511</v>
      </c>
      <c r="J507" s="60">
        <v>1</v>
      </c>
      <c r="L507" s="60">
        <v>0</v>
      </c>
      <c r="M507" s="61">
        <v>44572</v>
      </c>
      <c r="N507" s="62"/>
      <c r="O507" s="62" t="s">
        <v>331</v>
      </c>
      <c r="P507" s="60" t="s">
        <v>26</v>
      </c>
      <c r="Q507" s="62" t="s">
        <v>40</v>
      </c>
      <c r="R507" s="62" t="s">
        <v>1835</v>
      </c>
      <c r="S507" s="63" t="s">
        <v>371</v>
      </c>
      <c r="T507" s="63" t="s">
        <v>485</v>
      </c>
      <c r="U507" s="64">
        <v>95000</v>
      </c>
      <c r="V507" s="64">
        <v>104500</v>
      </c>
      <c r="W507" s="64">
        <v>80000</v>
      </c>
      <c r="X507" s="64">
        <v>88000</v>
      </c>
      <c r="Y507" s="64">
        <v>15000</v>
      </c>
      <c r="Z507" s="64">
        <v>16500</v>
      </c>
      <c r="AA507" s="61">
        <v>44644</v>
      </c>
      <c r="AB507" s="61">
        <v>44645</v>
      </c>
      <c r="AC507" s="61">
        <v>44645</v>
      </c>
      <c r="AD507" s="60">
        <v>0</v>
      </c>
      <c r="AG507" s="60">
        <v>0</v>
      </c>
      <c r="AJ507" s="60">
        <v>0</v>
      </c>
      <c r="AQ507" s="60" t="s">
        <v>1836</v>
      </c>
      <c r="AR507" s="61">
        <v>44581</v>
      </c>
      <c r="AS507" s="60">
        <v>6001982753</v>
      </c>
      <c r="AT507" s="61">
        <v>44581</v>
      </c>
      <c r="AU507" s="60" t="s">
        <v>1861</v>
      </c>
      <c r="AV507" s="61">
        <v>44630</v>
      </c>
      <c r="AW507" s="91">
        <v>44651</v>
      </c>
      <c r="AX507" s="91">
        <v>44671</v>
      </c>
      <c r="AY507" s="99">
        <v>91200</v>
      </c>
      <c r="AZ507" s="141">
        <f>ROUNDDOWN(AY507+(AY507*MASTER!$A$2/100),0)</f>
        <v>100320</v>
      </c>
      <c r="BA507" s="60" t="s">
        <v>314</v>
      </c>
      <c r="BB507" s="64">
        <v>21000</v>
      </c>
      <c r="BC507" s="64">
        <v>23100</v>
      </c>
      <c r="BD507" s="60" t="s">
        <v>2107</v>
      </c>
      <c r="BG507" s="64">
        <v>0</v>
      </c>
      <c r="BI507" s="60" t="s">
        <v>748</v>
      </c>
      <c r="BJ507" s="64">
        <v>9750</v>
      </c>
      <c r="BK507" s="64">
        <v>10725</v>
      </c>
      <c r="BL507" s="60" t="s">
        <v>2107</v>
      </c>
      <c r="BS507" s="64">
        <v>0</v>
      </c>
      <c r="BV507" s="65">
        <v>88000</v>
      </c>
      <c r="BW507" s="65">
        <v>33825</v>
      </c>
      <c r="BX507" s="65">
        <v>44572</v>
      </c>
      <c r="BY507" s="65">
        <v>54175</v>
      </c>
      <c r="BZ507" s="81">
        <v>61.5625</v>
      </c>
    </row>
    <row r="508" spans="1:89" x14ac:dyDescent="0.15">
      <c r="A508" s="60">
        <v>2</v>
      </c>
      <c r="B508" s="61">
        <v>44636</v>
      </c>
      <c r="C508" s="61">
        <v>44651</v>
      </c>
      <c r="D508" s="61">
        <v>44658</v>
      </c>
      <c r="E508" s="61">
        <v>44655</v>
      </c>
      <c r="F508" s="61">
        <v>44658</v>
      </c>
      <c r="G508" s="61">
        <v>44651</v>
      </c>
      <c r="H508" s="61">
        <v>44654</v>
      </c>
      <c r="I508" s="60" t="s">
        <v>511</v>
      </c>
      <c r="J508" s="60">
        <v>1</v>
      </c>
      <c r="L508" s="60">
        <v>0</v>
      </c>
      <c r="M508" s="61">
        <v>44572</v>
      </c>
      <c r="N508" s="62"/>
      <c r="O508" s="62" t="s">
        <v>331</v>
      </c>
      <c r="P508" s="60" t="s">
        <v>26</v>
      </c>
      <c r="Q508" s="62" t="s">
        <v>40</v>
      </c>
      <c r="R508" s="62" t="s">
        <v>2481</v>
      </c>
      <c r="S508" s="63" t="s">
        <v>655</v>
      </c>
      <c r="T508" s="63" t="s">
        <v>485</v>
      </c>
      <c r="U508" s="64">
        <v>95000</v>
      </c>
      <c r="V508" s="64">
        <v>104500</v>
      </c>
      <c r="W508" s="64">
        <v>80000</v>
      </c>
      <c r="X508" s="64">
        <v>88000</v>
      </c>
      <c r="Y508" s="64">
        <v>15000</v>
      </c>
      <c r="Z508" s="64">
        <v>16500</v>
      </c>
      <c r="AA508" s="61">
        <v>44650</v>
      </c>
      <c r="AB508" s="61">
        <v>44651</v>
      </c>
      <c r="AC508" s="61">
        <v>44651</v>
      </c>
      <c r="AD508" s="60">
        <v>0</v>
      </c>
      <c r="AG508" s="60">
        <v>0</v>
      </c>
      <c r="AJ508" s="60">
        <v>0</v>
      </c>
      <c r="AQ508" s="60" t="s">
        <v>1808</v>
      </c>
      <c r="AR508" s="61">
        <v>44579</v>
      </c>
      <c r="AS508" s="60">
        <v>6001981792</v>
      </c>
      <c r="AT508" s="61">
        <v>44579</v>
      </c>
      <c r="AU508" s="60" t="s">
        <v>1813</v>
      </c>
      <c r="AV508" s="61">
        <v>44651</v>
      </c>
      <c r="AW508" s="91">
        <v>44651</v>
      </c>
      <c r="AX508" s="91">
        <v>44671</v>
      </c>
      <c r="AY508" s="99">
        <v>91200</v>
      </c>
      <c r="AZ508" s="141">
        <f>ROUNDDOWN(AY508+(AY508*MASTER!$A$2/100),0)</f>
        <v>100320</v>
      </c>
      <c r="BA508" s="60" t="s">
        <v>613</v>
      </c>
      <c r="BB508" s="64">
        <v>28000</v>
      </c>
      <c r="BC508" s="64">
        <v>30800</v>
      </c>
      <c r="BD508" s="60" t="s">
        <v>2107</v>
      </c>
      <c r="BG508" s="64">
        <v>0</v>
      </c>
      <c r="BI508" s="60" t="s">
        <v>748</v>
      </c>
      <c r="BJ508" s="64">
        <v>9750</v>
      </c>
      <c r="BK508" s="64">
        <v>10725</v>
      </c>
      <c r="BL508" s="60" t="s">
        <v>2107</v>
      </c>
      <c r="BS508" s="64">
        <v>0</v>
      </c>
      <c r="BV508" s="65">
        <v>88000</v>
      </c>
      <c r="BW508" s="65">
        <v>41525</v>
      </c>
      <c r="BX508" s="65">
        <v>44572</v>
      </c>
      <c r="BY508" s="65">
        <v>46475</v>
      </c>
      <c r="BZ508" s="81">
        <v>52.812499999999993</v>
      </c>
      <c r="CD508" s="63" t="s">
        <v>2810</v>
      </c>
    </row>
    <row r="509" spans="1:89" x14ac:dyDescent="0.15">
      <c r="A509" s="60">
        <v>2</v>
      </c>
      <c r="B509" s="61">
        <v>44635</v>
      </c>
      <c r="C509" s="61">
        <v>44651</v>
      </c>
      <c r="D509" s="61">
        <v>44655</v>
      </c>
      <c r="E509" s="61">
        <v>44655</v>
      </c>
      <c r="F509" s="61">
        <v>44650</v>
      </c>
      <c r="G509" s="61">
        <v>44642</v>
      </c>
      <c r="H509" s="61">
        <v>44646</v>
      </c>
      <c r="I509" s="60" t="s">
        <v>511</v>
      </c>
      <c r="J509" s="60">
        <v>1</v>
      </c>
      <c r="L509" s="60">
        <v>0</v>
      </c>
      <c r="M509" s="61">
        <v>44572</v>
      </c>
      <c r="N509" s="62"/>
      <c r="O509" s="62" t="s">
        <v>331</v>
      </c>
      <c r="P509" s="60" t="s">
        <v>26</v>
      </c>
      <c r="Q509" s="62" t="s">
        <v>40</v>
      </c>
      <c r="R509" s="62" t="s">
        <v>1686</v>
      </c>
      <c r="S509" s="63" t="s">
        <v>1497</v>
      </c>
      <c r="T509" s="63" t="s">
        <v>1685</v>
      </c>
      <c r="U509" s="64">
        <v>95000</v>
      </c>
      <c r="V509" s="64">
        <v>104500</v>
      </c>
      <c r="W509" s="64">
        <v>80000</v>
      </c>
      <c r="X509" s="64">
        <v>88000</v>
      </c>
      <c r="Y509" s="64">
        <v>15000</v>
      </c>
      <c r="Z509" s="64">
        <v>16500</v>
      </c>
      <c r="AA509" s="61">
        <v>44642</v>
      </c>
      <c r="AB509" s="61">
        <v>44643</v>
      </c>
      <c r="AC509" s="61">
        <v>44643</v>
      </c>
      <c r="AD509" s="60">
        <v>0</v>
      </c>
      <c r="AG509" s="60">
        <v>0</v>
      </c>
      <c r="AJ509" s="60">
        <v>0</v>
      </c>
      <c r="AQ509" s="60" t="s">
        <v>1804</v>
      </c>
      <c r="AR509" s="61">
        <v>44579</v>
      </c>
      <c r="AS509" s="60">
        <v>6001981791</v>
      </c>
      <c r="AT509" s="61">
        <v>44579</v>
      </c>
      <c r="AU509" s="60" t="s">
        <v>1812</v>
      </c>
      <c r="AV509" s="61">
        <v>44651</v>
      </c>
      <c r="AW509" s="91">
        <v>44651</v>
      </c>
      <c r="AX509" s="91">
        <v>44671</v>
      </c>
      <c r="AY509" s="99">
        <v>91200</v>
      </c>
      <c r="AZ509" s="141">
        <f>ROUNDDOWN(AY509+(AY509*MASTER!$A$2/100),0)</f>
        <v>100320</v>
      </c>
      <c r="BA509" s="60" t="s">
        <v>582</v>
      </c>
      <c r="BB509" s="64">
        <v>25000</v>
      </c>
      <c r="BC509" s="64">
        <v>27500</v>
      </c>
      <c r="BD509" s="60" t="s">
        <v>2107</v>
      </c>
      <c r="BG509" s="64">
        <v>0</v>
      </c>
      <c r="BI509" s="60" t="s">
        <v>748</v>
      </c>
      <c r="BJ509" s="64">
        <v>9750</v>
      </c>
      <c r="BK509" s="64">
        <v>10725</v>
      </c>
      <c r="BL509" s="60" t="s">
        <v>2107</v>
      </c>
      <c r="BS509" s="64">
        <v>0</v>
      </c>
      <c r="BV509" s="65">
        <v>88000</v>
      </c>
      <c r="BW509" s="65">
        <v>38225</v>
      </c>
      <c r="BX509" s="65">
        <v>44572</v>
      </c>
      <c r="BY509" s="65">
        <v>49775</v>
      </c>
      <c r="BZ509" s="81">
        <v>56.562500000000007</v>
      </c>
    </row>
    <row r="510" spans="1:89" x14ac:dyDescent="0.15">
      <c r="A510" s="60">
        <v>1</v>
      </c>
      <c r="B510" s="61">
        <v>44594</v>
      </c>
      <c r="C510" s="61">
        <v>44630</v>
      </c>
      <c r="F510" s="61" t="s">
        <v>309</v>
      </c>
      <c r="H510" s="61" t="s">
        <v>309</v>
      </c>
      <c r="J510" s="60">
        <v>2</v>
      </c>
      <c r="L510" s="60">
        <v>0</v>
      </c>
      <c r="M510" s="61">
        <v>44572</v>
      </c>
      <c r="N510" s="62"/>
      <c r="O510" s="62" t="s">
        <v>331</v>
      </c>
      <c r="P510" s="60" t="s">
        <v>263</v>
      </c>
      <c r="Q510" s="62" t="s">
        <v>40</v>
      </c>
      <c r="R510" s="62" t="s">
        <v>1688</v>
      </c>
      <c r="S510" s="63" t="s">
        <v>513</v>
      </c>
      <c r="T510" s="63" t="s">
        <v>1687</v>
      </c>
      <c r="U510" s="64">
        <v>3000</v>
      </c>
      <c r="V510" s="64">
        <v>3300</v>
      </c>
      <c r="W510" s="64">
        <v>3000</v>
      </c>
      <c r="X510" s="64">
        <v>3300</v>
      </c>
      <c r="Y510" s="64">
        <v>0</v>
      </c>
      <c r="Z510" s="64">
        <v>0</v>
      </c>
      <c r="AA510" s="61" t="s">
        <v>1614</v>
      </c>
      <c r="AD510" s="60">
        <v>0</v>
      </c>
      <c r="AG510" s="60">
        <v>0</v>
      </c>
      <c r="AJ510" s="60">
        <v>0</v>
      </c>
      <c r="AQ510" s="60" t="s">
        <v>1807</v>
      </c>
      <c r="AR510" s="61">
        <v>44579</v>
      </c>
      <c r="AS510" s="60">
        <v>6001981791</v>
      </c>
      <c r="AT510" s="61">
        <v>44579</v>
      </c>
      <c r="AU510" s="60" t="s">
        <v>1812</v>
      </c>
      <c r="AV510" s="61">
        <v>44630</v>
      </c>
      <c r="AW510" s="91">
        <v>44620</v>
      </c>
      <c r="AX510" s="91">
        <v>44640</v>
      </c>
      <c r="AY510" s="99">
        <v>2880</v>
      </c>
      <c r="AZ510" s="141">
        <f>ROUNDDOWN(AY510+(AY510*MASTER!$A$2/100),0)</f>
        <v>3168</v>
      </c>
      <c r="BC510" s="64">
        <v>0</v>
      </c>
      <c r="BG510" s="64">
        <v>0</v>
      </c>
      <c r="BK510" s="64">
        <v>0</v>
      </c>
      <c r="BS510" s="64">
        <v>0</v>
      </c>
      <c r="BV510" s="65">
        <v>3300</v>
      </c>
      <c r="BW510" s="65">
        <v>0</v>
      </c>
      <c r="BX510" s="65">
        <v>44572</v>
      </c>
      <c r="BY510" s="65">
        <v>3300</v>
      </c>
      <c r="BZ510" s="81">
        <v>100</v>
      </c>
    </row>
    <row r="511" spans="1:89" x14ac:dyDescent="0.15">
      <c r="A511" s="60">
        <v>2</v>
      </c>
      <c r="B511" s="61">
        <v>44637</v>
      </c>
      <c r="C511" s="61">
        <v>44651</v>
      </c>
      <c r="D511" s="61">
        <v>44658</v>
      </c>
      <c r="F511" s="61">
        <v>44656</v>
      </c>
      <c r="H511" s="61">
        <v>44652</v>
      </c>
      <c r="J511" s="60">
        <v>2</v>
      </c>
      <c r="L511" s="60">
        <v>0</v>
      </c>
      <c r="M511" s="61">
        <v>44573</v>
      </c>
      <c r="O511" s="62" t="s">
        <v>331</v>
      </c>
      <c r="P511" s="60" t="s">
        <v>77</v>
      </c>
      <c r="Q511" s="62" t="s">
        <v>40</v>
      </c>
      <c r="R511" s="62" t="s">
        <v>1839</v>
      </c>
      <c r="S511" s="63" t="s">
        <v>1829</v>
      </c>
      <c r="T511" s="63" t="s">
        <v>1081</v>
      </c>
      <c r="U511" s="64">
        <v>65000</v>
      </c>
      <c r="V511" s="64">
        <v>71500</v>
      </c>
      <c r="W511" s="64">
        <v>65000</v>
      </c>
      <c r="X511" s="64">
        <v>71500</v>
      </c>
      <c r="Y511" s="64">
        <v>0</v>
      </c>
      <c r="Z511" s="64">
        <v>0</v>
      </c>
      <c r="AA511" s="61">
        <v>44648</v>
      </c>
      <c r="AB511" s="61">
        <v>44649</v>
      </c>
      <c r="AC511" s="61">
        <v>44649</v>
      </c>
      <c r="AD511" s="60">
        <v>0</v>
      </c>
      <c r="AG511" s="60">
        <v>0</v>
      </c>
      <c r="AJ511" s="60">
        <v>0</v>
      </c>
      <c r="AN511" s="60" t="s">
        <v>309</v>
      </c>
      <c r="AQ511" s="60" t="s">
        <v>1858</v>
      </c>
      <c r="AR511" s="61">
        <v>44581</v>
      </c>
      <c r="AS511" s="60">
        <v>6001982750</v>
      </c>
      <c r="AT511" s="61">
        <v>44581</v>
      </c>
      <c r="AU511" s="60" t="s">
        <v>1867</v>
      </c>
      <c r="AV511" s="61">
        <v>44651</v>
      </c>
      <c r="AW511" s="91">
        <v>44651</v>
      </c>
      <c r="AX511" s="91">
        <v>44671</v>
      </c>
      <c r="AY511" s="107">
        <v>65000</v>
      </c>
      <c r="AZ511" s="107">
        <f>ROUNDDOWN(AY511+(AY511*MASTER!$A$2/100),0)</f>
        <v>71500</v>
      </c>
      <c r="BC511" s="64">
        <v>0</v>
      </c>
      <c r="BG511" s="64">
        <v>0</v>
      </c>
      <c r="BK511" s="64">
        <v>0</v>
      </c>
      <c r="BS511" s="64">
        <v>0</v>
      </c>
      <c r="BV511" s="65">
        <v>71500</v>
      </c>
      <c r="BW511" s="65">
        <v>0</v>
      </c>
      <c r="BX511" s="65">
        <v>44573</v>
      </c>
      <c r="BY511" s="65">
        <v>71500</v>
      </c>
      <c r="BZ511" s="81">
        <v>100</v>
      </c>
    </row>
    <row r="512" spans="1:89" x14ac:dyDescent="0.15">
      <c r="A512" s="60">
        <v>2</v>
      </c>
      <c r="B512" s="61">
        <v>44637</v>
      </c>
      <c r="C512" s="61">
        <v>44651</v>
      </c>
      <c r="D512" s="61">
        <v>44658</v>
      </c>
      <c r="F512" s="61">
        <v>44657</v>
      </c>
      <c r="H512" s="61">
        <v>44653</v>
      </c>
      <c r="J512" s="60">
        <v>2</v>
      </c>
      <c r="L512" s="60">
        <v>0</v>
      </c>
      <c r="M512" s="61">
        <v>44573</v>
      </c>
      <c r="O512" s="62" t="s">
        <v>331</v>
      </c>
      <c r="P512" s="60" t="s">
        <v>77</v>
      </c>
      <c r="Q512" s="62" t="s">
        <v>40</v>
      </c>
      <c r="R512" s="62" t="s">
        <v>2811</v>
      </c>
      <c r="S512" s="63" t="s">
        <v>2177</v>
      </c>
      <c r="T512" s="63" t="s">
        <v>1081</v>
      </c>
      <c r="U512" s="64">
        <v>65000</v>
      </c>
      <c r="V512" s="64">
        <v>71500</v>
      </c>
      <c r="W512" s="64">
        <v>65000</v>
      </c>
      <c r="X512" s="64">
        <v>71500</v>
      </c>
      <c r="Y512" s="64">
        <v>0</v>
      </c>
      <c r="Z512" s="64">
        <v>0</v>
      </c>
      <c r="AA512" s="61">
        <v>44649</v>
      </c>
      <c r="AB512" s="61">
        <v>44650</v>
      </c>
      <c r="AC512" s="61">
        <v>44650</v>
      </c>
      <c r="AD512" s="60">
        <v>0</v>
      </c>
      <c r="AG512" s="60">
        <v>0</v>
      </c>
      <c r="AJ512" s="60">
        <v>0</v>
      </c>
      <c r="AN512" s="60" t="s">
        <v>309</v>
      </c>
      <c r="AQ512" s="60" t="s">
        <v>1857</v>
      </c>
      <c r="AR512" s="61">
        <v>44581</v>
      </c>
      <c r="AS512" s="60">
        <v>6001982750</v>
      </c>
      <c r="AT512" s="61">
        <v>44581</v>
      </c>
      <c r="AU512" s="60" t="s">
        <v>1867</v>
      </c>
      <c r="AV512" s="61">
        <v>44651</v>
      </c>
      <c r="AW512" s="91">
        <v>44651</v>
      </c>
      <c r="AX512" s="91">
        <v>44671</v>
      </c>
      <c r="AY512" s="107">
        <v>65000</v>
      </c>
      <c r="AZ512" s="107">
        <f>ROUNDDOWN(AY512+(AY512*MASTER!$A$2/100),0)</f>
        <v>71500</v>
      </c>
      <c r="BC512" s="64">
        <v>0</v>
      </c>
      <c r="BG512" s="64">
        <v>0</v>
      </c>
      <c r="BK512" s="64">
        <v>0</v>
      </c>
      <c r="BS512" s="64">
        <v>0</v>
      </c>
      <c r="BV512" s="65">
        <v>71500</v>
      </c>
      <c r="BW512" s="65">
        <v>0</v>
      </c>
      <c r="BX512" s="65">
        <v>44573</v>
      </c>
      <c r="BY512" s="65">
        <v>71500</v>
      </c>
      <c r="BZ512" s="81">
        <v>100</v>
      </c>
    </row>
    <row r="513" spans="1:89" x14ac:dyDescent="0.15">
      <c r="A513" s="60">
        <v>2</v>
      </c>
      <c r="B513" s="61">
        <v>44637</v>
      </c>
      <c r="C513" s="61">
        <v>44651</v>
      </c>
      <c r="D513" s="61">
        <v>44658</v>
      </c>
      <c r="F513" s="61">
        <v>44658</v>
      </c>
      <c r="H513" s="61">
        <v>44654</v>
      </c>
      <c r="J513" s="60">
        <v>2</v>
      </c>
      <c r="L513" s="60">
        <v>0</v>
      </c>
      <c r="M513" s="61">
        <v>44573</v>
      </c>
      <c r="O513" s="62" t="s">
        <v>331</v>
      </c>
      <c r="P513" s="60" t="s">
        <v>77</v>
      </c>
      <c r="Q513" s="62" t="s">
        <v>40</v>
      </c>
      <c r="R513" s="62" t="s">
        <v>1689</v>
      </c>
      <c r="S513" s="63" t="s">
        <v>830</v>
      </c>
      <c r="T513" s="63" t="s">
        <v>1081</v>
      </c>
      <c r="U513" s="64">
        <v>65000</v>
      </c>
      <c r="V513" s="64">
        <v>71500</v>
      </c>
      <c r="W513" s="64">
        <v>65000</v>
      </c>
      <c r="X513" s="64">
        <v>71500</v>
      </c>
      <c r="Y513" s="64">
        <v>0</v>
      </c>
      <c r="Z513" s="64">
        <v>0</v>
      </c>
      <c r="AA513" s="61">
        <v>44650</v>
      </c>
      <c r="AB513" s="61">
        <v>44651</v>
      </c>
      <c r="AC513" s="61">
        <v>44651</v>
      </c>
      <c r="AD513" s="60">
        <v>0</v>
      </c>
      <c r="AG513" s="60">
        <v>0</v>
      </c>
      <c r="AJ513" s="60">
        <v>0</v>
      </c>
      <c r="AQ513" s="60" t="s">
        <v>1840</v>
      </c>
      <c r="AR513" s="61">
        <v>44581</v>
      </c>
      <c r="AS513" s="60">
        <v>6001982750</v>
      </c>
      <c r="AT513" s="61">
        <v>44581</v>
      </c>
      <c r="AU513" s="60" t="s">
        <v>1867</v>
      </c>
      <c r="AV513" s="61">
        <v>44651</v>
      </c>
      <c r="AW513" s="91">
        <v>44651</v>
      </c>
      <c r="AX513" s="91">
        <v>44671</v>
      </c>
      <c r="AY513" s="107">
        <v>65000</v>
      </c>
      <c r="AZ513" s="107">
        <f>ROUNDDOWN(AY513+(AY513*MASTER!$A$2/100),0)</f>
        <v>71500</v>
      </c>
      <c r="BC513" s="64">
        <v>0</v>
      </c>
      <c r="BG513" s="64">
        <v>0</v>
      </c>
      <c r="BK513" s="64">
        <v>0</v>
      </c>
      <c r="BS513" s="64">
        <v>0</v>
      </c>
      <c r="BV513" s="65">
        <v>71500</v>
      </c>
      <c r="BW513" s="65">
        <v>0</v>
      </c>
      <c r="BX513" s="65">
        <v>44573</v>
      </c>
      <c r="BY513" s="65">
        <v>71500</v>
      </c>
      <c r="BZ513" s="81">
        <v>100</v>
      </c>
    </row>
    <row r="514" spans="1:89" x14ac:dyDescent="0.15">
      <c r="A514" s="60">
        <v>2</v>
      </c>
      <c r="B514" s="61">
        <v>44637</v>
      </c>
      <c r="C514" s="61">
        <v>44651</v>
      </c>
      <c r="D514" s="61">
        <v>44658</v>
      </c>
      <c r="F514" s="61">
        <v>44659</v>
      </c>
      <c r="H514" s="61">
        <v>44655</v>
      </c>
      <c r="J514" s="60">
        <v>2</v>
      </c>
      <c r="L514" s="60">
        <v>0</v>
      </c>
      <c r="M514" s="61">
        <v>44573</v>
      </c>
      <c r="O514" s="62" t="s">
        <v>331</v>
      </c>
      <c r="P514" s="60" t="s">
        <v>77</v>
      </c>
      <c r="Q514" s="62" t="s">
        <v>40</v>
      </c>
      <c r="R514" s="62" t="s">
        <v>1690</v>
      </c>
      <c r="S514" s="63" t="s">
        <v>1691</v>
      </c>
      <c r="T514" s="63" t="s">
        <v>1081</v>
      </c>
      <c r="U514" s="64">
        <v>65000</v>
      </c>
      <c r="V514" s="64">
        <v>71500</v>
      </c>
      <c r="W514" s="64">
        <v>65000</v>
      </c>
      <c r="X514" s="64">
        <v>71500</v>
      </c>
      <c r="Y514" s="64">
        <v>0</v>
      </c>
      <c r="Z514" s="64">
        <v>0</v>
      </c>
      <c r="AA514" s="61">
        <v>44651</v>
      </c>
      <c r="AB514" s="61">
        <v>44652</v>
      </c>
      <c r="AC514" s="61">
        <v>44652</v>
      </c>
      <c r="AD514" s="60">
        <v>0</v>
      </c>
      <c r="AG514" s="60">
        <v>0</v>
      </c>
      <c r="AJ514" s="60">
        <v>0</v>
      </c>
      <c r="AQ514" s="60" t="s">
        <v>1841</v>
      </c>
      <c r="AR514" s="61">
        <v>44581</v>
      </c>
      <c r="AS514" s="60">
        <v>6001982750</v>
      </c>
      <c r="AT514" s="61">
        <v>44581</v>
      </c>
      <c r="AU514" s="60" t="s">
        <v>1867</v>
      </c>
      <c r="AV514" s="61">
        <v>44651</v>
      </c>
      <c r="AW514" s="91">
        <v>44651</v>
      </c>
      <c r="AX514" s="91">
        <v>44671</v>
      </c>
      <c r="AY514" s="107">
        <v>65000</v>
      </c>
      <c r="AZ514" s="107">
        <f>ROUNDDOWN(AY514+(AY514*MASTER!$A$2/100),0)</f>
        <v>71500</v>
      </c>
      <c r="BC514" s="64">
        <v>0</v>
      </c>
      <c r="BG514" s="64">
        <v>0</v>
      </c>
      <c r="BK514" s="64">
        <v>0</v>
      </c>
      <c r="BS514" s="64">
        <v>0</v>
      </c>
      <c r="BV514" s="65">
        <v>71500</v>
      </c>
      <c r="BW514" s="65">
        <v>0</v>
      </c>
      <c r="BX514" s="65">
        <v>44573</v>
      </c>
      <c r="BY514" s="65">
        <v>71500</v>
      </c>
      <c r="BZ514" s="81">
        <v>100</v>
      </c>
    </row>
    <row r="515" spans="1:89" x14ac:dyDescent="0.15">
      <c r="A515" s="60">
        <v>2</v>
      </c>
      <c r="B515" s="61">
        <v>44629</v>
      </c>
      <c r="C515" s="61">
        <v>44651</v>
      </c>
      <c r="D515" s="61">
        <v>44658</v>
      </c>
      <c r="F515" s="61">
        <v>44646</v>
      </c>
      <c r="H515" s="61">
        <v>44642</v>
      </c>
      <c r="J515" s="60">
        <v>2</v>
      </c>
      <c r="L515" s="60">
        <v>0</v>
      </c>
      <c r="M515" s="61">
        <v>44573</v>
      </c>
      <c r="O515" s="62" t="s">
        <v>331</v>
      </c>
      <c r="P515" s="60" t="s">
        <v>77</v>
      </c>
      <c r="Q515" s="62" t="s">
        <v>40</v>
      </c>
      <c r="R515" s="62" t="s">
        <v>1692</v>
      </c>
      <c r="S515" s="63" t="s">
        <v>1071</v>
      </c>
      <c r="T515" s="63" t="s">
        <v>1081</v>
      </c>
      <c r="U515" s="64">
        <v>65000</v>
      </c>
      <c r="V515" s="64">
        <v>71500</v>
      </c>
      <c r="W515" s="64">
        <v>65000</v>
      </c>
      <c r="X515" s="64">
        <v>71500</v>
      </c>
      <c r="Y515" s="64">
        <v>0</v>
      </c>
      <c r="Z515" s="64">
        <v>0</v>
      </c>
      <c r="AA515" s="61">
        <v>44638</v>
      </c>
      <c r="AB515" s="61">
        <v>44639</v>
      </c>
      <c r="AC515" s="61">
        <v>44639</v>
      </c>
      <c r="AD515" s="60">
        <v>0</v>
      </c>
      <c r="AG515" s="60">
        <v>0</v>
      </c>
      <c r="AJ515" s="60">
        <v>0</v>
      </c>
      <c r="AQ515" s="60" t="s">
        <v>1842</v>
      </c>
      <c r="AR515" s="61">
        <v>44581</v>
      </c>
      <c r="AS515" s="60">
        <v>6001982750</v>
      </c>
      <c r="AT515" s="61">
        <v>44581</v>
      </c>
      <c r="AU515" s="60" t="s">
        <v>1867</v>
      </c>
      <c r="AV515" s="61">
        <v>44651</v>
      </c>
      <c r="AW515" s="91">
        <v>44651</v>
      </c>
      <c r="AX515" s="91">
        <v>44671</v>
      </c>
      <c r="AY515" s="107">
        <v>65000</v>
      </c>
      <c r="AZ515" s="107">
        <f>ROUNDDOWN(AY515+(AY515*MASTER!$A$2/100),0)</f>
        <v>71500</v>
      </c>
      <c r="BC515" s="64">
        <v>0</v>
      </c>
      <c r="BG515" s="64">
        <v>0</v>
      </c>
      <c r="BK515" s="64">
        <v>0</v>
      </c>
      <c r="BS515" s="64">
        <v>0</v>
      </c>
      <c r="BV515" s="65">
        <v>71500</v>
      </c>
      <c r="BW515" s="65">
        <v>0</v>
      </c>
      <c r="BX515" s="65">
        <v>44573</v>
      </c>
      <c r="BY515" s="65">
        <v>71500</v>
      </c>
      <c r="BZ515" s="81">
        <v>100</v>
      </c>
    </row>
    <row r="516" spans="1:89" x14ac:dyDescent="0.15">
      <c r="A516" s="60">
        <v>2</v>
      </c>
      <c r="B516" s="61">
        <v>44629</v>
      </c>
      <c r="C516" s="61">
        <v>44651</v>
      </c>
      <c r="D516" s="61">
        <v>44658</v>
      </c>
      <c r="F516" s="61">
        <v>44643</v>
      </c>
      <c r="H516" s="61">
        <v>44639</v>
      </c>
      <c r="J516" s="60">
        <v>2</v>
      </c>
      <c r="L516" s="60">
        <v>0</v>
      </c>
      <c r="M516" s="61">
        <v>44573</v>
      </c>
      <c r="O516" s="62" t="s">
        <v>331</v>
      </c>
      <c r="P516" s="60" t="s">
        <v>77</v>
      </c>
      <c r="Q516" s="62" t="s">
        <v>40</v>
      </c>
      <c r="R516" s="62" t="s">
        <v>1693</v>
      </c>
      <c r="S516" s="63" t="s">
        <v>1066</v>
      </c>
      <c r="T516" s="63" t="s">
        <v>1081</v>
      </c>
      <c r="U516" s="64">
        <v>65000</v>
      </c>
      <c r="V516" s="64">
        <v>71500</v>
      </c>
      <c r="W516" s="64">
        <v>65000</v>
      </c>
      <c r="X516" s="64">
        <v>71500</v>
      </c>
      <c r="Y516" s="64">
        <v>0</v>
      </c>
      <c r="Z516" s="64">
        <v>0</v>
      </c>
      <c r="AA516" s="61">
        <v>44635</v>
      </c>
      <c r="AB516" s="61">
        <v>44636</v>
      </c>
      <c r="AC516" s="61">
        <v>44636</v>
      </c>
      <c r="AD516" s="60">
        <v>0</v>
      </c>
      <c r="AG516" s="60">
        <v>0</v>
      </c>
      <c r="AJ516" s="60">
        <v>0</v>
      </c>
      <c r="AQ516" s="60" t="s">
        <v>1843</v>
      </c>
      <c r="AR516" s="61">
        <v>44581</v>
      </c>
      <c r="AS516" s="60">
        <v>6001982750</v>
      </c>
      <c r="AT516" s="61">
        <v>44581</v>
      </c>
      <c r="AU516" s="60" t="s">
        <v>1867</v>
      </c>
      <c r="AV516" s="61">
        <v>44651</v>
      </c>
      <c r="AW516" s="91">
        <v>44651</v>
      </c>
      <c r="AX516" s="91">
        <v>44671</v>
      </c>
      <c r="AY516" s="107">
        <v>65000</v>
      </c>
      <c r="AZ516" s="107">
        <f>ROUNDDOWN(AY516+(AY516*MASTER!$A$2/100),0)</f>
        <v>71500</v>
      </c>
      <c r="BC516" s="64">
        <v>0</v>
      </c>
      <c r="BG516" s="64">
        <v>0</v>
      </c>
      <c r="BK516" s="64">
        <v>0</v>
      </c>
      <c r="BS516" s="64">
        <v>0</v>
      </c>
      <c r="BV516" s="65">
        <v>71500</v>
      </c>
      <c r="BW516" s="65">
        <v>0</v>
      </c>
      <c r="BX516" s="65">
        <v>44573</v>
      </c>
      <c r="BY516" s="65">
        <v>71500</v>
      </c>
      <c r="BZ516" s="81">
        <v>100</v>
      </c>
    </row>
    <row r="517" spans="1:89" x14ac:dyDescent="0.15">
      <c r="A517" s="60">
        <v>2</v>
      </c>
      <c r="B517" s="61">
        <v>44629</v>
      </c>
      <c r="C517" s="61">
        <v>44651</v>
      </c>
      <c r="D517" s="61">
        <v>44658</v>
      </c>
      <c r="F517" s="61">
        <v>44645</v>
      </c>
      <c r="H517" s="61">
        <v>44641</v>
      </c>
      <c r="J517" s="60">
        <v>2</v>
      </c>
      <c r="L517" s="60">
        <v>0</v>
      </c>
      <c r="M517" s="61">
        <v>44573</v>
      </c>
      <c r="O517" s="62" t="s">
        <v>331</v>
      </c>
      <c r="P517" s="60" t="s">
        <v>77</v>
      </c>
      <c r="Q517" s="62" t="s">
        <v>40</v>
      </c>
      <c r="R517" s="62" t="s">
        <v>1694</v>
      </c>
      <c r="S517" s="63" t="s">
        <v>782</v>
      </c>
      <c r="T517" s="63" t="s">
        <v>1081</v>
      </c>
      <c r="U517" s="64">
        <v>65000</v>
      </c>
      <c r="V517" s="64">
        <v>71500</v>
      </c>
      <c r="W517" s="64">
        <v>65000</v>
      </c>
      <c r="X517" s="64">
        <v>71500</v>
      </c>
      <c r="Y517" s="64">
        <v>0</v>
      </c>
      <c r="Z517" s="64">
        <v>0</v>
      </c>
      <c r="AA517" s="61">
        <v>44636</v>
      </c>
      <c r="AB517" s="61">
        <v>44638</v>
      </c>
      <c r="AC517" s="61">
        <v>44638</v>
      </c>
      <c r="AD517" s="60">
        <v>0</v>
      </c>
      <c r="AG517" s="60">
        <v>0</v>
      </c>
      <c r="AJ517" s="60">
        <v>0</v>
      </c>
      <c r="AQ517" s="60" t="s">
        <v>1844</v>
      </c>
      <c r="AR517" s="61">
        <v>44581</v>
      </c>
      <c r="AS517" s="60">
        <v>6001982750</v>
      </c>
      <c r="AT517" s="61">
        <v>44581</v>
      </c>
      <c r="AU517" s="60" t="s">
        <v>1867</v>
      </c>
      <c r="AV517" s="61">
        <v>44651</v>
      </c>
      <c r="AW517" s="91">
        <v>44651</v>
      </c>
      <c r="AX517" s="91">
        <v>44671</v>
      </c>
      <c r="AY517" s="107">
        <v>65000</v>
      </c>
      <c r="AZ517" s="107">
        <f>ROUNDDOWN(AY517+(AY517*MASTER!$A$2/100),0)</f>
        <v>71500</v>
      </c>
      <c r="BC517" s="64">
        <v>0</v>
      </c>
      <c r="BG517" s="64">
        <v>0</v>
      </c>
      <c r="BK517" s="64">
        <v>0</v>
      </c>
      <c r="BS517" s="64">
        <v>0</v>
      </c>
      <c r="BV517" s="65">
        <v>71500</v>
      </c>
      <c r="BW517" s="65">
        <v>0</v>
      </c>
      <c r="BX517" s="65">
        <v>44573</v>
      </c>
      <c r="BY517" s="65">
        <v>71500</v>
      </c>
      <c r="BZ517" s="81">
        <v>100</v>
      </c>
    </row>
    <row r="518" spans="1:89" x14ac:dyDescent="0.15">
      <c r="A518" s="60">
        <v>2</v>
      </c>
      <c r="B518" s="61">
        <v>44629</v>
      </c>
      <c r="C518" s="61">
        <v>44651</v>
      </c>
      <c r="D518" s="61">
        <v>44658</v>
      </c>
      <c r="F518" s="61">
        <v>44645</v>
      </c>
      <c r="H518" s="61">
        <v>44641</v>
      </c>
      <c r="J518" s="60">
        <v>2</v>
      </c>
      <c r="L518" s="60">
        <v>0</v>
      </c>
      <c r="M518" s="61">
        <v>44573</v>
      </c>
      <c r="O518" s="62" t="s">
        <v>331</v>
      </c>
      <c r="P518" s="60" t="s">
        <v>77</v>
      </c>
      <c r="Q518" s="62" t="s">
        <v>40</v>
      </c>
      <c r="R518" s="62" t="s">
        <v>1695</v>
      </c>
      <c r="S518" s="63" t="s">
        <v>515</v>
      </c>
      <c r="T518" s="63" t="s">
        <v>1081</v>
      </c>
      <c r="U518" s="64">
        <v>65000</v>
      </c>
      <c r="V518" s="64">
        <v>71500</v>
      </c>
      <c r="W518" s="64">
        <v>65000</v>
      </c>
      <c r="X518" s="64">
        <v>71500</v>
      </c>
      <c r="Y518" s="64">
        <v>0</v>
      </c>
      <c r="Z518" s="64">
        <v>0</v>
      </c>
      <c r="AA518" s="61">
        <v>44637</v>
      </c>
      <c r="AB518" s="61">
        <v>44638</v>
      </c>
      <c r="AC518" s="61">
        <v>44638</v>
      </c>
      <c r="AD518" s="60">
        <v>0</v>
      </c>
      <c r="AG518" s="60">
        <v>0</v>
      </c>
      <c r="AJ518" s="60">
        <v>0</v>
      </c>
      <c r="AQ518" s="60" t="s">
        <v>1847</v>
      </c>
      <c r="AR518" s="61">
        <v>44581</v>
      </c>
      <c r="AS518" s="60">
        <v>6001982750</v>
      </c>
      <c r="AT518" s="61">
        <v>44581</v>
      </c>
      <c r="AU518" s="60" t="s">
        <v>1867</v>
      </c>
      <c r="AV518" s="61">
        <v>44651</v>
      </c>
      <c r="AW518" s="91">
        <v>44651</v>
      </c>
      <c r="AX518" s="91">
        <v>44671</v>
      </c>
      <c r="AY518" s="107">
        <v>65000</v>
      </c>
      <c r="AZ518" s="107">
        <f>ROUNDDOWN(AY518+(AY518*MASTER!$A$2/100),0)</f>
        <v>71500</v>
      </c>
      <c r="BC518" s="64">
        <v>0</v>
      </c>
      <c r="BG518" s="64">
        <v>0</v>
      </c>
      <c r="BK518" s="64">
        <v>0</v>
      </c>
      <c r="BS518" s="64">
        <v>0</v>
      </c>
      <c r="BV518" s="65">
        <v>71500</v>
      </c>
      <c r="BW518" s="65">
        <v>0</v>
      </c>
      <c r="BX518" s="65">
        <v>44573</v>
      </c>
      <c r="BY518" s="65">
        <v>71500</v>
      </c>
      <c r="BZ518" s="81">
        <v>100</v>
      </c>
    </row>
    <row r="519" spans="1:89" x14ac:dyDescent="0.15">
      <c r="A519" s="60">
        <v>2</v>
      </c>
      <c r="B519" s="61">
        <v>44629</v>
      </c>
      <c r="C519" s="61">
        <v>44651</v>
      </c>
      <c r="D519" s="61">
        <v>44658</v>
      </c>
      <c r="F519" s="61">
        <v>44642</v>
      </c>
      <c r="H519" s="61">
        <v>44638</v>
      </c>
      <c r="J519" s="60">
        <v>2</v>
      </c>
      <c r="L519" s="60">
        <v>0</v>
      </c>
      <c r="M519" s="61">
        <v>44573</v>
      </c>
      <c r="O519" s="62" t="s">
        <v>331</v>
      </c>
      <c r="P519" s="60" t="s">
        <v>77</v>
      </c>
      <c r="Q519" s="62" t="s">
        <v>40</v>
      </c>
      <c r="R519" s="62" t="s">
        <v>1696</v>
      </c>
      <c r="S519" s="63" t="s">
        <v>1697</v>
      </c>
      <c r="T519" s="63" t="s">
        <v>1081</v>
      </c>
      <c r="U519" s="64">
        <v>65000</v>
      </c>
      <c r="V519" s="64">
        <v>71500</v>
      </c>
      <c r="W519" s="64">
        <v>65000</v>
      </c>
      <c r="X519" s="64">
        <v>71500</v>
      </c>
      <c r="Y519" s="64">
        <v>0</v>
      </c>
      <c r="Z519" s="64">
        <v>0</v>
      </c>
      <c r="AA519" s="61">
        <v>44634</v>
      </c>
      <c r="AB519" s="61">
        <v>44635</v>
      </c>
      <c r="AC519" s="61">
        <v>44635</v>
      </c>
      <c r="AD519" s="60">
        <v>0</v>
      </c>
      <c r="AG519" s="60">
        <v>0</v>
      </c>
      <c r="AJ519" s="60">
        <v>0</v>
      </c>
      <c r="AQ519" s="60" t="s">
        <v>1849</v>
      </c>
      <c r="AR519" s="61">
        <v>44581</v>
      </c>
      <c r="AS519" s="60">
        <v>6001982750</v>
      </c>
      <c r="AT519" s="61">
        <v>44581</v>
      </c>
      <c r="AU519" s="60" t="s">
        <v>1867</v>
      </c>
      <c r="AV519" s="61">
        <v>44651</v>
      </c>
      <c r="AW519" s="91">
        <v>44651</v>
      </c>
      <c r="AX519" s="91">
        <v>44671</v>
      </c>
      <c r="AY519" s="107">
        <v>65000</v>
      </c>
      <c r="AZ519" s="107">
        <f>ROUNDDOWN(AY519+(AY519*MASTER!$A$2/100),0)</f>
        <v>71500</v>
      </c>
      <c r="BC519" s="64">
        <v>0</v>
      </c>
      <c r="BG519" s="64">
        <v>0</v>
      </c>
      <c r="BK519" s="64">
        <v>0</v>
      </c>
      <c r="BS519" s="64">
        <v>0</v>
      </c>
      <c r="BV519" s="65">
        <v>71500</v>
      </c>
      <c r="BW519" s="65">
        <v>0</v>
      </c>
      <c r="BX519" s="65">
        <v>44573</v>
      </c>
      <c r="BY519" s="65">
        <v>71500</v>
      </c>
      <c r="BZ519" s="81">
        <v>100</v>
      </c>
    </row>
    <row r="520" spans="1:89" x14ac:dyDescent="0.15">
      <c r="A520" s="60">
        <v>2</v>
      </c>
      <c r="B520" s="61">
        <v>44596</v>
      </c>
      <c r="C520" s="61">
        <v>44651</v>
      </c>
      <c r="D520" s="61">
        <v>44637</v>
      </c>
      <c r="F520" s="61">
        <v>44614</v>
      </c>
      <c r="H520" s="61">
        <v>44610</v>
      </c>
      <c r="I520" s="60" t="s">
        <v>774</v>
      </c>
      <c r="J520" s="60">
        <v>2</v>
      </c>
      <c r="L520" s="60">
        <v>0</v>
      </c>
      <c r="M520" s="61">
        <v>44573</v>
      </c>
      <c r="O520" s="62" t="s">
        <v>331</v>
      </c>
      <c r="P520" s="60" t="s">
        <v>77</v>
      </c>
      <c r="Q520" s="62" t="s">
        <v>40</v>
      </c>
      <c r="R520" s="62" t="s">
        <v>1698</v>
      </c>
      <c r="S520" s="63" t="s">
        <v>627</v>
      </c>
      <c r="T520" s="63" t="s">
        <v>1081</v>
      </c>
      <c r="U520" s="64">
        <v>65000</v>
      </c>
      <c r="V520" s="64">
        <v>71500</v>
      </c>
      <c r="W520" s="64">
        <v>65000</v>
      </c>
      <c r="X520" s="64">
        <v>71500</v>
      </c>
      <c r="Y520" s="64">
        <v>0</v>
      </c>
      <c r="Z520" s="64">
        <v>0</v>
      </c>
      <c r="AA520" s="61">
        <v>44606</v>
      </c>
      <c r="AB520" s="61">
        <v>44607</v>
      </c>
      <c r="AC520" s="61">
        <v>44607</v>
      </c>
      <c r="AD520" s="60">
        <v>0</v>
      </c>
      <c r="AG520" s="60">
        <v>0</v>
      </c>
      <c r="AJ520" s="60">
        <v>0</v>
      </c>
      <c r="AQ520" s="60" t="s">
        <v>1845</v>
      </c>
      <c r="AR520" s="61">
        <v>44581</v>
      </c>
      <c r="AS520" s="60">
        <v>6001982750</v>
      </c>
      <c r="AT520" s="61">
        <v>44581</v>
      </c>
      <c r="AU520" s="60" t="s">
        <v>1867</v>
      </c>
      <c r="AV520" s="61">
        <v>44651</v>
      </c>
      <c r="AW520" s="91">
        <v>44620</v>
      </c>
      <c r="AX520" s="91">
        <v>44640</v>
      </c>
      <c r="AY520" s="107">
        <v>65000</v>
      </c>
      <c r="AZ520" s="107">
        <f>ROUNDDOWN(AY520+(AY520*MASTER!$A$2/100),0)</f>
        <v>71500</v>
      </c>
      <c r="BC520" s="64">
        <v>0</v>
      </c>
      <c r="BG520" s="64">
        <v>0</v>
      </c>
      <c r="BK520" s="64">
        <v>0</v>
      </c>
      <c r="BS520" s="64">
        <v>0</v>
      </c>
      <c r="BV520" s="65">
        <v>71500</v>
      </c>
      <c r="BW520" s="65">
        <v>0</v>
      </c>
      <c r="BX520" s="65">
        <v>44573</v>
      </c>
      <c r="BY520" s="65">
        <v>71500</v>
      </c>
      <c r="BZ520" s="81">
        <v>100</v>
      </c>
    </row>
    <row r="521" spans="1:89" s="152" customFormat="1" x14ac:dyDescent="0.15">
      <c r="A521" s="142">
        <v>3</v>
      </c>
      <c r="B521" s="143"/>
      <c r="C521" s="143">
        <v>44651</v>
      </c>
      <c r="D521" s="143"/>
      <c r="E521" s="143"/>
      <c r="F521" s="143" t="s">
        <v>309</v>
      </c>
      <c r="G521" s="143"/>
      <c r="H521" s="143" t="s">
        <v>309</v>
      </c>
      <c r="I521" s="142"/>
      <c r="J521" s="142">
        <v>2</v>
      </c>
      <c r="K521" s="143"/>
      <c r="L521" s="142">
        <v>0</v>
      </c>
      <c r="M521" s="143">
        <v>44573</v>
      </c>
      <c r="N521" s="143"/>
      <c r="O521" s="144" t="s">
        <v>331</v>
      </c>
      <c r="P521" s="142" t="s">
        <v>77</v>
      </c>
      <c r="Q521" s="144" t="s">
        <v>40</v>
      </c>
      <c r="R521" s="144" t="s">
        <v>1699</v>
      </c>
      <c r="S521" s="145" t="s">
        <v>557</v>
      </c>
      <c r="T521" s="145" t="s">
        <v>1081</v>
      </c>
      <c r="U521" s="146">
        <v>65000</v>
      </c>
      <c r="V521" s="146">
        <v>71500</v>
      </c>
      <c r="W521" s="146">
        <v>65000</v>
      </c>
      <c r="X521" s="146">
        <v>71500</v>
      </c>
      <c r="Y521" s="146">
        <v>0</v>
      </c>
      <c r="Z521" s="146">
        <v>0</v>
      </c>
      <c r="AA521" s="143"/>
      <c r="AB521" s="143"/>
      <c r="AC521" s="143"/>
      <c r="AD521" s="142">
        <v>0</v>
      </c>
      <c r="AE521" s="142"/>
      <c r="AF521" s="142"/>
      <c r="AG521" s="142">
        <v>0</v>
      </c>
      <c r="AH521" s="142"/>
      <c r="AI521" s="142"/>
      <c r="AJ521" s="142">
        <v>0</v>
      </c>
      <c r="AK521" s="142"/>
      <c r="AL521" s="142"/>
      <c r="AM521" s="142"/>
      <c r="AN521" s="142"/>
      <c r="AO521" s="143"/>
      <c r="AP521" s="142"/>
      <c r="AQ521" s="142" t="s">
        <v>1846</v>
      </c>
      <c r="AR521" s="143">
        <v>44581</v>
      </c>
      <c r="AS521" s="142">
        <v>6001982750</v>
      </c>
      <c r="AT521" s="143">
        <v>44581</v>
      </c>
      <c r="AU521" s="142" t="s">
        <v>1867</v>
      </c>
      <c r="AV521" s="143"/>
      <c r="AW521" s="147"/>
      <c r="AX521" s="147"/>
      <c r="AY521" s="173"/>
      <c r="AZ521" s="173"/>
      <c r="BA521" s="142"/>
      <c r="BB521" s="146"/>
      <c r="BC521" s="146">
        <v>0</v>
      </c>
      <c r="BD521" s="142"/>
      <c r="BE521" s="142"/>
      <c r="BF521" s="146"/>
      <c r="BG521" s="146">
        <v>0</v>
      </c>
      <c r="BH521" s="142"/>
      <c r="BI521" s="142"/>
      <c r="BJ521" s="146"/>
      <c r="BK521" s="146">
        <v>0</v>
      </c>
      <c r="BL521" s="142"/>
      <c r="BM521" s="146"/>
      <c r="BN521" s="146"/>
      <c r="BO521" s="146"/>
      <c r="BP521" s="146"/>
      <c r="BQ521" s="146"/>
      <c r="BR521" s="146"/>
      <c r="BS521" s="146">
        <v>0</v>
      </c>
      <c r="BT521" s="149"/>
      <c r="BU521" s="149"/>
      <c r="BV521" s="150">
        <v>71500</v>
      </c>
      <c r="BW521" s="150">
        <v>0</v>
      </c>
      <c r="BX521" s="150">
        <v>44573</v>
      </c>
      <c r="BY521" s="150">
        <v>71500</v>
      </c>
      <c r="BZ521" s="151">
        <v>100</v>
      </c>
      <c r="CA521" s="142"/>
      <c r="CB521" s="142"/>
      <c r="CC521" s="142"/>
      <c r="CD521" s="145" t="s">
        <v>2243</v>
      </c>
      <c r="CE521" s="143"/>
      <c r="CF521" s="143"/>
      <c r="CG521" s="143"/>
      <c r="CH521" s="143"/>
      <c r="CI521" s="143"/>
      <c r="CJ521" s="143"/>
      <c r="CK521" s="146"/>
    </row>
    <row r="522" spans="1:89" s="152" customFormat="1" x14ac:dyDescent="0.15">
      <c r="A522" s="142">
        <v>3</v>
      </c>
      <c r="B522" s="143"/>
      <c r="C522" s="143" t="s">
        <v>309</v>
      </c>
      <c r="D522" s="143"/>
      <c r="E522" s="143"/>
      <c r="F522" s="143" t="s">
        <v>309</v>
      </c>
      <c r="G522" s="143"/>
      <c r="H522" s="143" t="s">
        <v>309</v>
      </c>
      <c r="I522" s="142"/>
      <c r="J522" s="142">
        <v>2</v>
      </c>
      <c r="K522" s="143"/>
      <c r="L522" s="142">
        <v>0</v>
      </c>
      <c r="M522" s="143">
        <v>44573</v>
      </c>
      <c r="N522" s="143"/>
      <c r="O522" s="144" t="s">
        <v>331</v>
      </c>
      <c r="P522" s="142" t="s">
        <v>77</v>
      </c>
      <c r="Q522" s="144" t="s">
        <v>40</v>
      </c>
      <c r="R522" s="144" t="s">
        <v>1700</v>
      </c>
      <c r="S522" s="145" t="s">
        <v>1099</v>
      </c>
      <c r="T522" s="145" t="s">
        <v>1081</v>
      </c>
      <c r="U522" s="146">
        <v>65000</v>
      </c>
      <c r="V522" s="146">
        <v>71500</v>
      </c>
      <c r="W522" s="146">
        <v>65000</v>
      </c>
      <c r="X522" s="146">
        <v>71500</v>
      </c>
      <c r="Y522" s="146">
        <v>0</v>
      </c>
      <c r="Z522" s="146">
        <v>0</v>
      </c>
      <c r="AA522" s="143"/>
      <c r="AB522" s="143"/>
      <c r="AC522" s="143"/>
      <c r="AD522" s="142">
        <v>0</v>
      </c>
      <c r="AE522" s="142"/>
      <c r="AF522" s="142"/>
      <c r="AG522" s="142">
        <v>0</v>
      </c>
      <c r="AH522" s="142"/>
      <c r="AI522" s="142"/>
      <c r="AJ522" s="142">
        <v>0</v>
      </c>
      <c r="AK522" s="142"/>
      <c r="AL522" s="142"/>
      <c r="AM522" s="142"/>
      <c r="AN522" s="142"/>
      <c r="AO522" s="143"/>
      <c r="AP522" s="142"/>
      <c r="AQ522" s="142" t="s">
        <v>1848</v>
      </c>
      <c r="AR522" s="143">
        <v>44581</v>
      </c>
      <c r="AS522" s="142">
        <v>6001982750</v>
      </c>
      <c r="AT522" s="143">
        <v>44581</v>
      </c>
      <c r="AU522" s="142" t="s">
        <v>1867</v>
      </c>
      <c r="AV522" s="143"/>
      <c r="AW522" s="147"/>
      <c r="AX522" s="147"/>
      <c r="AY522" s="173"/>
      <c r="AZ522" s="173"/>
      <c r="BA522" s="142"/>
      <c r="BB522" s="146"/>
      <c r="BC522" s="146">
        <v>0</v>
      </c>
      <c r="BD522" s="142"/>
      <c r="BE522" s="142"/>
      <c r="BF522" s="146"/>
      <c r="BG522" s="146">
        <v>0</v>
      </c>
      <c r="BH522" s="142"/>
      <c r="BI522" s="142"/>
      <c r="BJ522" s="146"/>
      <c r="BK522" s="146">
        <v>0</v>
      </c>
      <c r="BL522" s="142"/>
      <c r="BM522" s="146"/>
      <c r="BN522" s="146"/>
      <c r="BO522" s="146"/>
      <c r="BP522" s="146"/>
      <c r="BQ522" s="146"/>
      <c r="BR522" s="146"/>
      <c r="BS522" s="146">
        <v>0</v>
      </c>
      <c r="BT522" s="149"/>
      <c r="BU522" s="149"/>
      <c r="BV522" s="150">
        <v>71500</v>
      </c>
      <c r="BW522" s="150">
        <v>0</v>
      </c>
      <c r="BX522" s="150">
        <v>44573</v>
      </c>
      <c r="BY522" s="150">
        <v>71500</v>
      </c>
      <c r="BZ522" s="151">
        <v>100</v>
      </c>
      <c r="CA522" s="142"/>
      <c r="CB522" s="142"/>
      <c r="CC522" s="142"/>
      <c r="CD522" s="145" t="s">
        <v>2243</v>
      </c>
      <c r="CE522" s="143"/>
      <c r="CF522" s="143"/>
      <c r="CG522" s="143"/>
      <c r="CH522" s="143"/>
      <c r="CI522" s="143"/>
      <c r="CJ522" s="143"/>
      <c r="CK522" s="146"/>
    </row>
    <row r="523" spans="1:89" s="152" customFormat="1" x14ac:dyDescent="0.15">
      <c r="A523" s="142">
        <v>3</v>
      </c>
      <c r="B523" s="143"/>
      <c r="C523" s="143" t="s">
        <v>309</v>
      </c>
      <c r="D523" s="143"/>
      <c r="E523" s="143"/>
      <c r="F523" s="143" t="s">
        <v>309</v>
      </c>
      <c r="G523" s="143"/>
      <c r="H523" s="143" t="s">
        <v>309</v>
      </c>
      <c r="I523" s="142"/>
      <c r="J523" s="142">
        <v>2</v>
      </c>
      <c r="K523" s="143"/>
      <c r="L523" s="142">
        <v>0</v>
      </c>
      <c r="M523" s="143">
        <v>44573</v>
      </c>
      <c r="N523" s="143"/>
      <c r="O523" s="144" t="s">
        <v>331</v>
      </c>
      <c r="P523" s="142" t="s">
        <v>77</v>
      </c>
      <c r="Q523" s="144" t="s">
        <v>40</v>
      </c>
      <c r="R523" s="144" t="s">
        <v>1701</v>
      </c>
      <c r="S523" s="145" t="s">
        <v>1166</v>
      </c>
      <c r="T523" s="145" t="s">
        <v>1081</v>
      </c>
      <c r="U523" s="146">
        <v>65000</v>
      </c>
      <c r="V523" s="146">
        <v>71500</v>
      </c>
      <c r="W523" s="146">
        <v>65000</v>
      </c>
      <c r="X523" s="146">
        <v>71500</v>
      </c>
      <c r="Y523" s="146">
        <v>0</v>
      </c>
      <c r="Z523" s="146">
        <v>0</v>
      </c>
      <c r="AA523" s="143"/>
      <c r="AB523" s="143"/>
      <c r="AC523" s="143"/>
      <c r="AD523" s="142">
        <v>0</v>
      </c>
      <c r="AE523" s="142"/>
      <c r="AF523" s="142"/>
      <c r="AG523" s="142">
        <v>0</v>
      </c>
      <c r="AH523" s="142"/>
      <c r="AI523" s="142"/>
      <c r="AJ523" s="142">
        <v>0</v>
      </c>
      <c r="AK523" s="142"/>
      <c r="AL523" s="142"/>
      <c r="AM523" s="142"/>
      <c r="AN523" s="142"/>
      <c r="AO523" s="143"/>
      <c r="AP523" s="142"/>
      <c r="AQ523" s="142" t="s">
        <v>1850</v>
      </c>
      <c r="AR523" s="143">
        <v>44581</v>
      </c>
      <c r="AS523" s="142">
        <v>6001982750</v>
      </c>
      <c r="AT523" s="143">
        <v>44581</v>
      </c>
      <c r="AU523" s="142" t="s">
        <v>1867</v>
      </c>
      <c r="AV523" s="143"/>
      <c r="AW523" s="147"/>
      <c r="AX523" s="147"/>
      <c r="AY523" s="173"/>
      <c r="AZ523" s="173"/>
      <c r="BA523" s="142"/>
      <c r="BB523" s="146"/>
      <c r="BC523" s="146">
        <v>0</v>
      </c>
      <c r="BD523" s="142"/>
      <c r="BE523" s="142"/>
      <c r="BF523" s="146"/>
      <c r="BG523" s="146">
        <v>0</v>
      </c>
      <c r="BH523" s="142"/>
      <c r="BI523" s="142"/>
      <c r="BJ523" s="146"/>
      <c r="BK523" s="146">
        <v>0</v>
      </c>
      <c r="BL523" s="142"/>
      <c r="BM523" s="146"/>
      <c r="BN523" s="146"/>
      <c r="BO523" s="146"/>
      <c r="BP523" s="146"/>
      <c r="BQ523" s="146"/>
      <c r="BR523" s="146"/>
      <c r="BS523" s="146">
        <v>0</v>
      </c>
      <c r="BT523" s="149"/>
      <c r="BU523" s="149"/>
      <c r="BV523" s="150">
        <v>71500</v>
      </c>
      <c r="BW523" s="150">
        <v>0</v>
      </c>
      <c r="BX523" s="150">
        <v>44573</v>
      </c>
      <c r="BY523" s="150">
        <v>71500</v>
      </c>
      <c r="BZ523" s="151">
        <v>100</v>
      </c>
      <c r="CA523" s="142"/>
      <c r="CB523" s="142"/>
      <c r="CC523" s="142"/>
      <c r="CD523" s="145" t="s">
        <v>2243</v>
      </c>
      <c r="CE523" s="143"/>
      <c r="CF523" s="143"/>
      <c r="CG523" s="143"/>
      <c r="CH523" s="143"/>
      <c r="CI523" s="143"/>
      <c r="CJ523" s="143"/>
      <c r="CK523" s="146"/>
    </row>
    <row r="524" spans="1:89" s="152" customFormat="1" x14ac:dyDescent="0.15">
      <c r="A524" s="142">
        <v>3</v>
      </c>
      <c r="B524" s="143"/>
      <c r="C524" s="143" t="s">
        <v>309</v>
      </c>
      <c r="D524" s="143"/>
      <c r="E524" s="143"/>
      <c r="F524" s="143" t="s">
        <v>309</v>
      </c>
      <c r="G524" s="143"/>
      <c r="H524" s="143" t="s">
        <v>309</v>
      </c>
      <c r="I524" s="142"/>
      <c r="J524" s="142">
        <v>2</v>
      </c>
      <c r="K524" s="143"/>
      <c r="L524" s="142">
        <v>0</v>
      </c>
      <c r="M524" s="143">
        <v>44573</v>
      </c>
      <c r="N524" s="143"/>
      <c r="O524" s="144" t="s">
        <v>331</v>
      </c>
      <c r="P524" s="142" t="s">
        <v>77</v>
      </c>
      <c r="Q524" s="144" t="s">
        <v>40</v>
      </c>
      <c r="R524" s="144" t="s">
        <v>1702</v>
      </c>
      <c r="S524" s="145" t="s">
        <v>1016</v>
      </c>
      <c r="T524" s="145" t="s">
        <v>1081</v>
      </c>
      <c r="U524" s="146">
        <v>65000</v>
      </c>
      <c r="V524" s="146">
        <v>71500</v>
      </c>
      <c r="W524" s="146">
        <v>65000</v>
      </c>
      <c r="X524" s="146">
        <v>71500</v>
      </c>
      <c r="Y524" s="146">
        <v>0</v>
      </c>
      <c r="Z524" s="146">
        <v>0</v>
      </c>
      <c r="AA524" s="143"/>
      <c r="AB524" s="143"/>
      <c r="AC524" s="143"/>
      <c r="AD524" s="142">
        <v>0</v>
      </c>
      <c r="AE524" s="142"/>
      <c r="AF524" s="142"/>
      <c r="AG524" s="142">
        <v>0</v>
      </c>
      <c r="AH524" s="142"/>
      <c r="AI524" s="142"/>
      <c r="AJ524" s="142">
        <v>0</v>
      </c>
      <c r="AK524" s="142"/>
      <c r="AL524" s="142"/>
      <c r="AM524" s="142"/>
      <c r="AN524" s="142"/>
      <c r="AO524" s="143"/>
      <c r="AP524" s="142"/>
      <c r="AQ524" s="142" t="s">
        <v>1851</v>
      </c>
      <c r="AR524" s="143">
        <v>44581</v>
      </c>
      <c r="AS524" s="142">
        <v>6001982750</v>
      </c>
      <c r="AT524" s="143">
        <v>44581</v>
      </c>
      <c r="AU524" s="142" t="s">
        <v>1867</v>
      </c>
      <c r="AV524" s="143"/>
      <c r="AW524" s="147"/>
      <c r="AX524" s="147"/>
      <c r="AY524" s="173"/>
      <c r="AZ524" s="173"/>
      <c r="BA524" s="142"/>
      <c r="BB524" s="146"/>
      <c r="BC524" s="146">
        <v>0</v>
      </c>
      <c r="BD524" s="142"/>
      <c r="BE524" s="142"/>
      <c r="BF524" s="146"/>
      <c r="BG524" s="146">
        <v>0</v>
      </c>
      <c r="BH524" s="142"/>
      <c r="BI524" s="142"/>
      <c r="BJ524" s="146"/>
      <c r="BK524" s="146">
        <v>0</v>
      </c>
      <c r="BL524" s="142"/>
      <c r="BM524" s="146"/>
      <c r="BN524" s="146"/>
      <c r="BO524" s="146"/>
      <c r="BP524" s="146"/>
      <c r="BQ524" s="146"/>
      <c r="BR524" s="146"/>
      <c r="BS524" s="146">
        <v>0</v>
      </c>
      <c r="BT524" s="149"/>
      <c r="BU524" s="149"/>
      <c r="BV524" s="150">
        <v>71500</v>
      </c>
      <c r="BW524" s="150">
        <v>0</v>
      </c>
      <c r="BX524" s="150">
        <v>44573</v>
      </c>
      <c r="BY524" s="150">
        <v>71500</v>
      </c>
      <c r="BZ524" s="151">
        <v>100</v>
      </c>
      <c r="CA524" s="142"/>
      <c r="CB524" s="142"/>
      <c r="CC524" s="142"/>
      <c r="CD524" s="145" t="s">
        <v>2615</v>
      </c>
      <c r="CE524" s="143"/>
      <c r="CF524" s="143"/>
      <c r="CG524" s="143"/>
      <c r="CH524" s="143"/>
      <c r="CI524" s="143"/>
      <c r="CJ524" s="143"/>
      <c r="CK524" s="146"/>
    </row>
    <row r="525" spans="1:89" s="152" customFormat="1" x14ac:dyDescent="0.15">
      <c r="A525" s="142">
        <v>3</v>
      </c>
      <c r="B525" s="143"/>
      <c r="C525" s="143" t="s">
        <v>309</v>
      </c>
      <c r="D525" s="143"/>
      <c r="E525" s="143"/>
      <c r="F525" s="143" t="s">
        <v>309</v>
      </c>
      <c r="G525" s="143"/>
      <c r="H525" s="143" t="s">
        <v>309</v>
      </c>
      <c r="I525" s="142"/>
      <c r="J525" s="142">
        <v>2</v>
      </c>
      <c r="K525" s="143"/>
      <c r="L525" s="142">
        <v>0</v>
      </c>
      <c r="M525" s="143">
        <v>44573</v>
      </c>
      <c r="N525" s="143"/>
      <c r="O525" s="144" t="s">
        <v>331</v>
      </c>
      <c r="P525" s="142" t="s">
        <v>77</v>
      </c>
      <c r="Q525" s="144" t="s">
        <v>40</v>
      </c>
      <c r="R525" s="144" t="s">
        <v>1703</v>
      </c>
      <c r="S525" s="145" t="s">
        <v>1023</v>
      </c>
      <c r="T525" s="145" t="s">
        <v>1081</v>
      </c>
      <c r="U525" s="146">
        <v>65000</v>
      </c>
      <c r="V525" s="146">
        <v>71500</v>
      </c>
      <c r="W525" s="146">
        <v>65000</v>
      </c>
      <c r="X525" s="146">
        <v>71500</v>
      </c>
      <c r="Y525" s="146">
        <v>0</v>
      </c>
      <c r="Z525" s="146">
        <v>0</v>
      </c>
      <c r="AA525" s="143"/>
      <c r="AB525" s="143"/>
      <c r="AC525" s="143"/>
      <c r="AD525" s="142">
        <v>0</v>
      </c>
      <c r="AE525" s="142"/>
      <c r="AF525" s="142"/>
      <c r="AG525" s="142">
        <v>0</v>
      </c>
      <c r="AH525" s="142"/>
      <c r="AI525" s="142"/>
      <c r="AJ525" s="142">
        <v>0</v>
      </c>
      <c r="AK525" s="142"/>
      <c r="AL525" s="142"/>
      <c r="AM525" s="142"/>
      <c r="AN525" s="142"/>
      <c r="AO525" s="143"/>
      <c r="AP525" s="142"/>
      <c r="AQ525" s="142" t="s">
        <v>1852</v>
      </c>
      <c r="AR525" s="143">
        <v>44581</v>
      </c>
      <c r="AS525" s="142">
        <v>6001982750</v>
      </c>
      <c r="AT525" s="143">
        <v>44581</v>
      </c>
      <c r="AU525" s="142" t="s">
        <v>1867</v>
      </c>
      <c r="AV525" s="143"/>
      <c r="AW525" s="147"/>
      <c r="AX525" s="147"/>
      <c r="AY525" s="173"/>
      <c r="AZ525" s="173"/>
      <c r="BA525" s="142"/>
      <c r="BB525" s="146"/>
      <c r="BC525" s="146">
        <v>0</v>
      </c>
      <c r="BD525" s="142"/>
      <c r="BE525" s="142"/>
      <c r="BF525" s="146"/>
      <c r="BG525" s="146">
        <v>0</v>
      </c>
      <c r="BH525" s="142"/>
      <c r="BI525" s="142"/>
      <c r="BJ525" s="146"/>
      <c r="BK525" s="146">
        <v>0</v>
      </c>
      <c r="BL525" s="142"/>
      <c r="BM525" s="146"/>
      <c r="BN525" s="146"/>
      <c r="BO525" s="146"/>
      <c r="BP525" s="146"/>
      <c r="BQ525" s="146"/>
      <c r="BR525" s="146"/>
      <c r="BS525" s="146">
        <v>0</v>
      </c>
      <c r="BT525" s="149"/>
      <c r="BU525" s="149"/>
      <c r="BV525" s="150">
        <v>71500</v>
      </c>
      <c r="BW525" s="150">
        <v>0</v>
      </c>
      <c r="BX525" s="150">
        <v>44573</v>
      </c>
      <c r="BY525" s="150">
        <v>71500</v>
      </c>
      <c r="BZ525" s="151">
        <v>100</v>
      </c>
      <c r="CA525" s="142"/>
      <c r="CB525" s="142"/>
      <c r="CC525" s="142"/>
      <c r="CD525" s="145" t="s">
        <v>2615</v>
      </c>
      <c r="CE525" s="143"/>
      <c r="CF525" s="143"/>
      <c r="CG525" s="143"/>
      <c r="CH525" s="143"/>
      <c r="CI525" s="143"/>
      <c r="CJ525" s="143"/>
      <c r="CK525" s="146"/>
    </row>
    <row r="526" spans="1:89" s="152" customFormat="1" x14ac:dyDescent="0.15">
      <c r="A526" s="142">
        <v>3</v>
      </c>
      <c r="B526" s="143"/>
      <c r="C526" s="143" t="s">
        <v>309</v>
      </c>
      <c r="D526" s="143"/>
      <c r="E526" s="143"/>
      <c r="F526" s="143" t="s">
        <v>309</v>
      </c>
      <c r="G526" s="143"/>
      <c r="H526" s="143" t="s">
        <v>309</v>
      </c>
      <c r="I526" s="142"/>
      <c r="J526" s="142">
        <v>2</v>
      </c>
      <c r="K526" s="143"/>
      <c r="L526" s="142">
        <v>0</v>
      </c>
      <c r="M526" s="143">
        <v>44573</v>
      </c>
      <c r="N526" s="143"/>
      <c r="O526" s="144" t="s">
        <v>331</v>
      </c>
      <c r="P526" s="142" t="s">
        <v>77</v>
      </c>
      <c r="Q526" s="144" t="s">
        <v>40</v>
      </c>
      <c r="R526" s="144" t="s">
        <v>1704</v>
      </c>
      <c r="S526" s="145" t="s">
        <v>689</v>
      </c>
      <c r="T526" s="145" t="s">
        <v>1081</v>
      </c>
      <c r="U526" s="146">
        <v>65000</v>
      </c>
      <c r="V526" s="146">
        <v>71500</v>
      </c>
      <c r="W526" s="146">
        <v>65000</v>
      </c>
      <c r="X526" s="146">
        <v>71500</v>
      </c>
      <c r="Y526" s="146">
        <v>0</v>
      </c>
      <c r="Z526" s="146">
        <v>0</v>
      </c>
      <c r="AA526" s="143"/>
      <c r="AB526" s="143"/>
      <c r="AC526" s="143"/>
      <c r="AD526" s="142">
        <v>0</v>
      </c>
      <c r="AE526" s="142"/>
      <c r="AF526" s="142"/>
      <c r="AG526" s="142">
        <v>0</v>
      </c>
      <c r="AH526" s="142"/>
      <c r="AI526" s="142"/>
      <c r="AJ526" s="142">
        <v>0</v>
      </c>
      <c r="AK526" s="142"/>
      <c r="AL526" s="142"/>
      <c r="AM526" s="142"/>
      <c r="AN526" s="142"/>
      <c r="AO526" s="143"/>
      <c r="AP526" s="142"/>
      <c r="AQ526" s="142" t="s">
        <v>1853</v>
      </c>
      <c r="AR526" s="143">
        <v>44581</v>
      </c>
      <c r="AS526" s="142">
        <v>6001982750</v>
      </c>
      <c r="AT526" s="143">
        <v>44581</v>
      </c>
      <c r="AU526" s="142" t="s">
        <v>1867</v>
      </c>
      <c r="AV526" s="143"/>
      <c r="AW526" s="147"/>
      <c r="AX526" s="147"/>
      <c r="AY526" s="173"/>
      <c r="AZ526" s="173"/>
      <c r="BA526" s="142"/>
      <c r="BB526" s="146"/>
      <c r="BC526" s="146">
        <v>0</v>
      </c>
      <c r="BD526" s="142"/>
      <c r="BE526" s="142"/>
      <c r="BF526" s="146"/>
      <c r="BG526" s="146">
        <v>0</v>
      </c>
      <c r="BH526" s="142"/>
      <c r="BI526" s="142"/>
      <c r="BJ526" s="146"/>
      <c r="BK526" s="146">
        <v>0</v>
      </c>
      <c r="BL526" s="142"/>
      <c r="BM526" s="146"/>
      <c r="BN526" s="146"/>
      <c r="BO526" s="146"/>
      <c r="BP526" s="146"/>
      <c r="BQ526" s="146"/>
      <c r="BR526" s="146"/>
      <c r="BS526" s="146">
        <v>0</v>
      </c>
      <c r="BT526" s="149"/>
      <c r="BU526" s="149"/>
      <c r="BV526" s="150">
        <v>71500</v>
      </c>
      <c r="BW526" s="150">
        <v>0</v>
      </c>
      <c r="BX526" s="150">
        <v>44573</v>
      </c>
      <c r="BY526" s="150">
        <v>71500</v>
      </c>
      <c r="BZ526" s="151">
        <v>100</v>
      </c>
      <c r="CA526" s="142"/>
      <c r="CB526" s="142"/>
      <c r="CC526" s="142"/>
      <c r="CD526" s="145" t="s">
        <v>2615</v>
      </c>
      <c r="CE526" s="143"/>
      <c r="CF526" s="143"/>
      <c r="CG526" s="143"/>
      <c r="CH526" s="143"/>
      <c r="CI526" s="143"/>
      <c r="CJ526" s="143"/>
      <c r="CK526" s="146"/>
    </row>
    <row r="527" spans="1:89" s="152" customFormat="1" x14ac:dyDescent="0.15">
      <c r="A527" s="142">
        <v>3</v>
      </c>
      <c r="B527" s="143"/>
      <c r="C527" s="143" t="s">
        <v>309</v>
      </c>
      <c r="D527" s="143"/>
      <c r="E527" s="143"/>
      <c r="F527" s="143" t="s">
        <v>309</v>
      </c>
      <c r="G527" s="143"/>
      <c r="H527" s="143" t="s">
        <v>309</v>
      </c>
      <c r="I527" s="142"/>
      <c r="J527" s="142">
        <v>2</v>
      </c>
      <c r="K527" s="143"/>
      <c r="L527" s="142">
        <v>0</v>
      </c>
      <c r="M527" s="143">
        <v>44573</v>
      </c>
      <c r="N527" s="143"/>
      <c r="O527" s="144" t="s">
        <v>331</v>
      </c>
      <c r="P527" s="142" t="s">
        <v>77</v>
      </c>
      <c r="Q527" s="144" t="s">
        <v>40</v>
      </c>
      <c r="R527" s="144" t="s">
        <v>1705</v>
      </c>
      <c r="S527" s="145" t="s">
        <v>1026</v>
      </c>
      <c r="T527" s="145" t="s">
        <v>1081</v>
      </c>
      <c r="U527" s="146">
        <v>65000</v>
      </c>
      <c r="V527" s="146">
        <v>71500</v>
      </c>
      <c r="W527" s="146">
        <v>65000</v>
      </c>
      <c r="X527" s="146">
        <v>71500</v>
      </c>
      <c r="Y527" s="146">
        <v>0</v>
      </c>
      <c r="Z527" s="146">
        <v>0</v>
      </c>
      <c r="AA527" s="143"/>
      <c r="AB527" s="143"/>
      <c r="AC527" s="143"/>
      <c r="AD527" s="142">
        <v>0</v>
      </c>
      <c r="AE527" s="142"/>
      <c r="AF527" s="142"/>
      <c r="AG527" s="142">
        <v>0</v>
      </c>
      <c r="AH527" s="142"/>
      <c r="AI527" s="142"/>
      <c r="AJ527" s="142">
        <v>0</v>
      </c>
      <c r="AK527" s="142"/>
      <c r="AL527" s="142"/>
      <c r="AM527" s="142"/>
      <c r="AN527" s="142"/>
      <c r="AO527" s="143"/>
      <c r="AP527" s="142"/>
      <c r="AQ527" s="142" t="s">
        <v>1854</v>
      </c>
      <c r="AR527" s="143">
        <v>44581</v>
      </c>
      <c r="AS527" s="142">
        <v>6001982750</v>
      </c>
      <c r="AT527" s="143">
        <v>44581</v>
      </c>
      <c r="AU527" s="142" t="s">
        <v>1867</v>
      </c>
      <c r="AV527" s="143"/>
      <c r="AW527" s="147"/>
      <c r="AX527" s="147"/>
      <c r="AY527" s="173"/>
      <c r="AZ527" s="173"/>
      <c r="BA527" s="142"/>
      <c r="BB527" s="146"/>
      <c r="BC527" s="146">
        <v>0</v>
      </c>
      <c r="BD527" s="142"/>
      <c r="BE527" s="142"/>
      <c r="BF527" s="146"/>
      <c r="BG527" s="146">
        <v>0</v>
      </c>
      <c r="BH527" s="142"/>
      <c r="BI527" s="142"/>
      <c r="BJ527" s="146"/>
      <c r="BK527" s="146">
        <v>0</v>
      </c>
      <c r="BL527" s="142"/>
      <c r="BM527" s="146"/>
      <c r="BN527" s="146"/>
      <c r="BO527" s="146"/>
      <c r="BP527" s="146"/>
      <c r="BQ527" s="146"/>
      <c r="BR527" s="146"/>
      <c r="BS527" s="146">
        <v>0</v>
      </c>
      <c r="BT527" s="149"/>
      <c r="BU527" s="149"/>
      <c r="BV527" s="150">
        <v>71500</v>
      </c>
      <c r="BW527" s="150">
        <v>0</v>
      </c>
      <c r="BX527" s="150">
        <v>44573</v>
      </c>
      <c r="BY527" s="150">
        <v>71500</v>
      </c>
      <c r="BZ527" s="151">
        <v>100</v>
      </c>
      <c r="CA527" s="142"/>
      <c r="CB527" s="142"/>
      <c r="CC527" s="142"/>
      <c r="CD527" s="145" t="s">
        <v>2615</v>
      </c>
      <c r="CE527" s="143"/>
      <c r="CF527" s="143"/>
      <c r="CG527" s="143"/>
      <c r="CH527" s="143"/>
      <c r="CI527" s="143"/>
      <c r="CJ527" s="143"/>
      <c r="CK527" s="146"/>
    </row>
    <row r="528" spans="1:89" x14ac:dyDescent="0.15">
      <c r="A528" s="60">
        <v>2</v>
      </c>
      <c r="B528" s="61">
        <v>44629</v>
      </c>
      <c r="C528" s="61">
        <v>44651</v>
      </c>
      <c r="D528" s="61">
        <v>44658</v>
      </c>
      <c r="F528" s="61">
        <v>44639</v>
      </c>
      <c r="H528" s="61">
        <v>44635</v>
      </c>
      <c r="J528" s="60">
        <v>2</v>
      </c>
      <c r="L528" s="60">
        <v>0</v>
      </c>
      <c r="M528" s="61">
        <v>44573</v>
      </c>
      <c r="O528" s="62" t="s">
        <v>331</v>
      </c>
      <c r="P528" s="60" t="s">
        <v>77</v>
      </c>
      <c r="Q528" s="62" t="s">
        <v>40</v>
      </c>
      <c r="R528" s="62" t="s">
        <v>1706</v>
      </c>
      <c r="S528" s="63" t="s">
        <v>658</v>
      </c>
      <c r="T528" s="63" t="s">
        <v>1081</v>
      </c>
      <c r="U528" s="64">
        <v>65000</v>
      </c>
      <c r="V528" s="64">
        <v>71500</v>
      </c>
      <c r="W528" s="64">
        <v>65000</v>
      </c>
      <c r="X528" s="64">
        <v>71500</v>
      </c>
      <c r="Y528" s="64">
        <v>0</v>
      </c>
      <c r="Z528" s="64">
        <v>0</v>
      </c>
      <c r="AA528" s="61">
        <v>44631</v>
      </c>
      <c r="AB528" s="61">
        <v>44632</v>
      </c>
      <c r="AC528" s="61">
        <v>44632</v>
      </c>
      <c r="AD528" s="60">
        <v>0</v>
      </c>
      <c r="AG528" s="60">
        <v>0</v>
      </c>
      <c r="AJ528" s="60">
        <v>0</v>
      </c>
      <c r="AQ528" s="60" t="s">
        <v>1855</v>
      </c>
      <c r="AR528" s="61">
        <v>44581</v>
      </c>
      <c r="AS528" s="60">
        <v>6001982750</v>
      </c>
      <c r="AT528" s="61">
        <v>44581</v>
      </c>
      <c r="AU528" s="60" t="s">
        <v>1867</v>
      </c>
      <c r="AV528" s="61">
        <v>44651</v>
      </c>
      <c r="AW528" s="91">
        <v>44651</v>
      </c>
      <c r="AX528" s="91">
        <v>44671</v>
      </c>
      <c r="AY528" s="107">
        <v>65000</v>
      </c>
      <c r="AZ528" s="107">
        <f>ROUNDDOWN(AY528+(AY528*MASTER!$A$2/100),0)</f>
        <v>71500</v>
      </c>
      <c r="BC528" s="64">
        <v>0</v>
      </c>
      <c r="BG528" s="64">
        <v>0</v>
      </c>
      <c r="BK528" s="64">
        <v>0</v>
      </c>
      <c r="BS528" s="64">
        <v>0</v>
      </c>
      <c r="BV528" s="65">
        <v>71500</v>
      </c>
      <c r="BW528" s="65">
        <v>0</v>
      </c>
      <c r="BX528" s="65">
        <v>44573</v>
      </c>
      <c r="BY528" s="65">
        <v>71500</v>
      </c>
      <c r="BZ528" s="81">
        <v>100</v>
      </c>
    </row>
    <row r="529" spans="1:89" x14ac:dyDescent="0.15">
      <c r="A529" s="60">
        <v>2</v>
      </c>
      <c r="B529" s="61">
        <v>44629</v>
      </c>
      <c r="C529" s="61">
        <v>44651</v>
      </c>
      <c r="D529" s="61">
        <v>44658</v>
      </c>
      <c r="F529" s="61">
        <v>44640</v>
      </c>
      <c r="H529" s="61">
        <v>44636</v>
      </c>
      <c r="J529" s="60">
        <v>2</v>
      </c>
      <c r="L529" s="60">
        <v>0</v>
      </c>
      <c r="M529" s="61">
        <v>44573</v>
      </c>
      <c r="O529" s="62" t="s">
        <v>331</v>
      </c>
      <c r="P529" s="60" t="s">
        <v>77</v>
      </c>
      <c r="Q529" s="62" t="s">
        <v>40</v>
      </c>
      <c r="R529" s="62" t="s">
        <v>1707</v>
      </c>
      <c r="S529" s="63" t="s">
        <v>1339</v>
      </c>
      <c r="T529" s="63" t="s">
        <v>1081</v>
      </c>
      <c r="U529" s="64">
        <v>65000</v>
      </c>
      <c r="V529" s="64">
        <v>71500</v>
      </c>
      <c r="W529" s="64">
        <v>65000</v>
      </c>
      <c r="X529" s="64">
        <v>71500</v>
      </c>
      <c r="Y529" s="64">
        <v>0</v>
      </c>
      <c r="Z529" s="64">
        <v>0</v>
      </c>
      <c r="AA529" s="61">
        <v>44632</v>
      </c>
      <c r="AB529" s="61">
        <v>44633</v>
      </c>
      <c r="AC529" s="61">
        <v>44633</v>
      </c>
      <c r="AD529" s="60">
        <v>0</v>
      </c>
      <c r="AG529" s="60">
        <v>0</v>
      </c>
      <c r="AJ529" s="60">
        <v>0</v>
      </c>
      <c r="AQ529" s="60" t="s">
        <v>1856</v>
      </c>
      <c r="AR529" s="61">
        <v>44581</v>
      </c>
      <c r="AS529" s="60">
        <v>6001982750</v>
      </c>
      <c r="AT529" s="61">
        <v>44581</v>
      </c>
      <c r="AU529" s="60" t="s">
        <v>1867</v>
      </c>
      <c r="AV529" s="61">
        <v>44651</v>
      </c>
      <c r="AW529" s="91">
        <v>44651</v>
      </c>
      <c r="AX529" s="91">
        <v>44671</v>
      </c>
      <c r="AY529" s="107">
        <v>65000</v>
      </c>
      <c r="AZ529" s="107">
        <f>ROUNDDOWN(AY529+(AY529*MASTER!$A$2/100),0)</f>
        <v>71500</v>
      </c>
      <c r="BC529" s="64">
        <v>0</v>
      </c>
      <c r="BG529" s="64">
        <v>0</v>
      </c>
      <c r="BK529" s="64">
        <v>0</v>
      </c>
      <c r="BS529" s="64">
        <v>0</v>
      </c>
      <c r="BV529" s="65">
        <v>71500</v>
      </c>
      <c r="BW529" s="65">
        <v>0</v>
      </c>
      <c r="BX529" s="65">
        <v>44573</v>
      </c>
      <c r="BY529" s="65">
        <v>71500</v>
      </c>
      <c r="BZ529" s="81">
        <v>100</v>
      </c>
    </row>
    <row r="530" spans="1:89" x14ac:dyDescent="0.15">
      <c r="A530" s="60">
        <v>1</v>
      </c>
      <c r="B530" s="61">
        <v>44585</v>
      </c>
      <c r="C530" s="61">
        <v>44586</v>
      </c>
      <c r="F530" s="61" t="s">
        <v>309</v>
      </c>
      <c r="G530" s="61">
        <v>44586</v>
      </c>
      <c r="H530" s="61" t="s">
        <v>309</v>
      </c>
      <c r="J530" s="60">
        <v>2</v>
      </c>
      <c r="L530" s="60">
        <v>0</v>
      </c>
      <c r="M530" s="61">
        <v>44573</v>
      </c>
      <c r="O530" s="62" t="s">
        <v>331</v>
      </c>
      <c r="P530" s="60" t="s">
        <v>6</v>
      </c>
      <c r="Q530" s="62" t="s">
        <v>40</v>
      </c>
      <c r="R530" s="62" t="s">
        <v>1828</v>
      </c>
      <c r="S530" s="63" t="s">
        <v>1829</v>
      </c>
      <c r="T530" s="63" t="s">
        <v>364</v>
      </c>
      <c r="U530" s="64">
        <v>35000</v>
      </c>
      <c r="V530" s="64">
        <v>38500</v>
      </c>
      <c r="W530" s="64">
        <v>35000</v>
      </c>
      <c r="X530" s="64">
        <v>38500</v>
      </c>
      <c r="Z530" s="64">
        <v>0</v>
      </c>
      <c r="AA530" s="61">
        <v>44585</v>
      </c>
      <c r="AB530" s="61">
        <v>44585</v>
      </c>
      <c r="AD530" s="60">
        <v>0</v>
      </c>
      <c r="AG530" s="60">
        <v>0</v>
      </c>
      <c r="AJ530" s="60">
        <v>0</v>
      </c>
      <c r="AN530" s="60" t="s">
        <v>309</v>
      </c>
      <c r="AQ530" s="60" t="s">
        <v>1956</v>
      </c>
      <c r="AR530" s="61">
        <v>44581</v>
      </c>
      <c r="AS530" s="60">
        <v>6001982753</v>
      </c>
      <c r="AT530" s="61">
        <v>44581</v>
      </c>
      <c r="AU530" s="60" t="s">
        <v>1861</v>
      </c>
      <c r="AV530" s="61">
        <v>44586</v>
      </c>
      <c r="AW530" s="91">
        <v>44592</v>
      </c>
      <c r="AX530" s="91">
        <v>44612</v>
      </c>
      <c r="AY530" s="99">
        <v>33600</v>
      </c>
      <c r="AZ530" s="141">
        <f>ROUNDDOWN(AY530+(AY530*MASTER!$A$2/100),0)</f>
        <v>36960</v>
      </c>
      <c r="BA530" s="60" t="s">
        <v>318</v>
      </c>
      <c r="BB530" s="64">
        <v>24000</v>
      </c>
      <c r="BC530" s="64">
        <v>26400</v>
      </c>
      <c r="BD530" s="60" t="s">
        <v>1614</v>
      </c>
      <c r="BG530" s="64">
        <v>0</v>
      </c>
      <c r="BK530" s="64">
        <v>0</v>
      </c>
      <c r="BS530" s="64">
        <v>0</v>
      </c>
      <c r="BV530" s="65">
        <v>38500</v>
      </c>
      <c r="BW530" s="65">
        <v>26400</v>
      </c>
      <c r="BX530" s="65">
        <v>44573</v>
      </c>
      <c r="BY530" s="65">
        <v>12100</v>
      </c>
      <c r="BZ530" s="81">
        <v>31.428571428571427</v>
      </c>
    </row>
    <row r="531" spans="1:89" x14ac:dyDescent="0.15">
      <c r="A531" s="60">
        <v>2</v>
      </c>
      <c r="B531" s="61">
        <v>44635</v>
      </c>
      <c r="C531" s="61">
        <v>44651</v>
      </c>
      <c r="D531" s="61">
        <v>44658</v>
      </c>
      <c r="E531" s="61">
        <v>44651</v>
      </c>
      <c r="F531" s="61">
        <v>44646</v>
      </c>
      <c r="G531" s="61">
        <v>44642</v>
      </c>
      <c r="H531" s="61">
        <v>44642</v>
      </c>
      <c r="I531" s="60" t="s">
        <v>511</v>
      </c>
      <c r="J531" s="60">
        <v>1</v>
      </c>
      <c r="L531" s="60">
        <v>0</v>
      </c>
      <c r="M531" s="61">
        <v>44573</v>
      </c>
      <c r="O531" s="62" t="s">
        <v>331</v>
      </c>
      <c r="P531" s="60" t="s">
        <v>26</v>
      </c>
      <c r="Q531" s="62" t="s">
        <v>40</v>
      </c>
      <c r="R531" s="62" t="s">
        <v>1731</v>
      </c>
      <c r="S531" s="63" t="s">
        <v>1732</v>
      </c>
      <c r="T531" s="63" t="s">
        <v>485</v>
      </c>
      <c r="U531" s="64">
        <v>95000</v>
      </c>
      <c r="V531" s="64">
        <v>104500</v>
      </c>
      <c r="W531" s="64">
        <v>80000</v>
      </c>
      <c r="X531" s="64">
        <v>88000</v>
      </c>
      <c r="Y531" s="64">
        <v>15000</v>
      </c>
      <c r="Z531" s="64">
        <v>16500</v>
      </c>
      <c r="AA531" s="61">
        <v>44638</v>
      </c>
      <c r="AB531" s="61">
        <v>44639</v>
      </c>
      <c r="AC531" s="61">
        <v>44639</v>
      </c>
      <c r="AD531" s="60">
        <v>0</v>
      </c>
      <c r="AG531" s="60">
        <v>0</v>
      </c>
      <c r="AJ531" s="60">
        <v>0</v>
      </c>
      <c r="AQ531" s="60" t="s">
        <v>1806</v>
      </c>
      <c r="AR531" s="61">
        <v>44579</v>
      </c>
      <c r="AS531" s="60">
        <v>6001981791</v>
      </c>
      <c r="AT531" s="61">
        <v>44579</v>
      </c>
      <c r="AU531" s="60" t="s">
        <v>1812</v>
      </c>
      <c r="AV531" s="61">
        <v>44651</v>
      </c>
      <c r="AW531" s="91">
        <v>44651</v>
      </c>
      <c r="AX531" s="91">
        <v>44671</v>
      </c>
      <c r="AY531" s="99">
        <v>91200</v>
      </c>
      <c r="AZ531" s="141">
        <f>ROUNDDOWN(AY531+(AY531*MASTER!$A$2/100),0)</f>
        <v>100320</v>
      </c>
      <c r="BA531" s="60" t="s">
        <v>314</v>
      </c>
      <c r="BB531" s="64">
        <v>31000</v>
      </c>
      <c r="BC531" s="64">
        <v>34100</v>
      </c>
      <c r="BD531" s="60" t="s">
        <v>2107</v>
      </c>
      <c r="BG531" s="64">
        <v>0</v>
      </c>
      <c r="BI531" s="60" t="s">
        <v>748</v>
      </c>
      <c r="BJ531" s="64">
        <v>9750</v>
      </c>
      <c r="BK531" s="64">
        <v>10725</v>
      </c>
      <c r="BL531" s="60" t="s">
        <v>2107</v>
      </c>
      <c r="BS531" s="64">
        <v>0</v>
      </c>
      <c r="BV531" s="65">
        <v>88000</v>
      </c>
      <c r="BW531" s="65">
        <v>44825</v>
      </c>
      <c r="BX531" s="65">
        <v>44573</v>
      </c>
      <c r="BY531" s="65">
        <v>43175</v>
      </c>
      <c r="BZ531" s="81">
        <v>49.0625</v>
      </c>
    </row>
    <row r="532" spans="1:89" x14ac:dyDescent="0.15">
      <c r="A532" s="60">
        <v>2</v>
      </c>
      <c r="B532" s="61">
        <v>44635</v>
      </c>
      <c r="C532" s="61">
        <v>44651</v>
      </c>
      <c r="D532" s="61">
        <v>44659</v>
      </c>
      <c r="E532" s="61">
        <v>44651</v>
      </c>
      <c r="F532" s="61">
        <v>44648</v>
      </c>
      <c r="G532" s="61">
        <v>44642</v>
      </c>
      <c r="H532" s="61">
        <v>44644</v>
      </c>
      <c r="I532" s="60" t="s">
        <v>511</v>
      </c>
      <c r="J532" s="60">
        <v>1</v>
      </c>
      <c r="L532" s="60">
        <v>0</v>
      </c>
      <c r="M532" s="61">
        <v>44573</v>
      </c>
      <c r="O532" s="62" t="s">
        <v>331</v>
      </c>
      <c r="P532" s="60" t="s">
        <v>26</v>
      </c>
      <c r="Q532" s="62" t="s">
        <v>40</v>
      </c>
      <c r="R532" s="62" t="s">
        <v>1733</v>
      </c>
      <c r="S532" s="63" t="s">
        <v>1259</v>
      </c>
      <c r="T532" s="63" t="s">
        <v>1685</v>
      </c>
      <c r="U532" s="64">
        <v>95000</v>
      </c>
      <c r="V532" s="64">
        <v>104500</v>
      </c>
      <c r="W532" s="64">
        <v>80000</v>
      </c>
      <c r="X532" s="64">
        <v>88000</v>
      </c>
      <c r="Y532" s="64">
        <v>15000</v>
      </c>
      <c r="Z532" s="64">
        <v>16500</v>
      </c>
      <c r="AA532" s="61">
        <v>44640</v>
      </c>
      <c r="AB532" s="61">
        <v>44641</v>
      </c>
      <c r="AC532" s="61">
        <v>44641</v>
      </c>
      <c r="AD532" s="60">
        <v>0</v>
      </c>
      <c r="AG532" s="60">
        <v>0</v>
      </c>
      <c r="AJ532" s="60">
        <v>0</v>
      </c>
      <c r="AQ532" s="60" t="s">
        <v>1805</v>
      </c>
      <c r="AR532" s="61">
        <v>44579</v>
      </c>
      <c r="AS532" s="60">
        <v>6001981791</v>
      </c>
      <c r="AT532" s="61">
        <v>44579</v>
      </c>
      <c r="AU532" s="60" t="s">
        <v>1812</v>
      </c>
      <c r="AV532" s="61">
        <v>44651</v>
      </c>
      <c r="AW532" s="91">
        <v>44651</v>
      </c>
      <c r="AX532" s="91">
        <v>44671</v>
      </c>
      <c r="AY532" s="99">
        <v>91200</v>
      </c>
      <c r="AZ532" s="141">
        <f>ROUNDDOWN(AY532+(AY532*MASTER!$A$2/100),0)</f>
        <v>100320</v>
      </c>
      <c r="BA532" s="60" t="s">
        <v>318</v>
      </c>
      <c r="BB532" s="64">
        <v>21000</v>
      </c>
      <c r="BC532" s="64">
        <v>23100</v>
      </c>
      <c r="BD532" s="60" t="s">
        <v>2107</v>
      </c>
      <c r="BG532" s="64">
        <v>0</v>
      </c>
      <c r="BI532" s="60" t="s">
        <v>748</v>
      </c>
      <c r="BJ532" s="64">
        <v>9750</v>
      </c>
      <c r="BK532" s="64">
        <v>10725</v>
      </c>
      <c r="BL532" s="60" t="s">
        <v>2107</v>
      </c>
      <c r="BS532" s="64">
        <v>0</v>
      </c>
      <c r="BV532" s="65">
        <v>88000</v>
      </c>
      <c r="BW532" s="65">
        <v>33825</v>
      </c>
      <c r="BX532" s="65">
        <v>44573</v>
      </c>
      <c r="BY532" s="65">
        <v>54175</v>
      </c>
      <c r="BZ532" s="81">
        <v>61.5625</v>
      </c>
    </row>
    <row r="533" spans="1:89" x14ac:dyDescent="0.15">
      <c r="A533" s="60">
        <v>1</v>
      </c>
      <c r="B533" s="61">
        <v>44587</v>
      </c>
      <c r="C533" s="61" t="s">
        <v>309</v>
      </c>
      <c r="F533" s="61" t="s">
        <v>309</v>
      </c>
      <c r="H533" s="61" t="s">
        <v>309</v>
      </c>
      <c r="J533" s="60">
        <v>2</v>
      </c>
      <c r="L533" s="60">
        <v>0</v>
      </c>
      <c r="M533" s="61">
        <v>44573</v>
      </c>
      <c r="O533" s="62" t="s">
        <v>335</v>
      </c>
      <c r="P533" s="60" t="s">
        <v>369</v>
      </c>
      <c r="Q533" s="62" t="s">
        <v>1521</v>
      </c>
      <c r="R533" s="62" t="s">
        <v>1734</v>
      </c>
      <c r="S533" s="63" t="s">
        <v>1735</v>
      </c>
      <c r="T533" s="63" t="s">
        <v>373</v>
      </c>
      <c r="U533" s="64">
        <v>23000</v>
      </c>
      <c r="V533" s="64">
        <v>25300</v>
      </c>
      <c r="W533" s="64">
        <v>23000</v>
      </c>
      <c r="X533" s="64">
        <v>25300</v>
      </c>
      <c r="Z533" s="64">
        <v>0</v>
      </c>
      <c r="AD533" s="60">
        <v>0</v>
      </c>
      <c r="AG533" s="60">
        <v>0</v>
      </c>
      <c r="AJ533" s="60">
        <v>0</v>
      </c>
      <c r="AN533" s="60" t="s">
        <v>309</v>
      </c>
      <c r="AQ533" s="60" t="s">
        <v>1662</v>
      </c>
      <c r="AR533" s="61">
        <v>44578</v>
      </c>
      <c r="AS533" s="60">
        <v>6001981106</v>
      </c>
      <c r="AT533" s="61">
        <v>44578</v>
      </c>
      <c r="AU533" s="60" t="s">
        <v>1785</v>
      </c>
      <c r="AV533" s="61">
        <v>44589</v>
      </c>
      <c r="AW533" s="91">
        <v>44592</v>
      </c>
      <c r="AX533" s="91">
        <v>44612</v>
      </c>
      <c r="AY533" s="99">
        <f>ROUNDDOWN((0.96*U533),0)</f>
        <v>22080</v>
      </c>
      <c r="AZ533" s="141">
        <f>ROUNDDOWN(AY533+(AY533*MASTER!$A$2/100),0)</f>
        <v>24288</v>
      </c>
      <c r="BC533" s="64">
        <v>0</v>
      </c>
      <c r="BG533" s="64">
        <v>0</v>
      </c>
      <c r="BK533" s="64">
        <v>0</v>
      </c>
      <c r="BS533" s="64">
        <v>0</v>
      </c>
      <c r="BV533" s="65">
        <v>25300</v>
      </c>
      <c r="BW533" s="65">
        <v>0</v>
      </c>
      <c r="BX533" s="65">
        <v>44573</v>
      </c>
      <c r="BY533" s="65">
        <v>25300</v>
      </c>
      <c r="BZ533" s="81">
        <v>100</v>
      </c>
    </row>
    <row r="534" spans="1:89" x14ac:dyDescent="0.15">
      <c r="A534" s="60">
        <v>1</v>
      </c>
      <c r="B534" s="61">
        <v>44579</v>
      </c>
      <c r="C534" s="61">
        <v>44589</v>
      </c>
      <c r="F534" s="61" t="s">
        <v>309</v>
      </c>
      <c r="H534" s="61" t="s">
        <v>309</v>
      </c>
      <c r="J534" s="60">
        <v>2</v>
      </c>
      <c r="L534" s="60">
        <v>0</v>
      </c>
      <c r="M534" s="61">
        <v>44574</v>
      </c>
      <c r="O534" s="62" t="s">
        <v>331</v>
      </c>
      <c r="P534" s="60" t="s">
        <v>77</v>
      </c>
      <c r="Q534" s="62" t="s">
        <v>40</v>
      </c>
      <c r="R534" s="62" t="s">
        <v>1811</v>
      </c>
      <c r="S534" s="63" t="s">
        <v>1062</v>
      </c>
      <c r="T534" s="63" t="s">
        <v>1737</v>
      </c>
      <c r="U534" s="64">
        <v>130000</v>
      </c>
      <c r="V534" s="64">
        <v>143000</v>
      </c>
      <c r="W534" s="64">
        <v>130000</v>
      </c>
      <c r="X534" s="64">
        <v>143000</v>
      </c>
      <c r="Y534" s="64">
        <v>0</v>
      </c>
      <c r="Z534" s="64">
        <v>0</v>
      </c>
      <c r="AA534" s="61">
        <v>44588</v>
      </c>
      <c r="AB534" s="61">
        <v>44589</v>
      </c>
      <c r="AD534" s="60">
        <v>0</v>
      </c>
      <c r="AG534" s="60">
        <v>0</v>
      </c>
      <c r="AJ534" s="60">
        <v>0</v>
      </c>
      <c r="AN534" s="60" t="s">
        <v>309</v>
      </c>
      <c r="AQ534" s="60" t="s">
        <v>1777</v>
      </c>
      <c r="AR534" s="61">
        <v>44578</v>
      </c>
      <c r="AS534" s="60">
        <v>6001981109</v>
      </c>
      <c r="AT534" s="61">
        <v>44578</v>
      </c>
      <c r="AU534" s="60" t="s">
        <v>1788</v>
      </c>
      <c r="AV534" s="61">
        <v>44589</v>
      </c>
      <c r="AW534" s="91">
        <v>44592</v>
      </c>
      <c r="AX534" s="91">
        <v>44612</v>
      </c>
      <c r="AY534" s="107">
        <v>130000</v>
      </c>
      <c r="AZ534" s="107">
        <f>ROUNDDOWN(AY534+(AY534*MASTER!$A$2/100),0)</f>
        <v>143000</v>
      </c>
      <c r="BC534" s="64">
        <v>0</v>
      </c>
      <c r="BG534" s="64">
        <v>0</v>
      </c>
      <c r="BK534" s="64">
        <v>0</v>
      </c>
      <c r="BS534" s="64">
        <v>0</v>
      </c>
      <c r="BV534" s="65">
        <v>143000</v>
      </c>
      <c r="BW534" s="65">
        <v>0</v>
      </c>
      <c r="BX534" s="65">
        <v>44574</v>
      </c>
      <c r="BY534" s="65">
        <v>143000</v>
      </c>
      <c r="BZ534" s="81">
        <v>100</v>
      </c>
    </row>
    <row r="535" spans="1:89" x14ac:dyDescent="0.15">
      <c r="A535" s="60">
        <v>1</v>
      </c>
      <c r="B535" s="61">
        <v>44579</v>
      </c>
      <c r="C535" s="61">
        <v>44589</v>
      </c>
      <c r="F535" s="61" t="s">
        <v>309</v>
      </c>
      <c r="H535" s="61" t="s">
        <v>309</v>
      </c>
      <c r="J535" s="60">
        <v>2</v>
      </c>
      <c r="L535" s="60">
        <v>0</v>
      </c>
      <c r="M535" s="61">
        <v>44574</v>
      </c>
      <c r="O535" s="62" t="s">
        <v>331</v>
      </c>
      <c r="P535" s="60" t="s">
        <v>77</v>
      </c>
      <c r="Q535" s="62" t="s">
        <v>40</v>
      </c>
      <c r="R535" s="62" t="s">
        <v>1747</v>
      </c>
      <c r="S535" s="63" t="s">
        <v>782</v>
      </c>
      <c r="T535" s="63" t="s">
        <v>1737</v>
      </c>
      <c r="U535" s="64">
        <v>65000</v>
      </c>
      <c r="V535" s="64">
        <v>71500</v>
      </c>
      <c r="W535" s="64">
        <v>65000</v>
      </c>
      <c r="X535" s="64">
        <v>71500</v>
      </c>
      <c r="Y535" s="64">
        <v>0</v>
      </c>
      <c r="Z535" s="64">
        <v>0</v>
      </c>
      <c r="AA535" s="61">
        <v>44585</v>
      </c>
      <c r="AB535" s="61">
        <v>44587</v>
      </c>
      <c r="AD535" s="60">
        <v>0</v>
      </c>
      <c r="AG535" s="60">
        <v>0</v>
      </c>
      <c r="AJ535" s="60">
        <v>0</v>
      </c>
      <c r="AN535" s="60" t="s">
        <v>309</v>
      </c>
      <c r="AQ535" s="60" t="s">
        <v>1781</v>
      </c>
      <c r="AR535" s="61">
        <v>44578</v>
      </c>
      <c r="AS535" s="60">
        <v>6001981109</v>
      </c>
      <c r="AT535" s="61">
        <v>44578</v>
      </c>
      <c r="AU535" s="60" t="s">
        <v>1788</v>
      </c>
      <c r="AV535" s="61">
        <v>44589</v>
      </c>
      <c r="AW535" s="91">
        <v>44592</v>
      </c>
      <c r="AX535" s="91">
        <v>44612</v>
      </c>
      <c r="AY535" s="107">
        <v>65000</v>
      </c>
      <c r="AZ535" s="107">
        <f>ROUNDDOWN(AY535+(AY535*MASTER!$A$2/100),0)</f>
        <v>71500</v>
      </c>
      <c r="BC535" s="64">
        <v>0</v>
      </c>
      <c r="BG535" s="64">
        <v>0</v>
      </c>
      <c r="BK535" s="64">
        <v>0</v>
      </c>
      <c r="BS535" s="64">
        <v>0</v>
      </c>
      <c r="BV535" s="65">
        <v>71500</v>
      </c>
      <c r="BW535" s="65">
        <v>0</v>
      </c>
      <c r="BX535" s="65">
        <v>44574</v>
      </c>
      <c r="BY535" s="65">
        <v>71500</v>
      </c>
      <c r="BZ535" s="81">
        <v>100</v>
      </c>
    </row>
    <row r="536" spans="1:89" x14ac:dyDescent="0.15">
      <c r="A536" s="60">
        <v>2</v>
      </c>
      <c r="B536" s="61">
        <v>44596</v>
      </c>
      <c r="C536" s="61">
        <v>44600</v>
      </c>
      <c r="D536" s="61">
        <v>44627</v>
      </c>
      <c r="F536" s="61" t="s">
        <v>309</v>
      </c>
      <c r="H536" s="61" t="s">
        <v>309</v>
      </c>
      <c r="J536" s="60">
        <v>2</v>
      </c>
      <c r="L536" s="60">
        <v>0</v>
      </c>
      <c r="M536" s="61">
        <v>44574</v>
      </c>
      <c r="O536" s="62" t="s">
        <v>331</v>
      </c>
      <c r="P536" s="60" t="s">
        <v>77</v>
      </c>
      <c r="Q536" s="62" t="s">
        <v>40</v>
      </c>
      <c r="R536" s="62" t="s">
        <v>1738</v>
      </c>
      <c r="S536" s="63" t="s">
        <v>848</v>
      </c>
      <c r="T536" s="63" t="s">
        <v>1737</v>
      </c>
      <c r="U536" s="64">
        <v>65000</v>
      </c>
      <c r="V536" s="64">
        <v>71500</v>
      </c>
      <c r="W536" s="64">
        <v>65000</v>
      </c>
      <c r="X536" s="64">
        <v>71500</v>
      </c>
      <c r="Y536" s="64">
        <v>0</v>
      </c>
      <c r="Z536" s="64">
        <v>0</v>
      </c>
      <c r="AA536" s="61">
        <v>44599</v>
      </c>
      <c r="AB536" s="61">
        <v>44600</v>
      </c>
      <c r="AD536" s="60">
        <v>0</v>
      </c>
      <c r="AG536" s="60">
        <v>0</v>
      </c>
      <c r="AJ536" s="60">
        <v>0</v>
      </c>
      <c r="AQ536" s="60" t="s">
        <v>1779</v>
      </c>
      <c r="AR536" s="61">
        <v>44578</v>
      </c>
      <c r="AS536" s="60">
        <v>6001981109</v>
      </c>
      <c r="AT536" s="61">
        <v>44578</v>
      </c>
      <c r="AU536" s="60" t="s">
        <v>1788</v>
      </c>
      <c r="AV536" s="61">
        <v>44600</v>
      </c>
      <c r="AW536" s="91">
        <v>44620</v>
      </c>
      <c r="AX536" s="91">
        <v>44640</v>
      </c>
      <c r="AY536" s="107">
        <v>65000</v>
      </c>
      <c r="AZ536" s="107">
        <f>ROUNDDOWN(AY536+(AY536*MASTER!$A$2/100),0)</f>
        <v>71500</v>
      </c>
      <c r="BC536" s="64">
        <v>0</v>
      </c>
      <c r="BG536" s="64">
        <v>0</v>
      </c>
      <c r="BK536" s="64">
        <v>0</v>
      </c>
      <c r="BS536" s="64">
        <v>0</v>
      </c>
      <c r="BV536" s="65">
        <v>71500</v>
      </c>
      <c r="BW536" s="65">
        <v>0</v>
      </c>
      <c r="BX536" s="65">
        <v>44574</v>
      </c>
      <c r="BY536" s="65">
        <v>71500</v>
      </c>
      <c r="BZ536" s="81">
        <v>100</v>
      </c>
    </row>
    <row r="537" spans="1:89" x14ac:dyDescent="0.15">
      <c r="A537" s="60">
        <v>1</v>
      </c>
      <c r="B537" s="61">
        <v>44579</v>
      </c>
      <c r="C537" s="61">
        <v>44589</v>
      </c>
      <c r="F537" s="61" t="s">
        <v>309</v>
      </c>
      <c r="H537" s="61" t="s">
        <v>309</v>
      </c>
      <c r="J537" s="60">
        <v>2</v>
      </c>
      <c r="L537" s="60">
        <v>0</v>
      </c>
      <c r="M537" s="61">
        <v>44574</v>
      </c>
      <c r="O537" s="62" t="s">
        <v>331</v>
      </c>
      <c r="P537" s="60" t="s">
        <v>77</v>
      </c>
      <c r="Q537" s="62" t="s">
        <v>40</v>
      </c>
      <c r="R537" s="62" t="s">
        <v>1739</v>
      </c>
      <c r="S537" s="63" t="s">
        <v>1016</v>
      </c>
      <c r="T537" s="63" t="s">
        <v>1737</v>
      </c>
      <c r="U537" s="64">
        <v>195000</v>
      </c>
      <c r="V537" s="64">
        <v>214500</v>
      </c>
      <c r="W537" s="64">
        <v>195000</v>
      </c>
      <c r="X537" s="64">
        <v>214500</v>
      </c>
      <c r="Y537" s="64">
        <v>0</v>
      </c>
      <c r="Z537" s="64">
        <v>0</v>
      </c>
      <c r="AA537" s="61">
        <v>44584</v>
      </c>
      <c r="AB537" s="61">
        <v>44585</v>
      </c>
      <c r="AD537" s="60">
        <v>0</v>
      </c>
      <c r="AG537" s="60">
        <v>0</v>
      </c>
      <c r="AJ537" s="60">
        <v>0</v>
      </c>
      <c r="AQ537" s="60" t="s">
        <v>1782</v>
      </c>
      <c r="AR537" s="61">
        <v>44578</v>
      </c>
      <c r="AS537" s="60">
        <v>6001981109</v>
      </c>
      <c r="AT537" s="61">
        <v>44578</v>
      </c>
      <c r="AU537" s="60" t="s">
        <v>1788</v>
      </c>
      <c r="AV537" s="61">
        <v>44589</v>
      </c>
      <c r="AW537" s="91">
        <v>44592</v>
      </c>
      <c r="AX537" s="91">
        <v>44612</v>
      </c>
      <c r="AY537" s="107">
        <v>195000</v>
      </c>
      <c r="AZ537" s="107">
        <f>ROUNDDOWN(AY537+(AY537*MASTER!$A$2/100),0)</f>
        <v>214500</v>
      </c>
      <c r="BC537" s="64">
        <v>0</v>
      </c>
      <c r="BG537" s="64">
        <v>0</v>
      </c>
      <c r="BK537" s="64">
        <v>0</v>
      </c>
      <c r="BS537" s="64">
        <v>0</v>
      </c>
      <c r="BV537" s="65">
        <v>214500</v>
      </c>
      <c r="BW537" s="65">
        <v>0</v>
      </c>
      <c r="BX537" s="65">
        <v>44574</v>
      </c>
      <c r="BY537" s="65">
        <v>214500</v>
      </c>
      <c r="BZ537" s="81">
        <v>100</v>
      </c>
    </row>
    <row r="538" spans="1:89" x14ac:dyDescent="0.15">
      <c r="A538" s="60">
        <v>2</v>
      </c>
      <c r="B538" s="61">
        <v>44596</v>
      </c>
      <c r="C538" s="61">
        <v>44612</v>
      </c>
      <c r="D538" s="61">
        <v>44634</v>
      </c>
      <c r="F538" s="61" t="s">
        <v>309</v>
      </c>
      <c r="H538" s="61" t="s">
        <v>309</v>
      </c>
      <c r="J538" s="60">
        <v>2</v>
      </c>
      <c r="L538" s="60">
        <v>0</v>
      </c>
      <c r="M538" s="61">
        <v>44574</v>
      </c>
      <c r="O538" s="62" t="s">
        <v>331</v>
      </c>
      <c r="P538" s="60" t="s">
        <v>77</v>
      </c>
      <c r="Q538" s="62" t="s">
        <v>40</v>
      </c>
      <c r="R538" s="62" t="s">
        <v>1740</v>
      </c>
      <c r="S538" s="63" t="s">
        <v>409</v>
      </c>
      <c r="T538" s="63" t="s">
        <v>1737</v>
      </c>
      <c r="U538" s="64">
        <v>65000</v>
      </c>
      <c r="V538" s="64">
        <v>71500</v>
      </c>
      <c r="W538" s="64">
        <v>65000</v>
      </c>
      <c r="X538" s="64">
        <v>71500</v>
      </c>
      <c r="Y538" s="64">
        <v>0</v>
      </c>
      <c r="Z538" s="64">
        <v>0</v>
      </c>
      <c r="AA538" s="61">
        <v>44585</v>
      </c>
      <c r="AB538" s="61">
        <v>44586</v>
      </c>
      <c r="AD538" s="60">
        <v>0</v>
      </c>
      <c r="AG538" s="60">
        <v>0</v>
      </c>
      <c r="AJ538" s="60">
        <v>0</v>
      </c>
      <c r="AQ538" s="60" t="s">
        <v>1780</v>
      </c>
      <c r="AR538" s="61">
        <v>44578</v>
      </c>
      <c r="AS538" s="60">
        <v>6001981109</v>
      </c>
      <c r="AT538" s="61">
        <v>44578</v>
      </c>
      <c r="AU538" s="60" t="s">
        <v>1788</v>
      </c>
      <c r="AV538" s="61">
        <v>44612</v>
      </c>
      <c r="AW538" s="91">
        <v>44620</v>
      </c>
      <c r="AX538" s="91">
        <v>44640</v>
      </c>
      <c r="AY538" s="107">
        <v>65000</v>
      </c>
      <c r="AZ538" s="107">
        <f>ROUNDDOWN(AY538+(AY538*MASTER!$A$2/100),0)</f>
        <v>71500</v>
      </c>
      <c r="BC538" s="64">
        <v>0</v>
      </c>
      <c r="BG538" s="64">
        <v>0</v>
      </c>
      <c r="BK538" s="64">
        <v>0</v>
      </c>
      <c r="BS538" s="64">
        <v>0</v>
      </c>
      <c r="BV538" s="65">
        <v>71500</v>
      </c>
      <c r="BW538" s="65">
        <v>0</v>
      </c>
      <c r="BX538" s="65">
        <v>44574</v>
      </c>
      <c r="BY538" s="65">
        <v>71500</v>
      </c>
      <c r="BZ538" s="81">
        <v>100</v>
      </c>
      <c r="CD538" s="63" t="s">
        <v>1878</v>
      </c>
    </row>
    <row r="539" spans="1:89" x14ac:dyDescent="0.15">
      <c r="A539" s="60">
        <v>1</v>
      </c>
      <c r="B539" s="61">
        <v>44586</v>
      </c>
      <c r="C539" s="61">
        <v>44589</v>
      </c>
      <c r="F539" s="61" t="s">
        <v>309</v>
      </c>
      <c r="H539" s="61" t="s">
        <v>309</v>
      </c>
      <c r="J539" s="60">
        <v>2</v>
      </c>
      <c r="L539" s="60">
        <v>0</v>
      </c>
      <c r="M539" s="61">
        <v>44574</v>
      </c>
      <c r="O539" s="62" t="s">
        <v>331</v>
      </c>
      <c r="P539" s="60" t="s">
        <v>77</v>
      </c>
      <c r="Q539" s="62" t="s">
        <v>40</v>
      </c>
      <c r="R539" s="62" t="s">
        <v>1741</v>
      </c>
      <c r="S539" s="63" t="s">
        <v>1023</v>
      </c>
      <c r="T539" s="63" t="s">
        <v>1737</v>
      </c>
      <c r="U539" s="64">
        <v>195000</v>
      </c>
      <c r="V539" s="64">
        <v>214500</v>
      </c>
      <c r="W539" s="64">
        <v>195000</v>
      </c>
      <c r="X539" s="64">
        <v>214500</v>
      </c>
      <c r="Y539" s="64">
        <v>0</v>
      </c>
      <c r="Z539" s="64">
        <v>0</v>
      </c>
      <c r="AA539" s="61">
        <v>44591</v>
      </c>
      <c r="AB539" s="61">
        <v>44593</v>
      </c>
      <c r="AD539" s="60">
        <v>0</v>
      </c>
      <c r="AG539" s="60">
        <v>0</v>
      </c>
      <c r="AJ539" s="60">
        <v>0</v>
      </c>
      <c r="AQ539" s="60" t="s">
        <v>1778</v>
      </c>
      <c r="AR539" s="61">
        <v>44578</v>
      </c>
      <c r="AS539" s="60">
        <v>6001981109</v>
      </c>
      <c r="AT539" s="61">
        <v>44578</v>
      </c>
      <c r="AU539" s="60" t="s">
        <v>1788</v>
      </c>
      <c r="AV539" s="61">
        <v>44589</v>
      </c>
      <c r="AW539" s="91">
        <v>44592</v>
      </c>
      <c r="AX539" s="91">
        <v>44612</v>
      </c>
      <c r="AY539" s="107">
        <v>195000</v>
      </c>
      <c r="AZ539" s="107">
        <f>ROUNDDOWN(AY539+(AY539*MASTER!$A$2/100),0)</f>
        <v>214500</v>
      </c>
      <c r="BC539" s="64">
        <v>0</v>
      </c>
      <c r="BG539" s="64">
        <v>0</v>
      </c>
      <c r="BK539" s="64">
        <v>0</v>
      </c>
      <c r="BS539" s="64">
        <v>0</v>
      </c>
      <c r="BV539" s="65">
        <v>214500</v>
      </c>
      <c r="BW539" s="65">
        <v>0</v>
      </c>
      <c r="BX539" s="65">
        <v>44574</v>
      </c>
      <c r="BY539" s="65">
        <v>214500</v>
      </c>
      <c r="BZ539" s="81">
        <v>100</v>
      </c>
    </row>
    <row r="540" spans="1:89" x14ac:dyDescent="0.15">
      <c r="A540" s="60">
        <v>1</v>
      </c>
      <c r="B540" s="61">
        <v>44587</v>
      </c>
      <c r="C540" s="61" t="s">
        <v>309</v>
      </c>
      <c r="F540" s="61" t="s">
        <v>309</v>
      </c>
      <c r="H540" s="61" t="s">
        <v>309</v>
      </c>
      <c r="J540" s="60">
        <v>3</v>
      </c>
      <c r="L540" s="60">
        <v>0</v>
      </c>
      <c r="M540" s="61">
        <v>44574</v>
      </c>
      <c r="O540" s="62" t="s">
        <v>331</v>
      </c>
      <c r="P540" s="60" t="s">
        <v>26</v>
      </c>
      <c r="Q540" s="62" t="s">
        <v>40</v>
      </c>
      <c r="R540" s="62" t="s">
        <v>1748</v>
      </c>
      <c r="S540" s="63" t="s">
        <v>326</v>
      </c>
      <c r="T540" s="63" t="s">
        <v>1749</v>
      </c>
      <c r="U540" s="64">
        <v>250000</v>
      </c>
      <c r="V540" s="64">
        <v>275000</v>
      </c>
      <c r="W540" s="64">
        <v>0</v>
      </c>
      <c r="X540" s="64">
        <v>0</v>
      </c>
      <c r="Y540" s="64">
        <v>250000</v>
      </c>
      <c r="Z540" s="64">
        <v>275000</v>
      </c>
      <c r="AD540" s="60">
        <v>0</v>
      </c>
      <c r="AG540" s="60">
        <v>0</v>
      </c>
      <c r="AJ540" s="60">
        <v>0</v>
      </c>
      <c r="AQ540" s="60" t="s">
        <v>1421</v>
      </c>
      <c r="AR540" s="61">
        <v>44578</v>
      </c>
      <c r="AS540" s="60">
        <v>6001981107</v>
      </c>
      <c r="AT540" s="61">
        <v>44578</v>
      </c>
      <c r="AU540" s="60" t="s">
        <v>1786</v>
      </c>
      <c r="AV540" s="61">
        <v>44596</v>
      </c>
      <c r="AW540" s="91">
        <v>44592</v>
      </c>
      <c r="AX540" s="91">
        <v>44612</v>
      </c>
      <c r="AY540" s="107">
        <f>U540</f>
        <v>250000</v>
      </c>
      <c r="AZ540" s="107">
        <f>ROUNDDOWN(AY540+(AY540*MASTER!$A$2/100),0)</f>
        <v>275000</v>
      </c>
      <c r="BC540" s="64">
        <v>0</v>
      </c>
      <c r="BG540" s="64">
        <v>0</v>
      </c>
      <c r="BK540" s="64">
        <v>0</v>
      </c>
      <c r="BS540" s="64">
        <v>0</v>
      </c>
      <c r="BV540" s="65">
        <v>0</v>
      </c>
      <c r="BW540" s="65">
        <v>0</v>
      </c>
      <c r="BX540" s="65">
        <v>44574</v>
      </c>
      <c r="BY540" s="65">
        <v>0</v>
      </c>
      <c r="BZ540" s="81" t="s">
        <v>309</v>
      </c>
      <c r="CD540" s="63" t="s">
        <v>1750</v>
      </c>
    </row>
    <row r="541" spans="1:89" s="152" customFormat="1" x14ac:dyDescent="0.15">
      <c r="A541" s="142">
        <v>3</v>
      </c>
      <c r="B541" s="143"/>
      <c r="C541" s="143" t="s">
        <v>309</v>
      </c>
      <c r="D541" s="143"/>
      <c r="E541" s="143"/>
      <c r="F541" s="143" t="s">
        <v>309</v>
      </c>
      <c r="G541" s="143"/>
      <c r="H541" s="143" t="s">
        <v>309</v>
      </c>
      <c r="I541" s="142"/>
      <c r="J541" s="142">
        <v>2</v>
      </c>
      <c r="K541" s="143"/>
      <c r="L541" s="142">
        <v>0</v>
      </c>
      <c r="M541" s="143">
        <v>44574</v>
      </c>
      <c r="N541" s="143"/>
      <c r="O541" s="144" t="s">
        <v>331</v>
      </c>
      <c r="P541" s="142" t="s">
        <v>50</v>
      </c>
      <c r="Q541" s="144" t="s">
        <v>40</v>
      </c>
      <c r="R541" s="144" t="s">
        <v>1760</v>
      </c>
      <c r="S541" s="145" t="s">
        <v>326</v>
      </c>
      <c r="T541" s="145" t="s">
        <v>1759</v>
      </c>
      <c r="U541" s="146">
        <v>240000</v>
      </c>
      <c r="V541" s="146">
        <v>264000</v>
      </c>
      <c r="W541" s="146">
        <v>240000</v>
      </c>
      <c r="X541" s="146">
        <v>264000</v>
      </c>
      <c r="Y541" s="146">
        <v>0</v>
      </c>
      <c r="Z541" s="146">
        <v>0</v>
      </c>
      <c r="AA541" s="143"/>
      <c r="AB541" s="143"/>
      <c r="AC541" s="143"/>
      <c r="AD541" s="142">
        <v>0</v>
      </c>
      <c r="AE541" s="142"/>
      <c r="AF541" s="142"/>
      <c r="AG541" s="142">
        <v>0</v>
      </c>
      <c r="AH541" s="142"/>
      <c r="AI541" s="142"/>
      <c r="AJ541" s="142">
        <v>0</v>
      </c>
      <c r="AK541" s="142"/>
      <c r="AL541" s="142"/>
      <c r="AM541" s="142"/>
      <c r="AN541" s="142"/>
      <c r="AO541" s="143"/>
      <c r="AP541" s="142"/>
      <c r="AQ541" s="142"/>
      <c r="AR541" s="143"/>
      <c r="AS541" s="142"/>
      <c r="AT541" s="143"/>
      <c r="AU541" s="142"/>
      <c r="AV541" s="143"/>
      <c r="AW541" s="147"/>
      <c r="AX541" s="147"/>
      <c r="AY541" s="154">
        <v>240000</v>
      </c>
      <c r="AZ541" s="154">
        <f>ROUNDDOWN(AY541+(AY541*MASTER!$A$2/100),0)</f>
        <v>264000</v>
      </c>
      <c r="BA541" s="142"/>
      <c r="BB541" s="146"/>
      <c r="BC541" s="146">
        <v>0</v>
      </c>
      <c r="BD541" s="142"/>
      <c r="BE541" s="142"/>
      <c r="BF541" s="146"/>
      <c r="BG541" s="146">
        <v>0</v>
      </c>
      <c r="BH541" s="142"/>
      <c r="BI541" s="142"/>
      <c r="BJ541" s="146"/>
      <c r="BK541" s="146">
        <v>0</v>
      </c>
      <c r="BL541" s="142"/>
      <c r="BM541" s="146"/>
      <c r="BN541" s="146"/>
      <c r="BO541" s="146"/>
      <c r="BP541" s="146"/>
      <c r="BQ541" s="146"/>
      <c r="BR541" s="146"/>
      <c r="BS541" s="146">
        <v>0</v>
      </c>
      <c r="BT541" s="149"/>
      <c r="BU541" s="149"/>
      <c r="BV541" s="150">
        <v>264000</v>
      </c>
      <c r="BW541" s="150">
        <v>0</v>
      </c>
      <c r="BX541" s="150">
        <v>44574</v>
      </c>
      <c r="BY541" s="150">
        <v>264000</v>
      </c>
      <c r="BZ541" s="151">
        <v>100</v>
      </c>
      <c r="CA541" s="142"/>
      <c r="CB541" s="142"/>
      <c r="CC541" s="142"/>
      <c r="CD541" s="145" t="s">
        <v>1763</v>
      </c>
      <c r="CE541" s="143"/>
      <c r="CF541" s="143"/>
      <c r="CG541" s="143"/>
      <c r="CH541" s="143"/>
      <c r="CI541" s="143"/>
      <c r="CJ541" s="143"/>
      <c r="CK541" s="146"/>
    </row>
    <row r="542" spans="1:89" s="152" customFormat="1" x14ac:dyDescent="0.15">
      <c r="A542" s="142">
        <v>3</v>
      </c>
      <c r="B542" s="143"/>
      <c r="C542" s="143" t="s">
        <v>309</v>
      </c>
      <c r="D542" s="143"/>
      <c r="E542" s="143"/>
      <c r="F542" s="143" t="s">
        <v>309</v>
      </c>
      <c r="G542" s="143"/>
      <c r="H542" s="143" t="s">
        <v>309</v>
      </c>
      <c r="I542" s="142"/>
      <c r="J542" s="142">
        <v>2</v>
      </c>
      <c r="K542" s="143"/>
      <c r="L542" s="142">
        <v>0</v>
      </c>
      <c r="M542" s="143">
        <v>44575</v>
      </c>
      <c r="N542" s="143"/>
      <c r="O542" s="144" t="s">
        <v>331</v>
      </c>
      <c r="P542" s="142" t="s">
        <v>77</v>
      </c>
      <c r="Q542" s="144" t="s">
        <v>40</v>
      </c>
      <c r="R542" s="144" t="s">
        <v>1761</v>
      </c>
      <c r="S542" s="145" t="s">
        <v>1062</v>
      </c>
      <c r="T542" s="145" t="s">
        <v>1283</v>
      </c>
      <c r="U542" s="146">
        <v>72850</v>
      </c>
      <c r="V542" s="146">
        <v>80135</v>
      </c>
      <c r="W542" s="146">
        <v>72850</v>
      </c>
      <c r="X542" s="146">
        <v>80135</v>
      </c>
      <c r="Y542" s="146"/>
      <c r="Z542" s="146">
        <v>0</v>
      </c>
      <c r="AA542" s="143">
        <v>44588</v>
      </c>
      <c r="AB542" s="143">
        <v>44589</v>
      </c>
      <c r="AC542" s="143"/>
      <c r="AD542" s="142">
        <v>0</v>
      </c>
      <c r="AE542" s="142"/>
      <c r="AF542" s="142"/>
      <c r="AG542" s="142">
        <v>0</v>
      </c>
      <c r="AH542" s="142"/>
      <c r="AI542" s="142"/>
      <c r="AJ542" s="142">
        <v>0</v>
      </c>
      <c r="AK542" s="142"/>
      <c r="AL542" s="142"/>
      <c r="AM542" s="142" t="s">
        <v>1284</v>
      </c>
      <c r="AN542" s="142" t="s">
        <v>1762</v>
      </c>
      <c r="AO542" s="143"/>
      <c r="AP542" s="142"/>
      <c r="AQ542" s="142"/>
      <c r="AR542" s="143"/>
      <c r="AS542" s="142"/>
      <c r="AT542" s="143"/>
      <c r="AU542" s="142"/>
      <c r="AV542" s="143"/>
      <c r="AW542" s="147"/>
      <c r="AX542" s="147"/>
      <c r="AY542" s="148">
        <v>69936</v>
      </c>
      <c r="AZ542" s="148">
        <f>ROUNDDOWN(AY542+(AY542*MASTER!$A$2/100),0)</f>
        <v>76929</v>
      </c>
      <c r="BA542" s="142"/>
      <c r="BB542" s="146"/>
      <c r="BC542" s="146">
        <v>0</v>
      </c>
      <c r="BD542" s="142"/>
      <c r="BE542" s="142"/>
      <c r="BF542" s="146"/>
      <c r="BG542" s="146">
        <v>0</v>
      </c>
      <c r="BH542" s="142"/>
      <c r="BI542" s="142"/>
      <c r="BJ542" s="146"/>
      <c r="BK542" s="146">
        <v>0</v>
      </c>
      <c r="BL542" s="142"/>
      <c r="BM542" s="146"/>
      <c r="BN542" s="146"/>
      <c r="BO542" s="146"/>
      <c r="BP542" s="146"/>
      <c r="BQ542" s="146"/>
      <c r="BR542" s="146"/>
      <c r="BS542" s="146">
        <v>0</v>
      </c>
      <c r="BT542" s="149"/>
      <c r="BU542" s="149"/>
      <c r="BV542" s="150">
        <v>80135</v>
      </c>
      <c r="BW542" s="150">
        <v>0</v>
      </c>
      <c r="BX542" s="150">
        <v>44575</v>
      </c>
      <c r="BY542" s="150">
        <v>80135</v>
      </c>
      <c r="BZ542" s="151">
        <v>100</v>
      </c>
      <c r="CA542" s="142"/>
      <c r="CB542" s="142"/>
      <c r="CC542" s="142"/>
      <c r="CD542" s="145" t="s">
        <v>3066</v>
      </c>
      <c r="CE542" s="143"/>
      <c r="CF542" s="143"/>
      <c r="CG542" s="143"/>
      <c r="CH542" s="143"/>
      <c r="CI542" s="143"/>
      <c r="CJ542" s="143"/>
      <c r="CK542" s="146"/>
    </row>
    <row r="543" spans="1:89" x14ac:dyDescent="0.15">
      <c r="A543" s="60">
        <v>1</v>
      </c>
      <c r="B543" s="61">
        <v>44579</v>
      </c>
      <c r="C543" s="61">
        <v>44586</v>
      </c>
      <c r="F543" s="61" t="s">
        <v>309</v>
      </c>
      <c r="H543" s="61" t="s">
        <v>309</v>
      </c>
      <c r="J543" s="60">
        <v>2</v>
      </c>
      <c r="L543" s="60">
        <v>0</v>
      </c>
      <c r="M543" s="61">
        <v>44575</v>
      </c>
      <c r="O543" s="62" t="s">
        <v>331</v>
      </c>
      <c r="P543" s="60" t="s">
        <v>50</v>
      </c>
      <c r="Q543" s="62" t="s">
        <v>40</v>
      </c>
      <c r="R543" s="62" t="s">
        <v>1765</v>
      </c>
      <c r="S543" s="63" t="s">
        <v>326</v>
      </c>
      <c r="T543" s="63" t="s">
        <v>1764</v>
      </c>
      <c r="U543" s="64">
        <v>100000</v>
      </c>
      <c r="V543" s="64">
        <v>110000</v>
      </c>
      <c r="W543" s="64">
        <v>100000</v>
      </c>
      <c r="X543" s="64">
        <v>110000</v>
      </c>
      <c r="Y543" s="64">
        <v>0</v>
      </c>
      <c r="Z543" s="64">
        <v>0</v>
      </c>
      <c r="AD543" s="60">
        <v>0</v>
      </c>
      <c r="AG543" s="60">
        <v>0</v>
      </c>
      <c r="AJ543" s="60">
        <v>0</v>
      </c>
      <c r="AQ543" s="60" t="s">
        <v>1776</v>
      </c>
      <c r="AR543" s="61">
        <v>44578</v>
      </c>
      <c r="AS543" s="60">
        <v>6001981108</v>
      </c>
      <c r="AT543" s="61">
        <v>44578</v>
      </c>
      <c r="AU543" s="60" t="s">
        <v>1787</v>
      </c>
      <c r="AV543" s="61">
        <v>44586</v>
      </c>
      <c r="AW543" s="91">
        <v>44592</v>
      </c>
      <c r="AX543" s="91">
        <v>44612</v>
      </c>
      <c r="AY543" s="107">
        <v>100000</v>
      </c>
      <c r="AZ543" s="107">
        <f>ROUNDDOWN(AY543+(AY543*MASTER!$A$2/100),0)</f>
        <v>110000</v>
      </c>
      <c r="BC543" s="64">
        <v>0</v>
      </c>
      <c r="BG543" s="64">
        <v>0</v>
      </c>
      <c r="BK543" s="64">
        <v>0</v>
      </c>
      <c r="BS543" s="64">
        <v>0</v>
      </c>
      <c r="BV543" s="65">
        <v>110000</v>
      </c>
      <c r="BW543" s="65">
        <v>0</v>
      </c>
      <c r="BX543" s="65">
        <v>44575</v>
      </c>
      <c r="BY543" s="65">
        <v>110000</v>
      </c>
      <c r="BZ543" s="81">
        <v>100</v>
      </c>
    </row>
    <row r="544" spans="1:89" s="152" customFormat="1" x14ac:dyDescent="0.15">
      <c r="A544" s="142">
        <v>3</v>
      </c>
      <c r="B544" s="143"/>
      <c r="C544" s="143" t="s">
        <v>309</v>
      </c>
      <c r="D544" s="143"/>
      <c r="E544" s="143"/>
      <c r="F544" s="143" t="s">
        <v>309</v>
      </c>
      <c r="G544" s="143"/>
      <c r="H544" s="143" t="s">
        <v>309</v>
      </c>
      <c r="I544" s="142"/>
      <c r="J544" s="142">
        <v>2</v>
      </c>
      <c r="K544" s="143"/>
      <c r="L544" s="142">
        <v>0</v>
      </c>
      <c r="M544" s="143">
        <v>44575</v>
      </c>
      <c r="N544" s="143"/>
      <c r="O544" s="144" t="s">
        <v>331</v>
      </c>
      <c r="P544" s="142" t="s">
        <v>50</v>
      </c>
      <c r="Q544" s="144" t="s">
        <v>40</v>
      </c>
      <c r="R544" s="144" t="s">
        <v>1766</v>
      </c>
      <c r="S544" s="145" t="s">
        <v>326</v>
      </c>
      <c r="T544" s="145" t="s">
        <v>1759</v>
      </c>
      <c r="U544" s="146">
        <v>120000</v>
      </c>
      <c r="V544" s="146">
        <v>132000</v>
      </c>
      <c r="W544" s="146">
        <v>120000</v>
      </c>
      <c r="X544" s="146">
        <v>132000</v>
      </c>
      <c r="Y544" s="146">
        <v>0</v>
      </c>
      <c r="Z544" s="146">
        <v>0</v>
      </c>
      <c r="AA544" s="143"/>
      <c r="AB544" s="143"/>
      <c r="AC544" s="143"/>
      <c r="AD544" s="142">
        <v>0</v>
      </c>
      <c r="AE544" s="142"/>
      <c r="AF544" s="142"/>
      <c r="AG544" s="142">
        <v>0</v>
      </c>
      <c r="AH544" s="142"/>
      <c r="AI544" s="142"/>
      <c r="AJ544" s="142">
        <v>0</v>
      </c>
      <c r="AK544" s="142"/>
      <c r="AL544" s="142"/>
      <c r="AM544" s="142"/>
      <c r="AN544" s="142"/>
      <c r="AO544" s="143"/>
      <c r="AP544" s="142"/>
      <c r="AQ544" s="142"/>
      <c r="AR544" s="143"/>
      <c r="AS544" s="142"/>
      <c r="AT544" s="143"/>
      <c r="AU544" s="142"/>
      <c r="AV544" s="143"/>
      <c r="AW544" s="147"/>
      <c r="AX544" s="147"/>
      <c r="AY544" s="154">
        <v>120000</v>
      </c>
      <c r="AZ544" s="154">
        <f>ROUNDDOWN(AY544+(AY544*MASTER!$A$2/100),0)</f>
        <v>132000</v>
      </c>
      <c r="BA544" s="142"/>
      <c r="BB544" s="146"/>
      <c r="BC544" s="146">
        <v>0</v>
      </c>
      <c r="BD544" s="142"/>
      <c r="BE544" s="142"/>
      <c r="BF544" s="146"/>
      <c r="BG544" s="146">
        <v>0</v>
      </c>
      <c r="BH544" s="142"/>
      <c r="BI544" s="142"/>
      <c r="BJ544" s="146"/>
      <c r="BK544" s="146">
        <v>0</v>
      </c>
      <c r="BL544" s="142"/>
      <c r="BM544" s="146"/>
      <c r="BN544" s="146"/>
      <c r="BO544" s="146"/>
      <c r="BP544" s="146"/>
      <c r="BQ544" s="146"/>
      <c r="BR544" s="146"/>
      <c r="BS544" s="146">
        <v>0</v>
      </c>
      <c r="BT544" s="149"/>
      <c r="BU544" s="149"/>
      <c r="BV544" s="150">
        <v>132000</v>
      </c>
      <c r="BW544" s="150">
        <v>0</v>
      </c>
      <c r="BX544" s="150">
        <v>44575</v>
      </c>
      <c r="BY544" s="150">
        <v>132000</v>
      </c>
      <c r="BZ544" s="151">
        <v>100</v>
      </c>
      <c r="CA544" s="142"/>
      <c r="CB544" s="142"/>
      <c r="CC544" s="142"/>
      <c r="CD544" s="145" t="s">
        <v>2906</v>
      </c>
      <c r="CE544" s="143"/>
      <c r="CF544" s="143"/>
      <c r="CG544" s="143"/>
      <c r="CH544" s="143"/>
      <c r="CI544" s="143"/>
      <c r="CJ544" s="143"/>
      <c r="CK544" s="146"/>
    </row>
    <row r="545" spans="1:78" x14ac:dyDescent="0.15">
      <c r="A545" s="60">
        <v>2</v>
      </c>
      <c r="B545" s="61">
        <v>44629</v>
      </c>
      <c r="C545" s="61">
        <v>44651</v>
      </c>
      <c r="D545" s="61">
        <v>44655</v>
      </c>
      <c r="F545" s="61">
        <v>44630</v>
      </c>
      <c r="H545" s="61">
        <v>44626</v>
      </c>
      <c r="J545" s="60">
        <v>2</v>
      </c>
      <c r="L545" s="60">
        <v>0</v>
      </c>
      <c r="M545" s="61">
        <v>44575</v>
      </c>
      <c r="O545" s="62" t="s">
        <v>331</v>
      </c>
      <c r="P545" s="60" t="s">
        <v>77</v>
      </c>
      <c r="Q545" s="62" t="s">
        <v>40</v>
      </c>
      <c r="R545" s="62" t="s">
        <v>2630</v>
      </c>
      <c r="S545" s="63" t="s">
        <v>1588</v>
      </c>
      <c r="T545" s="63" t="s">
        <v>1081</v>
      </c>
      <c r="U545" s="64">
        <v>65000</v>
      </c>
      <c r="V545" s="64">
        <v>71500</v>
      </c>
      <c r="W545" s="64">
        <v>65000</v>
      </c>
      <c r="X545" s="64">
        <v>71500</v>
      </c>
      <c r="Y545" s="64">
        <v>0</v>
      </c>
      <c r="Z545" s="64">
        <v>0</v>
      </c>
      <c r="AA545" s="61">
        <v>44622</v>
      </c>
      <c r="AB545" s="61">
        <v>44623</v>
      </c>
      <c r="AC545" s="61">
        <v>44623</v>
      </c>
      <c r="AD545" s="60">
        <v>0</v>
      </c>
      <c r="AG545" s="60">
        <v>0</v>
      </c>
      <c r="AJ545" s="60">
        <v>0</v>
      </c>
      <c r="AM545" s="60" t="s">
        <v>1768</v>
      </c>
      <c r="AN545" s="157" t="s">
        <v>1048</v>
      </c>
      <c r="AQ545" s="60" t="s">
        <v>2111</v>
      </c>
      <c r="AR545" s="61">
        <v>44595</v>
      </c>
      <c r="AS545" s="60">
        <v>6001988897</v>
      </c>
      <c r="AT545" s="61">
        <v>44595</v>
      </c>
      <c r="AU545" s="60" t="s">
        <v>2163</v>
      </c>
      <c r="AV545" s="61">
        <v>44651</v>
      </c>
      <c r="AW545" s="91">
        <v>44651</v>
      </c>
      <c r="AX545" s="91">
        <v>44671</v>
      </c>
      <c r="AY545" s="107">
        <v>65000</v>
      </c>
      <c r="AZ545" s="107">
        <f>ROUNDDOWN(AY545+(AY545*MASTER!$A$2/100),0)</f>
        <v>71500</v>
      </c>
      <c r="BA545" s="60" t="s">
        <v>765</v>
      </c>
      <c r="BC545" s="64">
        <v>0</v>
      </c>
      <c r="BG545" s="64">
        <v>0</v>
      </c>
      <c r="BK545" s="64">
        <v>0</v>
      </c>
      <c r="BS545" s="64">
        <v>0</v>
      </c>
      <c r="BV545" s="65">
        <v>71500</v>
      </c>
      <c r="BW545" s="65">
        <v>0</v>
      </c>
      <c r="BX545" s="65">
        <v>44575</v>
      </c>
      <c r="BY545" s="65">
        <v>71500</v>
      </c>
      <c r="BZ545" s="81">
        <v>100</v>
      </c>
    </row>
    <row r="546" spans="1:78" x14ac:dyDescent="0.15">
      <c r="A546" s="60">
        <v>2</v>
      </c>
      <c r="B546" s="61">
        <v>44629</v>
      </c>
      <c r="C546" s="61">
        <v>44651</v>
      </c>
      <c r="D546" s="61">
        <v>44655</v>
      </c>
      <c r="F546" s="61">
        <v>44629</v>
      </c>
      <c r="H546" s="61">
        <v>44625</v>
      </c>
      <c r="J546" s="60">
        <v>2</v>
      </c>
      <c r="L546" s="60">
        <v>0</v>
      </c>
      <c r="M546" s="61">
        <v>44575</v>
      </c>
      <c r="O546" s="62" t="s">
        <v>331</v>
      </c>
      <c r="P546" s="60" t="s">
        <v>77</v>
      </c>
      <c r="Q546" s="62" t="s">
        <v>40</v>
      </c>
      <c r="R546" s="62" t="s">
        <v>2628</v>
      </c>
      <c r="S546" s="63" t="s">
        <v>2629</v>
      </c>
      <c r="T546" s="63" t="s">
        <v>1081</v>
      </c>
      <c r="U546" s="64">
        <v>65000</v>
      </c>
      <c r="V546" s="64">
        <v>71500</v>
      </c>
      <c r="W546" s="64">
        <v>65000</v>
      </c>
      <c r="X546" s="64">
        <v>71500</v>
      </c>
      <c r="Y546" s="64">
        <v>0</v>
      </c>
      <c r="Z546" s="64">
        <v>0</v>
      </c>
      <c r="AA546" s="61">
        <v>44621</v>
      </c>
      <c r="AB546" s="61">
        <v>44622</v>
      </c>
      <c r="AC546" s="61">
        <v>44622</v>
      </c>
      <c r="AD546" s="60">
        <v>0</v>
      </c>
      <c r="AG546" s="60">
        <v>0</v>
      </c>
      <c r="AJ546" s="60">
        <v>0</v>
      </c>
      <c r="AM546" s="60" t="s">
        <v>1768</v>
      </c>
      <c r="AN546" s="157" t="s">
        <v>1048</v>
      </c>
      <c r="AQ546" s="60" t="s">
        <v>2111</v>
      </c>
      <c r="AR546" s="61">
        <v>44595</v>
      </c>
      <c r="AS546" s="60">
        <v>6001988897</v>
      </c>
      <c r="AT546" s="61">
        <v>44595</v>
      </c>
      <c r="AU546" s="60" t="s">
        <v>2163</v>
      </c>
      <c r="AV546" s="61">
        <v>44651</v>
      </c>
      <c r="AW546" s="91">
        <v>44651</v>
      </c>
      <c r="AX546" s="91">
        <v>44671</v>
      </c>
      <c r="AY546" s="107">
        <v>65000</v>
      </c>
      <c r="AZ546" s="107">
        <f>ROUNDDOWN(AY546+(AY546*MASTER!$A$2/100),0)</f>
        <v>71500</v>
      </c>
      <c r="BA546" s="60" t="s">
        <v>107</v>
      </c>
      <c r="BC546" s="64">
        <v>0</v>
      </c>
      <c r="BG546" s="64">
        <v>0</v>
      </c>
      <c r="BK546" s="64">
        <v>0</v>
      </c>
      <c r="BS546" s="64">
        <v>0</v>
      </c>
      <c r="BV546" s="65">
        <v>71500</v>
      </c>
      <c r="BW546" s="65">
        <v>0</v>
      </c>
      <c r="BX546" s="65">
        <v>44575</v>
      </c>
      <c r="BY546" s="65">
        <v>71500</v>
      </c>
      <c r="BZ546" s="81">
        <v>100</v>
      </c>
    </row>
    <row r="547" spans="1:78" x14ac:dyDescent="0.15">
      <c r="A547" s="60">
        <v>2</v>
      </c>
      <c r="B547" s="61">
        <v>44608</v>
      </c>
      <c r="C547" s="61">
        <v>44608</v>
      </c>
      <c r="D547" s="61">
        <v>44637</v>
      </c>
      <c r="F547" s="61">
        <v>44607</v>
      </c>
      <c r="H547" s="61">
        <v>44603</v>
      </c>
      <c r="I547" s="60" t="s">
        <v>1630</v>
      </c>
      <c r="J547" s="60">
        <v>2</v>
      </c>
      <c r="L547" s="60">
        <v>0</v>
      </c>
      <c r="M547" s="61">
        <v>44575</v>
      </c>
      <c r="O547" s="62" t="s">
        <v>331</v>
      </c>
      <c r="P547" s="60" t="s">
        <v>77</v>
      </c>
      <c r="Q547" s="62" t="s">
        <v>40</v>
      </c>
      <c r="R547" s="62" t="s">
        <v>2371</v>
      </c>
      <c r="S547" s="63" t="s">
        <v>726</v>
      </c>
      <c r="T547" s="63" t="s">
        <v>1081</v>
      </c>
      <c r="U547" s="64">
        <v>65000</v>
      </c>
      <c r="V547" s="64">
        <v>71500</v>
      </c>
      <c r="W547" s="64">
        <v>65000</v>
      </c>
      <c r="X547" s="64">
        <v>71500</v>
      </c>
      <c r="Y547" s="64">
        <v>0</v>
      </c>
      <c r="Z547" s="64">
        <v>0</v>
      </c>
      <c r="AA547" s="61">
        <v>44599</v>
      </c>
      <c r="AB547" s="61">
        <v>44600</v>
      </c>
      <c r="AC547" s="61">
        <v>44600</v>
      </c>
      <c r="AD547" s="60">
        <v>0</v>
      </c>
      <c r="AG547" s="60">
        <v>0</v>
      </c>
      <c r="AJ547" s="60">
        <v>0</v>
      </c>
      <c r="AM547" s="60" t="s">
        <v>1768</v>
      </c>
      <c r="AN547" s="157" t="s">
        <v>1048</v>
      </c>
      <c r="AQ547" s="60" t="s">
        <v>2235</v>
      </c>
      <c r="AR547" s="61">
        <v>44606</v>
      </c>
      <c r="AS547" s="60">
        <v>6001993041</v>
      </c>
      <c r="AT547" s="61">
        <v>44607</v>
      </c>
      <c r="AU547" s="60" t="s">
        <v>2311</v>
      </c>
      <c r="AV547" s="61">
        <v>44608</v>
      </c>
      <c r="AW547" s="91">
        <v>44620</v>
      </c>
      <c r="AX547" s="91">
        <v>44640</v>
      </c>
      <c r="AY547" s="107">
        <v>65000</v>
      </c>
      <c r="AZ547" s="107">
        <f>ROUNDDOWN(AY547+(AY547*MASTER!$A$2/100),0)</f>
        <v>71500</v>
      </c>
      <c r="BC547" s="64">
        <v>0</v>
      </c>
      <c r="BG547" s="64">
        <v>0</v>
      </c>
      <c r="BK547" s="64">
        <v>0</v>
      </c>
      <c r="BS547" s="64">
        <v>0</v>
      </c>
      <c r="BV547" s="65">
        <v>71500</v>
      </c>
      <c r="BW547" s="65">
        <v>0</v>
      </c>
      <c r="BX547" s="65">
        <v>44575</v>
      </c>
      <c r="BY547" s="65">
        <v>71500</v>
      </c>
      <c r="BZ547" s="81">
        <v>100</v>
      </c>
    </row>
    <row r="548" spans="1:78" x14ac:dyDescent="0.15">
      <c r="A548" s="60">
        <v>2</v>
      </c>
      <c r="B548" s="61">
        <v>44608</v>
      </c>
      <c r="C548" s="61">
        <v>44608</v>
      </c>
      <c r="D548" s="61">
        <v>44637</v>
      </c>
      <c r="F548" s="61">
        <v>44610</v>
      </c>
      <c r="H548" s="61">
        <v>44606</v>
      </c>
      <c r="I548" s="60" t="s">
        <v>774</v>
      </c>
      <c r="J548" s="60">
        <v>2</v>
      </c>
      <c r="L548" s="60">
        <v>0</v>
      </c>
      <c r="M548" s="61">
        <v>44575</v>
      </c>
      <c r="O548" s="62" t="s">
        <v>331</v>
      </c>
      <c r="P548" s="60" t="s">
        <v>77</v>
      </c>
      <c r="Q548" s="62" t="s">
        <v>40</v>
      </c>
      <c r="R548" s="62" t="s">
        <v>2372</v>
      </c>
      <c r="S548" s="63" t="s">
        <v>666</v>
      </c>
      <c r="T548" s="63" t="s">
        <v>1081</v>
      </c>
      <c r="U548" s="64">
        <v>65000</v>
      </c>
      <c r="V548" s="64">
        <v>71500</v>
      </c>
      <c r="W548" s="64">
        <v>65000</v>
      </c>
      <c r="X548" s="64">
        <v>71500</v>
      </c>
      <c r="Y548" s="64">
        <v>0</v>
      </c>
      <c r="Z548" s="64">
        <v>0</v>
      </c>
      <c r="AA548" s="61">
        <v>44602</v>
      </c>
      <c r="AB548" s="61">
        <v>44603</v>
      </c>
      <c r="AC548" s="61">
        <v>44603</v>
      </c>
      <c r="AD548" s="60">
        <v>0</v>
      </c>
      <c r="AG548" s="60">
        <v>0</v>
      </c>
      <c r="AJ548" s="60">
        <v>0</v>
      </c>
      <c r="AM548" s="60" t="s">
        <v>1768</v>
      </c>
      <c r="AN548" s="157" t="s">
        <v>1048</v>
      </c>
      <c r="AQ548" s="60" t="s">
        <v>2235</v>
      </c>
      <c r="AR548" s="61">
        <v>44606</v>
      </c>
      <c r="AS548" s="60">
        <v>6001993041</v>
      </c>
      <c r="AT548" s="61">
        <v>44607</v>
      </c>
      <c r="AU548" s="60" t="s">
        <v>2311</v>
      </c>
      <c r="AV548" s="61">
        <v>44608</v>
      </c>
      <c r="AW548" s="91">
        <v>44620</v>
      </c>
      <c r="AX548" s="91">
        <v>44640</v>
      </c>
      <c r="AY548" s="107">
        <v>65000</v>
      </c>
      <c r="AZ548" s="107">
        <f>ROUNDDOWN(AY548+(AY548*MASTER!$A$2/100),0)</f>
        <v>71500</v>
      </c>
      <c r="BC548" s="64">
        <v>0</v>
      </c>
      <c r="BG548" s="64">
        <v>0</v>
      </c>
      <c r="BK548" s="64">
        <v>0</v>
      </c>
      <c r="BS548" s="64">
        <v>0</v>
      </c>
      <c r="BV548" s="65">
        <v>71500</v>
      </c>
      <c r="BW548" s="65">
        <v>0</v>
      </c>
      <c r="BX548" s="65">
        <v>44575</v>
      </c>
      <c r="BY548" s="65">
        <v>71500</v>
      </c>
      <c r="BZ548" s="81">
        <v>100</v>
      </c>
    </row>
    <row r="549" spans="1:78" x14ac:dyDescent="0.15">
      <c r="A549" s="60">
        <v>2</v>
      </c>
      <c r="B549" s="61">
        <v>44608</v>
      </c>
      <c r="C549" s="61">
        <v>44608</v>
      </c>
      <c r="D549" s="61">
        <v>44637</v>
      </c>
      <c r="F549" s="61">
        <v>44608</v>
      </c>
      <c r="H549" s="61">
        <v>44604</v>
      </c>
      <c r="I549" s="60" t="s">
        <v>774</v>
      </c>
      <c r="J549" s="60">
        <v>2</v>
      </c>
      <c r="L549" s="60">
        <v>0</v>
      </c>
      <c r="M549" s="61">
        <v>44575</v>
      </c>
      <c r="O549" s="62" t="s">
        <v>331</v>
      </c>
      <c r="P549" s="60" t="s">
        <v>77</v>
      </c>
      <c r="Q549" s="62" t="s">
        <v>40</v>
      </c>
      <c r="R549" s="62" t="s">
        <v>2373</v>
      </c>
      <c r="S549" s="63" t="s">
        <v>1512</v>
      </c>
      <c r="T549" s="63" t="s">
        <v>1081</v>
      </c>
      <c r="U549" s="64">
        <v>65000</v>
      </c>
      <c r="V549" s="64">
        <v>71500</v>
      </c>
      <c r="W549" s="64">
        <v>65000</v>
      </c>
      <c r="X549" s="64">
        <v>71500</v>
      </c>
      <c r="Y549" s="64">
        <v>0</v>
      </c>
      <c r="Z549" s="64">
        <v>0</v>
      </c>
      <c r="AA549" s="61">
        <v>44600</v>
      </c>
      <c r="AB549" s="61">
        <v>44601</v>
      </c>
      <c r="AC549" s="61">
        <v>44601</v>
      </c>
      <c r="AD549" s="60">
        <v>0</v>
      </c>
      <c r="AG549" s="60">
        <v>0</v>
      </c>
      <c r="AJ549" s="60">
        <v>0</v>
      </c>
      <c r="AM549" s="60" t="s">
        <v>1768</v>
      </c>
      <c r="AN549" s="157" t="s">
        <v>1048</v>
      </c>
      <c r="AQ549" s="60" t="s">
        <v>2235</v>
      </c>
      <c r="AR549" s="61">
        <v>44606</v>
      </c>
      <c r="AS549" s="60">
        <v>6001993041</v>
      </c>
      <c r="AT549" s="61">
        <v>44607</v>
      </c>
      <c r="AU549" s="60" t="s">
        <v>2311</v>
      </c>
      <c r="AV549" s="61">
        <v>44608</v>
      </c>
      <c r="AW549" s="91">
        <v>44620</v>
      </c>
      <c r="AX549" s="91">
        <v>44640</v>
      </c>
      <c r="AY549" s="107">
        <v>65000</v>
      </c>
      <c r="AZ549" s="107">
        <f>ROUNDDOWN(AY549+(AY549*MASTER!$A$2/100),0)</f>
        <v>71500</v>
      </c>
      <c r="BC549" s="64">
        <v>0</v>
      </c>
      <c r="BG549" s="64">
        <v>0</v>
      </c>
      <c r="BK549" s="64">
        <v>0</v>
      </c>
      <c r="BS549" s="64">
        <v>0</v>
      </c>
      <c r="BV549" s="65">
        <v>71500</v>
      </c>
      <c r="BW549" s="65">
        <v>0</v>
      </c>
      <c r="BX549" s="65">
        <v>44575</v>
      </c>
      <c r="BY549" s="65">
        <v>71500</v>
      </c>
      <c r="BZ549" s="81">
        <v>100</v>
      </c>
    </row>
    <row r="550" spans="1:78" x14ac:dyDescent="0.15">
      <c r="A550" s="60">
        <v>2</v>
      </c>
      <c r="B550" s="61">
        <v>44608</v>
      </c>
      <c r="C550" s="61">
        <v>44608</v>
      </c>
      <c r="D550" s="61">
        <v>44637</v>
      </c>
      <c r="F550" s="61">
        <v>44609</v>
      </c>
      <c r="H550" s="61">
        <v>44605</v>
      </c>
      <c r="I550" s="60" t="s">
        <v>774</v>
      </c>
      <c r="J550" s="60">
        <v>2</v>
      </c>
      <c r="L550" s="60">
        <v>0</v>
      </c>
      <c r="M550" s="61">
        <v>44575</v>
      </c>
      <c r="O550" s="62" t="s">
        <v>331</v>
      </c>
      <c r="P550" s="60" t="s">
        <v>77</v>
      </c>
      <c r="Q550" s="62" t="s">
        <v>40</v>
      </c>
      <c r="R550" s="62" t="s">
        <v>2374</v>
      </c>
      <c r="S550" s="63" t="s">
        <v>371</v>
      </c>
      <c r="T550" s="63" t="s">
        <v>1081</v>
      </c>
      <c r="U550" s="64">
        <v>65000</v>
      </c>
      <c r="V550" s="64">
        <v>71500</v>
      </c>
      <c r="W550" s="64">
        <v>65000</v>
      </c>
      <c r="X550" s="64">
        <v>71500</v>
      </c>
      <c r="Y550" s="64">
        <v>0</v>
      </c>
      <c r="Z550" s="64">
        <v>0</v>
      </c>
      <c r="AA550" s="61">
        <v>44601</v>
      </c>
      <c r="AB550" s="61">
        <v>44602</v>
      </c>
      <c r="AC550" s="61">
        <v>44602</v>
      </c>
      <c r="AD550" s="60">
        <v>0</v>
      </c>
      <c r="AG550" s="60">
        <v>0</v>
      </c>
      <c r="AJ550" s="60">
        <v>0</v>
      </c>
      <c r="AM550" s="60" t="s">
        <v>1768</v>
      </c>
      <c r="AN550" s="157" t="s">
        <v>1048</v>
      </c>
      <c r="AQ550" s="60" t="s">
        <v>2235</v>
      </c>
      <c r="AR550" s="61">
        <v>44606</v>
      </c>
      <c r="AS550" s="60">
        <v>6001993041</v>
      </c>
      <c r="AT550" s="61">
        <v>44607</v>
      </c>
      <c r="AU550" s="60" t="s">
        <v>2311</v>
      </c>
      <c r="AV550" s="61">
        <v>44608</v>
      </c>
      <c r="AW550" s="91">
        <v>44620</v>
      </c>
      <c r="AX550" s="91">
        <v>44640</v>
      </c>
      <c r="AY550" s="107">
        <v>65000</v>
      </c>
      <c r="AZ550" s="107">
        <f>ROUNDDOWN(AY550+(AY550*MASTER!$A$2/100),0)</f>
        <v>71500</v>
      </c>
      <c r="BC550" s="64">
        <v>0</v>
      </c>
      <c r="BG550" s="64">
        <v>0</v>
      </c>
      <c r="BK550" s="64">
        <v>0</v>
      </c>
      <c r="BS550" s="64">
        <v>0</v>
      </c>
      <c r="BV550" s="65">
        <v>71500</v>
      </c>
      <c r="BW550" s="65">
        <v>0</v>
      </c>
      <c r="BX550" s="65">
        <v>44575</v>
      </c>
      <c r="BY550" s="65">
        <v>71500</v>
      </c>
      <c r="BZ550" s="81">
        <v>100</v>
      </c>
    </row>
    <row r="551" spans="1:78" x14ac:dyDescent="0.15">
      <c r="A551" s="60">
        <v>2</v>
      </c>
      <c r="B551" s="61">
        <v>44608</v>
      </c>
      <c r="C551" s="61">
        <v>44608</v>
      </c>
      <c r="D551" s="61">
        <v>44655</v>
      </c>
      <c r="F551" s="61">
        <v>44605</v>
      </c>
      <c r="H551" s="61">
        <v>44601</v>
      </c>
      <c r="J551" s="60">
        <v>2</v>
      </c>
      <c r="L551" s="60">
        <v>0</v>
      </c>
      <c r="M551" s="61">
        <v>44575</v>
      </c>
      <c r="O551" s="62" t="s">
        <v>331</v>
      </c>
      <c r="P551" s="60" t="s">
        <v>77</v>
      </c>
      <c r="Q551" s="62" t="s">
        <v>40</v>
      </c>
      <c r="R551" s="62" t="s">
        <v>2375</v>
      </c>
      <c r="S551" s="63" t="s">
        <v>2376</v>
      </c>
      <c r="T551" s="63" t="s">
        <v>1081</v>
      </c>
      <c r="U551" s="64">
        <v>65000</v>
      </c>
      <c r="V551" s="64">
        <v>71500</v>
      </c>
      <c r="W551" s="64">
        <v>65000</v>
      </c>
      <c r="X551" s="64">
        <v>71500</v>
      </c>
      <c r="Y551" s="64">
        <v>0</v>
      </c>
      <c r="Z551" s="64">
        <v>0</v>
      </c>
      <c r="AA551" s="61">
        <v>44597</v>
      </c>
      <c r="AB551" s="61">
        <v>44598</v>
      </c>
      <c r="AC551" s="61">
        <v>44598</v>
      </c>
      <c r="AD551" s="60">
        <v>0</v>
      </c>
      <c r="AG551" s="60">
        <v>0</v>
      </c>
      <c r="AJ551" s="60">
        <v>0</v>
      </c>
      <c r="AM551" s="60" t="s">
        <v>1768</v>
      </c>
      <c r="AN551" s="157" t="s">
        <v>1048</v>
      </c>
      <c r="AQ551" s="60" t="s">
        <v>2235</v>
      </c>
      <c r="AR551" s="61">
        <v>44606</v>
      </c>
      <c r="AS551" s="60">
        <v>6001993041</v>
      </c>
      <c r="AT551" s="61">
        <v>44607</v>
      </c>
      <c r="AU551" s="60" t="s">
        <v>2311</v>
      </c>
      <c r="AV551" s="61">
        <v>44608</v>
      </c>
      <c r="AW551" s="91">
        <v>44620</v>
      </c>
      <c r="AX551" s="91">
        <v>44640</v>
      </c>
      <c r="AY551" s="107">
        <v>65000</v>
      </c>
      <c r="AZ551" s="107">
        <f>ROUNDDOWN(AY551+(AY551*MASTER!$A$2/100),0)</f>
        <v>71500</v>
      </c>
      <c r="BA551" s="60" t="s">
        <v>765</v>
      </c>
      <c r="BC551" s="64">
        <v>0</v>
      </c>
      <c r="BG551" s="64">
        <v>0</v>
      </c>
      <c r="BK551" s="64">
        <v>0</v>
      </c>
      <c r="BS551" s="64">
        <v>0</v>
      </c>
      <c r="BV551" s="65">
        <v>71500</v>
      </c>
      <c r="BW551" s="65">
        <v>0</v>
      </c>
      <c r="BX551" s="65">
        <v>44575</v>
      </c>
      <c r="BY551" s="65">
        <v>71500</v>
      </c>
      <c r="BZ551" s="81">
        <v>100</v>
      </c>
    </row>
    <row r="552" spans="1:78" x14ac:dyDescent="0.15">
      <c r="A552" s="60">
        <v>2</v>
      </c>
      <c r="B552" s="61">
        <v>44629</v>
      </c>
      <c r="C552" s="61">
        <v>44651</v>
      </c>
      <c r="D552" s="61">
        <v>44655</v>
      </c>
      <c r="F552" s="61">
        <v>44631</v>
      </c>
      <c r="H552" s="61">
        <v>44627</v>
      </c>
      <c r="J552" s="60">
        <v>2</v>
      </c>
      <c r="L552" s="60">
        <v>0</v>
      </c>
      <c r="M552" s="61">
        <v>44575</v>
      </c>
      <c r="O552" s="62" t="s">
        <v>331</v>
      </c>
      <c r="P552" s="60" t="s">
        <v>77</v>
      </c>
      <c r="Q552" s="62" t="s">
        <v>40</v>
      </c>
      <c r="R552" s="62" t="s">
        <v>2627</v>
      </c>
      <c r="S552" s="63" t="s">
        <v>880</v>
      </c>
      <c r="T552" s="63" t="s">
        <v>1081</v>
      </c>
      <c r="U552" s="64">
        <v>65000</v>
      </c>
      <c r="V552" s="64">
        <v>71500</v>
      </c>
      <c r="W552" s="64">
        <v>65000</v>
      </c>
      <c r="X552" s="64">
        <v>71500</v>
      </c>
      <c r="Y552" s="64">
        <v>0</v>
      </c>
      <c r="Z552" s="64">
        <v>0</v>
      </c>
      <c r="AA552" s="61">
        <v>44623</v>
      </c>
      <c r="AB552" s="61">
        <v>44624</v>
      </c>
      <c r="AC552" s="61">
        <v>44624</v>
      </c>
      <c r="AD552" s="60">
        <v>0</v>
      </c>
      <c r="AG552" s="60">
        <v>0</v>
      </c>
      <c r="AJ552" s="60">
        <v>0</v>
      </c>
      <c r="AM552" s="60" t="s">
        <v>1768</v>
      </c>
      <c r="AN552" s="157" t="s">
        <v>1048</v>
      </c>
      <c r="AQ552" s="60" t="s">
        <v>2111</v>
      </c>
      <c r="AR552" s="61">
        <v>44595</v>
      </c>
      <c r="AS552" s="60">
        <v>6001988897</v>
      </c>
      <c r="AT552" s="61">
        <v>44595</v>
      </c>
      <c r="AU552" s="60" t="s">
        <v>2163</v>
      </c>
      <c r="AV552" s="61">
        <v>44651</v>
      </c>
      <c r="AW552" s="91">
        <v>44651</v>
      </c>
      <c r="AX552" s="91">
        <v>44671</v>
      </c>
      <c r="AY552" s="107">
        <v>65000</v>
      </c>
      <c r="AZ552" s="107">
        <f>ROUNDDOWN(AY552+(AY552*MASTER!$A$2/100),0)</f>
        <v>71500</v>
      </c>
      <c r="BA552" s="60" t="s">
        <v>765</v>
      </c>
      <c r="BC552" s="64">
        <v>0</v>
      </c>
      <c r="BG552" s="64">
        <v>0</v>
      </c>
      <c r="BK552" s="64">
        <v>0</v>
      </c>
      <c r="BS552" s="64">
        <v>0</v>
      </c>
      <c r="BV552" s="65">
        <v>71500</v>
      </c>
      <c r="BW552" s="65">
        <v>0</v>
      </c>
      <c r="BX552" s="65">
        <v>44575</v>
      </c>
      <c r="BY552" s="65">
        <v>71500</v>
      </c>
      <c r="BZ552" s="81">
        <v>100</v>
      </c>
    </row>
    <row r="553" spans="1:78" x14ac:dyDescent="0.15">
      <c r="A553" s="60">
        <v>2</v>
      </c>
      <c r="B553" s="61">
        <v>44629</v>
      </c>
      <c r="C553" s="61">
        <v>44651</v>
      </c>
      <c r="D553" s="61">
        <v>44655</v>
      </c>
      <c r="F553" s="61">
        <v>44642</v>
      </c>
      <c r="H553" s="61">
        <v>44638</v>
      </c>
      <c r="J553" s="60">
        <v>2</v>
      </c>
      <c r="L553" s="60">
        <v>0</v>
      </c>
      <c r="M553" s="61">
        <v>44575</v>
      </c>
      <c r="O553" s="62" t="s">
        <v>331</v>
      </c>
      <c r="P553" s="60" t="s">
        <v>77</v>
      </c>
      <c r="Q553" s="62" t="s">
        <v>40</v>
      </c>
      <c r="R553" s="62" t="s">
        <v>2626</v>
      </c>
      <c r="S553" s="63" t="s">
        <v>1732</v>
      </c>
      <c r="T553" s="63" t="s">
        <v>1081</v>
      </c>
      <c r="U553" s="64">
        <v>65000</v>
      </c>
      <c r="V553" s="64">
        <v>71500</v>
      </c>
      <c r="W553" s="64">
        <v>65000</v>
      </c>
      <c r="X553" s="64">
        <v>71500</v>
      </c>
      <c r="Y553" s="64">
        <v>0</v>
      </c>
      <c r="Z553" s="64">
        <v>0</v>
      </c>
      <c r="AA553" s="61">
        <v>44634</v>
      </c>
      <c r="AB553" s="61">
        <v>44635</v>
      </c>
      <c r="AC553" s="61">
        <v>44635</v>
      </c>
      <c r="AD553" s="60">
        <v>0</v>
      </c>
      <c r="AG553" s="60">
        <v>0</v>
      </c>
      <c r="AJ553" s="60">
        <v>0</v>
      </c>
      <c r="AM553" s="60" t="s">
        <v>1768</v>
      </c>
      <c r="AN553" s="157" t="s">
        <v>1048</v>
      </c>
      <c r="AQ553" s="60" t="s">
        <v>2111</v>
      </c>
      <c r="AR553" s="61">
        <v>44595</v>
      </c>
      <c r="AS553" s="60">
        <v>6001988897</v>
      </c>
      <c r="AT553" s="61">
        <v>44595</v>
      </c>
      <c r="AU553" s="60" t="s">
        <v>2163</v>
      </c>
      <c r="AV553" s="61">
        <v>44651</v>
      </c>
      <c r="AW553" s="91">
        <v>44651</v>
      </c>
      <c r="AX553" s="91">
        <v>44671</v>
      </c>
      <c r="AY553" s="107">
        <v>65000</v>
      </c>
      <c r="AZ553" s="107">
        <f>ROUNDDOWN(AY553+(AY553*MASTER!$A$2/100),0)</f>
        <v>71500</v>
      </c>
      <c r="BC553" s="64">
        <v>0</v>
      </c>
      <c r="BG553" s="64">
        <v>0</v>
      </c>
      <c r="BK553" s="64">
        <v>0</v>
      </c>
      <c r="BS553" s="64">
        <v>0</v>
      </c>
      <c r="BV553" s="65">
        <v>71500</v>
      </c>
      <c r="BW553" s="65">
        <v>0</v>
      </c>
      <c r="BX553" s="65">
        <v>44575</v>
      </c>
      <c r="BY553" s="65">
        <v>71500</v>
      </c>
      <c r="BZ553" s="81">
        <v>100</v>
      </c>
    </row>
    <row r="554" spans="1:78" x14ac:dyDescent="0.15">
      <c r="A554" s="60">
        <v>2</v>
      </c>
      <c r="B554" s="61">
        <v>44629</v>
      </c>
      <c r="C554" s="61">
        <v>44651</v>
      </c>
      <c r="D554" s="61">
        <v>44655</v>
      </c>
      <c r="F554" s="61">
        <v>44638</v>
      </c>
      <c r="H554" s="61">
        <v>44634</v>
      </c>
      <c r="J554" s="60">
        <v>2</v>
      </c>
      <c r="L554" s="60">
        <v>0</v>
      </c>
      <c r="M554" s="61">
        <v>44575</v>
      </c>
      <c r="O554" s="62" t="s">
        <v>331</v>
      </c>
      <c r="P554" s="60" t="s">
        <v>77</v>
      </c>
      <c r="Q554" s="62" t="s">
        <v>40</v>
      </c>
      <c r="R554" s="62" t="s">
        <v>2625</v>
      </c>
      <c r="S554" s="63" t="s">
        <v>1109</v>
      </c>
      <c r="T554" s="63" t="s">
        <v>1081</v>
      </c>
      <c r="U554" s="64">
        <v>65000</v>
      </c>
      <c r="V554" s="64">
        <v>71500</v>
      </c>
      <c r="W554" s="64">
        <v>65000</v>
      </c>
      <c r="X554" s="64">
        <v>71500</v>
      </c>
      <c r="Y554" s="64">
        <v>0</v>
      </c>
      <c r="Z554" s="64">
        <v>0</v>
      </c>
      <c r="AA554" s="61">
        <v>44630</v>
      </c>
      <c r="AB554" s="61">
        <v>44631</v>
      </c>
      <c r="AC554" s="61">
        <v>44631</v>
      </c>
      <c r="AD554" s="60">
        <v>0</v>
      </c>
      <c r="AG554" s="60">
        <v>0</v>
      </c>
      <c r="AJ554" s="60">
        <v>0</v>
      </c>
      <c r="AM554" s="60" t="s">
        <v>1768</v>
      </c>
      <c r="AN554" s="157" t="s">
        <v>1048</v>
      </c>
      <c r="AQ554" s="60" t="s">
        <v>2111</v>
      </c>
      <c r="AR554" s="61">
        <v>44595</v>
      </c>
      <c r="AS554" s="60">
        <v>6001988897</v>
      </c>
      <c r="AT554" s="61">
        <v>44595</v>
      </c>
      <c r="AU554" s="60" t="s">
        <v>2163</v>
      </c>
      <c r="AV554" s="61">
        <v>44651</v>
      </c>
      <c r="AW554" s="91">
        <v>44651</v>
      </c>
      <c r="AX554" s="91">
        <v>44671</v>
      </c>
      <c r="AY554" s="107">
        <v>65000</v>
      </c>
      <c r="AZ554" s="107">
        <f>ROUNDDOWN(AY554+(AY554*MASTER!$A$2/100),0)</f>
        <v>71500</v>
      </c>
      <c r="BC554" s="64">
        <v>0</v>
      </c>
      <c r="BG554" s="64">
        <v>0</v>
      </c>
      <c r="BK554" s="64">
        <v>0</v>
      </c>
      <c r="BS554" s="64">
        <v>0</v>
      </c>
      <c r="BV554" s="65">
        <v>71500</v>
      </c>
      <c r="BW554" s="65">
        <v>0</v>
      </c>
      <c r="BX554" s="65">
        <v>44575</v>
      </c>
      <c r="BY554" s="65">
        <v>71500</v>
      </c>
      <c r="BZ554" s="81">
        <v>100</v>
      </c>
    </row>
    <row r="555" spans="1:78" x14ac:dyDescent="0.15">
      <c r="A555" s="60">
        <v>2</v>
      </c>
      <c r="B555" s="61">
        <v>44629</v>
      </c>
      <c r="C555" s="61">
        <v>44651</v>
      </c>
      <c r="D555" s="61">
        <v>44655</v>
      </c>
      <c r="F555" s="61">
        <v>44636</v>
      </c>
      <c r="H555" s="61">
        <v>44632</v>
      </c>
      <c r="J555" s="60">
        <v>2</v>
      </c>
      <c r="L555" s="60">
        <v>0</v>
      </c>
      <c r="M555" s="61">
        <v>44575</v>
      </c>
      <c r="O555" s="62" t="s">
        <v>331</v>
      </c>
      <c r="P555" s="60" t="s">
        <v>77</v>
      </c>
      <c r="Q555" s="62" t="s">
        <v>40</v>
      </c>
      <c r="R555" s="62" t="s">
        <v>2624</v>
      </c>
      <c r="S555" s="63" t="s">
        <v>1656</v>
      </c>
      <c r="T555" s="63" t="s">
        <v>1081</v>
      </c>
      <c r="U555" s="64">
        <v>65000</v>
      </c>
      <c r="V555" s="64">
        <v>71500</v>
      </c>
      <c r="W555" s="64">
        <v>65000</v>
      </c>
      <c r="X555" s="64">
        <v>71500</v>
      </c>
      <c r="Y555" s="64">
        <v>0</v>
      </c>
      <c r="Z555" s="64">
        <v>0</v>
      </c>
      <c r="AA555" s="61">
        <v>44628</v>
      </c>
      <c r="AB555" s="61">
        <v>44629</v>
      </c>
      <c r="AC555" s="61">
        <v>44629</v>
      </c>
      <c r="AD555" s="60">
        <v>0</v>
      </c>
      <c r="AG555" s="60">
        <v>0</v>
      </c>
      <c r="AJ555" s="60">
        <v>0</v>
      </c>
      <c r="AM555" s="60" t="s">
        <v>1768</v>
      </c>
      <c r="AN555" s="157" t="s">
        <v>1048</v>
      </c>
      <c r="AQ555" s="60" t="s">
        <v>2110</v>
      </c>
      <c r="AR555" s="61">
        <v>44595</v>
      </c>
      <c r="AS555" s="60">
        <v>6001988897</v>
      </c>
      <c r="AT555" s="61">
        <v>44595</v>
      </c>
      <c r="AU555" s="60" t="s">
        <v>2163</v>
      </c>
      <c r="AV555" s="61">
        <v>44651</v>
      </c>
      <c r="AW555" s="91">
        <v>44651</v>
      </c>
      <c r="AX555" s="91">
        <v>44671</v>
      </c>
      <c r="AY555" s="107">
        <v>65000</v>
      </c>
      <c r="AZ555" s="107">
        <f>ROUNDDOWN(AY555+(AY555*MASTER!$A$2/100),0)</f>
        <v>71500</v>
      </c>
      <c r="BC555" s="64">
        <v>0</v>
      </c>
      <c r="BG555" s="64">
        <v>0</v>
      </c>
      <c r="BK555" s="64">
        <v>0</v>
      </c>
      <c r="BS555" s="64">
        <v>0</v>
      </c>
      <c r="BV555" s="65">
        <v>71500</v>
      </c>
      <c r="BW555" s="65">
        <v>0</v>
      </c>
      <c r="BX555" s="65">
        <v>44575</v>
      </c>
      <c r="BY555" s="65">
        <v>71500</v>
      </c>
      <c r="BZ555" s="81">
        <v>100</v>
      </c>
    </row>
    <row r="556" spans="1:78" x14ac:dyDescent="0.15">
      <c r="A556" s="60">
        <v>2</v>
      </c>
      <c r="B556" s="61">
        <v>44629</v>
      </c>
      <c r="C556" s="61">
        <v>44651</v>
      </c>
      <c r="D556" s="61">
        <v>44655</v>
      </c>
      <c r="F556" s="61">
        <v>44637</v>
      </c>
      <c r="H556" s="61">
        <v>44633</v>
      </c>
      <c r="J556" s="60">
        <v>2</v>
      </c>
      <c r="L556" s="60">
        <v>0</v>
      </c>
      <c r="M556" s="61">
        <v>44575</v>
      </c>
      <c r="O556" s="62" t="s">
        <v>331</v>
      </c>
      <c r="P556" s="60" t="s">
        <v>77</v>
      </c>
      <c r="Q556" s="62" t="s">
        <v>40</v>
      </c>
      <c r="R556" s="62" t="s">
        <v>2623</v>
      </c>
      <c r="S556" s="63" t="s">
        <v>540</v>
      </c>
      <c r="T556" s="63" t="s">
        <v>1081</v>
      </c>
      <c r="U556" s="64">
        <v>65000</v>
      </c>
      <c r="V556" s="64">
        <v>71500</v>
      </c>
      <c r="W556" s="64">
        <v>65000</v>
      </c>
      <c r="X556" s="64">
        <v>71500</v>
      </c>
      <c r="Y556" s="64">
        <v>0</v>
      </c>
      <c r="Z556" s="64">
        <v>0</v>
      </c>
      <c r="AA556" s="61">
        <v>44629</v>
      </c>
      <c r="AB556" s="61">
        <v>44630</v>
      </c>
      <c r="AC556" s="61">
        <v>44630</v>
      </c>
      <c r="AD556" s="60">
        <v>0</v>
      </c>
      <c r="AG556" s="60">
        <v>0</v>
      </c>
      <c r="AJ556" s="60">
        <v>0</v>
      </c>
      <c r="AM556" s="60" t="s">
        <v>1768</v>
      </c>
      <c r="AN556" s="157" t="s">
        <v>1048</v>
      </c>
      <c r="AQ556" s="60" t="s">
        <v>2110</v>
      </c>
      <c r="AR556" s="61">
        <v>44595</v>
      </c>
      <c r="AS556" s="60">
        <v>6001988897</v>
      </c>
      <c r="AT556" s="61">
        <v>44595</v>
      </c>
      <c r="AU556" s="60" t="s">
        <v>2163</v>
      </c>
      <c r="AV556" s="61">
        <v>44651</v>
      </c>
      <c r="AW556" s="91">
        <v>44651</v>
      </c>
      <c r="AX556" s="91">
        <v>44671</v>
      </c>
      <c r="AY556" s="107">
        <v>65000</v>
      </c>
      <c r="AZ556" s="107">
        <f>ROUNDDOWN(AY556+(AY556*MASTER!$A$2/100),0)</f>
        <v>71500</v>
      </c>
      <c r="BC556" s="64">
        <v>0</v>
      </c>
      <c r="BG556" s="64">
        <v>0</v>
      </c>
      <c r="BK556" s="64">
        <v>0</v>
      </c>
      <c r="BS556" s="64">
        <v>0</v>
      </c>
      <c r="BV556" s="65">
        <v>71500</v>
      </c>
      <c r="BW556" s="65">
        <v>0</v>
      </c>
      <c r="BX556" s="65">
        <v>44575</v>
      </c>
      <c r="BY556" s="65">
        <v>71500</v>
      </c>
      <c r="BZ556" s="81">
        <v>100</v>
      </c>
    </row>
    <row r="557" spans="1:78" x14ac:dyDescent="0.15">
      <c r="A557" s="60">
        <v>2</v>
      </c>
      <c r="B557" s="61">
        <v>44629</v>
      </c>
      <c r="C557" s="61">
        <v>44651</v>
      </c>
      <c r="D557" s="61">
        <v>44655</v>
      </c>
      <c r="F557" s="61">
        <v>44632</v>
      </c>
      <c r="H557" s="61">
        <v>44628</v>
      </c>
      <c r="J557" s="60">
        <v>2</v>
      </c>
      <c r="L557" s="60">
        <v>0</v>
      </c>
      <c r="M557" s="61">
        <v>44575</v>
      </c>
      <c r="O557" s="62" t="s">
        <v>331</v>
      </c>
      <c r="P557" s="60" t="s">
        <v>77</v>
      </c>
      <c r="Q557" s="62" t="s">
        <v>40</v>
      </c>
      <c r="R557" s="62" t="s">
        <v>2622</v>
      </c>
      <c r="S557" s="63" t="s">
        <v>577</v>
      </c>
      <c r="T557" s="63" t="s">
        <v>1081</v>
      </c>
      <c r="U557" s="64">
        <v>65000</v>
      </c>
      <c r="V557" s="64">
        <v>71500</v>
      </c>
      <c r="W557" s="64">
        <v>65000</v>
      </c>
      <c r="X557" s="64">
        <v>71500</v>
      </c>
      <c r="Y557" s="64">
        <v>0</v>
      </c>
      <c r="Z557" s="64">
        <v>0</v>
      </c>
      <c r="AA557" s="61">
        <v>44624</v>
      </c>
      <c r="AB557" s="61">
        <v>44625</v>
      </c>
      <c r="AC557" s="61">
        <v>44625</v>
      </c>
      <c r="AD557" s="60">
        <v>0</v>
      </c>
      <c r="AG557" s="60">
        <v>0</v>
      </c>
      <c r="AJ557" s="60">
        <v>0</v>
      </c>
      <c r="AM557" s="60" t="s">
        <v>1768</v>
      </c>
      <c r="AN557" s="157" t="s">
        <v>1048</v>
      </c>
      <c r="AQ557" s="60" t="s">
        <v>2110</v>
      </c>
      <c r="AR557" s="61">
        <v>44595</v>
      </c>
      <c r="AS557" s="60">
        <v>6001988897</v>
      </c>
      <c r="AT557" s="61">
        <v>44595</v>
      </c>
      <c r="AU557" s="60" t="s">
        <v>2163</v>
      </c>
      <c r="AV557" s="61">
        <v>44651</v>
      </c>
      <c r="AW557" s="91">
        <v>44651</v>
      </c>
      <c r="AX557" s="91">
        <v>44671</v>
      </c>
      <c r="AY557" s="107">
        <v>65000</v>
      </c>
      <c r="AZ557" s="107">
        <f>ROUNDDOWN(AY557+(AY557*MASTER!$A$2/100),0)</f>
        <v>71500</v>
      </c>
      <c r="BC557" s="64">
        <v>0</v>
      </c>
      <c r="BG557" s="64">
        <v>0</v>
      </c>
      <c r="BK557" s="64">
        <v>0</v>
      </c>
      <c r="BS557" s="64">
        <v>0</v>
      </c>
      <c r="BV557" s="65">
        <v>71500</v>
      </c>
      <c r="BW557" s="65">
        <v>0</v>
      </c>
      <c r="BX557" s="65">
        <v>44575</v>
      </c>
      <c r="BY557" s="65">
        <v>71500</v>
      </c>
      <c r="BZ557" s="81">
        <v>100</v>
      </c>
    </row>
    <row r="558" spans="1:78" x14ac:dyDescent="0.15">
      <c r="A558" s="60">
        <v>2</v>
      </c>
      <c r="B558" s="61">
        <v>44629</v>
      </c>
      <c r="C558" s="61">
        <v>44651</v>
      </c>
      <c r="D558" s="61">
        <v>44655</v>
      </c>
      <c r="F558" s="61">
        <v>44635</v>
      </c>
      <c r="H558" s="61">
        <v>44631</v>
      </c>
      <c r="J558" s="60">
        <v>2</v>
      </c>
      <c r="L558" s="60">
        <v>0</v>
      </c>
      <c r="M558" s="61">
        <v>44575</v>
      </c>
      <c r="O558" s="62" t="s">
        <v>331</v>
      </c>
      <c r="P558" s="60" t="s">
        <v>77</v>
      </c>
      <c r="Q558" s="62" t="s">
        <v>40</v>
      </c>
      <c r="R558" s="62" t="s">
        <v>2621</v>
      </c>
      <c r="S558" s="63" t="s">
        <v>700</v>
      </c>
      <c r="T558" s="63" t="s">
        <v>1081</v>
      </c>
      <c r="U558" s="64">
        <v>65000</v>
      </c>
      <c r="V558" s="64">
        <v>71500</v>
      </c>
      <c r="W558" s="64">
        <v>65000</v>
      </c>
      <c r="X558" s="64">
        <v>71500</v>
      </c>
      <c r="Y558" s="64">
        <v>0</v>
      </c>
      <c r="Z558" s="64">
        <v>0</v>
      </c>
      <c r="AA558" s="61">
        <v>44627</v>
      </c>
      <c r="AB558" s="61">
        <v>44628</v>
      </c>
      <c r="AC558" s="61">
        <v>44628</v>
      </c>
      <c r="AD558" s="60">
        <v>0</v>
      </c>
      <c r="AG558" s="60">
        <v>0</v>
      </c>
      <c r="AJ558" s="60">
        <v>0</v>
      </c>
      <c r="AM558" s="60" t="s">
        <v>1768</v>
      </c>
      <c r="AN558" s="157" t="s">
        <v>1048</v>
      </c>
      <c r="AQ558" s="60" t="s">
        <v>2110</v>
      </c>
      <c r="AR558" s="61">
        <v>44595</v>
      </c>
      <c r="AS558" s="60">
        <v>6001988897</v>
      </c>
      <c r="AT558" s="61">
        <v>44595</v>
      </c>
      <c r="AU558" s="60" t="s">
        <v>2163</v>
      </c>
      <c r="AV558" s="61">
        <v>44651</v>
      </c>
      <c r="AW558" s="91">
        <v>44651</v>
      </c>
      <c r="AX558" s="91">
        <v>44671</v>
      </c>
      <c r="AY558" s="107">
        <v>65000</v>
      </c>
      <c r="AZ558" s="107">
        <f>ROUNDDOWN(AY558+(AY558*MASTER!$A$2/100),0)</f>
        <v>71500</v>
      </c>
      <c r="BA558" s="60" t="s">
        <v>107</v>
      </c>
      <c r="BC558" s="64">
        <v>0</v>
      </c>
      <c r="BG558" s="64">
        <v>0</v>
      </c>
      <c r="BK558" s="64">
        <v>0</v>
      </c>
      <c r="BS558" s="64">
        <v>0</v>
      </c>
      <c r="BV558" s="65">
        <v>71500</v>
      </c>
      <c r="BW558" s="65">
        <v>0</v>
      </c>
      <c r="BX558" s="65">
        <v>44575</v>
      </c>
      <c r="BY558" s="65">
        <v>71500</v>
      </c>
      <c r="BZ558" s="81">
        <v>100</v>
      </c>
    </row>
    <row r="559" spans="1:78" x14ac:dyDescent="0.15">
      <c r="A559" s="60">
        <v>2</v>
      </c>
      <c r="B559" s="61">
        <v>44629</v>
      </c>
      <c r="C559" s="61">
        <v>44651</v>
      </c>
      <c r="D559" s="61">
        <v>44655</v>
      </c>
      <c r="F559" s="61">
        <v>44643</v>
      </c>
      <c r="H559" s="61">
        <v>44639</v>
      </c>
      <c r="J559" s="60">
        <v>2</v>
      </c>
      <c r="L559" s="60">
        <v>0</v>
      </c>
      <c r="M559" s="61">
        <v>44575</v>
      </c>
      <c r="O559" s="62" t="s">
        <v>331</v>
      </c>
      <c r="P559" s="60" t="s">
        <v>77</v>
      </c>
      <c r="Q559" s="62" t="s">
        <v>40</v>
      </c>
      <c r="R559" s="62" t="s">
        <v>2631</v>
      </c>
      <c r="S559" s="63" t="s">
        <v>828</v>
      </c>
      <c r="T559" s="63" t="s">
        <v>1081</v>
      </c>
      <c r="U559" s="64">
        <v>65000</v>
      </c>
      <c r="V559" s="64">
        <v>71500</v>
      </c>
      <c r="W559" s="64">
        <v>65000</v>
      </c>
      <c r="X559" s="64">
        <v>71500</v>
      </c>
      <c r="Y559" s="64">
        <v>0</v>
      </c>
      <c r="Z559" s="64">
        <v>0</v>
      </c>
      <c r="AA559" s="61">
        <v>44635</v>
      </c>
      <c r="AB559" s="61">
        <v>44636</v>
      </c>
      <c r="AC559" s="61">
        <v>44636</v>
      </c>
      <c r="AD559" s="60">
        <v>0</v>
      </c>
      <c r="AG559" s="60">
        <v>0</v>
      </c>
      <c r="AJ559" s="60">
        <v>0</v>
      </c>
      <c r="AM559" s="60" t="s">
        <v>1768</v>
      </c>
      <c r="AN559" s="157" t="s">
        <v>1048</v>
      </c>
      <c r="AQ559" s="60" t="s">
        <v>2110</v>
      </c>
      <c r="AR559" s="61">
        <v>44595</v>
      </c>
      <c r="AS559" s="60">
        <v>6001988897</v>
      </c>
      <c r="AT559" s="61">
        <v>44595</v>
      </c>
      <c r="AU559" s="60" t="s">
        <v>2163</v>
      </c>
      <c r="AV559" s="61">
        <v>44651</v>
      </c>
      <c r="AW559" s="91">
        <v>44651</v>
      </c>
      <c r="AX559" s="91">
        <v>44671</v>
      </c>
      <c r="AY559" s="107">
        <v>65000</v>
      </c>
      <c r="AZ559" s="107">
        <f>ROUNDDOWN(AY559+(AY559*MASTER!$A$2/100),0)</f>
        <v>71500</v>
      </c>
      <c r="BC559" s="64">
        <v>0</v>
      </c>
      <c r="BG559" s="64">
        <v>0</v>
      </c>
      <c r="BK559" s="64">
        <v>0</v>
      </c>
      <c r="BS559" s="64">
        <v>0</v>
      </c>
      <c r="BV559" s="65">
        <v>71500</v>
      </c>
      <c r="BW559" s="65">
        <v>0</v>
      </c>
      <c r="BX559" s="65">
        <v>44575</v>
      </c>
      <c r="BY559" s="65">
        <v>71500</v>
      </c>
      <c r="BZ559" s="81">
        <v>100</v>
      </c>
    </row>
    <row r="560" spans="1:78" x14ac:dyDescent="0.15">
      <c r="A560" s="60">
        <v>2</v>
      </c>
      <c r="B560" s="61">
        <v>44608</v>
      </c>
      <c r="C560" s="61">
        <v>44617</v>
      </c>
      <c r="D560" s="61">
        <v>44637</v>
      </c>
      <c r="F560" s="61">
        <v>44624</v>
      </c>
      <c r="H560" s="61">
        <v>44620</v>
      </c>
      <c r="I560" s="60" t="s">
        <v>774</v>
      </c>
      <c r="J560" s="60">
        <v>2</v>
      </c>
      <c r="L560" s="60">
        <v>0</v>
      </c>
      <c r="M560" s="61">
        <v>44575</v>
      </c>
      <c r="O560" s="62" t="s">
        <v>331</v>
      </c>
      <c r="P560" s="60" t="s">
        <v>77</v>
      </c>
      <c r="Q560" s="62" t="s">
        <v>40</v>
      </c>
      <c r="R560" s="62" t="s">
        <v>2377</v>
      </c>
      <c r="S560" s="63" t="s">
        <v>2378</v>
      </c>
      <c r="T560" s="63" t="s">
        <v>1081</v>
      </c>
      <c r="U560" s="64">
        <v>65000</v>
      </c>
      <c r="V560" s="64">
        <v>71500</v>
      </c>
      <c r="W560" s="64">
        <v>65000</v>
      </c>
      <c r="X560" s="64">
        <v>71500</v>
      </c>
      <c r="Y560" s="64">
        <v>0</v>
      </c>
      <c r="Z560" s="64">
        <v>0</v>
      </c>
      <c r="AA560" s="61">
        <v>44616</v>
      </c>
      <c r="AB560" s="61">
        <v>44617</v>
      </c>
      <c r="AC560" s="61">
        <v>44617</v>
      </c>
      <c r="AD560" s="60">
        <v>0</v>
      </c>
      <c r="AG560" s="60">
        <v>0</v>
      </c>
      <c r="AJ560" s="60">
        <v>0</v>
      </c>
      <c r="AM560" s="60" t="s">
        <v>1768</v>
      </c>
      <c r="AN560" s="157" t="s">
        <v>1048</v>
      </c>
      <c r="AQ560" s="60" t="s">
        <v>2235</v>
      </c>
      <c r="AR560" s="61">
        <v>44606</v>
      </c>
      <c r="AS560" s="60">
        <v>6001993041</v>
      </c>
      <c r="AT560" s="61">
        <v>44607</v>
      </c>
      <c r="AU560" s="60" t="s">
        <v>2311</v>
      </c>
      <c r="AV560" s="61">
        <v>44617</v>
      </c>
      <c r="AW560" s="91">
        <v>44620</v>
      </c>
      <c r="AX560" s="91">
        <v>44640</v>
      </c>
      <c r="AY560" s="107">
        <v>65000</v>
      </c>
      <c r="AZ560" s="107">
        <f>ROUNDDOWN(AY560+(AY560*MASTER!$A$2/100),0)</f>
        <v>71500</v>
      </c>
      <c r="BC560" s="64">
        <v>0</v>
      </c>
      <c r="BG560" s="64">
        <v>0</v>
      </c>
      <c r="BK560" s="64">
        <v>0</v>
      </c>
      <c r="BS560" s="64">
        <v>0</v>
      </c>
      <c r="BV560" s="65">
        <v>71500</v>
      </c>
      <c r="BW560" s="65">
        <v>0</v>
      </c>
      <c r="BX560" s="65">
        <v>44575</v>
      </c>
      <c r="BY560" s="65">
        <v>71500</v>
      </c>
      <c r="BZ560" s="81">
        <v>100</v>
      </c>
    </row>
    <row r="561" spans="1:89" x14ac:dyDescent="0.15">
      <c r="A561" s="60">
        <v>2</v>
      </c>
      <c r="B561" s="61">
        <v>44608</v>
      </c>
      <c r="C561" s="61">
        <v>44608</v>
      </c>
      <c r="D561" s="61">
        <v>44637</v>
      </c>
      <c r="F561" s="61">
        <v>44611</v>
      </c>
      <c r="H561" s="61">
        <v>44607</v>
      </c>
      <c r="I561" s="60" t="s">
        <v>774</v>
      </c>
      <c r="J561" s="60">
        <v>2</v>
      </c>
      <c r="L561" s="60">
        <v>0</v>
      </c>
      <c r="M561" s="61">
        <v>44575</v>
      </c>
      <c r="O561" s="62" t="s">
        <v>331</v>
      </c>
      <c r="P561" s="60" t="s">
        <v>77</v>
      </c>
      <c r="Q561" s="62" t="s">
        <v>40</v>
      </c>
      <c r="R561" s="62" t="s">
        <v>2379</v>
      </c>
      <c r="S561" s="63" t="s">
        <v>1230</v>
      </c>
      <c r="T561" s="63" t="s">
        <v>1081</v>
      </c>
      <c r="U561" s="64">
        <v>65000</v>
      </c>
      <c r="V561" s="64">
        <v>71500</v>
      </c>
      <c r="W561" s="64">
        <v>65000</v>
      </c>
      <c r="X561" s="64">
        <v>71500</v>
      </c>
      <c r="Y561" s="64">
        <v>0</v>
      </c>
      <c r="Z561" s="64">
        <v>0</v>
      </c>
      <c r="AA561" s="61">
        <v>44603</v>
      </c>
      <c r="AB561" s="61">
        <v>44604</v>
      </c>
      <c r="AC561" s="61">
        <v>44604</v>
      </c>
      <c r="AD561" s="60">
        <v>0</v>
      </c>
      <c r="AG561" s="60">
        <v>0</v>
      </c>
      <c r="AJ561" s="60">
        <v>0</v>
      </c>
      <c r="AM561" s="60" t="s">
        <v>1768</v>
      </c>
      <c r="AN561" s="157" t="s">
        <v>1048</v>
      </c>
      <c r="AQ561" s="60" t="s">
        <v>2267</v>
      </c>
      <c r="AR561" s="61">
        <v>44606</v>
      </c>
      <c r="AS561" s="60">
        <v>6001993157</v>
      </c>
      <c r="AT561" s="61">
        <v>44607</v>
      </c>
      <c r="AU561" s="60" t="s">
        <v>2316</v>
      </c>
      <c r="AV561" s="61">
        <v>44608</v>
      </c>
      <c r="AW561" s="91">
        <v>44620</v>
      </c>
      <c r="AX561" s="91">
        <v>44640</v>
      </c>
      <c r="AY561" s="107">
        <v>65000</v>
      </c>
      <c r="AZ561" s="107">
        <f>ROUNDDOWN(AY561+(AY561*MASTER!$A$2/100),0)</f>
        <v>71500</v>
      </c>
      <c r="BC561" s="64">
        <v>0</v>
      </c>
      <c r="BG561" s="64">
        <v>0</v>
      </c>
      <c r="BK561" s="64">
        <v>0</v>
      </c>
      <c r="BS561" s="64">
        <v>0</v>
      </c>
      <c r="BV561" s="65">
        <v>71500</v>
      </c>
      <c r="BW561" s="65">
        <v>0</v>
      </c>
      <c r="BX561" s="65">
        <v>44575</v>
      </c>
      <c r="BY561" s="65">
        <v>71500</v>
      </c>
      <c r="BZ561" s="81">
        <v>100</v>
      </c>
    </row>
    <row r="562" spans="1:89" s="152" customFormat="1" x14ac:dyDescent="0.15">
      <c r="A562" s="142">
        <v>3</v>
      </c>
      <c r="B562" s="143"/>
      <c r="C562" s="143" t="s">
        <v>309</v>
      </c>
      <c r="D562" s="143"/>
      <c r="E562" s="143"/>
      <c r="F562" s="143" t="s">
        <v>309</v>
      </c>
      <c r="G562" s="143"/>
      <c r="H562" s="143" t="s">
        <v>309</v>
      </c>
      <c r="I562" s="142"/>
      <c r="J562" s="142">
        <v>2</v>
      </c>
      <c r="K562" s="143"/>
      <c r="L562" s="142">
        <v>0</v>
      </c>
      <c r="M562" s="143">
        <v>44575</v>
      </c>
      <c r="N562" s="143"/>
      <c r="O562" s="144" t="s">
        <v>331</v>
      </c>
      <c r="P562" s="142" t="s">
        <v>77</v>
      </c>
      <c r="Q562" s="144" t="s">
        <v>40</v>
      </c>
      <c r="R562" s="144" t="s">
        <v>2238</v>
      </c>
      <c r="S562" s="145" t="s">
        <v>2055</v>
      </c>
      <c r="T562" s="145" t="s">
        <v>1081</v>
      </c>
      <c r="U562" s="146">
        <v>65000</v>
      </c>
      <c r="V562" s="146">
        <v>71500</v>
      </c>
      <c r="W562" s="146">
        <v>65000</v>
      </c>
      <c r="X562" s="146">
        <v>71500</v>
      </c>
      <c r="Y562" s="146">
        <v>0</v>
      </c>
      <c r="Z562" s="146">
        <v>0</v>
      </c>
      <c r="AA562" s="143"/>
      <c r="AB562" s="143"/>
      <c r="AC562" s="143"/>
      <c r="AD562" s="142">
        <v>0</v>
      </c>
      <c r="AE562" s="142"/>
      <c r="AF562" s="142"/>
      <c r="AG562" s="142">
        <v>0</v>
      </c>
      <c r="AH562" s="142"/>
      <c r="AI562" s="142"/>
      <c r="AJ562" s="142">
        <v>0</v>
      </c>
      <c r="AK562" s="142"/>
      <c r="AL562" s="142"/>
      <c r="AM562" s="142" t="s">
        <v>1768</v>
      </c>
      <c r="AN562" s="172" t="s">
        <v>1048</v>
      </c>
      <c r="AO562" s="143"/>
      <c r="AP562" s="142"/>
      <c r="AQ562" s="142"/>
      <c r="AR562" s="143"/>
      <c r="AS562" s="142"/>
      <c r="AT562" s="143"/>
      <c r="AU562" s="142"/>
      <c r="AV562" s="143"/>
      <c r="AW562" s="147"/>
      <c r="AX562" s="147"/>
      <c r="AY562" s="154">
        <v>65000</v>
      </c>
      <c r="AZ562" s="154">
        <f>ROUNDDOWN(AY562+(AY562*MASTER!$A$2/100),0)</f>
        <v>71500</v>
      </c>
      <c r="BA562" s="142"/>
      <c r="BB562" s="146"/>
      <c r="BC562" s="146">
        <v>0</v>
      </c>
      <c r="BD562" s="142"/>
      <c r="BE562" s="142"/>
      <c r="BF562" s="146"/>
      <c r="BG562" s="146">
        <v>0</v>
      </c>
      <c r="BH562" s="142"/>
      <c r="BI562" s="142"/>
      <c r="BJ562" s="146"/>
      <c r="BK562" s="146">
        <v>0</v>
      </c>
      <c r="BL562" s="142"/>
      <c r="BM562" s="146"/>
      <c r="BN562" s="146"/>
      <c r="BO562" s="146"/>
      <c r="BP562" s="146"/>
      <c r="BQ562" s="146"/>
      <c r="BR562" s="146"/>
      <c r="BS562" s="146">
        <v>0</v>
      </c>
      <c r="BT562" s="149"/>
      <c r="BU562" s="149"/>
      <c r="BV562" s="150">
        <v>71500</v>
      </c>
      <c r="BW562" s="150">
        <v>0</v>
      </c>
      <c r="BX562" s="150">
        <v>44575</v>
      </c>
      <c r="BY562" s="150">
        <v>71500</v>
      </c>
      <c r="BZ562" s="151">
        <v>100</v>
      </c>
      <c r="CA562" s="142"/>
      <c r="CB562" s="142"/>
      <c r="CC562" s="142"/>
      <c r="CD562" s="145" t="s">
        <v>2239</v>
      </c>
      <c r="CE562" s="143"/>
      <c r="CF562" s="143"/>
      <c r="CG562" s="143"/>
      <c r="CH562" s="143"/>
      <c r="CI562" s="143"/>
      <c r="CJ562" s="143"/>
      <c r="CK562" s="146"/>
    </row>
    <row r="563" spans="1:89" x14ac:dyDescent="0.15">
      <c r="A563" s="60">
        <v>2</v>
      </c>
      <c r="B563" s="61">
        <v>44608</v>
      </c>
      <c r="C563" s="61">
        <v>44616</v>
      </c>
      <c r="D563" s="61">
        <v>44637</v>
      </c>
      <c r="F563" s="61">
        <v>44623</v>
      </c>
      <c r="H563" s="61">
        <v>44619</v>
      </c>
      <c r="I563" s="60" t="s">
        <v>774</v>
      </c>
      <c r="J563" s="60">
        <v>2</v>
      </c>
      <c r="L563" s="60">
        <v>0</v>
      </c>
      <c r="M563" s="61">
        <v>44575</v>
      </c>
      <c r="O563" s="62" t="s">
        <v>331</v>
      </c>
      <c r="P563" s="60" t="s">
        <v>77</v>
      </c>
      <c r="Q563" s="62" t="s">
        <v>40</v>
      </c>
      <c r="R563" s="62" t="s">
        <v>2380</v>
      </c>
      <c r="S563" s="63" t="s">
        <v>717</v>
      </c>
      <c r="T563" s="63" t="s">
        <v>1081</v>
      </c>
      <c r="U563" s="64">
        <v>65000</v>
      </c>
      <c r="V563" s="64">
        <v>71500</v>
      </c>
      <c r="W563" s="64">
        <v>65000</v>
      </c>
      <c r="X563" s="64">
        <v>71500</v>
      </c>
      <c r="Y563" s="64">
        <v>0</v>
      </c>
      <c r="Z563" s="64">
        <v>0</v>
      </c>
      <c r="AA563" s="61">
        <v>44615</v>
      </c>
      <c r="AB563" s="61">
        <v>44616</v>
      </c>
      <c r="AC563" s="61">
        <v>44616</v>
      </c>
      <c r="AD563" s="60">
        <v>0</v>
      </c>
      <c r="AG563" s="60">
        <v>0</v>
      </c>
      <c r="AJ563" s="60">
        <v>0</v>
      </c>
      <c r="AM563" s="60" t="s">
        <v>1768</v>
      </c>
      <c r="AN563" s="157" t="s">
        <v>1048</v>
      </c>
      <c r="AQ563" s="60" t="s">
        <v>2267</v>
      </c>
      <c r="AR563" s="61">
        <v>44606</v>
      </c>
      <c r="AS563" s="60">
        <v>6001993157</v>
      </c>
      <c r="AT563" s="61">
        <v>44607</v>
      </c>
      <c r="AU563" s="60" t="s">
        <v>2316</v>
      </c>
      <c r="AV563" s="61">
        <v>44616</v>
      </c>
      <c r="AW563" s="91">
        <v>44620</v>
      </c>
      <c r="AX563" s="91">
        <v>44640</v>
      </c>
      <c r="AY563" s="107">
        <v>65000</v>
      </c>
      <c r="AZ563" s="107">
        <f>ROUNDDOWN(AY563+(AY563*MASTER!$A$2/100),0)</f>
        <v>71500</v>
      </c>
      <c r="BC563" s="64">
        <v>0</v>
      </c>
      <c r="BG563" s="64">
        <v>0</v>
      </c>
      <c r="BK563" s="64">
        <v>0</v>
      </c>
      <c r="BS563" s="64">
        <v>0</v>
      </c>
      <c r="BV563" s="65">
        <v>71500</v>
      </c>
      <c r="BW563" s="65">
        <v>0</v>
      </c>
      <c r="BX563" s="65">
        <v>44575</v>
      </c>
      <c r="BY563" s="65">
        <v>71500</v>
      </c>
      <c r="BZ563" s="81">
        <v>100</v>
      </c>
    </row>
    <row r="564" spans="1:89" s="152" customFormat="1" x14ac:dyDescent="0.15">
      <c r="A564" s="142">
        <v>3</v>
      </c>
      <c r="B564" s="143"/>
      <c r="C564" s="143" t="s">
        <v>309</v>
      </c>
      <c r="D564" s="143"/>
      <c r="E564" s="143"/>
      <c r="F564" s="143" t="s">
        <v>309</v>
      </c>
      <c r="G564" s="143"/>
      <c r="H564" s="143" t="s">
        <v>309</v>
      </c>
      <c r="I564" s="142"/>
      <c r="J564" s="142">
        <v>2</v>
      </c>
      <c r="K564" s="143"/>
      <c r="L564" s="142">
        <v>0</v>
      </c>
      <c r="M564" s="143">
        <v>44575</v>
      </c>
      <c r="N564" s="143"/>
      <c r="O564" s="144" t="s">
        <v>331</v>
      </c>
      <c r="P564" s="142" t="s">
        <v>77</v>
      </c>
      <c r="Q564" s="144" t="s">
        <v>40</v>
      </c>
      <c r="R564" s="144" t="s">
        <v>2240</v>
      </c>
      <c r="S564" s="145" t="s">
        <v>1767</v>
      </c>
      <c r="T564" s="145" t="s">
        <v>1081</v>
      </c>
      <c r="U564" s="146">
        <v>65000</v>
      </c>
      <c r="V564" s="146">
        <v>71500</v>
      </c>
      <c r="W564" s="146">
        <v>65000</v>
      </c>
      <c r="X564" s="146">
        <v>71500</v>
      </c>
      <c r="Y564" s="146">
        <v>0</v>
      </c>
      <c r="Z564" s="146">
        <v>0</v>
      </c>
      <c r="AA564" s="143"/>
      <c r="AB564" s="143"/>
      <c r="AC564" s="143"/>
      <c r="AD564" s="142">
        <v>0</v>
      </c>
      <c r="AE564" s="142"/>
      <c r="AF564" s="142"/>
      <c r="AG564" s="142">
        <v>0</v>
      </c>
      <c r="AH564" s="142"/>
      <c r="AI564" s="142"/>
      <c r="AJ564" s="142">
        <v>0</v>
      </c>
      <c r="AK564" s="142"/>
      <c r="AL564" s="142"/>
      <c r="AM564" s="142" t="s">
        <v>1768</v>
      </c>
      <c r="AN564" s="172" t="s">
        <v>1048</v>
      </c>
      <c r="AO564" s="143"/>
      <c r="AP564" s="142"/>
      <c r="AQ564" s="142"/>
      <c r="AR564" s="143"/>
      <c r="AS564" s="142"/>
      <c r="AT564" s="143"/>
      <c r="AU564" s="142"/>
      <c r="AV564" s="143"/>
      <c r="AW564" s="147"/>
      <c r="AX564" s="147"/>
      <c r="AY564" s="154">
        <v>65000</v>
      </c>
      <c r="AZ564" s="154">
        <f>ROUNDDOWN(AY564+(AY564*MASTER!$A$2/100),0)</f>
        <v>71500</v>
      </c>
      <c r="BA564" s="142"/>
      <c r="BB564" s="146"/>
      <c r="BC564" s="146">
        <v>0</v>
      </c>
      <c r="BD564" s="142"/>
      <c r="BE564" s="142"/>
      <c r="BF564" s="146"/>
      <c r="BG564" s="146">
        <v>0</v>
      </c>
      <c r="BH564" s="142"/>
      <c r="BI564" s="142"/>
      <c r="BJ564" s="146"/>
      <c r="BK564" s="146">
        <v>0</v>
      </c>
      <c r="BL564" s="142"/>
      <c r="BM564" s="146"/>
      <c r="BN564" s="146"/>
      <c r="BO564" s="146"/>
      <c r="BP564" s="146"/>
      <c r="BQ564" s="146"/>
      <c r="BR564" s="146"/>
      <c r="BS564" s="146">
        <v>0</v>
      </c>
      <c r="BT564" s="149"/>
      <c r="BU564" s="149"/>
      <c r="BV564" s="150">
        <v>71500</v>
      </c>
      <c r="BW564" s="150">
        <v>0</v>
      </c>
      <c r="BX564" s="150">
        <v>44575</v>
      </c>
      <c r="BY564" s="150">
        <v>71500</v>
      </c>
      <c r="BZ564" s="151">
        <v>100</v>
      </c>
      <c r="CA564" s="142"/>
      <c r="CB564" s="142"/>
      <c r="CC564" s="142"/>
      <c r="CD564" s="145" t="s">
        <v>2239</v>
      </c>
      <c r="CE564" s="143"/>
      <c r="CF564" s="143"/>
      <c r="CG564" s="143"/>
      <c r="CH564" s="143"/>
      <c r="CI564" s="143"/>
      <c r="CJ564" s="143"/>
      <c r="CK564" s="146"/>
    </row>
    <row r="565" spans="1:89" x14ac:dyDescent="0.15">
      <c r="A565" s="60">
        <v>2</v>
      </c>
      <c r="B565" s="61">
        <v>44608</v>
      </c>
      <c r="C565" s="61">
        <v>44615</v>
      </c>
      <c r="D565" s="61">
        <v>44637</v>
      </c>
      <c r="F565" s="61">
        <v>44622</v>
      </c>
      <c r="H565" s="61">
        <v>44618</v>
      </c>
      <c r="I565" s="60" t="s">
        <v>774</v>
      </c>
      <c r="J565" s="60">
        <v>2</v>
      </c>
      <c r="L565" s="60">
        <v>0</v>
      </c>
      <c r="M565" s="61">
        <v>44575</v>
      </c>
      <c r="O565" s="62" t="s">
        <v>331</v>
      </c>
      <c r="P565" s="60" t="s">
        <v>77</v>
      </c>
      <c r="Q565" s="62" t="s">
        <v>40</v>
      </c>
      <c r="R565" s="62" t="s">
        <v>2381</v>
      </c>
      <c r="S565" s="63" t="s">
        <v>1113</v>
      </c>
      <c r="T565" s="63" t="s">
        <v>1081</v>
      </c>
      <c r="U565" s="64">
        <v>65000</v>
      </c>
      <c r="V565" s="64">
        <v>71500</v>
      </c>
      <c r="W565" s="64">
        <v>65000</v>
      </c>
      <c r="X565" s="64">
        <v>71500</v>
      </c>
      <c r="Y565" s="64">
        <v>0</v>
      </c>
      <c r="Z565" s="64">
        <v>0</v>
      </c>
      <c r="AA565" s="61">
        <v>44614</v>
      </c>
      <c r="AB565" s="61">
        <v>44615</v>
      </c>
      <c r="AC565" s="61">
        <v>44615</v>
      </c>
      <c r="AD565" s="60">
        <v>0</v>
      </c>
      <c r="AG565" s="60">
        <v>0</v>
      </c>
      <c r="AJ565" s="60">
        <v>0</v>
      </c>
      <c r="AM565" s="60" t="s">
        <v>1768</v>
      </c>
      <c r="AN565" s="157" t="s">
        <v>1048</v>
      </c>
      <c r="AQ565" s="60" t="s">
        <v>2267</v>
      </c>
      <c r="AR565" s="61">
        <v>44606</v>
      </c>
      <c r="AS565" s="60">
        <v>6001993157</v>
      </c>
      <c r="AT565" s="61">
        <v>44607</v>
      </c>
      <c r="AU565" s="60" t="s">
        <v>2316</v>
      </c>
      <c r="AV565" s="61">
        <v>44615</v>
      </c>
      <c r="AW565" s="91">
        <v>44620</v>
      </c>
      <c r="AX565" s="91">
        <v>44640</v>
      </c>
      <c r="AY565" s="107">
        <v>65000</v>
      </c>
      <c r="AZ565" s="107">
        <f>ROUNDDOWN(AY565+(AY565*MASTER!$A$2/100),0)</f>
        <v>71500</v>
      </c>
      <c r="BC565" s="64">
        <v>0</v>
      </c>
      <c r="BG565" s="64">
        <v>0</v>
      </c>
      <c r="BK565" s="64">
        <v>0</v>
      </c>
      <c r="BS565" s="64">
        <v>0</v>
      </c>
      <c r="BV565" s="65">
        <v>71500</v>
      </c>
      <c r="BW565" s="65">
        <v>0</v>
      </c>
      <c r="BX565" s="65">
        <v>44575</v>
      </c>
      <c r="BY565" s="65">
        <v>71500</v>
      </c>
      <c r="BZ565" s="81">
        <v>100</v>
      </c>
    </row>
    <row r="566" spans="1:89" x14ac:dyDescent="0.15">
      <c r="A566" s="60">
        <v>1</v>
      </c>
      <c r="B566" s="61">
        <v>44585</v>
      </c>
      <c r="C566" s="61">
        <v>44589</v>
      </c>
      <c r="F566" s="61" t="s">
        <v>309</v>
      </c>
      <c r="H566" s="61" t="s">
        <v>309</v>
      </c>
      <c r="J566" s="60">
        <v>3</v>
      </c>
      <c r="K566" s="61">
        <v>44575</v>
      </c>
      <c r="L566" s="60" t="s">
        <v>529</v>
      </c>
      <c r="M566" s="61">
        <v>44575</v>
      </c>
      <c r="O566" s="62" t="s">
        <v>331</v>
      </c>
      <c r="P566" s="60" t="s">
        <v>26</v>
      </c>
      <c r="Q566" s="62" t="s">
        <v>40</v>
      </c>
      <c r="R566" s="62" t="s">
        <v>1769</v>
      </c>
      <c r="S566" s="63" t="s">
        <v>1770</v>
      </c>
      <c r="T566" s="63" t="s">
        <v>1771</v>
      </c>
      <c r="U566" s="64">
        <v>175000</v>
      </c>
      <c r="V566" s="64">
        <v>192500</v>
      </c>
      <c r="W566" s="64">
        <v>0</v>
      </c>
      <c r="X566" s="64">
        <v>0</v>
      </c>
      <c r="Y566" s="64">
        <v>175000</v>
      </c>
      <c r="Z566" s="64">
        <v>192500</v>
      </c>
      <c r="AA566" s="61">
        <v>44585</v>
      </c>
      <c r="AB566" s="61">
        <v>44589</v>
      </c>
      <c r="AD566" s="60">
        <v>0</v>
      </c>
      <c r="AG566" s="60">
        <v>0</v>
      </c>
      <c r="AJ566" s="60">
        <v>0</v>
      </c>
      <c r="AN566" s="60" t="s">
        <v>309</v>
      </c>
      <c r="AQ566" s="60" t="s">
        <v>1823</v>
      </c>
      <c r="AR566" s="61">
        <v>44581</v>
      </c>
      <c r="AS566" s="60">
        <v>6001982753</v>
      </c>
      <c r="AT566" s="61">
        <v>44581</v>
      </c>
      <c r="AU566" s="60" t="s">
        <v>1861</v>
      </c>
      <c r="AV566" s="61">
        <v>44589</v>
      </c>
      <c r="AW566" s="91">
        <v>44592</v>
      </c>
      <c r="AX566" s="91">
        <v>44612</v>
      </c>
      <c r="AY566" s="107">
        <v>175000</v>
      </c>
      <c r="AZ566" s="107">
        <f>ROUNDDOWN(AY566+(AY566*MASTER!$A$2/100),0)</f>
        <v>192500</v>
      </c>
      <c r="BC566" s="64">
        <v>0</v>
      </c>
      <c r="BG566" s="64">
        <v>0</v>
      </c>
      <c r="BI566" s="60" t="s">
        <v>267</v>
      </c>
      <c r="BJ566" s="64">
        <v>113750</v>
      </c>
      <c r="BK566" s="64">
        <v>125125</v>
      </c>
      <c r="BL566" s="60" t="s">
        <v>1469</v>
      </c>
      <c r="BS566" s="64">
        <v>0</v>
      </c>
      <c r="BV566" s="65">
        <v>0</v>
      </c>
      <c r="BW566" s="65">
        <v>125125</v>
      </c>
      <c r="BX566" s="65">
        <v>0</v>
      </c>
      <c r="BY566" s="65">
        <v>44575</v>
      </c>
      <c r="BZ566" s="81" t="s">
        <v>309</v>
      </c>
    </row>
    <row r="567" spans="1:89" x14ac:dyDescent="0.15">
      <c r="A567" s="60">
        <v>2</v>
      </c>
      <c r="B567" s="61">
        <v>44594</v>
      </c>
      <c r="C567" s="61">
        <v>44596</v>
      </c>
      <c r="D567" s="61" t="s">
        <v>764</v>
      </c>
      <c r="E567" s="61">
        <v>44618</v>
      </c>
      <c r="F567" s="61">
        <v>44600</v>
      </c>
      <c r="G567" s="61">
        <v>44593</v>
      </c>
      <c r="H567" s="61">
        <v>44596</v>
      </c>
      <c r="I567" s="60" t="s">
        <v>612</v>
      </c>
      <c r="J567" s="60">
        <v>1</v>
      </c>
      <c r="L567" s="60">
        <v>0</v>
      </c>
      <c r="M567" s="61">
        <v>44575</v>
      </c>
      <c r="O567" s="62" t="s">
        <v>331</v>
      </c>
      <c r="P567" s="60" t="s">
        <v>26</v>
      </c>
      <c r="Q567" s="62" t="s">
        <v>40</v>
      </c>
      <c r="R567" s="62" t="s">
        <v>2125</v>
      </c>
      <c r="S567" s="63" t="s">
        <v>659</v>
      </c>
      <c r="T567" s="63" t="s">
        <v>2126</v>
      </c>
      <c r="U567" s="64">
        <v>23900</v>
      </c>
      <c r="V567" s="64">
        <v>26290</v>
      </c>
      <c r="W567" s="64">
        <v>14700</v>
      </c>
      <c r="X567" s="64">
        <v>16170</v>
      </c>
      <c r="Y567" s="64">
        <v>9200</v>
      </c>
      <c r="Z567" s="64">
        <v>10120</v>
      </c>
      <c r="AA567" s="61">
        <v>44592</v>
      </c>
      <c r="AB567" s="61">
        <v>44593</v>
      </c>
      <c r="AC567" s="61">
        <v>44593</v>
      </c>
      <c r="AD567" s="60">
        <v>0</v>
      </c>
      <c r="AG567" s="60">
        <v>0</v>
      </c>
      <c r="AJ567" s="60">
        <v>0</v>
      </c>
      <c r="AM567" s="60" t="s">
        <v>273</v>
      </c>
      <c r="AN567" s="60" t="s">
        <v>2127</v>
      </c>
      <c r="AQ567" s="60" t="s">
        <v>2040</v>
      </c>
      <c r="AR567" s="61">
        <v>44592</v>
      </c>
      <c r="AS567" s="60">
        <v>6001987489</v>
      </c>
      <c r="AT567" s="61">
        <v>44593</v>
      </c>
      <c r="AU567" s="60" t="s">
        <v>2076</v>
      </c>
      <c r="AV567" s="61">
        <v>44596</v>
      </c>
      <c r="AW567" s="91">
        <v>44620</v>
      </c>
      <c r="AX567" s="91">
        <v>44640</v>
      </c>
      <c r="AY567" s="99">
        <v>22944</v>
      </c>
      <c r="AZ567" s="99">
        <f>ROUNDDOWN(AY567+(AY567*MASTER!$A$2/100),0)</f>
        <v>25238</v>
      </c>
      <c r="BA567" s="60" t="s">
        <v>765</v>
      </c>
      <c r="BC567" s="64">
        <v>0</v>
      </c>
      <c r="BG567" s="64">
        <v>0</v>
      </c>
      <c r="BI567" s="60" t="s">
        <v>267</v>
      </c>
      <c r="BJ567" s="64">
        <v>5980</v>
      </c>
      <c r="BK567" s="64">
        <v>6578</v>
      </c>
      <c r="BL567" s="60" t="s">
        <v>2044</v>
      </c>
      <c r="BS567" s="64">
        <v>0</v>
      </c>
      <c r="BV567" s="65">
        <v>16170</v>
      </c>
      <c r="BW567" s="65">
        <v>6578</v>
      </c>
      <c r="BX567" s="65">
        <v>44575</v>
      </c>
      <c r="BY567" s="65">
        <v>9592</v>
      </c>
      <c r="BZ567" s="81">
        <v>59.319727891156461</v>
      </c>
    </row>
    <row r="568" spans="1:89" x14ac:dyDescent="0.15">
      <c r="A568" s="60">
        <v>1</v>
      </c>
      <c r="B568" s="61">
        <v>44620</v>
      </c>
      <c r="C568" s="61">
        <v>44651</v>
      </c>
      <c r="F568" s="61" t="s">
        <v>309</v>
      </c>
      <c r="H568" s="61" t="s">
        <v>309</v>
      </c>
      <c r="J568" s="60">
        <v>3</v>
      </c>
      <c r="L568" s="60">
        <v>0</v>
      </c>
      <c r="M568" s="61">
        <v>44575</v>
      </c>
      <c r="O568" s="62" t="s">
        <v>331</v>
      </c>
      <c r="P568" s="60" t="s">
        <v>6</v>
      </c>
      <c r="Q568" s="62" t="s">
        <v>40</v>
      </c>
      <c r="R568" s="62" t="s">
        <v>1972</v>
      </c>
      <c r="S568" s="63" t="s">
        <v>567</v>
      </c>
      <c r="T568" s="63" t="s">
        <v>463</v>
      </c>
      <c r="U568" s="64">
        <v>9000</v>
      </c>
      <c r="V568" s="64">
        <v>9900</v>
      </c>
      <c r="W568" s="64">
        <v>0</v>
      </c>
      <c r="X568" s="64">
        <v>0</v>
      </c>
      <c r="Y568" s="64">
        <v>9000</v>
      </c>
      <c r="Z568" s="64">
        <v>9900</v>
      </c>
      <c r="AD568" s="60">
        <v>0</v>
      </c>
      <c r="AG568" s="60">
        <v>0</v>
      </c>
      <c r="AJ568" s="60">
        <v>0</v>
      </c>
      <c r="AN568" s="60" t="s">
        <v>309</v>
      </c>
      <c r="AQ568" s="60" t="s">
        <v>1983</v>
      </c>
      <c r="AR568" s="61">
        <v>44588</v>
      </c>
      <c r="AS568" s="60">
        <v>6001985465</v>
      </c>
      <c r="AT568" s="61">
        <v>44588</v>
      </c>
      <c r="AU568" s="60" t="s">
        <v>1984</v>
      </c>
      <c r="AV568" s="61">
        <v>44651</v>
      </c>
      <c r="AW568" s="91">
        <v>44620</v>
      </c>
      <c r="AX568" s="91">
        <v>44640</v>
      </c>
      <c r="AY568" s="99">
        <v>8640</v>
      </c>
      <c r="AZ568" s="99">
        <f>ROUNDDOWN(AY568+(AY568*MASTER!$A$2/100),0)</f>
        <v>9504</v>
      </c>
      <c r="BC568" s="64">
        <v>0</v>
      </c>
      <c r="BG568" s="64">
        <v>0</v>
      </c>
      <c r="BK568" s="64">
        <v>0</v>
      </c>
      <c r="BS568" s="64">
        <v>0</v>
      </c>
      <c r="BV568" s="65">
        <v>0</v>
      </c>
      <c r="BW568" s="65">
        <v>0</v>
      </c>
      <c r="BX568" s="65">
        <v>44575</v>
      </c>
      <c r="BY568" s="65">
        <v>0</v>
      </c>
      <c r="BZ568" s="81" t="s">
        <v>309</v>
      </c>
      <c r="CD568" s="63" t="s">
        <v>2524</v>
      </c>
    </row>
    <row r="569" spans="1:89" x14ac:dyDescent="0.15">
      <c r="A569" s="60">
        <v>2</v>
      </c>
      <c r="B569" s="61">
        <v>44592</v>
      </c>
      <c r="C569" s="61">
        <v>44593</v>
      </c>
      <c r="D569" s="61">
        <v>44622</v>
      </c>
      <c r="E569" s="61">
        <v>44618</v>
      </c>
      <c r="F569" s="61">
        <v>44600</v>
      </c>
      <c r="G569" s="61">
        <v>44593</v>
      </c>
      <c r="H569" s="61">
        <v>44596</v>
      </c>
      <c r="I569" s="60" t="s">
        <v>612</v>
      </c>
      <c r="J569" s="60">
        <v>1</v>
      </c>
      <c r="L569" s="60">
        <v>0</v>
      </c>
      <c r="M569" s="61">
        <v>44575</v>
      </c>
      <c r="O569" s="62" t="s">
        <v>331</v>
      </c>
      <c r="P569" s="60" t="s">
        <v>26</v>
      </c>
      <c r="Q569" s="62" t="s">
        <v>40</v>
      </c>
      <c r="R569" s="62" t="s">
        <v>1772</v>
      </c>
      <c r="S569" s="63" t="s">
        <v>497</v>
      </c>
      <c r="T569" s="63" t="s">
        <v>498</v>
      </c>
      <c r="U569" s="64">
        <v>50000</v>
      </c>
      <c r="V569" s="64">
        <v>55000</v>
      </c>
      <c r="W569" s="64">
        <v>47000</v>
      </c>
      <c r="X569" s="64">
        <v>51700</v>
      </c>
      <c r="Y569" s="64">
        <v>3000</v>
      </c>
      <c r="Z569" s="64">
        <v>3300</v>
      </c>
      <c r="AA569" s="61">
        <v>44592</v>
      </c>
      <c r="AB569" s="61">
        <v>44593</v>
      </c>
      <c r="AC569" s="61">
        <v>44593</v>
      </c>
      <c r="AD569" s="60">
        <v>0</v>
      </c>
      <c r="AG569" s="60">
        <v>0</v>
      </c>
      <c r="AJ569" s="60">
        <v>0</v>
      </c>
      <c r="AM569" s="60" t="s">
        <v>273</v>
      </c>
      <c r="AN569" s="60" t="s">
        <v>1940</v>
      </c>
      <c r="AQ569" s="60" t="s">
        <v>2121</v>
      </c>
      <c r="AR569" s="61">
        <v>44586</v>
      </c>
      <c r="AS569" s="60">
        <v>6001985074</v>
      </c>
      <c r="AT569" s="61">
        <v>44586</v>
      </c>
      <c r="AU569" s="60" t="s">
        <v>1952</v>
      </c>
      <c r="AV569" s="61">
        <v>44593</v>
      </c>
      <c r="AW569" s="91">
        <v>44620</v>
      </c>
      <c r="AX569" s="91">
        <v>44640</v>
      </c>
      <c r="AY569" s="99">
        <v>48000</v>
      </c>
      <c r="AZ569" s="99">
        <f>ROUNDDOWN(AY569+(AY569*MASTER!$A$2/100),0)</f>
        <v>52800</v>
      </c>
      <c r="BA569" s="60" t="s">
        <v>613</v>
      </c>
      <c r="BB569" s="64">
        <v>26000</v>
      </c>
      <c r="BC569" s="64">
        <v>28600</v>
      </c>
      <c r="BD569" s="60" t="s">
        <v>2044</v>
      </c>
      <c r="BG569" s="64">
        <v>0</v>
      </c>
      <c r="BI569" s="60" t="s">
        <v>267</v>
      </c>
      <c r="BJ569" s="64">
        <v>1950</v>
      </c>
      <c r="BK569" s="64">
        <v>2145</v>
      </c>
      <c r="BL569" s="60" t="s">
        <v>2104</v>
      </c>
      <c r="BS569" s="64">
        <v>0</v>
      </c>
      <c r="BV569" s="65">
        <v>51700</v>
      </c>
      <c r="BW569" s="65">
        <v>30745</v>
      </c>
      <c r="BX569" s="65">
        <v>44575</v>
      </c>
      <c r="BY569" s="65">
        <v>20955</v>
      </c>
      <c r="BZ569" s="81">
        <v>40.531914893617021</v>
      </c>
    </row>
    <row r="570" spans="1:89" x14ac:dyDescent="0.15">
      <c r="A570" s="60">
        <v>2</v>
      </c>
      <c r="B570" s="61">
        <v>44585</v>
      </c>
      <c r="C570" s="61">
        <v>44586</v>
      </c>
      <c r="D570" s="61">
        <v>44580</v>
      </c>
      <c r="E570" s="61">
        <v>44580</v>
      </c>
      <c r="F570" s="61" t="s">
        <v>309</v>
      </c>
      <c r="G570" s="61">
        <v>44580</v>
      </c>
      <c r="H570" s="61" t="s">
        <v>309</v>
      </c>
      <c r="I570" s="60" t="s">
        <v>766</v>
      </c>
      <c r="J570" s="60">
        <v>2</v>
      </c>
      <c r="L570" s="60">
        <v>0</v>
      </c>
      <c r="M570" s="61">
        <v>44578</v>
      </c>
      <c r="O570" s="62" t="s">
        <v>331</v>
      </c>
      <c r="P570" s="60" t="s">
        <v>6</v>
      </c>
      <c r="Q570" s="62" t="s">
        <v>40</v>
      </c>
      <c r="R570" s="62" t="s">
        <v>1817</v>
      </c>
      <c r="S570" s="63" t="s">
        <v>880</v>
      </c>
      <c r="T570" s="63" t="s">
        <v>364</v>
      </c>
      <c r="U570" s="64">
        <v>35000</v>
      </c>
      <c r="V570" s="64">
        <v>38500</v>
      </c>
      <c r="W570" s="64">
        <v>35000</v>
      </c>
      <c r="X570" s="64">
        <v>38500</v>
      </c>
      <c r="Y570" s="64">
        <v>0</v>
      </c>
      <c r="Z570" s="64">
        <v>0</v>
      </c>
      <c r="AA570" s="61">
        <v>44579</v>
      </c>
      <c r="AB570" s="61">
        <v>44579</v>
      </c>
      <c r="AD570" s="60">
        <v>0</v>
      </c>
      <c r="AG570" s="60">
        <v>0</v>
      </c>
      <c r="AJ570" s="60">
        <v>0</v>
      </c>
      <c r="AN570" s="60" t="s">
        <v>309</v>
      </c>
      <c r="AQ570" s="60" t="s">
        <v>1875</v>
      </c>
      <c r="AR570" s="61">
        <v>44582</v>
      </c>
      <c r="AS570" s="60">
        <v>6001983497</v>
      </c>
      <c r="AT570" s="61">
        <v>44582</v>
      </c>
      <c r="AU570" s="60" t="s">
        <v>1887</v>
      </c>
      <c r="AV570" s="61">
        <v>44586</v>
      </c>
      <c r="AW570" s="91">
        <v>44592</v>
      </c>
      <c r="AX570" s="91">
        <v>44612</v>
      </c>
      <c r="AY570" s="99">
        <v>33600</v>
      </c>
      <c r="AZ570" s="99">
        <f>ROUNDDOWN(AY570+(AY570*MASTER!$A$2/100),0)</f>
        <v>36960</v>
      </c>
      <c r="BA570" s="60" t="s">
        <v>613</v>
      </c>
      <c r="BB570" s="64">
        <v>32000</v>
      </c>
      <c r="BC570" s="64">
        <v>35200</v>
      </c>
      <c r="BD570" s="60" t="s">
        <v>1614</v>
      </c>
      <c r="BG570" s="64">
        <v>0</v>
      </c>
      <c r="BK570" s="64">
        <v>0</v>
      </c>
      <c r="BS570" s="64">
        <v>0</v>
      </c>
      <c r="BV570" s="65">
        <v>38500</v>
      </c>
      <c r="BW570" s="65">
        <v>35200</v>
      </c>
      <c r="BX570" s="65">
        <v>44578</v>
      </c>
      <c r="BY570" s="65">
        <v>3300</v>
      </c>
      <c r="BZ570" s="81">
        <v>8.5714285714285712</v>
      </c>
    </row>
    <row r="571" spans="1:89" x14ac:dyDescent="0.15">
      <c r="A571" s="60">
        <v>2</v>
      </c>
      <c r="B571" s="61">
        <v>44585</v>
      </c>
      <c r="C571" s="61">
        <v>44586</v>
      </c>
      <c r="D571" s="61">
        <v>44581</v>
      </c>
      <c r="E571" s="61">
        <v>44581</v>
      </c>
      <c r="F571" s="61" t="s">
        <v>309</v>
      </c>
      <c r="G571" s="61">
        <v>44581</v>
      </c>
      <c r="H571" s="61" t="s">
        <v>309</v>
      </c>
      <c r="I571" s="60" t="s">
        <v>494</v>
      </c>
      <c r="J571" s="60">
        <v>2</v>
      </c>
      <c r="L571" s="60">
        <v>0</v>
      </c>
      <c r="M571" s="61">
        <v>44578</v>
      </c>
      <c r="O571" s="62" t="s">
        <v>331</v>
      </c>
      <c r="P571" s="60" t="s">
        <v>6</v>
      </c>
      <c r="Q571" s="62" t="s">
        <v>40</v>
      </c>
      <c r="R571" s="62" t="s">
        <v>1876</v>
      </c>
      <c r="S571" s="63" t="s">
        <v>515</v>
      </c>
      <c r="T571" s="63" t="s">
        <v>364</v>
      </c>
      <c r="U571" s="64">
        <v>35000</v>
      </c>
      <c r="V571" s="64">
        <v>38500</v>
      </c>
      <c r="W571" s="64">
        <v>35000</v>
      </c>
      <c r="X571" s="64">
        <v>38500</v>
      </c>
      <c r="Y571" s="64">
        <v>0</v>
      </c>
      <c r="Z571" s="64">
        <v>0</v>
      </c>
      <c r="AA571" s="61">
        <v>44580</v>
      </c>
      <c r="AD571" s="60">
        <v>0</v>
      </c>
      <c r="AG571" s="60">
        <v>0</v>
      </c>
      <c r="AJ571" s="60">
        <v>0</v>
      </c>
      <c r="AN571" s="60" t="s">
        <v>309</v>
      </c>
      <c r="AQ571" s="60" t="s">
        <v>1877</v>
      </c>
      <c r="AR571" s="61">
        <v>44582</v>
      </c>
      <c r="AS571" s="60">
        <v>6001983497</v>
      </c>
      <c r="AT571" s="61">
        <v>44582</v>
      </c>
      <c r="AU571" s="60" t="s">
        <v>1887</v>
      </c>
      <c r="AV571" s="61">
        <v>44586</v>
      </c>
      <c r="AW571" s="91">
        <v>44592</v>
      </c>
      <c r="AX571" s="91">
        <v>44612</v>
      </c>
      <c r="AY571" s="99">
        <v>33600</v>
      </c>
      <c r="AZ571" s="99">
        <f>ROUNDDOWN(AY571+(AY571*MASTER!$A$2/100),0)</f>
        <v>36960</v>
      </c>
      <c r="BA571" s="60" t="s">
        <v>582</v>
      </c>
      <c r="BB571" s="64">
        <v>21000</v>
      </c>
      <c r="BC571" s="64">
        <v>23100</v>
      </c>
      <c r="BD571" s="60" t="s">
        <v>1614</v>
      </c>
      <c r="BG571" s="64">
        <v>0</v>
      </c>
      <c r="BK571" s="64">
        <v>0</v>
      </c>
      <c r="BS571" s="64">
        <v>0</v>
      </c>
      <c r="BV571" s="65">
        <v>38500</v>
      </c>
      <c r="BW571" s="65">
        <v>23100</v>
      </c>
      <c r="BX571" s="65">
        <v>44578</v>
      </c>
      <c r="BY571" s="65">
        <v>15400</v>
      </c>
      <c r="BZ571" s="81">
        <v>40</v>
      </c>
    </row>
    <row r="572" spans="1:89" s="152" customFormat="1" x14ac:dyDescent="0.15">
      <c r="A572" s="142">
        <v>3</v>
      </c>
      <c r="B572" s="143"/>
      <c r="C572" s="143" t="s">
        <v>309</v>
      </c>
      <c r="D572" s="143"/>
      <c r="E572" s="143"/>
      <c r="F572" s="143" t="s">
        <v>309</v>
      </c>
      <c r="G572" s="143"/>
      <c r="H572" s="143" t="s">
        <v>309</v>
      </c>
      <c r="I572" s="142"/>
      <c r="J572" s="142">
        <v>2</v>
      </c>
      <c r="K572" s="143"/>
      <c r="L572" s="142">
        <v>0</v>
      </c>
      <c r="M572" s="143">
        <v>44578</v>
      </c>
      <c r="N572" s="143"/>
      <c r="O572" s="144" t="s">
        <v>331</v>
      </c>
      <c r="P572" s="142" t="s">
        <v>6</v>
      </c>
      <c r="Q572" s="144" t="s">
        <v>40</v>
      </c>
      <c r="R572" s="144" t="s">
        <v>2536</v>
      </c>
      <c r="S572" s="145" t="s">
        <v>953</v>
      </c>
      <c r="T572" s="145" t="s">
        <v>364</v>
      </c>
      <c r="U572" s="146">
        <v>51000</v>
      </c>
      <c r="V572" s="146">
        <v>56100</v>
      </c>
      <c r="W572" s="146">
        <v>51000</v>
      </c>
      <c r="X572" s="146">
        <v>56100</v>
      </c>
      <c r="Y572" s="146"/>
      <c r="Z572" s="146">
        <v>0</v>
      </c>
      <c r="AA572" s="143"/>
      <c r="AB572" s="143"/>
      <c r="AC572" s="143"/>
      <c r="AD572" s="142">
        <v>0</v>
      </c>
      <c r="AE572" s="142"/>
      <c r="AF572" s="142"/>
      <c r="AG572" s="142">
        <v>0</v>
      </c>
      <c r="AH572" s="142"/>
      <c r="AI572" s="142"/>
      <c r="AJ572" s="142">
        <v>0</v>
      </c>
      <c r="AK572" s="142"/>
      <c r="AL572" s="142"/>
      <c r="AM572" s="142"/>
      <c r="AN572" s="142" t="s">
        <v>309</v>
      </c>
      <c r="AO572" s="143"/>
      <c r="AP572" s="142"/>
      <c r="AQ572" s="142"/>
      <c r="AR572" s="143"/>
      <c r="AS572" s="142"/>
      <c r="AT572" s="143"/>
      <c r="AU572" s="142"/>
      <c r="AV572" s="143"/>
      <c r="AW572" s="147"/>
      <c r="AX572" s="147"/>
      <c r="AY572" s="148">
        <v>48960</v>
      </c>
      <c r="AZ572" s="148">
        <f>ROUNDDOWN(AY572+(AY572*MASTER!$A$2/100),0)</f>
        <v>53856</v>
      </c>
      <c r="BA572" s="142"/>
      <c r="BB572" s="146"/>
      <c r="BC572" s="146">
        <v>0</v>
      </c>
      <c r="BD572" s="142"/>
      <c r="BE572" s="142"/>
      <c r="BF572" s="146"/>
      <c r="BG572" s="146">
        <v>0</v>
      </c>
      <c r="BH572" s="142"/>
      <c r="BI572" s="142"/>
      <c r="BJ572" s="146"/>
      <c r="BK572" s="146">
        <v>0</v>
      </c>
      <c r="BL572" s="142"/>
      <c r="BM572" s="146"/>
      <c r="BN572" s="146"/>
      <c r="BO572" s="146"/>
      <c r="BP572" s="146"/>
      <c r="BQ572" s="146"/>
      <c r="BR572" s="146"/>
      <c r="BS572" s="146">
        <v>0</v>
      </c>
      <c r="BT572" s="149"/>
      <c r="BU572" s="149"/>
      <c r="BV572" s="150">
        <v>56100</v>
      </c>
      <c r="BW572" s="150">
        <v>0</v>
      </c>
      <c r="BX572" s="150">
        <v>44578</v>
      </c>
      <c r="BY572" s="150">
        <v>56100</v>
      </c>
      <c r="BZ572" s="151">
        <v>100</v>
      </c>
      <c r="CA572" s="142"/>
      <c r="CB572" s="142"/>
      <c r="CC572" s="142"/>
      <c r="CD572" s="145" t="s">
        <v>2537</v>
      </c>
      <c r="CE572" s="143"/>
      <c r="CF572" s="143"/>
      <c r="CG572" s="143"/>
      <c r="CH572" s="143"/>
      <c r="CI572" s="143"/>
      <c r="CJ572" s="143"/>
      <c r="CK572" s="146"/>
    </row>
    <row r="573" spans="1:89" s="152" customFormat="1" x14ac:dyDescent="0.15">
      <c r="A573" s="142">
        <v>3</v>
      </c>
      <c r="B573" s="143"/>
      <c r="C573" s="143" t="s">
        <v>309</v>
      </c>
      <c r="D573" s="143"/>
      <c r="E573" s="143"/>
      <c r="F573" s="143" t="s">
        <v>309</v>
      </c>
      <c r="G573" s="143"/>
      <c r="H573" s="143" t="s">
        <v>309</v>
      </c>
      <c r="I573" s="142"/>
      <c r="J573" s="142">
        <v>2</v>
      </c>
      <c r="K573" s="143"/>
      <c r="L573" s="142">
        <v>0</v>
      </c>
      <c r="M573" s="143">
        <v>44578</v>
      </c>
      <c r="N573" s="143"/>
      <c r="O573" s="144" t="s">
        <v>331</v>
      </c>
      <c r="P573" s="142" t="s">
        <v>6</v>
      </c>
      <c r="Q573" s="144" t="s">
        <v>40</v>
      </c>
      <c r="R573" s="144" t="s">
        <v>2658</v>
      </c>
      <c r="S573" s="145" t="s">
        <v>2659</v>
      </c>
      <c r="T573" s="145" t="s">
        <v>364</v>
      </c>
      <c r="U573" s="146">
        <v>51000</v>
      </c>
      <c r="V573" s="146">
        <v>56100</v>
      </c>
      <c r="W573" s="146">
        <v>51000</v>
      </c>
      <c r="X573" s="146">
        <v>56100</v>
      </c>
      <c r="Y573" s="146"/>
      <c r="Z573" s="146">
        <v>0</v>
      </c>
      <c r="AA573" s="143"/>
      <c r="AB573" s="143"/>
      <c r="AC573" s="143"/>
      <c r="AD573" s="142">
        <v>0</v>
      </c>
      <c r="AE573" s="142"/>
      <c r="AF573" s="142"/>
      <c r="AG573" s="142">
        <v>0</v>
      </c>
      <c r="AH573" s="142"/>
      <c r="AI573" s="142"/>
      <c r="AJ573" s="142">
        <v>0</v>
      </c>
      <c r="AK573" s="142"/>
      <c r="AL573" s="142"/>
      <c r="AM573" s="142"/>
      <c r="AN573" s="142" t="s">
        <v>309</v>
      </c>
      <c r="AO573" s="143"/>
      <c r="AP573" s="142"/>
      <c r="AQ573" s="142"/>
      <c r="AR573" s="143"/>
      <c r="AS573" s="142"/>
      <c r="AT573" s="143"/>
      <c r="AU573" s="142"/>
      <c r="AV573" s="143"/>
      <c r="AW573" s="147"/>
      <c r="AX573" s="147"/>
      <c r="AY573" s="148">
        <v>48960</v>
      </c>
      <c r="AZ573" s="148">
        <f>ROUNDDOWN(AY573+(AY573*MASTER!$A$2/100),0)</f>
        <v>53856</v>
      </c>
      <c r="BA573" s="142"/>
      <c r="BB573" s="146"/>
      <c r="BC573" s="146">
        <v>0</v>
      </c>
      <c r="BD573" s="142"/>
      <c r="BE573" s="142"/>
      <c r="BF573" s="146"/>
      <c r="BG573" s="146">
        <v>0</v>
      </c>
      <c r="BH573" s="142"/>
      <c r="BI573" s="142"/>
      <c r="BJ573" s="146"/>
      <c r="BK573" s="146">
        <v>0</v>
      </c>
      <c r="BL573" s="142"/>
      <c r="BM573" s="146"/>
      <c r="BN573" s="146"/>
      <c r="BO573" s="146"/>
      <c r="BP573" s="146"/>
      <c r="BQ573" s="146"/>
      <c r="BR573" s="146"/>
      <c r="BS573" s="146">
        <v>0</v>
      </c>
      <c r="BT573" s="149"/>
      <c r="BU573" s="149"/>
      <c r="BV573" s="150">
        <v>56100</v>
      </c>
      <c r="BW573" s="150">
        <v>0</v>
      </c>
      <c r="BX573" s="150">
        <v>44578</v>
      </c>
      <c r="BY573" s="150">
        <v>56100</v>
      </c>
      <c r="BZ573" s="151">
        <v>100</v>
      </c>
      <c r="CA573" s="142"/>
      <c r="CB573" s="142"/>
      <c r="CC573" s="142"/>
      <c r="CD573" s="145" t="s">
        <v>2661</v>
      </c>
      <c r="CE573" s="143"/>
      <c r="CF573" s="143"/>
      <c r="CG573" s="143"/>
      <c r="CH573" s="143"/>
      <c r="CI573" s="143"/>
      <c r="CJ573" s="143"/>
      <c r="CK573" s="146"/>
    </row>
    <row r="574" spans="1:89" s="152" customFormat="1" x14ac:dyDescent="0.15">
      <c r="A574" s="142">
        <v>3</v>
      </c>
      <c r="B574" s="143"/>
      <c r="C574" s="143" t="s">
        <v>309</v>
      </c>
      <c r="D574" s="143"/>
      <c r="E574" s="143"/>
      <c r="F574" s="143" t="s">
        <v>309</v>
      </c>
      <c r="G574" s="143"/>
      <c r="H574" s="143" t="s">
        <v>309</v>
      </c>
      <c r="I574" s="142"/>
      <c r="J574" s="142">
        <v>1</v>
      </c>
      <c r="K574" s="143"/>
      <c r="L574" s="142">
        <v>0</v>
      </c>
      <c r="M574" s="143">
        <v>44578</v>
      </c>
      <c r="N574" s="143"/>
      <c r="O574" s="144" t="s">
        <v>331</v>
      </c>
      <c r="P574" s="142" t="s">
        <v>26</v>
      </c>
      <c r="Q574" s="144" t="s">
        <v>40</v>
      </c>
      <c r="R574" s="144" t="s">
        <v>2453</v>
      </c>
      <c r="S574" s="145" t="s">
        <v>2454</v>
      </c>
      <c r="T574" s="145" t="s">
        <v>2455</v>
      </c>
      <c r="U574" s="146">
        <v>23900</v>
      </c>
      <c r="V574" s="146">
        <v>26290</v>
      </c>
      <c r="W574" s="146">
        <v>14700</v>
      </c>
      <c r="X574" s="146">
        <v>16170</v>
      </c>
      <c r="Y574" s="146">
        <v>9200</v>
      </c>
      <c r="Z574" s="146">
        <v>10120</v>
      </c>
      <c r="AA574" s="143">
        <v>44615</v>
      </c>
      <c r="AB574" s="143">
        <v>44616</v>
      </c>
      <c r="AC574" s="143"/>
      <c r="AD574" s="142">
        <v>0</v>
      </c>
      <c r="AE574" s="142"/>
      <c r="AF574" s="142"/>
      <c r="AG574" s="142">
        <v>0</v>
      </c>
      <c r="AH574" s="142"/>
      <c r="AI574" s="142"/>
      <c r="AJ574" s="142">
        <v>0</v>
      </c>
      <c r="AK574" s="142"/>
      <c r="AL574" s="142"/>
      <c r="AM574" s="142" t="s">
        <v>273</v>
      </c>
      <c r="AN574" s="142" t="s">
        <v>2456</v>
      </c>
      <c r="AO574" s="143"/>
      <c r="AP574" s="142"/>
      <c r="AQ574" s="142"/>
      <c r="AR574" s="143"/>
      <c r="AS574" s="142"/>
      <c r="AT574" s="143"/>
      <c r="AU574" s="142"/>
      <c r="AV574" s="143"/>
      <c r="AW574" s="147"/>
      <c r="AX574" s="147"/>
      <c r="AY574" s="148">
        <v>22944</v>
      </c>
      <c r="AZ574" s="148">
        <f>ROUNDDOWN(AY574+(AY574*MASTER!$A$2/100),0)</f>
        <v>25238</v>
      </c>
      <c r="BA574" s="142"/>
      <c r="BB574" s="146"/>
      <c r="BC574" s="146">
        <v>0</v>
      </c>
      <c r="BD574" s="142"/>
      <c r="BE574" s="142"/>
      <c r="BF574" s="146"/>
      <c r="BG574" s="146">
        <v>0</v>
      </c>
      <c r="BH574" s="142"/>
      <c r="BI574" s="142"/>
      <c r="BJ574" s="146"/>
      <c r="BK574" s="146">
        <v>0</v>
      </c>
      <c r="BL574" s="142"/>
      <c r="BM574" s="146"/>
      <c r="BN574" s="146"/>
      <c r="BO574" s="146"/>
      <c r="BP574" s="146"/>
      <c r="BQ574" s="146"/>
      <c r="BR574" s="146"/>
      <c r="BS574" s="146">
        <v>0</v>
      </c>
      <c r="BT574" s="149"/>
      <c r="BU574" s="149"/>
      <c r="BV574" s="150">
        <v>16170</v>
      </c>
      <c r="BW574" s="150">
        <v>0</v>
      </c>
      <c r="BX574" s="150">
        <v>44578</v>
      </c>
      <c r="BY574" s="150">
        <v>16170</v>
      </c>
      <c r="BZ574" s="151">
        <v>100</v>
      </c>
      <c r="CA574" s="142"/>
      <c r="CB574" s="142"/>
      <c r="CC574" s="142"/>
      <c r="CD574" s="145" t="s">
        <v>2457</v>
      </c>
      <c r="CE574" s="143"/>
      <c r="CF574" s="143"/>
      <c r="CG574" s="143"/>
      <c r="CH574" s="143"/>
      <c r="CI574" s="143"/>
      <c r="CJ574" s="143"/>
      <c r="CK574" s="146"/>
    </row>
    <row r="575" spans="1:89" s="152" customFormat="1" x14ac:dyDescent="0.15">
      <c r="A575" s="142">
        <v>3</v>
      </c>
      <c r="B575" s="143"/>
      <c r="C575" s="143" t="s">
        <v>309</v>
      </c>
      <c r="D575" s="143"/>
      <c r="E575" s="143"/>
      <c r="F575" s="143" t="s">
        <v>309</v>
      </c>
      <c r="G575" s="143"/>
      <c r="H575" s="143" t="s">
        <v>309</v>
      </c>
      <c r="I575" s="142"/>
      <c r="J575" s="142">
        <v>1</v>
      </c>
      <c r="K575" s="143"/>
      <c r="L575" s="142">
        <v>0</v>
      </c>
      <c r="M575" s="143">
        <v>44578</v>
      </c>
      <c r="N575" s="143"/>
      <c r="O575" s="144" t="s">
        <v>331</v>
      </c>
      <c r="P575" s="142" t="s">
        <v>26</v>
      </c>
      <c r="Q575" s="144" t="s">
        <v>40</v>
      </c>
      <c r="R575" s="144" t="s">
        <v>2458</v>
      </c>
      <c r="S575" s="145" t="s">
        <v>2459</v>
      </c>
      <c r="T575" s="145" t="s">
        <v>2460</v>
      </c>
      <c r="U575" s="146">
        <v>60200</v>
      </c>
      <c r="V575" s="146">
        <v>66220</v>
      </c>
      <c r="W575" s="146">
        <v>39000</v>
      </c>
      <c r="X575" s="146">
        <v>42900</v>
      </c>
      <c r="Y575" s="146">
        <v>21200</v>
      </c>
      <c r="Z575" s="146">
        <v>23320</v>
      </c>
      <c r="AA575" s="143">
        <v>44615</v>
      </c>
      <c r="AB575" s="143">
        <v>44616</v>
      </c>
      <c r="AC575" s="143"/>
      <c r="AD575" s="142">
        <v>0</v>
      </c>
      <c r="AE575" s="142"/>
      <c r="AF575" s="142"/>
      <c r="AG575" s="142">
        <v>0</v>
      </c>
      <c r="AH575" s="142"/>
      <c r="AI575" s="142"/>
      <c r="AJ575" s="142">
        <v>0</v>
      </c>
      <c r="AK575" s="142"/>
      <c r="AL575" s="142"/>
      <c r="AM575" s="142" t="s">
        <v>273</v>
      </c>
      <c r="AN575" s="142" t="s">
        <v>2461</v>
      </c>
      <c r="AO575" s="143"/>
      <c r="AP575" s="142"/>
      <c r="AQ575" s="142"/>
      <c r="AR575" s="143"/>
      <c r="AS575" s="142"/>
      <c r="AT575" s="143"/>
      <c r="AU575" s="142"/>
      <c r="AV575" s="143"/>
      <c r="AW575" s="147"/>
      <c r="AX575" s="147"/>
      <c r="AY575" s="148">
        <v>57792</v>
      </c>
      <c r="AZ575" s="148">
        <f>ROUNDDOWN(AY575+(AY575*MASTER!$A$2/100),0)</f>
        <v>63571</v>
      </c>
      <c r="BA575" s="142"/>
      <c r="BB575" s="146"/>
      <c r="BC575" s="146">
        <v>0</v>
      </c>
      <c r="BD575" s="142"/>
      <c r="BE575" s="142"/>
      <c r="BF575" s="146"/>
      <c r="BG575" s="146">
        <v>0</v>
      </c>
      <c r="BH575" s="142"/>
      <c r="BI575" s="142"/>
      <c r="BJ575" s="146"/>
      <c r="BK575" s="146">
        <v>0</v>
      </c>
      <c r="BL575" s="142"/>
      <c r="BM575" s="146"/>
      <c r="BN575" s="146"/>
      <c r="BO575" s="146"/>
      <c r="BP575" s="146"/>
      <c r="BQ575" s="146"/>
      <c r="BR575" s="146"/>
      <c r="BS575" s="146">
        <v>0</v>
      </c>
      <c r="BT575" s="149"/>
      <c r="BU575" s="149"/>
      <c r="BV575" s="150">
        <v>42900</v>
      </c>
      <c r="BW575" s="150">
        <v>0</v>
      </c>
      <c r="BX575" s="150">
        <v>44578</v>
      </c>
      <c r="BY575" s="150">
        <v>42900</v>
      </c>
      <c r="BZ575" s="151">
        <v>100</v>
      </c>
      <c r="CA575" s="142"/>
      <c r="CB575" s="142"/>
      <c r="CC575" s="142"/>
      <c r="CD575" s="145" t="s">
        <v>2462</v>
      </c>
      <c r="CE575" s="143"/>
      <c r="CF575" s="143"/>
      <c r="CG575" s="143"/>
      <c r="CH575" s="143"/>
      <c r="CI575" s="143"/>
      <c r="CJ575" s="143"/>
      <c r="CK575" s="146"/>
    </row>
    <row r="576" spans="1:89" s="152" customFormat="1" x14ac:dyDescent="0.15">
      <c r="A576" s="142">
        <v>3</v>
      </c>
      <c r="B576" s="143"/>
      <c r="C576" s="143" t="s">
        <v>309</v>
      </c>
      <c r="D576" s="143"/>
      <c r="E576" s="143"/>
      <c r="F576" s="143" t="s">
        <v>309</v>
      </c>
      <c r="G576" s="143"/>
      <c r="H576" s="143" t="s">
        <v>309</v>
      </c>
      <c r="I576" s="142"/>
      <c r="J576" s="142">
        <v>1</v>
      </c>
      <c r="K576" s="143"/>
      <c r="L576" s="142">
        <v>0</v>
      </c>
      <c r="M576" s="143">
        <v>44578</v>
      </c>
      <c r="N576" s="143"/>
      <c r="O576" s="144" t="s">
        <v>331</v>
      </c>
      <c r="P576" s="142" t="s">
        <v>26</v>
      </c>
      <c r="Q576" s="144" t="s">
        <v>40</v>
      </c>
      <c r="R576" s="144" t="s">
        <v>2189</v>
      </c>
      <c r="S576" s="145" t="s">
        <v>2190</v>
      </c>
      <c r="T576" s="145" t="s">
        <v>498</v>
      </c>
      <c r="U576" s="146">
        <v>50000</v>
      </c>
      <c r="V576" s="146">
        <v>55000</v>
      </c>
      <c r="W576" s="146">
        <v>47000</v>
      </c>
      <c r="X576" s="146">
        <v>51700</v>
      </c>
      <c r="Y576" s="146">
        <v>3000</v>
      </c>
      <c r="Z576" s="146">
        <v>3300</v>
      </c>
      <c r="AA576" s="143">
        <v>44606</v>
      </c>
      <c r="AB576" s="143">
        <v>44607</v>
      </c>
      <c r="AC576" s="143"/>
      <c r="AD576" s="142">
        <v>0</v>
      </c>
      <c r="AE576" s="142"/>
      <c r="AF576" s="142"/>
      <c r="AG576" s="142">
        <v>0</v>
      </c>
      <c r="AH576" s="142"/>
      <c r="AI576" s="142"/>
      <c r="AJ576" s="142">
        <v>0</v>
      </c>
      <c r="AK576" s="142"/>
      <c r="AL576" s="142"/>
      <c r="AM576" s="142" t="s">
        <v>273</v>
      </c>
      <c r="AN576" s="142" t="s">
        <v>2191</v>
      </c>
      <c r="AO576" s="143"/>
      <c r="AP576" s="142"/>
      <c r="AQ576" s="142"/>
      <c r="AR576" s="143"/>
      <c r="AS576" s="142"/>
      <c r="AT576" s="143"/>
      <c r="AU576" s="142"/>
      <c r="AV576" s="143"/>
      <c r="AW576" s="147"/>
      <c r="AX576" s="147"/>
      <c r="AY576" s="148">
        <v>48000</v>
      </c>
      <c r="AZ576" s="148">
        <f>ROUNDDOWN(AY576+(AY576*MASTER!$A$2/100),0)</f>
        <v>52800</v>
      </c>
      <c r="BA576" s="142"/>
      <c r="BB576" s="146"/>
      <c r="BC576" s="146">
        <v>0</v>
      </c>
      <c r="BD576" s="142"/>
      <c r="BE576" s="142"/>
      <c r="BF576" s="146"/>
      <c r="BG576" s="146">
        <v>0</v>
      </c>
      <c r="BH576" s="142"/>
      <c r="BI576" s="142"/>
      <c r="BJ576" s="146"/>
      <c r="BK576" s="146">
        <v>0</v>
      </c>
      <c r="BL576" s="142"/>
      <c r="BM576" s="146"/>
      <c r="BN576" s="146"/>
      <c r="BO576" s="146"/>
      <c r="BP576" s="146"/>
      <c r="BQ576" s="146"/>
      <c r="BR576" s="146"/>
      <c r="BS576" s="146">
        <v>0</v>
      </c>
      <c r="BT576" s="149"/>
      <c r="BU576" s="149"/>
      <c r="BV576" s="150">
        <v>51700</v>
      </c>
      <c r="BW576" s="150">
        <v>0</v>
      </c>
      <c r="BX576" s="150">
        <v>44578</v>
      </c>
      <c r="BY576" s="150">
        <v>51700</v>
      </c>
      <c r="BZ576" s="151">
        <v>100</v>
      </c>
      <c r="CA576" s="142"/>
      <c r="CB576" s="142"/>
      <c r="CC576" s="142"/>
      <c r="CD576" s="145" t="s">
        <v>2192</v>
      </c>
      <c r="CE576" s="143"/>
      <c r="CF576" s="143"/>
      <c r="CG576" s="143"/>
      <c r="CH576" s="143"/>
      <c r="CI576" s="143"/>
      <c r="CJ576" s="143"/>
      <c r="CK576" s="146"/>
    </row>
    <row r="577" spans="1:89" x14ac:dyDescent="0.15">
      <c r="A577" s="60">
        <v>2</v>
      </c>
      <c r="B577" s="61">
        <v>44610</v>
      </c>
      <c r="C577" s="61">
        <v>44614</v>
      </c>
      <c r="D577" s="61" t="s">
        <v>764</v>
      </c>
      <c r="E577" s="61">
        <v>44622</v>
      </c>
      <c r="F577" s="61">
        <v>44621</v>
      </c>
      <c r="G577" s="61">
        <v>44616</v>
      </c>
      <c r="H577" s="61">
        <v>44617</v>
      </c>
      <c r="I577" s="60" t="s">
        <v>511</v>
      </c>
      <c r="J577" s="60">
        <v>1</v>
      </c>
      <c r="L577" s="60">
        <v>0</v>
      </c>
      <c r="M577" s="61">
        <v>44578</v>
      </c>
      <c r="O577" s="62" t="s">
        <v>331</v>
      </c>
      <c r="P577" s="60" t="s">
        <v>26</v>
      </c>
      <c r="Q577" s="62" t="s">
        <v>40</v>
      </c>
      <c r="R577" s="62" t="s">
        <v>2414</v>
      </c>
      <c r="S577" s="63" t="s">
        <v>2415</v>
      </c>
      <c r="T577" s="63" t="s">
        <v>2416</v>
      </c>
      <c r="U577" s="64">
        <v>23900</v>
      </c>
      <c r="V577" s="64">
        <v>26290</v>
      </c>
      <c r="W577" s="64">
        <v>14700</v>
      </c>
      <c r="X577" s="64">
        <v>16170</v>
      </c>
      <c r="Y577" s="64">
        <v>9200</v>
      </c>
      <c r="Z577" s="64">
        <v>10120</v>
      </c>
      <c r="AA577" s="61">
        <v>44613</v>
      </c>
      <c r="AB577" s="61">
        <v>44614</v>
      </c>
      <c r="AC577" s="61">
        <v>44614</v>
      </c>
      <c r="AD577" s="60">
        <v>0</v>
      </c>
      <c r="AG577" s="60">
        <v>0</v>
      </c>
      <c r="AJ577" s="60">
        <v>0</v>
      </c>
      <c r="AM577" s="60" t="s">
        <v>273</v>
      </c>
      <c r="AN577" s="60" t="s">
        <v>2417</v>
      </c>
      <c r="AQ577" s="60" t="s">
        <v>2112</v>
      </c>
      <c r="AR577" s="61">
        <v>44595</v>
      </c>
      <c r="AS577" s="60">
        <v>6001988897</v>
      </c>
      <c r="AT577" s="61">
        <v>44595</v>
      </c>
      <c r="AU577" s="60" t="s">
        <v>2163</v>
      </c>
      <c r="AV577" s="61">
        <v>44614</v>
      </c>
      <c r="AW577" s="91">
        <v>44620</v>
      </c>
      <c r="AX577" s="91">
        <v>44640</v>
      </c>
      <c r="AY577" s="99">
        <v>22944</v>
      </c>
      <c r="AZ577" s="99">
        <f>ROUNDDOWN(AY577+(AY577*MASTER!$A$2/100),0)</f>
        <v>25238</v>
      </c>
      <c r="BA577" s="60" t="s">
        <v>765</v>
      </c>
      <c r="BC577" s="64">
        <v>0</v>
      </c>
      <c r="BG577" s="64">
        <v>0</v>
      </c>
      <c r="BI577" s="60" t="s">
        <v>267</v>
      </c>
      <c r="BJ577" s="64">
        <v>5980</v>
      </c>
      <c r="BK577" s="64">
        <v>6578</v>
      </c>
      <c r="BL577" s="60" t="s">
        <v>2104</v>
      </c>
      <c r="BS577" s="64">
        <v>0</v>
      </c>
      <c r="BV577" s="65">
        <v>16170</v>
      </c>
      <c r="BW577" s="65">
        <v>6578</v>
      </c>
      <c r="BX577" s="65">
        <v>44578</v>
      </c>
      <c r="BY577" s="65">
        <v>9592</v>
      </c>
      <c r="BZ577" s="81">
        <v>59.319727891156461</v>
      </c>
    </row>
    <row r="578" spans="1:89" x14ac:dyDescent="0.15">
      <c r="A578" s="60">
        <v>1</v>
      </c>
      <c r="B578" s="61">
        <v>44620</v>
      </c>
      <c r="C578" s="61">
        <v>44651</v>
      </c>
      <c r="F578" s="61" t="s">
        <v>309</v>
      </c>
      <c r="H578" s="61" t="s">
        <v>309</v>
      </c>
      <c r="J578" s="60">
        <v>3</v>
      </c>
      <c r="L578" s="60">
        <v>0</v>
      </c>
      <c r="M578" s="61">
        <v>44578</v>
      </c>
      <c r="O578" s="62" t="s">
        <v>331</v>
      </c>
      <c r="P578" s="60" t="s">
        <v>6</v>
      </c>
      <c r="Q578" s="62" t="s">
        <v>40</v>
      </c>
      <c r="R578" s="62" t="s">
        <v>1973</v>
      </c>
      <c r="S578" s="63" t="s">
        <v>1221</v>
      </c>
      <c r="T578" s="63" t="s">
        <v>463</v>
      </c>
      <c r="U578" s="64">
        <v>9000</v>
      </c>
      <c r="V578" s="64">
        <v>9900</v>
      </c>
      <c r="X578" s="64">
        <v>0</v>
      </c>
      <c r="Y578" s="64">
        <v>9000</v>
      </c>
      <c r="Z578" s="64">
        <v>9900</v>
      </c>
      <c r="AD578" s="60">
        <v>0</v>
      </c>
      <c r="AG578" s="60">
        <v>0</v>
      </c>
      <c r="AJ578" s="60">
        <v>0</v>
      </c>
      <c r="AN578" s="60" t="s">
        <v>309</v>
      </c>
      <c r="AQ578" s="60" t="s">
        <v>1974</v>
      </c>
      <c r="AR578" s="61">
        <v>44588</v>
      </c>
      <c r="AS578" s="60">
        <v>6001985465</v>
      </c>
      <c r="AT578" s="61">
        <v>44588</v>
      </c>
      <c r="AU578" s="60" t="s">
        <v>1984</v>
      </c>
      <c r="AV578" s="61">
        <v>44651</v>
      </c>
      <c r="AW578" s="91">
        <v>44620</v>
      </c>
      <c r="AX578" s="91">
        <v>44640</v>
      </c>
      <c r="AY578" s="99">
        <v>8640</v>
      </c>
      <c r="AZ578" s="99">
        <f>ROUNDDOWN(AY578+(AY578*MASTER!$A$2/100),0)</f>
        <v>9504</v>
      </c>
      <c r="BC578" s="64">
        <v>0</v>
      </c>
      <c r="BG578" s="64">
        <v>0</v>
      </c>
      <c r="BK578" s="64">
        <v>0</v>
      </c>
      <c r="BS578" s="64">
        <v>0</v>
      </c>
      <c r="BV578" s="65">
        <v>0</v>
      </c>
      <c r="BW578" s="65">
        <v>0</v>
      </c>
      <c r="BX578" s="65">
        <v>44578</v>
      </c>
      <c r="BY578" s="65">
        <v>0</v>
      </c>
      <c r="BZ578" s="81" t="s">
        <v>309</v>
      </c>
    </row>
    <row r="579" spans="1:89" x14ac:dyDescent="0.15">
      <c r="A579" s="60">
        <v>2</v>
      </c>
      <c r="B579" s="61">
        <v>44596</v>
      </c>
      <c r="C579" s="61">
        <v>44612</v>
      </c>
      <c r="D579" s="61">
        <v>44622</v>
      </c>
      <c r="E579" s="61">
        <v>44618</v>
      </c>
      <c r="F579" s="61">
        <v>44615</v>
      </c>
      <c r="G579" s="61">
        <v>44608</v>
      </c>
      <c r="H579" s="61">
        <v>44611</v>
      </c>
      <c r="I579" s="60" t="s">
        <v>511</v>
      </c>
      <c r="J579" s="60">
        <v>2</v>
      </c>
      <c r="L579" s="60">
        <v>0</v>
      </c>
      <c r="M579" s="61">
        <v>44579</v>
      </c>
      <c r="O579" s="62" t="s">
        <v>331</v>
      </c>
      <c r="P579" s="60" t="s">
        <v>26</v>
      </c>
      <c r="Q579" s="62" t="s">
        <v>40</v>
      </c>
      <c r="R579" s="62" t="s">
        <v>1976</v>
      </c>
      <c r="S579" s="63" t="s">
        <v>717</v>
      </c>
      <c r="T579" s="63" t="s">
        <v>1977</v>
      </c>
      <c r="U579" s="64">
        <v>65795</v>
      </c>
      <c r="V579" s="64">
        <v>72374.5</v>
      </c>
      <c r="W579" s="64">
        <v>65795</v>
      </c>
      <c r="X579" s="64">
        <v>72374.5</v>
      </c>
      <c r="Y579" s="64">
        <v>0</v>
      </c>
      <c r="Z579" s="64">
        <v>0</v>
      </c>
      <c r="AA579" s="61">
        <v>44607</v>
      </c>
      <c r="AB579" s="61">
        <v>44608</v>
      </c>
      <c r="AC579" s="61">
        <v>44608</v>
      </c>
      <c r="AD579" s="60">
        <v>0</v>
      </c>
      <c r="AG579" s="60">
        <v>0</v>
      </c>
      <c r="AJ579" s="60">
        <v>0</v>
      </c>
      <c r="AM579" s="60" t="s">
        <v>273</v>
      </c>
      <c r="AN579" s="60" t="s">
        <v>1978</v>
      </c>
      <c r="AQ579" s="60" t="s">
        <v>1979</v>
      </c>
      <c r="AR579" s="61">
        <v>44588</v>
      </c>
      <c r="AS579" s="60">
        <v>6001986264</v>
      </c>
      <c r="AT579" s="61">
        <v>44588</v>
      </c>
      <c r="AU579" s="60" t="s">
        <v>1982</v>
      </c>
      <c r="AV579" s="61">
        <v>44612</v>
      </c>
      <c r="AW579" s="91">
        <v>44620</v>
      </c>
      <c r="AX579" s="91">
        <v>44640</v>
      </c>
      <c r="AY579" s="99">
        <v>63163</v>
      </c>
      <c r="AZ579" s="99">
        <f>ROUNDDOWN(AY579+(AY579*MASTER!$A$2/100),0)</f>
        <v>69479</v>
      </c>
      <c r="BA579" s="60" t="s">
        <v>613</v>
      </c>
      <c r="BB579" s="64">
        <v>21000</v>
      </c>
      <c r="BC579" s="64">
        <v>23100</v>
      </c>
      <c r="BD579" s="60" t="s">
        <v>2044</v>
      </c>
      <c r="BG579" s="64">
        <v>0</v>
      </c>
      <c r="BK579" s="64">
        <v>0</v>
      </c>
      <c r="BS579" s="64">
        <v>0</v>
      </c>
      <c r="BV579" s="65">
        <v>72374.5</v>
      </c>
      <c r="BW579" s="65">
        <v>23100</v>
      </c>
      <c r="BX579" s="65">
        <v>44579</v>
      </c>
      <c r="BY579" s="65">
        <v>49274.5</v>
      </c>
      <c r="BZ579" s="81">
        <v>68.082681054791394</v>
      </c>
    </row>
    <row r="580" spans="1:89" x14ac:dyDescent="0.15">
      <c r="A580" s="60">
        <v>2</v>
      </c>
      <c r="B580" s="61">
        <v>44623</v>
      </c>
      <c r="C580" s="61">
        <v>44630</v>
      </c>
      <c r="D580" s="61">
        <v>44658</v>
      </c>
      <c r="E580" s="61">
        <v>44635</v>
      </c>
      <c r="F580" s="61">
        <v>44636</v>
      </c>
      <c r="G580" s="61">
        <v>44628</v>
      </c>
      <c r="H580" s="61">
        <v>44632</v>
      </c>
      <c r="I580" s="60" t="s">
        <v>511</v>
      </c>
      <c r="J580" s="60">
        <v>1</v>
      </c>
      <c r="L580" s="60">
        <v>0</v>
      </c>
      <c r="M580" s="61">
        <v>44579</v>
      </c>
      <c r="O580" s="62" t="s">
        <v>331</v>
      </c>
      <c r="P580" s="60" t="s">
        <v>26</v>
      </c>
      <c r="Q580" s="62" t="s">
        <v>40</v>
      </c>
      <c r="R580" s="62" t="s">
        <v>2586</v>
      </c>
      <c r="S580" s="63" t="s">
        <v>447</v>
      </c>
      <c r="T580" s="63" t="s">
        <v>442</v>
      </c>
      <c r="U580" s="64">
        <v>59000</v>
      </c>
      <c r="V580" s="64">
        <v>64900</v>
      </c>
      <c r="W580" s="64">
        <v>47000</v>
      </c>
      <c r="X580" s="64">
        <v>51700</v>
      </c>
      <c r="Y580" s="64">
        <v>12000</v>
      </c>
      <c r="Z580" s="64">
        <v>13200</v>
      </c>
      <c r="AA580" s="61">
        <v>44627</v>
      </c>
      <c r="AB580" s="61">
        <v>44629</v>
      </c>
      <c r="AC580" s="61">
        <v>44629</v>
      </c>
      <c r="AD580" s="60">
        <v>0</v>
      </c>
      <c r="AG580" s="60">
        <v>0</v>
      </c>
      <c r="AJ580" s="60">
        <v>0</v>
      </c>
      <c r="AM580" s="60" t="s">
        <v>273</v>
      </c>
      <c r="AN580" s="60" t="s">
        <v>2587</v>
      </c>
      <c r="AQ580" s="60" t="s">
        <v>2319</v>
      </c>
      <c r="AR580" s="61">
        <v>44608</v>
      </c>
      <c r="AS580" s="60">
        <v>6001994482</v>
      </c>
      <c r="AT580" s="61">
        <v>44609</v>
      </c>
      <c r="AU580" s="60" t="s">
        <v>2354</v>
      </c>
      <c r="AV580" s="61">
        <v>44630</v>
      </c>
      <c r="AW580" s="91">
        <v>44651</v>
      </c>
      <c r="AX580" s="91">
        <v>44671</v>
      </c>
      <c r="AY580" s="99">
        <v>56640</v>
      </c>
      <c r="AZ580" s="99">
        <f>ROUNDDOWN(AY580+(AY580*MASTER!$A$2/100),0)</f>
        <v>62304</v>
      </c>
      <c r="BA580" s="60" t="s">
        <v>314</v>
      </c>
      <c r="BB580" s="64">
        <v>21000</v>
      </c>
      <c r="BC580" s="64">
        <v>23100</v>
      </c>
      <c r="BD580" s="60" t="s">
        <v>2107</v>
      </c>
      <c r="BG580" s="64">
        <v>0</v>
      </c>
      <c r="BI580" s="60" t="s">
        <v>748</v>
      </c>
      <c r="BJ580" s="64">
        <v>7800</v>
      </c>
      <c r="BK580" s="64">
        <v>8580</v>
      </c>
      <c r="BL580" s="60" t="s">
        <v>2107</v>
      </c>
      <c r="BS580" s="64">
        <v>0</v>
      </c>
      <c r="BV580" s="65">
        <v>51700</v>
      </c>
      <c r="BW580" s="65">
        <v>31680</v>
      </c>
      <c r="BX580" s="65">
        <v>44579</v>
      </c>
      <c r="BY580" s="65">
        <v>20020</v>
      </c>
      <c r="BZ580" s="81">
        <v>38.723404255319153</v>
      </c>
    </row>
    <row r="581" spans="1:89" x14ac:dyDescent="0.15">
      <c r="A581" s="60">
        <v>2</v>
      </c>
      <c r="B581" s="61">
        <v>44596</v>
      </c>
      <c r="C581" s="61">
        <v>44602</v>
      </c>
      <c r="D581" s="61">
        <v>44622</v>
      </c>
      <c r="E581" s="61">
        <v>44618</v>
      </c>
      <c r="F581" s="61">
        <v>44615</v>
      </c>
      <c r="G581" s="61">
        <v>44608</v>
      </c>
      <c r="H581" s="61">
        <v>44611</v>
      </c>
      <c r="I581" s="60" t="s">
        <v>511</v>
      </c>
      <c r="J581" s="60">
        <v>1</v>
      </c>
      <c r="L581" s="60">
        <v>0</v>
      </c>
      <c r="M581" s="61">
        <v>44579</v>
      </c>
      <c r="O581" s="62" t="s">
        <v>331</v>
      </c>
      <c r="P581" s="60" t="s">
        <v>26</v>
      </c>
      <c r="Q581" s="62" t="s">
        <v>40</v>
      </c>
      <c r="R581" s="62" t="s">
        <v>2006</v>
      </c>
      <c r="S581" s="63" t="s">
        <v>583</v>
      </c>
      <c r="T581" s="63" t="s">
        <v>2007</v>
      </c>
      <c r="U581" s="64">
        <v>59000</v>
      </c>
      <c r="V581" s="64">
        <v>64900</v>
      </c>
      <c r="W581" s="64">
        <v>47000</v>
      </c>
      <c r="X581" s="64">
        <v>51700</v>
      </c>
      <c r="Y581" s="64">
        <v>12000</v>
      </c>
      <c r="Z581" s="64">
        <v>13200</v>
      </c>
      <c r="AA581" s="61">
        <v>44607</v>
      </c>
      <c r="AB581" s="61">
        <v>44608</v>
      </c>
      <c r="AC581" s="61">
        <v>44608</v>
      </c>
      <c r="AD581" s="60">
        <v>0</v>
      </c>
      <c r="AG581" s="60">
        <v>0</v>
      </c>
      <c r="AJ581" s="60">
        <v>0</v>
      </c>
      <c r="AM581" s="60" t="s">
        <v>273</v>
      </c>
      <c r="AN581" s="60" t="s">
        <v>2008</v>
      </c>
      <c r="AQ581" s="60" t="s">
        <v>2174</v>
      </c>
      <c r="AR581" s="61">
        <v>44589</v>
      </c>
      <c r="AS581" s="60">
        <v>6001986770</v>
      </c>
      <c r="AT581" s="61">
        <v>44589</v>
      </c>
      <c r="AU581" s="60" t="s">
        <v>2026</v>
      </c>
      <c r="AV581" s="61">
        <v>44602</v>
      </c>
      <c r="AW581" s="91">
        <v>44620</v>
      </c>
      <c r="AX581" s="91">
        <v>44640</v>
      </c>
      <c r="AY581" s="99">
        <v>56640</v>
      </c>
      <c r="AZ581" s="99">
        <f>ROUNDDOWN(AY581+(AY581*MASTER!$A$2/100),0)</f>
        <v>62304</v>
      </c>
      <c r="BA581" s="60" t="s">
        <v>613</v>
      </c>
      <c r="BB581" s="64">
        <v>21000</v>
      </c>
      <c r="BC581" s="64">
        <v>23100</v>
      </c>
      <c r="BD581" s="60" t="s">
        <v>2044</v>
      </c>
      <c r="BG581" s="64">
        <v>0</v>
      </c>
      <c r="BI581" s="60" t="s">
        <v>267</v>
      </c>
      <c r="BJ581" s="64">
        <v>7800</v>
      </c>
      <c r="BK581" s="64">
        <v>8580</v>
      </c>
      <c r="BL581" s="60" t="s">
        <v>2104</v>
      </c>
      <c r="BS581" s="64">
        <v>0</v>
      </c>
      <c r="BV581" s="65">
        <v>51700</v>
      </c>
      <c r="BW581" s="65">
        <v>31680</v>
      </c>
      <c r="BX581" s="65">
        <v>44579</v>
      </c>
      <c r="BY581" s="65">
        <v>20020</v>
      </c>
      <c r="BZ581" s="81">
        <v>38.723404255319153</v>
      </c>
    </row>
    <row r="582" spans="1:89" x14ac:dyDescent="0.15">
      <c r="A582" s="60">
        <v>2</v>
      </c>
      <c r="B582" s="61">
        <v>44662</v>
      </c>
      <c r="C582" s="61">
        <v>44671</v>
      </c>
      <c r="D582" s="61">
        <v>44664</v>
      </c>
      <c r="F582" s="61" t="s">
        <v>309</v>
      </c>
      <c r="G582" s="61">
        <v>44664</v>
      </c>
      <c r="H582" s="61" t="s">
        <v>309</v>
      </c>
      <c r="I582" s="60" t="s">
        <v>774</v>
      </c>
      <c r="J582" s="60">
        <v>2</v>
      </c>
      <c r="L582" s="60">
        <v>0</v>
      </c>
      <c r="M582" s="61">
        <v>44579</v>
      </c>
      <c r="O582" s="62" t="s">
        <v>331</v>
      </c>
      <c r="P582" s="60" t="s">
        <v>26</v>
      </c>
      <c r="Q582" s="62" t="s">
        <v>40</v>
      </c>
      <c r="R582" s="62" t="s">
        <v>3091</v>
      </c>
      <c r="S582" s="63" t="s">
        <v>801</v>
      </c>
      <c r="T582" s="63" t="s">
        <v>908</v>
      </c>
      <c r="U582" s="64">
        <v>425000</v>
      </c>
      <c r="V582" s="64">
        <v>467500</v>
      </c>
      <c r="W582" s="64">
        <v>425000</v>
      </c>
      <c r="X582" s="64">
        <v>467500</v>
      </c>
      <c r="Z582" s="64">
        <v>0</v>
      </c>
      <c r="AA582" s="61">
        <v>44640</v>
      </c>
      <c r="AB582" s="61">
        <v>44663</v>
      </c>
      <c r="AD582" s="60">
        <v>0</v>
      </c>
      <c r="AG582" s="60">
        <v>0</v>
      </c>
      <c r="AJ582" s="60">
        <v>0</v>
      </c>
      <c r="AM582" s="60" t="s">
        <v>273</v>
      </c>
      <c r="AN582" s="60" t="s">
        <v>3092</v>
      </c>
      <c r="AQ582" s="60" t="s">
        <v>2788</v>
      </c>
      <c r="AR582" s="61">
        <v>44637</v>
      </c>
      <c r="AS582" s="60">
        <v>6002005815</v>
      </c>
      <c r="AT582" s="61">
        <v>44638</v>
      </c>
      <c r="AU582" s="60" t="s">
        <v>2840</v>
      </c>
      <c r="AV582" s="61">
        <v>44671</v>
      </c>
      <c r="AW582" s="91">
        <v>44681</v>
      </c>
      <c r="AX582" s="91">
        <v>44701</v>
      </c>
      <c r="AY582" s="99">
        <v>408000</v>
      </c>
      <c r="AZ582" s="99">
        <f>ROUNDDOWN(AY582+(AY582*MASTER!$A$2/100),0)</f>
        <v>448800</v>
      </c>
      <c r="BA582" s="60" t="s">
        <v>613</v>
      </c>
      <c r="BB582" s="64">
        <v>113000</v>
      </c>
      <c r="BC582" s="64">
        <v>124300</v>
      </c>
      <c r="BD582" s="60" t="s">
        <v>643</v>
      </c>
      <c r="BG582" s="64">
        <v>0</v>
      </c>
      <c r="BK582" s="64">
        <v>0</v>
      </c>
      <c r="BS582" s="64">
        <v>0</v>
      </c>
      <c r="BV582" s="65">
        <v>467500</v>
      </c>
      <c r="BW582" s="65">
        <v>124300</v>
      </c>
      <c r="BX582" s="65">
        <v>44579</v>
      </c>
      <c r="BY582" s="65">
        <v>343200</v>
      </c>
      <c r="BZ582" s="81">
        <v>73.411764705882348</v>
      </c>
    </row>
    <row r="583" spans="1:89" x14ac:dyDescent="0.15">
      <c r="A583" s="60">
        <v>1</v>
      </c>
      <c r="B583" s="61">
        <v>44585</v>
      </c>
      <c r="C583" s="61">
        <v>44592</v>
      </c>
      <c r="F583" s="61" t="s">
        <v>309</v>
      </c>
      <c r="H583" s="61" t="s">
        <v>309</v>
      </c>
      <c r="J583" s="60">
        <v>2</v>
      </c>
      <c r="L583" s="60">
        <v>0</v>
      </c>
      <c r="M583" s="61">
        <v>44579</v>
      </c>
      <c r="O583" s="62" t="s">
        <v>331</v>
      </c>
      <c r="P583" s="60" t="s">
        <v>50</v>
      </c>
      <c r="Q583" s="62" t="s">
        <v>40</v>
      </c>
      <c r="R583" s="62" t="s">
        <v>1800</v>
      </c>
      <c r="S583" s="63" t="s">
        <v>326</v>
      </c>
      <c r="T583" s="63" t="s">
        <v>1799</v>
      </c>
      <c r="U583" s="64">
        <v>120000</v>
      </c>
      <c r="V583" s="64">
        <v>132000</v>
      </c>
      <c r="W583" s="64">
        <v>120000</v>
      </c>
      <c r="X583" s="64">
        <v>132000</v>
      </c>
      <c r="Y583" s="64">
        <v>0</v>
      </c>
      <c r="Z583" s="64">
        <v>0</v>
      </c>
      <c r="AD583" s="60">
        <v>0</v>
      </c>
      <c r="AG583" s="60">
        <v>0</v>
      </c>
      <c r="AJ583" s="60">
        <v>0</v>
      </c>
      <c r="AQ583" s="60" t="s">
        <v>1862</v>
      </c>
      <c r="AR583" s="61">
        <v>44581</v>
      </c>
      <c r="AS583" s="60">
        <v>6001982746</v>
      </c>
      <c r="AT583" s="61">
        <v>44581</v>
      </c>
      <c r="AU583" s="60" t="s">
        <v>1863</v>
      </c>
      <c r="AV583" s="61">
        <v>44592</v>
      </c>
      <c r="AW583" s="91">
        <v>44592</v>
      </c>
      <c r="AX583" s="91">
        <v>44612</v>
      </c>
      <c r="AY583" s="107">
        <v>120000</v>
      </c>
      <c r="AZ583" s="107">
        <f>ROUNDDOWN(AY583+(AY583*MASTER!$A$2/100),0)</f>
        <v>132000</v>
      </c>
      <c r="BC583" s="64">
        <v>0</v>
      </c>
      <c r="BG583" s="64">
        <v>0</v>
      </c>
      <c r="BK583" s="64">
        <v>0</v>
      </c>
      <c r="BS583" s="64">
        <v>0</v>
      </c>
      <c r="BV583" s="65">
        <v>132000</v>
      </c>
      <c r="BW583" s="65">
        <v>0</v>
      </c>
      <c r="BX583" s="65">
        <v>44579</v>
      </c>
      <c r="BY583" s="65">
        <v>132000</v>
      </c>
      <c r="BZ583" s="81">
        <v>100</v>
      </c>
    </row>
    <row r="584" spans="1:89" x14ac:dyDescent="0.15">
      <c r="A584" s="60">
        <v>1</v>
      </c>
      <c r="B584" s="61">
        <v>44585</v>
      </c>
      <c r="C584" s="61">
        <v>44592</v>
      </c>
      <c r="F584" s="61" t="s">
        <v>309</v>
      </c>
      <c r="H584" s="61" t="s">
        <v>309</v>
      </c>
      <c r="J584" s="60">
        <v>2</v>
      </c>
      <c r="L584" s="60">
        <v>0</v>
      </c>
      <c r="M584" s="61">
        <v>44579</v>
      </c>
      <c r="O584" s="62" t="s">
        <v>331</v>
      </c>
      <c r="P584" s="60" t="s">
        <v>26</v>
      </c>
      <c r="Q584" s="62" t="s">
        <v>40</v>
      </c>
      <c r="R584" s="62" t="s">
        <v>1792</v>
      </c>
      <c r="S584" s="63" t="s">
        <v>326</v>
      </c>
      <c r="T584" s="63" t="s">
        <v>1798</v>
      </c>
      <c r="U584" s="64">
        <v>80000</v>
      </c>
      <c r="V584" s="64">
        <v>88000</v>
      </c>
      <c r="W584" s="64">
        <v>80000</v>
      </c>
      <c r="X584" s="64">
        <v>88000</v>
      </c>
      <c r="Y584" s="64">
        <v>0</v>
      </c>
      <c r="Z584" s="64">
        <v>0</v>
      </c>
      <c r="AD584" s="60">
        <v>0</v>
      </c>
      <c r="AG584" s="60">
        <v>0</v>
      </c>
      <c r="AJ584" s="60">
        <v>0</v>
      </c>
      <c r="AQ584" s="60" t="s">
        <v>1822</v>
      </c>
      <c r="AR584" s="61">
        <v>44592</v>
      </c>
      <c r="AS584" s="60">
        <v>6001982746</v>
      </c>
      <c r="AT584" s="61">
        <v>44581</v>
      </c>
      <c r="AU584" s="60" t="s">
        <v>1863</v>
      </c>
      <c r="AV584" s="61">
        <v>44592</v>
      </c>
      <c r="AW584" s="91">
        <v>44592</v>
      </c>
      <c r="AX584" s="91">
        <v>44612</v>
      </c>
      <c r="AY584" s="107">
        <v>80000</v>
      </c>
      <c r="AZ584" s="107">
        <f>ROUNDDOWN(AY584+(AY584*MASTER!$A$2/100),0)</f>
        <v>88000</v>
      </c>
      <c r="BC584" s="64">
        <v>0</v>
      </c>
      <c r="BG584" s="64">
        <v>0</v>
      </c>
      <c r="BK584" s="64">
        <v>0</v>
      </c>
      <c r="BS584" s="64">
        <v>0</v>
      </c>
      <c r="BV584" s="65">
        <v>88000</v>
      </c>
      <c r="BW584" s="65">
        <v>0</v>
      </c>
      <c r="BX584" s="65">
        <v>44579</v>
      </c>
      <c r="BY584" s="65">
        <v>88000</v>
      </c>
      <c r="BZ584" s="81">
        <v>100</v>
      </c>
      <c r="CD584" s="63" t="s">
        <v>1816</v>
      </c>
    </row>
    <row r="585" spans="1:89" x14ac:dyDescent="0.15">
      <c r="A585" s="60">
        <v>2</v>
      </c>
      <c r="B585" s="61">
        <v>44587</v>
      </c>
      <c r="C585" s="61">
        <v>44592</v>
      </c>
      <c r="D585" s="61">
        <v>44580</v>
      </c>
      <c r="E585" s="61">
        <v>44580</v>
      </c>
      <c r="F585" s="61" t="s">
        <v>309</v>
      </c>
      <c r="G585" s="61">
        <v>44580</v>
      </c>
      <c r="H585" s="61" t="s">
        <v>309</v>
      </c>
      <c r="I585" s="60" t="s">
        <v>494</v>
      </c>
      <c r="J585" s="60">
        <v>2</v>
      </c>
      <c r="L585" s="60">
        <v>0</v>
      </c>
      <c r="M585" s="61">
        <v>44580</v>
      </c>
      <c r="O585" s="62" t="s">
        <v>331</v>
      </c>
      <c r="P585" s="60" t="s">
        <v>6</v>
      </c>
      <c r="Q585" s="62" t="s">
        <v>40</v>
      </c>
      <c r="R585" s="62" t="s">
        <v>1818</v>
      </c>
      <c r="S585" s="63" t="s">
        <v>1819</v>
      </c>
      <c r="T585" s="63" t="s">
        <v>364</v>
      </c>
      <c r="U585" s="64">
        <v>35000</v>
      </c>
      <c r="V585" s="64">
        <v>38500</v>
      </c>
      <c r="W585" s="64">
        <v>35000</v>
      </c>
      <c r="X585" s="64">
        <v>38500</v>
      </c>
      <c r="Y585" s="64">
        <v>0</v>
      </c>
      <c r="Z585" s="64">
        <v>0</v>
      </c>
      <c r="AA585" s="61">
        <v>44579</v>
      </c>
      <c r="AB585" s="61">
        <v>44579</v>
      </c>
      <c r="AD585" s="60">
        <v>0</v>
      </c>
      <c r="AG585" s="60">
        <v>0</v>
      </c>
      <c r="AJ585" s="60">
        <v>0</v>
      </c>
      <c r="AN585" s="60" t="s">
        <v>309</v>
      </c>
      <c r="AQ585" s="60" t="s">
        <v>1942</v>
      </c>
      <c r="AR585" s="61">
        <v>44586</v>
      </c>
      <c r="AS585" s="60">
        <v>6001985074</v>
      </c>
      <c r="AT585" s="61">
        <v>44586</v>
      </c>
      <c r="AU585" s="60" t="s">
        <v>1952</v>
      </c>
      <c r="AV585" s="61">
        <v>44592</v>
      </c>
      <c r="AW585" s="91">
        <v>44592</v>
      </c>
      <c r="AX585" s="91">
        <v>44612</v>
      </c>
      <c r="AY585" s="99">
        <v>33600</v>
      </c>
      <c r="AZ585" s="99">
        <f>ROUNDDOWN(AY585+(AY585*MASTER!$A$2/100),0)</f>
        <v>36960</v>
      </c>
      <c r="BA585" s="60" t="s">
        <v>613</v>
      </c>
      <c r="BB585" s="64">
        <v>32000</v>
      </c>
      <c r="BC585" s="64">
        <v>35200</v>
      </c>
      <c r="BD585" s="60" t="s">
        <v>1614</v>
      </c>
      <c r="BG585" s="64">
        <v>0</v>
      </c>
      <c r="BK585" s="64">
        <v>0</v>
      </c>
      <c r="BS585" s="64">
        <v>0</v>
      </c>
      <c r="BV585" s="65">
        <v>38500</v>
      </c>
      <c r="BW585" s="65">
        <v>35200</v>
      </c>
      <c r="BX585" s="65">
        <v>44580</v>
      </c>
      <c r="BY585" s="65">
        <v>3300</v>
      </c>
      <c r="BZ585" s="81">
        <v>8.5714285714285712</v>
      </c>
    </row>
    <row r="586" spans="1:89" x14ac:dyDescent="0.15">
      <c r="A586" s="60">
        <v>2</v>
      </c>
      <c r="B586" s="61">
        <v>44592</v>
      </c>
      <c r="C586" s="61">
        <v>44596</v>
      </c>
      <c r="D586" s="61">
        <v>44592</v>
      </c>
      <c r="E586" s="61">
        <v>44592</v>
      </c>
      <c r="F586" s="61" t="s">
        <v>309</v>
      </c>
      <c r="G586" s="61">
        <v>44592</v>
      </c>
      <c r="H586" s="61" t="s">
        <v>309</v>
      </c>
      <c r="I586" s="60" t="s">
        <v>766</v>
      </c>
      <c r="J586" s="60">
        <v>2</v>
      </c>
      <c r="L586" s="60">
        <v>0</v>
      </c>
      <c r="M586" s="61">
        <v>44580</v>
      </c>
      <c r="O586" s="62" t="s">
        <v>331</v>
      </c>
      <c r="P586" s="60" t="s">
        <v>6</v>
      </c>
      <c r="Q586" s="62" t="s">
        <v>40</v>
      </c>
      <c r="R586" s="62" t="s">
        <v>2010</v>
      </c>
      <c r="S586" s="63" t="s">
        <v>2011</v>
      </c>
      <c r="T586" s="63" t="s">
        <v>364</v>
      </c>
      <c r="U586" s="64">
        <v>51000</v>
      </c>
      <c r="V586" s="64">
        <v>56100</v>
      </c>
      <c r="W586" s="64">
        <v>51000</v>
      </c>
      <c r="X586" s="64">
        <v>56100</v>
      </c>
      <c r="Y586" s="64">
        <v>0</v>
      </c>
      <c r="Z586" s="64">
        <v>0</v>
      </c>
      <c r="AA586" s="61">
        <v>44591</v>
      </c>
      <c r="AB586" s="61">
        <v>44592</v>
      </c>
      <c r="AD586" s="60">
        <v>0</v>
      </c>
      <c r="AG586" s="60">
        <v>0</v>
      </c>
      <c r="AJ586" s="60">
        <v>0</v>
      </c>
      <c r="AN586" s="60" t="s">
        <v>309</v>
      </c>
      <c r="AQ586" s="60" t="s">
        <v>2012</v>
      </c>
      <c r="AR586" s="61">
        <v>44589</v>
      </c>
      <c r="AS586" s="60">
        <v>6001986768</v>
      </c>
      <c r="AT586" s="61">
        <v>44589</v>
      </c>
      <c r="AU586" s="60" t="s">
        <v>2025</v>
      </c>
      <c r="AV586" s="61">
        <v>44596</v>
      </c>
      <c r="AW586" s="91">
        <v>44620</v>
      </c>
      <c r="AX586" s="91">
        <v>44640</v>
      </c>
      <c r="AY586" s="99">
        <v>48960</v>
      </c>
      <c r="AZ586" s="99">
        <f>ROUNDDOWN(AY586+(AY586*MASTER!$A$2/100),0)</f>
        <v>53856</v>
      </c>
      <c r="BA586" s="60" t="s">
        <v>14</v>
      </c>
      <c r="BB586" s="64">
        <v>43680</v>
      </c>
      <c r="BC586" s="64">
        <v>48048</v>
      </c>
      <c r="BD586" s="60" t="s">
        <v>1614</v>
      </c>
      <c r="BG586" s="64">
        <v>0</v>
      </c>
      <c r="BK586" s="64">
        <v>0</v>
      </c>
      <c r="BS586" s="64">
        <v>0</v>
      </c>
      <c r="BV586" s="65">
        <v>56100</v>
      </c>
      <c r="BW586" s="65">
        <v>48048</v>
      </c>
      <c r="BX586" s="65">
        <v>44580</v>
      </c>
      <c r="BY586" s="65">
        <v>8052</v>
      </c>
      <c r="BZ586" s="81">
        <v>14.352941176470587</v>
      </c>
    </row>
    <row r="587" spans="1:89" s="152" customFormat="1" x14ac:dyDescent="0.15">
      <c r="A587" s="142">
        <v>3</v>
      </c>
      <c r="B587" s="143"/>
      <c r="C587" s="143" t="s">
        <v>309</v>
      </c>
      <c r="D587" s="143"/>
      <c r="E587" s="143"/>
      <c r="F587" s="143" t="s">
        <v>309</v>
      </c>
      <c r="G587" s="143"/>
      <c r="H587" s="143" t="s">
        <v>309</v>
      </c>
      <c r="I587" s="142"/>
      <c r="J587" s="142">
        <v>2</v>
      </c>
      <c r="K587" s="143"/>
      <c r="L587" s="142">
        <v>0</v>
      </c>
      <c r="M587" s="143">
        <v>44580</v>
      </c>
      <c r="N587" s="143"/>
      <c r="O587" s="144" t="s">
        <v>331</v>
      </c>
      <c r="P587" s="142" t="s">
        <v>6</v>
      </c>
      <c r="Q587" s="144" t="s">
        <v>40</v>
      </c>
      <c r="R587" s="144" t="s">
        <v>2663</v>
      </c>
      <c r="S587" s="145" t="s">
        <v>457</v>
      </c>
      <c r="T587" s="145" t="s">
        <v>364</v>
      </c>
      <c r="U587" s="146">
        <v>51000</v>
      </c>
      <c r="V587" s="146">
        <v>56100</v>
      </c>
      <c r="W587" s="146">
        <v>51000</v>
      </c>
      <c r="X587" s="146">
        <v>56100</v>
      </c>
      <c r="Y587" s="146"/>
      <c r="Z587" s="146">
        <v>0</v>
      </c>
      <c r="AA587" s="143"/>
      <c r="AB587" s="143"/>
      <c r="AC587" s="143"/>
      <c r="AD587" s="142">
        <v>0</v>
      </c>
      <c r="AE587" s="142"/>
      <c r="AF587" s="142"/>
      <c r="AG587" s="142">
        <v>0</v>
      </c>
      <c r="AH587" s="142"/>
      <c r="AI587" s="142"/>
      <c r="AJ587" s="142">
        <v>0</v>
      </c>
      <c r="AK587" s="142"/>
      <c r="AL587" s="142"/>
      <c r="AM587" s="142"/>
      <c r="AN587" s="142" t="s">
        <v>309</v>
      </c>
      <c r="AO587" s="143"/>
      <c r="AP587" s="142"/>
      <c r="AQ587" s="142"/>
      <c r="AR587" s="143"/>
      <c r="AS587" s="142"/>
      <c r="AT587" s="143"/>
      <c r="AU587" s="142"/>
      <c r="AV587" s="143"/>
      <c r="AW587" s="147"/>
      <c r="AX587" s="147"/>
      <c r="AY587" s="148">
        <v>48960</v>
      </c>
      <c r="AZ587" s="148">
        <f>ROUNDDOWN(AY587+(AY587*MASTER!$A$2/100),0)</f>
        <v>53856</v>
      </c>
      <c r="BA587" s="142"/>
      <c r="BB587" s="146"/>
      <c r="BC587" s="146">
        <v>0</v>
      </c>
      <c r="BD587" s="142"/>
      <c r="BE587" s="142"/>
      <c r="BF587" s="146"/>
      <c r="BG587" s="146">
        <v>0</v>
      </c>
      <c r="BH587" s="142"/>
      <c r="BI587" s="142"/>
      <c r="BJ587" s="146"/>
      <c r="BK587" s="146">
        <v>0</v>
      </c>
      <c r="BL587" s="142"/>
      <c r="BM587" s="146"/>
      <c r="BN587" s="146"/>
      <c r="BO587" s="146"/>
      <c r="BP587" s="146"/>
      <c r="BQ587" s="146"/>
      <c r="BR587" s="146"/>
      <c r="BS587" s="146">
        <v>0</v>
      </c>
      <c r="BT587" s="149"/>
      <c r="BU587" s="149"/>
      <c r="BV587" s="150">
        <v>56100</v>
      </c>
      <c r="BW587" s="150">
        <v>0</v>
      </c>
      <c r="BX587" s="150">
        <v>44580</v>
      </c>
      <c r="BY587" s="150">
        <v>56100</v>
      </c>
      <c r="BZ587" s="151">
        <v>100</v>
      </c>
      <c r="CA587" s="142"/>
      <c r="CB587" s="142"/>
      <c r="CC587" s="142"/>
      <c r="CD587" s="145" t="s">
        <v>2660</v>
      </c>
      <c r="CE587" s="143"/>
      <c r="CF587" s="143"/>
      <c r="CG587" s="143"/>
      <c r="CH587" s="143"/>
      <c r="CI587" s="143"/>
      <c r="CJ587" s="143"/>
      <c r="CK587" s="146"/>
    </row>
    <row r="588" spans="1:89" x14ac:dyDescent="0.15">
      <c r="A588" s="60">
        <v>1</v>
      </c>
      <c r="B588" s="61">
        <v>44594</v>
      </c>
      <c r="C588" s="61">
        <v>44596</v>
      </c>
      <c r="F588" s="61" t="s">
        <v>309</v>
      </c>
      <c r="G588" s="61">
        <v>44589</v>
      </c>
      <c r="H588" s="61" t="s">
        <v>309</v>
      </c>
      <c r="J588" s="60">
        <v>2</v>
      </c>
      <c r="L588" s="60">
        <v>0</v>
      </c>
      <c r="M588" s="61">
        <v>44581</v>
      </c>
      <c r="O588" s="62" t="s">
        <v>331</v>
      </c>
      <c r="P588" s="60" t="s">
        <v>6</v>
      </c>
      <c r="Q588" s="62" t="s">
        <v>40</v>
      </c>
      <c r="R588" s="62" t="s">
        <v>2002</v>
      </c>
      <c r="S588" s="63" t="s">
        <v>456</v>
      </c>
      <c r="T588" s="63" t="s">
        <v>364</v>
      </c>
      <c r="U588" s="64">
        <v>51000</v>
      </c>
      <c r="V588" s="64">
        <v>56100</v>
      </c>
      <c r="W588" s="64">
        <v>51000</v>
      </c>
      <c r="X588" s="64">
        <v>56100</v>
      </c>
      <c r="Z588" s="64">
        <v>0</v>
      </c>
      <c r="AA588" s="61">
        <v>44588</v>
      </c>
      <c r="AB588" s="61">
        <v>44588</v>
      </c>
      <c r="AD588" s="60">
        <v>0</v>
      </c>
      <c r="AG588" s="60">
        <v>0</v>
      </c>
      <c r="AJ588" s="60">
        <v>0</v>
      </c>
      <c r="AN588" s="60" t="s">
        <v>309</v>
      </c>
      <c r="AQ588" s="60" t="s">
        <v>2063</v>
      </c>
      <c r="AR588" s="61">
        <v>44593</v>
      </c>
      <c r="AS588" s="60">
        <v>6001987752</v>
      </c>
      <c r="AT588" s="61">
        <v>44593</v>
      </c>
      <c r="AU588" s="60" t="s">
        <v>2078</v>
      </c>
      <c r="AV588" s="61">
        <v>44596</v>
      </c>
      <c r="AW588" s="91">
        <v>44620</v>
      </c>
      <c r="AX588" s="91">
        <v>44640</v>
      </c>
      <c r="AY588" s="99">
        <v>48960</v>
      </c>
      <c r="AZ588" s="99">
        <f>ROUNDDOWN(AY588+(AY588*MASTER!$A$2/100),0)</f>
        <v>53856</v>
      </c>
      <c r="BA588" s="60" t="s">
        <v>317</v>
      </c>
      <c r="BB588" s="64">
        <v>23000</v>
      </c>
      <c r="BC588" s="64">
        <v>25300</v>
      </c>
      <c r="BD588" s="60" t="s">
        <v>1614</v>
      </c>
      <c r="BG588" s="64">
        <v>0</v>
      </c>
      <c r="BK588" s="64">
        <v>0</v>
      </c>
      <c r="BS588" s="64">
        <v>0</v>
      </c>
      <c r="BV588" s="65">
        <v>56100</v>
      </c>
      <c r="BW588" s="65">
        <v>25300</v>
      </c>
      <c r="BX588" s="65">
        <v>44581</v>
      </c>
      <c r="BY588" s="65">
        <v>30800</v>
      </c>
      <c r="BZ588" s="81">
        <v>54.901960784313729</v>
      </c>
    </row>
    <row r="589" spans="1:89" x14ac:dyDescent="0.15">
      <c r="A589" s="60">
        <v>2</v>
      </c>
      <c r="B589" s="61">
        <v>44608</v>
      </c>
      <c r="C589" s="61">
        <v>44608</v>
      </c>
      <c r="D589" s="61">
        <v>44599</v>
      </c>
      <c r="E589" s="61">
        <v>44599</v>
      </c>
      <c r="F589" s="61" t="s">
        <v>309</v>
      </c>
      <c r="G589" s="61">
        <v>44599</v>
      </c>
      <c r="H589" s="61" t="s">
        <v>309</v>
      </c>
      <c r="I589" s="60" t="s">
        <v>766</v>
      </c>
      <c r="J589" s="60">
        <v>2</v>
      </c>
      <c r="L589" s="60">
        <v>0</v>
      </c>
      <c r="M589" s="61">
        <v>44587</v>
      </c>
      <c r="O589" s="62" t="s">
        <v>331</v>
      </c>
      <c r="P589" s="60" t="s">
        <v>6</v>
      </c>
      <c r="Q589" s="62" t="s">
        <v>40</v>
      </c>
      <c r="R589" s="62" t="s">
        <v>1955</v>
      </c>
      <c r="S589" s="63" t="s">
        <v>1917</v>
      </c>
      <c r="T589" s="63" t="s">
        <v>364</v>
      </c>
      <c r="U589" s="64">
        <v>39000</v>
      </c>
      <c r="V589" s="64">
        <v>42900</v>
      </c>
      <c r="W589" s="64">
        <v>39000</v>
      </c>
      <c r="X589" s="64">
        <v>42900</v>
      </c>
      <c r="Z589" s="64">
        <v>0</v>
      </c>
      <c r="AA589" s="61">
        <v>44596</v>
      </c>
      <c r="AB589" s="61">
        <v>44596</v>
      </c>
      <c r="AD589" s="60">
        <v>0</v>
      </c>
      <c r="AG589" s="60">
        <v>0</v>
      </c>
      <c r="AJ589" s="60">
        <v>0</v>
      </c>
      <c r="AN589" s="60" t="s">
        <v>309</v>
      </c>
      <c r="AQ589" s="60" t="s">
        <v>2227</v>
      </c>
      <c r="AR589" s="61">
        <v>44606</v>
      </c>
      <c r="AS589" s="60">
        <v>6001993031</v>
      </c>
      <c r="AT589" s="61">
        <v>44607</v>
      </c>
      <c r="AU589" s="60" t="s">
        <v>2314</v>
      </c>
      <c r="AV589" s="61">
        <v>44608</v>
      </c>
      <c r="AW589" s="91">
        <v>44620</v>
      </c>
      <c r="AX589" s="91">
        <v>44640</v>
      </c>
      <c r="AY589" s="99">
        <v>37440</v>
      </c>
      <c r="AZ589" s="99">
        <f>ROUNDDOWN(AY589+(AY589*MASTER!$A$2/100),0)</f>
        <v>41184</v>
      </c>
      <c r="BA589" s="60" t="s">
        <v>317</v>
      </c>
      <c r="BB589" s="64">
        <v>21000</v>
      </c>
      <c r="BC589" s="64">
        <v>23100</v>
      </c>
      <c r="BD589" s="60" t="s">
        <v>2044</v>
      </c>
      <c r="BG589" s="64">
        <v>0</v>
      </c>
      <c r="BK589" s="64">
        <v>0</v>
      </c>
      <c r="BS589" s="64">
        <v>0</v>
      </c>
      <c r="BV589" s="65">
        <v>42900</v>
      </c>
      <c r="BW589" s="65">
        <v>23100</v>
      </c>
      <c r="BX589" s="65">
        <v>44587</v>
      </c>
      <c r="BY589" s="65">
        <v>19800</v>
      </c>
      <c r="BZ589" s="81">
        <v>46.153846153846153</v>
      </c>
    </row>
    <row r="590" spans="1:89" x14ac:dyDescent="0.15">
      <c r="A590" s="60">
        <v>2</v>
      </c>
      <c r="B590" s="61">
        <v>44665</v>
      </c>
      <c r="C590" s="61">
        <v>44679</v>
      </c>
      <c r="D590" s="61">
        <v>44687</v>
      </c>
      <c r="F590" s="61">
        <v>44689</v>
      </c>
      <c r="H590" s="61">
        <v>44685</v>
      </c>
      <c r="I590" s="60" t="s">
        <v>1630</v>
      </c>
      <c r="J590" s="60">
        <v>2</v>
      </c>
      <c r="L590" s="60">
        <v>0</v>
      </c>
      <c r="M590" s="61">
        <v>44581</v>
      </c>
      <c r="O590" s="62" t="s">
        <v>331</v>
      </c>
      <c r="P590" s="60" t="s">
        <v>77</v>
      </c>
      <c r="Q590" s="62" t="s">
        <v>40</v>
      </c>
      <c r="R590" s="62" t="s">
        <v>1837</v>
      </c>
      <c r="S590" s="63" t="s">
        <v>1083</v>
      </c>
      <c r="T590" s="63" t="s">
        <v>1838</v>
      </c>
      <c r="U590" s="64">
        <v>65000</v>
      </c>
      <c r="V590" s="64">
        <v>71500</v>
      </c>
      <c r="W590" s="64">
        <v>65000</v>
      </c>
      <c r="X590" s="64">
        <v>71500</v>
      </c>
      <c r="Y590" s="64">
        <v>0</v>
      </c>
      <c r="Z590" s="64">
        <v>0</v>
      </c>
      <c r="AA590" s="61">
        <v>44681</v>
      </c>
      <c r="AB590" s="61">
        <v>44682</v>
      </c>
      <c r="AC590" s="61">
        <v>44682</v>
      </c>
      <c r="AD590" s="60">
        <v>0</v>
      </c>
      <c r="AG590" s="60">
        <v>0</v>
      </c>
      <c r="AJ590" s="60">
        <v>0</v>
      </c>
      <c r="AQ590" s="60" t="s">
        <v>3125</v>
      </c>
      <c r="AR590" s="61">
        <v>44586</v>
      </c>
      <c r="AS590" s="60">
        <v>6001985074</v>
      </c>
      <c r="AT590" s="61">
        <v>44586</v>
      </c>
      <c r="AU590" s="60" t="s">
        <v>1952</v>
      </c>
      <c r="AV590" s="155">
        <v>44679</v>
      </c>
      <c r="AW590" s="91">
        <v>44681</v>
      </c>
      <c r="AX590" s="91">
        <v>44701</v>
      </c>
      <c r="AY590" s="107">
        <v>65000</v>
      </c>
      <c r="AZ590" s="107">
        <f>ROUNDDOWN(AY590+(AY590*MASTER!$A$2/100),0)</f>
        <v>71500</v>
      </c>
      <c r="BA590" s="60" t="s">
        <v>107</v>
      </c>
      <c r="BC590" s="64">
        <v>0</v>
      </c>
      <c r="BG590" s="64">
        <v>0</v>
      </c>
      <c r="BK590" s="64">
        <v>0</v>
      </c>
      <c r="BS590" s="64">
        <v>0</v>
      </c>
      <c r="BV590" s="65">
        <v>71500</v>
      </c>
      <c r="BW590" s="65">
        <v>0</v>
      </c>
      <c r="BX590" s="65">
        <v>44581</v>
      </c>
      <c r="BY590" s="65">
        <v>71500</v>
      </c>
      <c r="BZ590" s="81">
        <v>100</v>
      </c>
    </row>
    <row r="591" spans="1:89" x14ac:dyDescent="0.15">
      <c r="A591" s="60">
        <v>1</v>
      </c>
      <c r="B591" s="61">
        <v>44602</v>
      </c>
      <c r="C591" s="61">
        <v>44606</v>
      </c>
      <c r="F591" s="61" t="s">
        <v>309</v>
      </c>
      <c r="H591" s="61" t="s">
        <v>309</v>
      </c>
      <c r="J591" s="60">
        <v>2</v>
      </c>
      <c r="K591" s="61">
        <v>44595</v>
      </c>
      <c r="L591" s="60" t="s">
        <v>529</v>
      </c>
      <c r="M591" s="61">
        <v>44581</v>
      </c>
      <c r="O591" s="62" t="s">
        <v>331</v>
      </c>
      <c r="P591" s="60" t="s">
        <v>26</v>
      </c>
      <c r="Q591" s="62" t="s">
        <v>40</v>
      </c>
      <c r="R591" s="62" t="s">
        <v>1865</v>
      </c>
      <c r="S591" s="63" t="s">
        <v>354</v>
      </c>
      <c r="T591" s="63" t="s">
        <v>1866</v>
      </c>
      <c r="U591" s="64">
        <v>256000</v>
      </c>
      <c r="V591" s="64">
        <v>281600</v>
      </c>
      <c r="W591" s="64">
        <v>256000</v>
      </c>
      <c r="X591" s="64">
        <v>281600</v>
      </c>
      <c r="Y591" s="64">
        <v>0</v>
      </c>
      <c r="Z591" s="64">
        <v>0</v>
      </c>
      <c r="AA591" s="61">
        <v>44581</v>
      </c>
      <c r="AB591" s="61">
        <v>44602</v>
      </c>
      <c r="AD591" s="60">
        <v>0</v>
      </c>
      <c r="AG591" s="60">
        <v>0</v>
      </c>
      <c r="AJ591" s="60">
        <v>0</v>
      </c>
      <c r="AQ591" s="60" t="s">
        <v>2178</v>
      </c>
      <c r="AR591" s="61">
        <v>44596</v>
      </c>
      <c r="AS591" s="60">
        <v>6001990056</v>
      </c>
      <c r="AT591" s="61">
        <v>44599</v>
      </c>
      <c r="AU591" s="60" t="s">
        <v>2206</v>
      </c>
      <c r="AV591" s="61">
        <v>44606</v>
      </c>
      <c r="AW591" s="91">
        <v>44620</v>
      </c>
      <c r="AX591" s="91">
        <v>44640</v>
      </c>
      <c r="AY591" s="107">
        <v>256000</v>
      </c>
      <c r="AZ591" s="107">
        <f>ROUNDDOWN(AY591+(AY591*MASTER!$A$2/100),0)</f>
        <v>281600</v>
      </c>
      <c r="BC591" s="64">
        <v>0</v>
      </c>
      <c r="BG591" s="64">
        <v>0</v>
      </c>
      <c r="BK591" s="64">
        <v>0</v>
      </c>
      <c r="BS591" s="64">
        <v>0</v>
      </c>
      <c r="BV591" s="65">
        <v>281600</v>
      </c>
      <c r="BW591" s="65">
        <v>0</v>
      </c>
      <c r="BX591" s="65">
        <v>0</v>
      </c>
      <c r="BY591" s="65">
        <v>44595</v>
      </c>
      <c r="BZ591" s="81">
        <v>100</v>
      </c>
    </row>
    <row r="592" spans="1:89" x14ac:dyDescent="0.15">
      <c r="A592" s="60">
        <v>2</v>
      </c>
      <c r="B592" s="61">
        <v>44637</v>
      </c>
      <c r="C592" s="61">
        <v>44646</v>
      </c>
      <c r="D592" s="61">
        <v>44658</v>
      </c>
      <c r="E592" s="61">
        <v>44659</v>
      </c>
      <c r="F592" s="61">
        <v>44653</v>
      </c>
      <c r="G592" s="61">
        <v>44648</v>
      </c>
      <c r="H592" s="61">
        <v>44649</v>
      </c>
      <c r="I592" s="60" t="s">
        <v>511</v>
      </c>
      <c r="J592" s="60">
        <v>1</v>
      </c>
      <c r="L592" s="60">
        <v>0</v>
      </c>
      <c r="M592" s="61">
        <v>44582</v>
      </c>
      <c r="O592" s="62" t="s">
        <v>331</v>
      </c>
      <c r="P592" s="60" t="s">
        <v>26</v>
      </c>
      <c r="Q592" s="62" t="s">
        <v>40</v>
      </c>
      <c r="R592" s="62" t="s">
        <v>1868</v>
      </c>
      <c r="S592" s="63" t="s">
        <v>1228</v>
      </c>
      <c r="T592" s="63" t="s">
        <v>621</v>
      </c>
      <c r="U592" s="64">
        <v>50000</v>
      </c>
      <c r="V592" s="64">
        <v>55000</v>
      </c>
      <c r="W592" s="64">
        <v>47000</v>
      </c>
      <c r="X592" s="64">
        <v>51700</v>
      </c>
      <c r="Y592" s="64">
        <v>3000</v>
      </c>
      <c r="Z592" s="64">
        <v>3300</v>
      </c>
      <c r="AA592" s="61">
        <v>44645</v>
      </c>
      <c r="AB592" s="61">
        <v>44646</v>
      </c>
      <c r="AC592" s="61">
        <v>44646</v>
      </c>
      <c r="AD592" s="60">
        <v>0</v>
      </c>
      <c r="AG592" s="60">
        <v>0</v>
      </c>
      <c r="AJ592" s="60">
        <v>0</v>
      </c>
      <c r="AM592" s="60" t="s">
        <v>273</v>
      </c>
      <c r="AN592" s="60" t="s">
        <v>2542</v>
      </c>
      <c r="AQ592" s="60" t="s">
        <v>2817</v>
      </c>
      <c r="AR592" s="61">
        <v>44623</v>
      </c>
      <c r="AS592" s="60">
        <v>6001999819</v>
      </c>
      <c r="AT592" s="61">
        <v>44624</v>
      </c>
      <c r="AU592" s="60" t="s">
        <v>2593</v>
      </c>
      <c r="AV592" s="61">
        <v>44646</v>
      </c>
      <c r="AW592" s="91">
        <v>44651</v>
      </c>
      <c r="AX592" s="91">
        <v>44671</v>
      </c>
      <c r="AY592" s="99">
        <v>48000</v>
      </c>
      <c r="AZ592" s="99">
        <f>ROUNDDOWN(AY592+(AY592*MASTER!$A$2/100),0)</f>
        <v>52800</v>
      </c>
      <c r="BA592" s="60" t="s">
        <v>613</v>
      </c>
      <c r="BB592" s="64">
        <v>26000</v>
      </c>
      <c r="BC592" s="64">
        <v>28600</v>
      </c>
      <c r="BD592" s="60" t="s">
        <v>2107</v>
      </c>
      <c r="BG592" s="64">
        <v>0</v>
      </c>
      <c r="BI592" s="60" t="s">
        <v>748</v>
      </c>
      <c r="BJ592" s="64">
        <v>1950</v>
      </c>
      <c r="BK592" s="64">
        <v>2145</v>
      </c>
      <c r="BL592" s="60" t="s">
        <v>2107</v>
      </c>
      <c r="BS592" s="64">
        <v>0</v>
      </c>
      <c r="BV592" s="65">
        <v>51700</v>
      </c>
      <c r="BW592" s="65">
        <v>30745</v>
      </c>
      <c r="BX592" s="65">
        <v>44582</v>
      </c>
      <c r="BY592" s="65">
        <v>20955</v>
      </c>
      <c r="BZ592" s="81">
        <v>40.531914893617021</v>
      </c>
    </row>
    <row r="593" spans="1:89" x14ac:dyDescent="0.15">
      <c r="A593" s="60">
        <v>2</v>
      </c>
      <c r="B593" s="61">
        <v>44587</v>
      </c>
      <c r="C593" s="61">
        <v>44592</v>
      </c>
      <c r="D593" s="61" t="s">
        <v>764</v>
      </c>
      <c r="E593" s="61">
        <v>44618</v>
      </c>
      <c r="F593" s="61">
        <v>44594</v>
      </c>
      <c r="G593" s="61">
        <v>44589</v>
      </c>
      <c r="H593" s="61">
        <v>44590</v>
      </c>
      <c r="I593" s="60" t="s">
        <v>612</v>
      </c>
      <c r="J593" s="60">
        <v>1</v>
      </c>
      <c r="L593" s="60">
        <v>0</v>
      </c>
      <c r="M593" s="61">
        <v>44582</v>
      </c>
      <c r="O593" s="62" t="s">
        <v>331</v>
      </c>
      <c r="P593" s="60" t="s">
        <v>26</v>
      </c>
      <c r="Q593" s="62" t="s">
        <v>40</v>
      </c>
      <c r="R593" s="62" t="s">
        <v>1869</v>
      </c>
      <c r="S593" s="63" t="s">
        <v>856</v>
      </c>
      <c r="T593" s="63" t="s">
        <v>598</v>
      </c>
      <c r="U593" s="64">
        <v>23900</v>
      </c>
      <c r="V593" s="64">
        <v>26290</v>
      </c>
      <c r="W593" s="64">
        <v>14700</v>
      </c>
      <c r="X593" s="64">
        <v>16170</v>
      </c>
      <c r="Y593" s="64">
        <v>9200</v>
      </c>
      <c r="Z593" s="64">
        <v>10120</v>
      </c>
      <c r="AA593" s="61">
        <v>44586</v>
      </c>
      <c r="AB593" s="61">
        <v>44587</v>
      </c>
      <c r="AC593" s="61">
        <v>44587</v>
      </c>
      <c r="AD593" s="60">
        <v>0</v>
      </c>
      <c r="AG593" s="60">
        <v>0</v>
      </c>
      <c r="AJ593" s="60">
        <v>0</v>
      </c>
      <c r="AM593" s="60" t="s">
        <v>273</v>
      </c>
      <c r="AN593" s="60" t="s">
        <v>1941</v>
      </c>
      <c r="AQ593" s="60" t="s">
        <v>2090</v>
      </c>
      <c r="AR593" s="61">
        <v>44586</v>
      </c>
      <c r="AS593" s="60">
        <v>6001985074</v>
      </c>
      <c r="AT593" s="61">
        <v>44586</v>
      </c>
      <c r="AU593" s="60" t="s">
        <v>1952</v>
      </c>
      <c r="AV593" s="61">
        <v>44592</v>
      </c>
      <c r="AW593" s="91">
        <v>44592</v>
      </c>
      <c r="AX593" s="91">
        <v>44612</v>
      </c>
      <c r="AY593" s="99">
        <v>22944</v>
      </c>
      <c r="AZ593" s="99">
        <f>ROUNDDOWN(AY593+(AY593*MASTER!$A$2/100),0)</f>
        <v>25238</v>
      </c>
      <c r="BA593" s="60" t="s">
        <v>765</v>
      </c>
      <c r="BC593" s="64">
        <v>0</v>
      </c>
      <c r="BG593" s="64">
        <v>0</v>
      </c>
      <c r="BI593" s="60" t="s">
        <v>748</v>
      </c>
      <c r="BJ593" s="64">
        <v>5980</v>
      </c>
      <c r="BK593" s="64">
        <v>6578</v>
      </c>
      <c r="BL593" s="60" t="s">
        <v>1614</v>
      </c>
      <c r="BS593" s="64">
        <v>0</v>
      </c>
      <c r="BV593" s="65">
        <v>16170</v>
      </c>
      <c r="BW593" s="65">
        <v>6578</v>
      </c>
      <c r="BX593" s="65">
        <v>44582</v>
      </c>
      <c r="BY593" s="65">
        <v>9592</v>
      </c>
      <c r="BZ593" s="81">
        <v>59.319727891156461</v>
      </c>
    </row>
    <row r="594" spans="1:89" x14ac:dyDescent="0.15">
      <c r="A594" s="60">
        <v>1</v>
      </c>
      <c r="B594" s="61">
        <v>44585</v>
      </c>
      <c r="C594" s="61">
        <v>44592</v>
      </c>
      <c r="F594" s="61">
        <v>44596</v>
      </c>
      <c r="H594" s="61">
        <v>44592</v>
      </c>
      <c r="J594" s="60">
        <v>2</v>
      </c>
      <c r="L594" s="60">
        <v>0</v>
      </c>
      <c r="M594" s="61">
        <v>44582</v>
      </c>
      <c r="O594" s="62" t="s">
        <v>331</v>
      </c>
      <c r="P594" s="60" t="s">
        <v>77</v>
      </c>
      <c r="Q594" s="62" t="s">
        <v>40</v>
      </c>
      <c r="R594" s="62" t="s">
        <v>1870</v>
      </c>
      <c r="S594" s="63" t="s">
        <v>1062</v>
      </c>
      <c r="T594" s="63" t="s">
        <v>346</v>
      </c>
      <c r="U594" s="64">
        <v>65000</v>
      </c>
      <c r="V594" s="64">
        <v>71500</v>
      </c>
      <c r="W594" s="64">
        <v>65000</v>
      </c>
      <c r="X594" s="64">
        <v>71500</v>
      </c>
      <c r="Y594" s="64">
        <v>0</v>
      </c>
      <c r="Z594" s="64">
        <v>0</v>
      </c>
      <c r="AA594" s="61">
        <v>44588</v>
      </c>
      <c r="AB594" s="61">
        <v>44589</v>
      </c>
      <c r="AC594" s="61">
        <v>44589</v>
      </c>
      <c r="AD594" s="60">
        <v>0</v>
      </c>
      <c r="AG594" s="60">
        <v>0</v>
      </c>
      <c r="AJ594" s="60">
        <v>0</v>
      </c>
      <c r="AQ594" s="60" t="s">
        <v>1886</v>
      </c>
      <c r="AR594" s="61">
        <v>44582</v>
      </c>
      <c r="AS594" s="60">
        <v>6001983764</v>
      </c>
      <c r="AT594" s="61">
        <v>44582</v>
      </c>
      <c r="AU594" s="60" t="s">
        <v>2150</v>
      </c>
      <c r="AV594" s="61">
        <v>44592</v>
      </c>
      <c r="AW594" s="91">
        <v>44592</v>
      </c>
      <c r="AX594" s="91">
        <v>44612</v>
      </c>
      <c r="AY594" s="107">
        <v>65000</v>
      </c>
      <c r="AZ594" s="107">
        <f>ROUNDDOWN(AY594+(AY594*MASTER!$A$2/100),0)</f>
        <v>71500</v>
      </c>
      <c r="BA594" s="60" t="s">
        <v>603</v>
      </c>
      <c r="BB594" s="64">
        <v>41000</v>
      </c>
      <c r="BC594" s="64">
        <v>45100</v>
      </c>
      <c r="BD594" s="60" t="s">
        <v>1469</v>
      </c>
      <c r="BG594" s="64">
        <v>0</v>
      </c>
      <c r="BK594" s="64">
        <v>0</v>
      </c>
      <c r="BS594" s="64">
        <v>0</v>
      </c>
      <c r="BV594" s="65">
        <v>71500</v>
      </c>
      <c r="BW594" s="65">
        <v>45100</v>
      </c>
      <c r="BX594" s="65">
        <v>44582</v>
      </c>
      <c r="BY594" s="65">
        <v>26400</v>
      </c>
      <c r="BZ594" s="81">
        <v>36.923076923076927</v>
      </c>
    </row>
    <row r="595" spans="1:89" x14ac:dyDescent="0.15">
      <c r="A595" s="60">
        <v>1</v>
      </c>
      <c r="B595" s="61">
        <v>44613</v>
      </c>
      <c r="C595" s="61">
        <v>44610</v>
      </c>
      <c r="D595" s="61">
        <v>44607</v>
      </c>
      <c r="E595" s="61">
        <v>44607</v>
      </c>
      <c r="F595" s="61" t="s">
        <v>309</v>
      </c>
      <c r="G595" s="61">
        <v>44607</v>
      </c>
      <c r="H595" s="61" t="s">
        <v>309</v>
      </c>
      <c r="I595" s="60" t="s">
        <v>766</v>
      </c>
      <c r="J595" s="60">
        <v>2</v>
      </c>
      <c r="L595" s="60">
        <v>0</v>
      </c>
      <c r="M595" s="61">
        <v>44582</v>
      </c>
      <c r="O595" s="62" t="s">
        <v>331</v>
      </c>
      <c r="P595" s="60" t="s">
        <v>6</v>
      </c>
      <c r="Q595" s="62" t="s">
        <v>40</v>
      </c>
      <c r="R595" s="62" t="s">
        <v>2325</v>
      </c>
      <c r="S595" s="63" t="s">
        <v>617</v>
      </c>
      <c r="T595" s="63" t="s">
        <v>364</v>
      </c>
      <c r="U595" s="64">
        <v>35000</v>
      </c>
      <c r="V595" s="64">
        <v>38500</v>
      </c>
      <c r="W595" s="64">
        <v>35000</v>
      </c>
      <c r="X595" s="64">
        <v>38500</v>
      </c>
      <c r="Z595" s="64">
        <v>0</v>
      </c>
      <c r="AA595" s="61">
        <v>44606</v>
      </c>
      <c r="AB595" s="61">
        <v>44606</v>
      </c>
      <c r="AD595" s="60">
        <v>0</v>
      </c>
      <c r="AG595" s="60">
        <v>0</v>
      </c>
      <c r="AJ595" s="60">
        <v>0</v>
      </c>
      <c r="AN595" s="60" t="s">
        <v>309</v>
      </c>
      <c r="AQ595" s="60" t="s">
        <v>2321</v>
      </c>
      <c r="AR595" s="61">
        <v>44608</v>
      </c>
      <c r="AS595" s="60">
        <v>6001994482</v>
      </c>
      <c r="AT595" s="61">
        <v>44609</v>
      </c>
      <c r="AU595" s="60" t="s">
        <v>2354</v>
      </c>
      <c r="AV595" s="61">
        <v>44610</v>
      </c>
      <c r="AW595" s="91">
        <v>44620</v>
      </c>
      <c r="AX595" s="91">
        <v>44640</v>
      </c>
      <c r="AY595" s="99">
        <v>33600</v>
      </c>
      <c r="AZ595" s="99">
        <f>ROUNDDOWN(AY595+(AY595*MASTER!$A$2/100),0)</f>
        <v>36960</v>
      </c>
      <c r="BA595" s="60" t="s">
        <v>613</v>
      </c>
      <c r="BB595" s="64">
        <v>26000</v>
      </c>
      <c r="BC595" s="64">
        <v>28600</v>
      </c>
      <c r="BD595" s="60" t="s">
        <v>2044</v>
      </c>
      <c r="BG595" s="64">
        <v>0</v>
      </c>
      <c r="BK595" s="64">
        <v>0</v>
      </c>
      <c r="BS595" s="64">
        <v>0</v>
      </c>
      <c r="BV595" s="65">
        <v>38500</v>
      </c>
      <c r="BW595" s="65">
        <v>28600</v>
      </c>
      <c r="BX595" s="65">
        <v>44582</v>
      </c>
      <c r="BY595" s="65">
        <v>9900</v>
      </c>
      <c r="BZ595" s="81">
        <v>25.714285714285712</v>
      </c>
    </row>
    <row r="596" spans="1:89" x14ac:dyDescent="0.15">
      <c r="A596" s="60">
        <v>1</v>
      </c>
      <c r="B596" s="61">
        <v>44608</v>
      </c>
      <c r="C596" s="61">
        <v>44620</v>
      </c>
      <c r="F596" s="61" t="s">
        <v>309</v>
      </c>
      <c r="H596" s="61" t="s">
        <v>309</v>
      </c>
      <c r="J596" s="60">
        <v>3</v>
      </c>
      <c r="L596" s="60">
        <v>0</v>
      </c>
      <c r="M596" s="61">
        <v>44582</v>
      </c>
      <c r="O596" s="62" t="s">
        <v>331</v>
      </c>
      <c r="P596" s="60" t="s">
        <v>6</v>
      </c>
      <c r="Q596" s="62" t="s">
        <v>40</v>
      </c>
      <c r="R596" s="62" t="s">
        <v>1879</v>
      </c>
      <c r="S596" s="63" t="s">
        <v>1880</v>
      </c>
      <c r="T596" s="63" t="s">
        <v>385</v>
      </c>
      <c r="U596" s="64">
        <v>18000</v>
      </c>
      <c r="V596" s="64">
        <v>19800</v>
      </c>
      <c r="W596" s="64">
        <v>0</v>
      </c>
      <c r="X596" s="64">
        <v>0</v>
      </c>
      <c r="Y596" s="64">
        <v>18000</v>
      </c>
      <c r="Z596" s="64">
        <v>19800</v>
      </c>
      <c r="AD596" s="60">
        <v>0</v>
      </c>
      <c r="AG596" s="60">
        <v>0</v>
      </c>
      <c r="AJ596" s="60">
        <v>0</v>
      </c>
      <c r="AN596" s="60" t="s">
        <v>309</v>
      </c>
      <c r="AQ596" s="60" t="s">
        <v>2326</v>
      </c>
      <c r="AR596" s="61">
        <v>44589</v>
      </c>
      <c r="AS596" s="60">
        <v>6001986770</v>
      </c>
      <c r="AT596" s="61">
        <v>44589</v>
      </c>
      <c r="AU596" s="60" t="s">
        <v>2026</v>
      </c>
      <c r="AV596" s="61">
        <v>44620</v>
      </c>
      <c r="AW596" s="91">
        <v>44620</v>
      </c>
      <c r="AX596" s="91">
        <v>44640</v>
      </c>
      <c r="AY596" s="99">
        <v>17280</v>
      </c>
      <c r="AZ596" s="99">
        <f>ROUNDDOWN(AY596+(AY596*MASTER!$A$2/100),0)</f>
        <v>19008</v>
      </c>
      <c r="BC596" s="64">
        <v>0</v>
      </c>
      <c r="BG596" s="64">
        <v>0</v>
      </c>
      <c r="BK596" s="64">
        <v>0</v>
      </c>
      <c r="BS596" s="64">
        <v>0</v>
      </c>
      <c r="BV596" s="65">
        <v>0</v>
      </c>
      <c r="BW596" s="65">
        <v>0</v>
      </c>
      <c r="BX596" s="65">
        <v>44582</v>
      </c>
      <c r="BY596" s="65">
        <v>0</v>
      </c>
      <c r="BZ596" s="81" t="s">
        <v>309</v>
      </c>
    </row>
    <row r="597" spans="1:89" x14ac:dyDescent="0.15">
      <c r="A597" s="60">
        <v>1</v>
      </c>
      <c r="B597" s="61">
        <v>44596</v>
      </c>
      <c r="C597" s="61">
        <v>44620</v>
      </c>
      <c r="F597" s="61" t="s">
        <v>309</v>
      </c>
      <c r="H597" s="61" t="s">
        <v>309</v>
      </c>
      <c r="J597" s="60">
        <v>3</v>
      </c>
      <c r="L597" s="60">
        <v>0</v>
      </c>
      <c r="M597" s="61">
        <v>44582</v>
      </c>
      <c r="O597" s="62" t="s">
        <v>331</v>
      </c>
      <c r="P597" s="60" t="s">
        <v>6</v>
      </c>
      <c r="Q597" s="62" t="s">
        <v>40</v>
      </c>
      <c r="R597" s="62" t="s">
        <v>2176</v>
      </c>
      <c r="S597" s="63" t="s">
        <v>2177</v>
      </c>
      <c r="T597" s="63" t="s">
        <v>385</v>
      </c>
      <c r="U597" s="64">
        <v>18000</v>
      </c>
      <c r="V597" s="64">
        <v>19800</v>
      </c>
      <c r="X597" s="64">
        <v>0</v>
      </c>
      <c r="Y597" s="64">
        <v>18000</v>
      </c>
      <c r="Z597" s="64">
        <v>19800</v>
      </c>
      <c r="AD597" s="60">
        <v>0</v>
      </c>
      <c r="AG597" s="60">
        <v>0</v>
      </c>
      <c r="AJ597" s="60">
        <v>0</v>
      </c>
      <c r="AN597" s="60" t="s">
        <v>309</v>
      </c>
      <c r="AQ597" s="60" t="s">
        <v>2109</v>
      </c>
      <c r="AR597" s="61">
        <v>44595</v>
      </c>
      <c r="AS597" s="60">
        <v>6001988897</v>
      </c>
      <c r="AT597" s="61">
        <v>44595</v>
      </c>
      <c r="AU597" s="60" t="s">
        <v>2163</v>
      </c>
      <c r="AV597" s="61">
        <v>44620</v>
      </c>
      <c r="AW597" s="91">
        <v>44620</v>
      </c>
      <c r="AX597" s="91">
        <v>44640</v>
      </c>
      <c r="AY597" s="99">
        <v>17280</v>
      </c>
      <c r="AZ597" s="99">
        <f>ROUNDDOWN(AY597+(AY597*MASTER!$A$2/100),0)</f>
        <v>19008</v>
      </c>
      <c r="BC597" s="64">
        <v>0</v>
      </c>
      <c r="BG597" s="64">
        <v>0</v>
      </c>
      <c r="BK597" s="64">
        <v>0</v>
      </c>
      <c r="BS597" s="64">
        <v>0</v>
      </c>
      <c r="BV597" s="65">
        <v>0</v>
      </c>
      <c r="BW597" s="65">
        <v>0</v>
      </c>
      <c r="BX597" s="65">
        <v>44582</v>
      </c>
      <c r="BY597" s="65">
        <v>0</v>
      </c>
      <c r="BZ597" s="81" t="s">
        <v>309</v>
      </c>
    </row>
    <row r="598" spans="1:89" x14ac:dyDescent="0.15">
      <c r="A598" s="60">
        <v>2</v>
      </c>
      <c r="B598" s="61">
        <v>44608</v>
      </c>
      <c r="C598" s="61">
        <v>44608</v>
      </c>
      <c r="D598" s="61">
        <v>44596</v>
      </c>
      <c r="E598" s="61">
        <v>44596</v>
      </c>
      <c r="F598" s="61" t="s">
        <v>309</v>
      </c>
      <c r="G598" s="61">
        <v>44596</v>
      </c>
      <c r="H598" s="61" t="s">
        <v>309</v>
      </c>
      <c r="I598" s="60" t="s">
        <v>494</v>
      </c>
      <c r="J598" s="60">
        <v>2</v>
      </c>
      <c r="L598" s="60">
        <v>0</v>
      </c>
      <c r="M598" s="61">
        <v>44582</v>
      </c>
      <c r="O598" s="62" t="s">
        <v>331</v>
      </c>
      <c r="P598" s="60" t="s">
        <v>6</v>
      </c>
      <c r="Q598" s="62" t="s">
        <v>40</v>
      </c>
      <c r="R598" s="62" t="s">
        <v>2165</v>
      </c>
      <c r="S598" s="63" t="s">
        <v>2166</v>
      </c>
      <c r="T598" s="63" t="s">
        <v>364</v>
      </c>
      <c r="U598" s="64">
        <v>51000</v>
      </c>
      <c r="V598" s="64">
        <v>56100</v>
      </c>
      <c r="W598" s="64">
        <v>51000</v>
      </c>
      <c r="X598" s="64">
        <v>56100</v>
      </c>
      <c r="Z598" s="64">
        <v>0</v>
      </c>
      <c r="AA598" s="61">
        <v>44595</v>
      </c>
      <c r="AB598" s="61">
        <v>44595</v>
      </c>
      <c r="AD598" s="60">
        <v>0</v>
      </c>
      <c r="AG598" s="60">
        <v>0</v>
      </c>
      <c r="AJ598" s="60">
        <v>0</v>
      </c>
      <c r="AN598" s="60" t="s">
        <v>309</v>
      </c>
      <c r="AQ598" s="60" t="s">
        <v>2263</v>
      </c>
      <c r="AR598" s="61">
        <v>44606</v>
      </c>
      <c r="AS598" s="60">
        <v>6001993157</v>
      </c>
      <c r="AT598" s="61">
        <v>44607</v>
      </c>
      <c r="AU598" s="60" t="s">
        <v>2316</v>
      </c>
      <c r="AV598" s="61">
        <v>44608</v>
      </c>
      <c r="AW598" s="91">
        <v>44620</v>
      </c>
      <c r="AX598" s="91">
        <v>44640</v>
      </c>
      <c r="AY598" s="99">
        <v>48960</v>
      </c>
      <c r="AZ598" s="99">
        <f>ROUNDDOWN(AY598+(AY598*MASTER!$A$2/100),0)</f>
        <v>53856</v>
      </c>
      <c r="BA598" s="60" t="s">
        <v>317</v>
      </c>
      <c r="BB598" s="64">
        <v>21000</v>
      </c>
      <c r="BC598" s="64">
        <v>23100</v>
      </c>
      <c r="BD598" s="60" t="s">
        <v>2044</v>
      </c>
      <c r="BG598" s="64">
        <v>0</v>
      </c>
      <c r="BK598" s="64">
        <v>0</v>
      </c>
      <c r="BS598" s="64">
        <v>0</v>
      </c>
      <c r="BV598" s="65">
        <v>56100</v>
      </c>
      <c r="BW598" s="65">
        <v>23100</v>
      </c>
      <c r="BX598" s="65">
        <v>44582</v>
      </c>
      <c r="BY598" s="65">
        <v>33000</v>
      </c>
      <c r="BZ598" s="81">
        <v>58.82352941176471</v>
      </c>
    </row>
    <row r="599" spans="1:89" x14ac:dyDescent="0.15">
      <c r="A599" s="60">
        <v>1</v>
      </c>
      <c r="B599" s="61">
        <v>44586</v>
      </c>
      <c r="C599" s="61">
        <v>44595</v>
      </c>
      <c r="F599" s="61" t="s">
        <v>309</v>
      </c>
      <c r="H599" s="61" t="s">
        <v>309</v>
      </c>
      <c r="J599" s="60">
        <v>2</v>
      </c>
      <c r="L599" s="60">
        <v>0</v>
      </c>
      <c r="M599" s="61">
        <v>44584</v>
      </c>
      <c r="O599" s="62" t="s">
        <v>331</v>
      </c>
      <c r="P599" s="60" t="s">
        <v>77</v>
      </c>
      <c r="Q599" s="62" t="s">
        <v>40</v>
      </c>
      <c r="R599" s="62" t="s">
        <v>1891</v>
      </c>
      <c r="S599" s="63" t="s">
        <v>489</v>
      </c>
      <c r="T599" s="63" t="s">
        <v>1299</v>
      </c>
      <c r="U599" s="64">
        <v>9880</v>
      </c>
      <c r="V599" s="64">
        <v>10868</v>
      </c>
      <c r="W599" s="64">
        <v>9880</v>
      </c>
      <c r="X599" s="64">
        <v>10868</v>
      </c>
      <c r="Y599" s="64">
        <v>0</v>
      </c>
      <c r="Z599" s="64">
        <v>0</v>
      </c>
      <c r="AD599" s="60">
        <v>0</v>
      </c>
      <c r="AG599" s="60">
        <v>0</v>
      </c>
      <c r="AJ599" s="60">
        <v>0</v>
      </c>
      <c r="AQ599" s="60" t="s">
        <v>1892</v>
      </c>
      <c r="AR599" s="61">
        <v>44583</v>
      </c>
      <c r="AS599" s="60">
        <v>6001983911</v>
      </c>
      <c r="AT599" s="61">
        <v>44584</v>
      </c>
      <c r="AU599" s="60" t="s">
        <v>1893</v>
      </c>
      <c r="AV599" s="61">
        <v>44595</v>
      </c>
      <c r="AW599" s="91">
        <v>44592</v>
      </c>
      <c r="AX599" s="91">
        <v>44612</v>
      </c>
      <c r="AY599" s="107">
        <f>U599</f>
        <v>9880</v>
      </c>
      <c r="AZ599" s="107">
        <f>ROUNDDOWN(AY599+(AY599*MASTER!$A$2/100),0)</f>
        <v>10868</v>
      </c>
      <c r="BC599" s="64">
        <v>0</v>
      </c>
      <c r="BG599" s="64">
        <v>0</v>
      </c>
      <c r="BK599" s="64">
        <v>0</v>
      </c>
      <c r="BS599" s="64">
        <v>0</v>
      </c>
      <c r="BV599" s="65">
        <v>10868</v>
      </c>
      <c r="BW599" s="65">
        <v>0</v>
      </c>
      <c r="BX599" s="65">
        <v>44584</v>
      </c>
      <c r="BY599" s="65">
        <v>10868</v>
      </c>
      <c r="BZ599" s="81">
        <v>100</v>
      </c>
    </row>
    <row r="600" spans="1:89" x14ac:dyDescent="0.15">
      <c r="A600" s="60">
        <v>1</v>
      </c>
      <c r="B600" s="61">
        <v>44587</v>
      </c>
      <c r="C600" s="61" t="s">
        <v>309</v>
      </c>
      <c r="F600" s="61" t="s">
        <v>309</v>
      </c>
      <c r="H600" s="61" t="s">
        <v>309</v>
      </c>
      <c r="J600" s="60">
        <v>2</v>
      </c>
      <c r="L600" s="60">
        <v>0</v>
      </c>
      <c r="M600" s="61">
        <v>44585</v>
      </c>
      <c r="O600" s="62" t="s">
        <v>331</v>
      </c>
      <c r="P600" s="60" t="s">
        <v>26</v>
      </c>
      <c r="Q600" s="62" t="s">
        <v>40</v>
      </c>
      <c r="R600" s="62" t="s">
        <v>1902</v>
      </c>
      <c r="S600" s="63" t="s">
        <v>1026</v>
      </c>
      <c r="T600" s="63" t="s">
        <v>1895</v>
      </c>
      <c r="U600" s="64">
        <v>40500</v>
      </c>
      <c r="V600" s="64">
        <v>44550</v>
      </c>
      <c r="W600" s="64">
        <v>40500</v>
      </c>
      <c r="X600" s="64">
        <v>44550</v>
      </c>
      <c r="Y600" s="64">
        <v>0</v>
      </c>
      <c r="Z600" s="64">
        <v>0</v>
      </c>
      <c r="AD600" s="60">
        <v>0</v>
      </c>
      <c r="AG600" s="60">
        <v>0</v>
      </c>
      <c r="AJ600" s="60">
        <v>0</v>
      </c>
      <c r="AQ600" s="60" t="s">
        <v>956</v>
      </c>
      <c r="AR600" s="61">
        <v>44586</v>
      </c>
      <c r="AS600" s="60">
        <v>6001985074</v>
      </c>
      <c r="AT600" s="61">
        <v>44586</v>
      </c>
      <c r="AU600" s="60" t="s">
        <v>1952</v>
      </c>
      <c r="AV600" s="61">
        <v>44592</v>
      </c>
      <c r="AW600" s="91">
        <v>44592</v>
      </c>
      <c r="AX600" s="91">
        <v>44612</v>
      </c>
      <c r="AY600" s="107">
        <f t="shared" ref="AY600:AY606" si="3">U600</f>
        <v>40500</v>
      </c>
      <c r="AZ600" s="107">
        <f>ROUNDDOWN(AY600+(AY600*MASTER!$A$2/100),0)</f>
        <v>44550</v>
      </c>
      <c r="BC600" s="64">
        <v>0</v>
      </c>
      <c r="BG600" s="64">
        <v>0</v>
      </c>
      <c r="BK600" s="64">
        <v>0</v>
      </c>
      <c r="BS600" s="64">
        <v>0</v>
      </c>
      <c r="BV600" s="65">
        <v>44550</v>
      </c>
      <c r="BW600" s="65">
        <v>0</v>
      </c>
      <c r="BX600" s="65">
        <v>44585</v>
      </c>
      <c r="BY600" s="65">
        <v>44550</v>
      </c>
      <c r="BZ600" s="81">
        <v>100</v>
      </c>
      <c r="CD600" s="63" t="s">
        <v>1944</v>
      </c>
    </row>
    <row r="601" spans="1:89" x14ac:dyDescent="0.15">
      <c r="A601" s="60">
        <v>1</v>
      </c>
      <c r="B601" s="61">
        <v>44587</v>
      </c>
      <c r="C601" s="61" t="s">
        <v>309</v>
      </c>
      <c r="F601" s="61" t="s">
        <v>309</v>
      </c>
      <c r="H601" s="61" t="s">
        <v>309</v>
      </c>
      <c r="J601" s="60">
        <v>2</v>
      </c>
      <c r="L601" s="60">
        <v>0</v>
      </c>
      <c r="M601" s="61">
        <v>44585</v>
      </c>
      <c r="O601" s="62" t="s">
        <v>331</v>
      </c>
      <c r="P601" s="60" t="s">
        <v>26</v>
      </c>
      <c r="Q601" s="62" t="s">
        <v>40</v>
      </c>
      <c r="R601" s="62" t="s">
        <v>1903</v>
      </c>
      <c r="S601" s="63" t="s">
        <v>1894</v>
      </c>
      <c r="T601" s="63" t="s">
        <v>1896</v>
      </c>
      <c r="U601" s="64">
        <v>40500</v>
      </c>
      <c r="V601" s="64">
        <v>44550</v>
      </c>
      <c r="W601" s="64">
        <v>40500</v>
      </c>
      <c r="X601" s="64">
        <v>44550</v>
      </c>
      <c r="Y601" s="64">
        <v>0</v>
      </c>
      <c r="Z601" s="64">
        <v>0</v>
      </c>
      <c r="AD601" s="60">
        <v>0</v>
      </c>
      <c r="AG601" s="60">
        <v>0</v>
      </c>
      <c r="AJ601" s="60">
        <v>0</v>
      </c>
      <c r="AQ601" s="60" t="s">
        <v>1361</v>
      </c>
      <c r="AR601" s="61">
        <v>44586</v>
      </c>
      <c r="AS601" s="60">
        <v>6001985074</v>
      </c>
      <c r="AT601" s="61">
        <v>44586</v>
      </c>
      <c r="AU601" s="60" t="s">
        <v>1952</v>
      </c>
      <c r="AV601" s="61">
        <v>44592</v>
      </c>
      <c r="AW601" s="91">
        <v>44592</v>
      </c>
      <c r="AX601" s="91">
        <v>44612</v>
      </c>
      <c r="AY601" s="107">
        <f t="shared" si="3"/>
        <v>40500</v>
      </c>
      <c r="AZ601" s="107">
        <f>ROUNDDOWN(AY601+(AY601*MASTER!$A$2/100),0)</f>
        <v>44550</v>
      </c>
      <c r="BC601" s="64">
        <v>0</v>
      </c>
      <c r="BG601" s="64">
        <v>0</v>
      </c>
      <c r="BK601" s="64">
        <v>0</v>
      </c>
      <c r="BS601" s="64">
        <v>0</v>
      </c>
      <c r="BV601" s="65">
        <v>44550</v>
      </c>
      <c r="BW601" s="65">
        <v>0</v>
      </c>
      <c r="BX601" s="65">
        <v>44585</v>
      </c>
      <c r="BY601" s="65">
        <v>44550</v>
      </c>
      <c r="BZ601" s="81">
        <v>100</v>
      </c>
      <c r="CD601" s="63" t="s">
        <v>1944</v>
      </c>
    </row>
    <row r="602" spans="1:89" x14ac:dyDescent="0.15">
      <c r="A602" s="60">
        <v>1</v>
      </c>
      <c r="B602" s="61">
        <v>44587</v>
      </c>
      <c r="C602" s="61" t="s">
        <v>309</v>
      </c>
      <c r="F602" s="61" t="s">
        <v>309</v>
      </c>
      <c r="H602" s="61" t="s">
        <v>309</v>
      </c>
      <c r="J602" s="60">
        <v>2</v>
      </c>
      <c r="L602" s="60">
        <v>0</v>
      </c>
      <c r="M602" s="61">
        <v>44585</v>
      </c>
      <c r="O602" s="62" t="s">
        <v>331</v>
      </c>
      <c r="P602" s="60" t="s">
        <v>26</v>
      </c>
      <c r="Q602" s="62" t="s">
        <v>40</v>
      </c>
      <c r="R602" s="62" t="s">
        <v>1904</v>
      </c>
      <c r="S602" s="63" t="s">
        <v>1526</v>
      </c>
      <c r="T602" s="63" t="s">
        <v>1897</v>
      </c>
      <c r="U602" s="64">
        <v>40500</v>
      </c>
      <c r="V602" s="64">
        <v>44550</v>
      </c>
      <c r="W602" s="64">
        <v>40500</v>
      </c>
      <c r="X602" s="64">
        <v>44550</v>
      </c>
      <c r="Y602" s="64">
        <v>0</v>
      </c>
      <c r="Z602" s="64">
        <v>0</v>
      </c>
      <c r="AD602" s="60">
        <v>0</v>
      </c>
      <c r="AG602" s="60">
        <v>0</v>
      </c>
      <c r="AJ602" s="60">
        <v>0</v>
      </c>
      <c r="AQ602" s="60" t="s">
        <v>1946</v>
      </c>
      <c r="AR602" s="61">
        <v>44586</v>
      </c>
      <c r="AS602" s="60">
        <v>6001985074</v>
      </c>
      <c r="AT602" s="61">
        <v>44586</v>
      </c>
      <c r="AU602" s="60" t="s">
        <v>1952</v>
      </c>
      <c r="AV602" s="61">
        <v>44592</v>
      </c>
      <c r="AW602" s="91">
        <v>44592</v>
      </c>
      <c r="AX602" s="91">
        <v>44612</v>
      </c>
      <c r="AY602" s="107">
        <f t="shared" si="3"/>
        <v>40500</v>
      </c>
      <c r="AZ602" s="107">
        <f>ROUNDDOWN(AY602+(AY602*MASTER!$A$2/100),0)</f>
        <v>44550</v>
      </c>
      <c r="BC602" s="64">
        <v>0</v>
      </c>
      <c r="BG602" s="64">
        <v>0</v>
      </c>
      <c r="BK602" s="64">
        <v>0</v>
      </c>
      <c r="BS602" s="64">
        <v>0</v>
      </c>
      <c r="BV602" s="65">
        <v>44550</v>
      </c>
      <c r="BW602" s="65">
        <v>0</v>
      </c>
      <c r="BX602" s="65">
        <v>44585</v>
      </c>
      <c r="BY602" s="65">
        <v>44550</v>
      </c>
      <c r="BZ602" s="81">
        <v>100</v>
      </c>
      <c r="CD602" s="63" t="s">
        <v>1944</v>
      </c>
    </row>
    <row r="603" spans="1:89" x14ac:dyDescent="0.15">
      <c r="A603" s="60">
        <v>1</v>
      </c>
      <c r="B603" s="61">
        <v>44587</v>
      </c>
      <c r="C603" s="61">
        <v>44592</v>
      </c>
      <c r="F603" s="61" t="s">
        <v>309</v>
      </c>
      <c r="H603" s="61" t="s">
        <v>309</v>
      </c>
      <c r="J603" s="60">
        <v>2</v>
      </c>
      <c r="L603" s="60">
        <v>0</v>
      </c>
      <c r="M603" s="61">
        <v>44585</v>
      </c>
      <c r="O603" s="62" t="s">
        <v>331</v>
      </c>
      <c r="P603" s="60" t="s">
        <v>26</v>
      </c>
      <c r="Q603" s="62" t="s">
        <v>40</v>
      </c>
      <c r="R603" s="62" t="s">
        <v>1905</v>
      </c>
      <c r="S603" s="63" t="s">
        <v>326</v>
      </c>
      <c r="T603" s="63" t="s">
        <v>1898</v>
      </c>
      <c r="U603" s="64">
        <v>648000</v>
      </c>
      <c r="V603" s="64">
        <v>712800</v>
      </c>
      <c r="W603" s="64">
        <v>648000</v>
      </c>
      <c r="X603" s="64">
        <v>712800</v>
      </c>
      <c r="Y603" s="64">
        <v>0</v>
      </c>
      <c r="Z603" s="64">
        <v>0</v>
      </c>
      <c r="AD603" s="60">
        <v>0</v>
      </c>
      <c r="AG603" s="60">
        <v>0</v>
      </c>
      <c r="AJ603" s="60">
        <v>0</v>
      </c>
      <c r="AQ603" s="60" t="s">
        <v>1943</v>
      </c>
      <c r="AR603" s="61">
        <v>44586</v>
      </c>
      <c r="AS603" s="60">
        <v>6001985074</v>
      </c>
      <c r="AT603" s="61">
        <v>44586</v>
      </c>
      <c r="AU603" s="60" t="s">
        <v>1952</v>
      </c>
      <c r="AV603" s="61">
        <v>44592</v>
      </c>
      <c r="AW603" s="91">
        <v>44592</v>
      </c>
      <c r="AX603" s="91">
        <v>44612</v>
      </c>
      <c r="AY603" s="107">
        <v>648000</v>
      </c>
      <c r="AZ603" s="107">
        <f>ROUNDDOWN(AY603+(AY603*MASTER!$A$2/100),0)</f>
        <v>712800</v>
      </c>
      <c r="BC603" s="64">
        <v>0</v>
      </c>
      <c r="BG603" s="64">
        <v>0</v>
      </c>
      <c r="BK603" s="64">
        <v>0</v>
      </c>
      <c r="BS603" s="64">
        <v>0</v>
      </c>
      <c r="BV603" s="65">
        <v>712800</v>
      </c>
      <c r="BW603" s="65">
        <v>0</v>
      </c>
      <c r="BX603" s="65">
        <v>44585</v>
      </c>
      <c r="BY603" s="65">
        <v>712800</v>
      </c>
      <c r="BZ603" s="81">
        <v>100</v>
      </c>
      <c r="CD603" s="63" t="s">
        <v>1944</v>
      </c>
    </row>
    <row r="604" spans="1:89" x14ac:dyDescent="0.15">
      <c r="A604" s="60">
        <v>1</v>
      </c>
      <c r="B604" s="61">
        <v>44587</v>
      </c>
      <c r="C604" s="61">
        <v>44592</v>
      </c>
      <c r="F604" s="61" t="s">
        <v>309</v>
      </c>
      <c r="H604" s="61" t="s">
        <v>309</v>
      </c>
      <c r="J604" s="60">
        <v>2</v>
      </c>
      <c r="L604" s="60">
        <v>0</v>
      </c>
      <c r="M604" s="61">
        <v>44585</v>
      </c>
      <c r="O604" s="62" t="s">
        <v>331</v>
      </c>
      <c r="P604" s="60" t="s">
        <v>26</v>
      </c>
      <c r="Q604" s="62" t="s">
        <v>40</v>
      </c>
      <c r="R604" s="62" t="s">
        <v>1906</v>
      </c>
      <c r="S604" s="63" t="s">
        <v>354</v>
      </c>
      <c r="T604" s="63" t="s">
        <v>1899</v>
      </c>
      <c r="U604" s="64">
        <v>283500</v>
      </c>
      <c r="V604" s="64">
        <v>311850</v>
      </c>
      <c r="W604" s="64">
        <v>283500</v>
      </c>
      <c r="X604" s="64">
        <v>311850</v>
      </c>
      <c r="Y604" s="64">
        <v>0</v>
      </c>
      <c r="Z604" s="64">
        <v>0</v>
      </c>
      <c r="AD604" s="60">
        <v>0</v>
      </c>
      <c r="AG604" s="60">
        <v>0</v>
      </c>
      <c r="AJ604" s="60">
        <v>0</v>
      </c>
      <c r="AQ604" s="60" t="s">
        <v>1945</v>
      </c>
      <c r="AR604" s="61">
        <v>44586</v>
      </c>
      <c r="AS604" s="60">
        <v>6001985074</v>
      </c>
      <c r="AT604" s="61">
        <v>44586</v>
      </c>
      <c r="AU604" s="60" t="s">
        <v>1952</v>
      </c>
      <c r="AV604" s="61">
        <v>44592</v>
      </c>
      <c r="AW604" s="91">
        <v>44592</v>
      </c>
      <c r="AX604" s="91">
        <v>44612</v>
      </c>
      <c r="AY604" s="107">
        <v>283500</v>
      </c>
      <c r="AZ604" s="107">
        <f>ROUNDDOWN(AY604+(AY604*MASTER!$A$2/100),0)</f>
        <v>311850</v>
      </c>
      <c r="BC604" s="64">
        <v>0</v>
      </c>
      <c r="BG604" s="64">
        <v>0</v>
      </c>
      <c r="BK604" s="64">
        <v>0</v>
      </c>
      <c r="BS604" s="64">
        <v>0</v>
      </c>
      <c r="BV604" s="65">
        <v>311850</v>
      </c>
      <c r="BW604" s="65">
        <v>0</v>
      </c>
      <c r="BX604" s="65">
        <v>44585</v>
      </c>
      <c r="BY604" s="65">
        <v>311850</v>
      </c>
      <c r="BZ604" s="81">
        <v>100</v>
      </c>
      <c r="CD604" s="63" t="s">
        <v>1944</v>
      </c>
    </row>
    <row r="605" spans="1:89" x14ac:dyDescent="0.15">
      <c r="A605" s="60">
        <v>1</v>
      </c>
      <c r="B605" s="61">
        <v>44587</v>
      </c>
      <c r="F605" s="61" t="s">
        <v>309</v>
      </c>
      <c r="H605" s="61" t="s">
        <v>309</v>
      </c>
      <c r="J605" s="60">
        <v>2</v>
      </c>
      <c r="L605" s="60">
        <v>0</v>
      </c>
      <c r="M605" s="61">
        <v>44585</v>
      </c>
      <c r="O605" s="62" t="s">
        <v>331</v>
      </c>
      <c r="P605" s="60" t="s">
        <v>26</v>
      </c>
      <c r="Q605" s="62" t="s">
        <v>40</v>
      </c>
      <c r="R605" s="62" t="s">
        <v>1900</v>
      </c>
      <c r="S605" s="63" t="s">
        <v>354</v>
      </c>
      <c r="T605" s="63" t="s">
        <v>1899</v>
      </c>
      <c r="U605" s="64">
        <v>283500</v>
      </c>
      <c r="V605" s="64">
        <v>311850</v>
      </c>
      <c r="W605" s="64">
        <v>283500</v>
      </c>
      <c r="X605" s="64">
        <v>311850</v>
      </c>
      <c r="Y605" s="64">
        <v>0</v>
      </c>
      <c r="Z605" s="64">
        <v>0</v>
      </c>
      <c r="AQ605" s="60" t="s">
        <v>1451</v>
      </c>
      <c r="AR605" s="61">
        <v>44586</v>
      </c>
      <c r="AS605" s="60">
        <v>6001985074</v>
      </c>
      <c r="AT605" s="61">
        <v>44586</v>
      </c>
      <c r="AU605" s="60" t="s">
        <v>1952</v>
      </c>
      <c r="AV605" s="61">
        <v>44592</v>
      </c>
      <c r="AW605" s="91">
        <v>44592</v>
      </c>
      <c r="AX605" s="91">
        <v>44612</v>
      </c>
      <c r="AY605" s="107">
        <f t="shared" si="3"/>
        <v>283500</v>
      </c>
      <c r="AZ605" s="107">
        <f>ROUNDDOWN(AY605+(AY605*MASTER!$A$2/100),0)</f>
        <v>311850</v>
      </c>
      <c r="CD605" s="63" t="s">
        <v>1944</v>
      </c>
    </row>
    <row r="606" spans="1:89" x14ac:dyDescent="0.15">
      <c r="A606" s="60">
        <v>1</v>
      </c>
      <c r="B606" s="61">
        <v>44587</v>
      </c>
      <c r="F606" s="61" t="s">
        <v>309</v>
      </c>
      <c r="H606" s="61" t="s">
        <v>309</v>
      </c>
      <c r="J606" s="60">
        <v>2</v>
      </c>
      <c r="L606" s="60">
        <v>0</v>
      </c>
      <c r="M606" s="61">
        <v>44585</v>
      </c>
      <c r="O606" s="62" t="s">
        <v>331</v>
      </c>
      <c r="P606" s="60" t="s">
        <v>26</v>
      </c>
      <c r="Q606" s="62" t="s">
        <v>40</v>
      </c>
      <c r="R606" s="62" t="s">
        <v>1901</v>
      </c>
      <c r="S606" s="63" t="s">
        <v>354</v>
      </c>
      <c r="T606" s="63" t="s">
        <v>1899</v>
      </c>
      <c r="U606" s="64">
        <v>283500</v>
      </c>
      <c r="V606" s="64">
        <v>311850</v>
      </c>
      <c r="W606" s="64">
        <v>283500</v>
      </c>
      <c r="X606" s="64">
        <v>311850</v>
      </c>
      <c r="Y606" s="64">
        <v>0</v>
      </c>
      <c r="Z606" s="64">
        <v>0</v>
      </c>
      <c r="AQ606" s="60" t="s">
        <v>1450</v>
      </c>
      <c r="AR606" s="61">
        <v>44586</v>
      </c>
      <c r="AS606" s="60">
        <v>6001985074</v>
      </c>
      <c r="AT606" s="61">
        <v>44586</v>
      </c>
      <c r="AU606" s="60" t="s">
        <v>1952</v>
      </c>
      <c r="AV606" s="61">
        <v>44592</v>
      </c>
      <c r="AW606" s="91">
        <v>44592</v>
      </c>
      <c r="AX606" s="91">
        <v>44612</v>
      </c>
      <c r="AY606" s="107">
        <f t="shared" si="3"/>
        <v>283500</v>
      </c>
      <c r="AZ606" s="107">
        <f>ROUNDDOWN(AY606+(AY606*MASTER!$A$2/100),0)</f>
        <v>311850</v>
      </c>
      <c r="CD606" s="63" t="s">
        <v>1944</v>
      </c>
    </row>
    <row r="607" spans="1:89" x14ac:dyDescent="0.15">
      <c r="A607" s="60">
        <v>1</v>
      </c>
      <c r="B607" s="61">
        <v>44594</v>
      </c>
      <c r="C607" s="61">
        <v>44602</v>
      </c>
      <c r="F607" s="61" t="s">
        <v>309</v>
      </c>
      <c r="G607" s="61">
        <v>44585</v>
      </c>
      <c r="H607" s="61" t="s">
        <v>309</v>
      </c>
      <c r="J607" s="60">
        <v>2</v>
      </c>
      <c r="L607" s="60">
        <v>0</v>
      </c>
      <c r="M607" s="61">
        <v>44585</v>
      </c>
      <c r="O607" s="62" t="s">
        <v>331</v>
      </c>
      <c r="P607" s="60" t="s">
        <v>6</v>
      </c>
      <c r="Q607" s="62" t="s">
        <v>40</v>
      </c>
      <c r="R607" s="62" t="s">
        <v>2058</v>
      </c>
      <c r="S607" s="63" t="s">
        <v>1542</v>
      </c>
      <c r="T607" s="63" t="s">
        <v>364</v>
      </c>
      <c r="U607" s="64">
        <v>35000</v>
      </c>
      <c r="V607" s="64">
        <v>38500</v>
      </c>
      <c r="W607" s="64">
        <v>35000</v>
      </c>
      <c r="X607" s="64">
        <v>38500</v>
      </c>
      <c r="Z607" s="64">
        <v>0</v>
      </c>
      <c r="AA607" s="61">
        <v>44584</v>
      </c>
      <c r="AB607" s="61">
        <v>44584</v>
      </c>
      <c r="AD607" s="60">
        <v>0</v>
      </c>
      <c r="AG607" s="60">
        <v>0</v>
      </c>
      <c r="AJ607" s="60">
        <v>0</v>
      </c>
      <c r="AN607" s="60" t="s">
        <v>309</v>
      </c>
      <c r="AQ607" s="60" t="s">
        <v>2067</v>
      </c>
      <c r="AR607" s="61">
        <v>44593</v>
      </c>
      <c r="AS607" s="60">
        <v>6001987752</v>
      </c>
      <c r="AT607" s="61">
        <v>44593</v>
      </c>
      <c r="AU607" s="60" t="s">
        <v>2078</v>
      </c>
      <c r="AV607" s="61">
        <v>44602</v>
      </c>
      <c r="AW607" s="91">
        <v>44620</v>
      </c>
      <c r="AX607" s="91">
        <v>44640</v>
      </c>
      <c r="AY607" s="99">
        <v>33600</v>
      </c>
      <c r="AZ607" s="99">
        <f>ROUNDDOWN(AY607+(AY607*MASTER!$A$2/100),0)</f>
        <v>36960</v>
      </c>
      <c r="BC607" s="64">
        <v>0</v>
      </c>
      <c r="BG607" s="64">
        <v>0</v>
      </c>
      <c r="BK607" s="64">
        <v>0</v>
      </c>
      <c r="BS607" s="64">
        <v>0</v>
      </c>
      <c r="BV607" s="65">
        <v>38500</v>
      </c>
      <c r="BW607" s="65">
        <v>0</v>
      </c>
      <c r="BX607" s="65">
        <v>44585</v>
      </c>
      <c r="BY607" s="65">
        <v>38500</v>
      </c>
      <c r="BZ607" s="81">
        <v>100</v>
      </c>
    </row>
    <row r="608" spans="1:89" s="152" customFormat="1" x14ac:dyDescent="0.15">
      <c r="A608" s="142">
        <v>3</v>
      </c>
      <c r="B608" s="143"/>
      <c r="C608" s="143" t="s">
        <v>309</v>
      </c>
      <c r="D608" s="143"/>
      <c r="E608" s="143"/>
      <c r="F608" s="143" t="s">
        <v>309</v>
      </c>
      <c r="G608" s="143"/>
      <c r="H608" s="143" t="s">
        <v>309</v>
      </c>
      <c r="I608" s="142"/>
      <c r="J608" s="142">
        <v>2</v>
      </c>
      <c r="K608" s="143"/>
      <c r="L608" s="142">
        <v>0</v>
      </c>
      <c r="M608" s="143">
        <v>44585</v>
      </c>
      <c r="N608" s="143"/>
      <c r="O608" s="144" t="s">
        <v>331</v>
      </c>
      <c r="P608" s="142" t="s">
        <v>6</v>
      </c>
      <c r="Q608" s="144" t="s">
        <v>40</v>
      </c>
      <c r="R608" s="144" t="s">
        <v>2664</v>
      </c>
      <c r="S608" s="145" t="s">
        <v>2665</v>
      </c>
      <c r="T608" s="145" t="s">
        <v>364</v>
      </c>
      <c r="U608" s="146">
        <v>35000</v>
      </c>
      <c r="V608" s="146">
        <v>38500</v>
      </c>
      <c r="W608" s="146">
        <v>35000</v>
      </c>
      <c r="X608" s="146">
        <v>38500</v>
      </c>
      <c r="Y608" s="146"/>
      <c r="Z608" s="146">
        <v>0</v>
      </c>
      <c r="AA608" s="143"/>
      <c r="AB608" s="143"/>
      <c r="AC608" s="143"/>
      <c r="AD608" s="142">
        <v>0</v>
      </c>
      <c r="AE608" s="142"/>
      <c r="AF608" s="142"/>
      <c r="AG608" s="142">
        <v>0</v>
      </c>
      <c r="AH608" s="142"/>
      <c r="AI608" s="142"/>
      <c r="AJ608" s="142">
        <v>0</v>
      </c>
      <c r="AK608" s="142"/>
      <c r="AL608" s="142"/>
      <c r="AM608" s="142"/>
      <c r="AN608" s="142" t="s">
        <v>309</v>
      </c>
      <c r="AO608" s="143"/>
      <c r="AP608" s="142"/>
      <c r="AQ608" s="142"/>
      <c r="AR608" s="143"/>
      <c r="AS608" s="142"/>
      <c r="AT608" s="143"/>
      <c r="AU608" s="142"/>
      <c r="AV608" s="143"/>
      <c r="AW608" s="147"/>
      <c r="AX608" s="147"/>
      <c r="AY608" s="148">
        <v>33600</v>
      </c>
      <c r="AZ608" s="148">
        <f>ROUNDDOWN(AY608+(AY608*MASTER!$A$2/100),0)</f>
        <v>36960</v>
      </c>
      <c r="BA608" s="142"/>
      <c r="BB608" s="146"/>
      <c r="BC608" s="146">
        <v>0</v>
      </c>
      <c r="BD608" s="142"/>
      <c r="BE608" s="142"/>
      <c r="BF608" s="146"/>
      <c r="BG608" s="146">
        <v>0</v>
      </c>
      <c r="BH608" s="142"/>
      <c r="BI608" s="142"/>
      <c r="BJ608" s="146"/>
      <c r="BK608" s="146">
        <v>0</v>
      </c>
      <c r="BL608" s="142"/>
      <c r="BM608" s="146"/>
      <c r="BN608" s="146"/>
      <c r="BO608" s="146"/>
      <c r="BP608" s="146"/>
      <c r="BQ608" s="146"/>
      <c r="BR608" s="146"/>
      <c r="BS608" s="146">
        <v>0</v>
      </c>
      <c r="BT608" s="149"/>
      <c r="BU608" s="149"/>
      <c r="BV608" s="150">
        <v>38500</v>
      </c>
      <c r="BW608" s="150">
        <v>0</v>
      </c>
      <c r="BX608" s="150">
        <v>44585</v>
      </c>
      <c r="BY608" s="150">
        <v>38500</v>
      </c>
      <c r="BZ608" s="151">
        <v>100</v>
      </c>
      <c r="CA608" s="142"/>
      <c r="CB608" s="142"/>
      <c r="CC608" s="142"/>
      <c r="CD608" s="145" t="s">
        <v>2660</v>
      </c>
      <c r="CE608" s="143"/>
      <c r="CF608" s="143"/>
      <c r="CG608" s="143"/>
      <c r="CH608" s="143"/>
      <c r="CI608" s="143"/>
      <c r="CJ608" s="143"/>
      <c r="CK608" s="146"/>
    </row>
    <row r="609" spans="1:89" s="152" customFormat="1" x14ac:dyDescent="0.15">
      <c r="A609" s="142">
        <v>3</v>
      </c>
      <c r="B609" s="143"/>
      <c r="C609" s="143" t="s">
        <v>309</v>
      </c>
      <c r="D609" s="143"/>
      <c r="E609" s="143"/>
      <c r="F609" s="143" t="s">
        <v>309</v>
      </c>
      <c r="G609" s="143"/>
      <c r="H609" s="143" t="s">
        <v>309</v>
      </c>
      <c r="I609" s="142"/>
      <c r="J609" s="142">
        <v>2</v>
      </c>
      <c r="K609" s="143"/>
      <c r="L609" s="142">
        <v>0</v>
      </c>
      <c r="M609" s="143">
        <v>44585</v>
      </c>
      <c r="N609" s="143"/>
      <c r="O609" s="144" t="s">
        <v>331</v>
      </c>
      <c r="P609" s="142" t="s">
        <v>6</v>
      </c>
      <c r="Q609" s="144" t="s">
        <v>40</v>
      </c>
      <c r="R609" s="144" t="s">
        <v>1968</v>
      </c>
      <c r="S609" s="145" t="s">
        <v>1969</v>
      </c>
      <c r="T609" s="145" t="s">
        <v>364</v>
      </c>
      <c r="U609" s="146">
        <v>16000</v>
      </c>
      <c r="V609" s="146">
        <v>17600</v>
      </c>
      <c r="W609" s="146">
        <v>16000</v>
      </c>
      <c r="X609" s="146">
        <v>17600</v>
      </c>
      <c r="Y609" s="146">
        <v>0</v>
      </c>
      <c r="Z609" s="146">
        <v>0</v>
      </c>
      <c r="AA609" s="143"/>
      <c r="AB609" s="143"/>
      <c r="AC609" s="143"/>
      <c r="AD609" s="142">
        <v>0</v>
      </c>
      <c r="AE609" s="142"/>
      <c r="AF609" s="142"/>
      <c r="AG609" s="142">
        <v>0</v>
      </c>
      <c r="AH609" s="142"/>
      <c r="AI609" s="142"/>
      <c r="AJ609" s="142">
        <v>0</v>
      </c>
      <c r="AK609" s="142"/>
      <c r="AL609" s="142"/>
      <c r="AM609" s="142"/>
      <c r="AN609" s="142" t="s">
        <v>309</v>
      </c>
      <c r="AO609" s="143"/>
      <c r="AP609" s="142"/>
      <c r="AQ609" s="142"/>
      <c r="AR609" s="143"/>
      <c r="AS609" s="142"/>
      <c r="AT609" s="143"/>
      <c r="AU609" s="142"/>
      <c r="AV609" s="143"/>
      <c r="AW609" s="147"/>
      <c r="AX609" s="147"/>
      <c r="AY609" s="148">
        <v>15360</v>
      </c>
      <c r="AZ609" s="148">
        <f>ROUNDDOWN(AY609+(AY609*MASTER!$A$2/100),0)</f>
        <v>16896</v>
      </c>
      <c r="BA609" s="142"/>
      <c r="BB609" s="146"/>
      <c r="BC609" s="146">
        <v>0</v>
      </c>
      <c r="BD609" s="142"/>
      <c r="BE609" s="142"/>
      <c r="BF609" s="146"/>
      <c r="BG609" s="146">
        <v>0</v>
      </c>
      <c r="BH609" s="142"/>
      <c r="BI609" s="142"/>
      <c r="BJ609" s="146"/>
      <c r="BK609" s="146">
        <v>0</v>
      </c>
      <c r="BL609" s="142"/>
      <c r="BM609" s="146"/>
      <c r="BN609" s="146"/>
      <c r="BO609" s="146"/>
      <c r="BP609" s="146"/>
      <c r="BQ609" s="146"/>
      <c r="BR609" s="146"/>
      <c r="BS609" s="146">
        <v>0</v>
      </c>
      <c r="BT609" s="149"/>
      <c r="BU609" s="149"/>
      <c r="BV609" s="150">
        <v>17600</v>
      </c>
      <c r="BW609" s="150">
        <v>0</v>
      </c>
      <c r="BX609" s="150">
        <v>44585</v>
      </c>
      <c r="BY609" s="150">
        <v>17600</v>
      </c>
      <c r="BZ609" s="151">
        <v>100</v>
      </c>
      <c r="CA609" s="142"/>
      <c r="CB609" s="142"/>
      <c r="CC609" s="142"/>
      <c r="CD609" s="145" t="s">
        <v>1970</v>
      </c>
      <c r="CE609" s="143"/>
      <c r="CF609" s="143"/>
      <c r="CG609" s="143"/>
      <c r="CH609" s="143"/>
      <c r="CI609" s="143"/>
      <c r="CJ609" s="143"/>
      <c r="CK609" s="146"/>
    </row>
    <row r="610" spans="1:89" x14ac:dyDescent="0.15">
      <c r="A610" s="60">
        <v>2</v>
      </c>
      <c r="B610" s="61">
        <v>44610</v>
      </c>
      <c r="C610" s="61">
        <v>44614</v>
      </c>
      <c r="D610" s="61">
        <v>44633</v>
      </c>
      <c r="E610" s="61">
        <v>44622</v>
      </c>
      <c r="F610" s="61">
        <v>44621</v>
      </c>
      <c r="G610" s="61">
        <v>44616</v>
      </c>
      <c r="H610" s="61">
        <v>44617</v>
      </c>
      <c r="I610" s="60" t="s">
        <v>511</v>
      </c>
      <c r="J610" s="60">
        <v>1</v>
      </c>
      <c r="L610" s="60">
        <v>0</v>
      </c>
      <c r="M610" s="61">
        <v>44585</v>
      </c>
      <c r="O610" s="62" t="s">
        <v>331</v>
      </c>
      <c r="P610" s="60" t="s">
        <v>26</v>
      </c>
      <c r="Q610" s="62" t="s">
        <v>40</v>
      </c>
      <c r="R610" s="62" t="s">
        <v>1907</v>
      </c>
      <c r="S610" s="63" t="s">
        <v>1767</v>
      </c>
      <c r="T610" s="63" t="s">
        <v>498</v>
      </c>
      <c r="U610" s="64">
        <v>50000</v>
      </c>
      <c r="V610" s="64">
        <v>55000</v>
      </c>
      <c r="W610" s="64">
        <v>47000</v>
      </c>
      <c r="X610" s="64">
        <v>51700</v>
      </c>
      <c r="Y610" s="64">
        <v>3000</v>
      </c>
      <c r="Z610" s="64">
        <v>3300</v>
      </c>
      <c r="AA610" s="61">
        <v>44613</v>
      </c>
      <c r="AB610" s="61">
        <v>44614</v>
      </c>
      <c r="AC610" s="61">
        <v>44614</v>
      </c>
      <c r="AD610" s="60">
        <v>0</v>
      </c>
      <c r="AG610" s="60">
        <v>0</v>
      </c>
      <c r="AJ610" s="60">
        <v>0</v>
      </c>
      <c r="AM610" s="60" t="s">
        <v>273</v>
      </c>
      <c r="AN610" s="60" t="s">
        <v>2413</v>
      </c>
      <c r="AQ610" s="60" t="s">
        <v>2114</v>
      </c>
      <c r="AR610" s="61">
        <v>44595</v>
      </c>
      <c r="AS610" s="60">
        <v>6001988897</v>
      </c>
      <c r="AT610" s="61">
        <v>44595</v>
      </c>
      <c r="AU610" s="60" t="s">
        <v>2163</v>
      </c>
      <c r="AV610" s="61">
        <v>44614</v>
      </c>
      <c r="AW610" s="91">
        <v>44620</v>
      </c>
      <c r="AX610" s="91">
        <v>44640</v>
      </c>
      <c r="AY610" s="99">
        <v>48000</v>
      </c>
      <c r="AZ610" s="99">
        <f>ROUNDDOWN(AY610+(AY610*MASTER!$A$2/100),0)</f>
        <v>52800</v>
      </c>
      <c r="BA610" s="60" t="s">
        <v>314</v>
      </c>
      <c r="BB610" s="64">
        <v>34000</v>
      </c>
      <c r="BC610" s="64">
        <v>37400</v>
      </c>
      <c r="BD610" s="60" t="s">
        <v>2044</v>
      </c>
      <c r="BG610" s="64">
        <v>0</v>
      </c>
      <c r="BK610" s="64">
        <v>0</v>
      </c>
      <c r="BS610" s="64">
        <v>0</v>
      </c>
      <c r="BV610" s="65">
        <v>51700</v>
      </c>
      <c r="BW610" s="65">
        <v>37400</v>
      </c>
      <c r="BX610" s="65">
        <v>44585</v>
      </c>
      <c r="BY610" s="65">
        <v>14300</v>
      </c>
      <c r="BZ610" s="81">
        <v>27.659574468085108</v>
      </c>
    </row>
    <row r="611" spans="1:89" x14ac:dyDescent="0.15">
      <c r="A611" s="60">
        <v>2</v>
      </c>
      <c r="B611" s="61">
        <v>44602</v>
      </c>
      <c r="C611" s="61">
        <v>44651</v>
      </c>
      <c r="D611" s="61">
        <v>44635</v>
      </c>
      <c r="F611" s="61" t="s">
        <v>309</v>
      </c>
      <c r="G611" s="61">
        <v>44608</v>
      </c>
      <c r="H611" s="61" t="s">
        <v>309</v>
      </c>
      <c r="J611" s="60">
        <v>2</v>
      </c>
      <c r="L611" s="60">
        <v>0</v>
      </c>
      <c r="M611" s="61">
        <v>44585</v>
      </c>
      <c r="O611" s="62" t="s">
        <v>331</v>
      </c>
      <c r="P611" s="60" t="s">
        <v>26</v>
      </c>
      <c r="Q611" s="62" t="s">
        <v>40</v>
      </c>
      <c r="R611" s="62" t="s">
        <v>1908</v>
      </c>
      <c r="S611" s="63" t="s">
        <v>1909</v>
      </c>
      <c r="T611" s="63" t="s">
        <v>1524</v>
      </c>
      <c r="U611" s="64">
        <v>78600</v>
      </c>
      <c r="V611" s="64">
        <v>86460</v>
      </c>
      <c r="W611" s="64">
        <v>78600</v>
      </c>
      <c r="X611" s="64">
        <v>86460</v>
      </c>
      <c r="Y611" s="64">
        <v>0</v>
      </c>
      <c r="Z611" s="64">
        <v>0</v>
      </c>
      <c r="AA611" s="61">
        <v>44606</v>
      </c>
      <c r="AB611" s="61">
        <v>44606</v>
      </c>
      <c r="AD611" s="60">
        <v>0</v>
      </c>
      <c r="AG611" s="60">
        <v>0</v>
      </c>
      <c r="AJ611" s="60">
        <v>0</v>
      </c>
      <c r="AM611" s="60" t="s">
        <v>2004</v>
      </c>
      <c r="AN611" s="60" t="s">
        <v>508</v>
      </c>
      <c r="AQ611" s="60" t="s">
        <v>2009</v>
      </c>
      <c r="AR611" s="61">
        <v>44589</v>
      </c>
      <c r="AS611" s="60">
        <v>6001986769</v>
      </c>
      <c r="AT611" s="61">
        <v>44589</v>
      </c>
      <c r="AU611" s="60" t="s">
        <v>2027</v>
      </c>
      <c r="AV611" s="61">
        <v>44651</v>
      </c>
      <c r="AW611" s="91">
        <v>44620</v>
      </c>
      <c r="AX611" s="91">
        <v>44640</v>
      </c>
      <c r="AY611" s="107">
        <v>78600</v>
      </c>
      <c r="AZ611" s="107">
        <f>ROUNDDOWN(AY611+(AY611*MASTER!$A$2/100),0)</f>
        <v>86460</v>
      </c>
      <c r="BA611" s="60" t="s">
        <v>319</v>
      </c>
      <c r="BB611" s="64">
        <v>28000</v>
      </c>
      <c r="BC611" s="64">
        <v>30800</v>
      </c>
      <c r="BD611" s="60" t="s">
        <v>2044</v>
      </c>
      <c r="BG611" s="64">
        <v>0</v>
      </c>
      <c r="BK611" s="64">
        <v>0</v>
      </c>
      <c r="BS611" s="64">
        <v>0</v>
      </c>
      <c r="BV611" s="65">
        <v>86460</v>
      </c>
      <c r="BW611" s="65">
        <v>30800</v>
      </c>
      <c r="BX611" s="65">
        <v>44585</v>
      </c>
      <c r="BY611" s="65">
        <v>55660</v>
      </c>
      <c r="BZ611" s="81">
        <v>64.376590330788801</v>
      </c>
    </row>
    <row r="612" spans="1:89" x14ac:dyDescent="0.15">
      <c r="A612" s="60">
        <v>2</v>
      </c>
      <c r="B612" s="61">
        <v>44592</v>
      </c>
      <c r="C612" s="61">
        <v>44651</v>
      </c>
      <c r="D612" s="61">
        <v>44624</v>
      </c>
      <c r="F612" s="61" t="s">
        <v>309</v>
      </c>
      <c r="G612" s="61">
        <v>44596</v>
      </c>
      <c r="H612" s="61" t="s">
        <v>309</v>
      </c>
      <c r="J612" s="60">
        <v>2</v>
      </c>
      <c r="L612" s="60">
        <v>0</v>
      </c>
      <c r="M612" s="61">
        <v>44585</v>
      </c>
      <c r="O612" s="62" t="s">
        <v>331</v>
      </c>
      <c r="P612" s="60" t="s">
        <v>26</v>
      </c>
      <c r="Q612" s="62" t="s">
        <v>40</v>
      </c>
      <c r="R612" s="62" t="s">
        <v>2122</v>
      </c>
      <c r="S612" s="63" t="s">
        <v>439</v>
      </c>
      <c r="T612" s="63" t="s">
        <v>1524</v>
      </c>
      <c r="U612" s="64">
        <v>78600</v>
      </c>
      <c r="V612" s="64">
        <v>86460</v>
      </c>
      <c r="W612" s="64">
        <v>78600</v>
      </c>
      <c r="X612" s="64">
        <v>86460</v>
      </c>
      <c r="Y612" s="64">
        <v>0</v>
      </c>
      <c r="Z612" s="64">
        <v>0</v>
      </c>
      <c r="AA612" s="61">
        <v>44596</v>
      </c>
      <c r="AB612" s="61">
        <v>44596</v>
      </c>
      <c r="AD612" s="60">
        <v>0</v>
      </c>
      <c r="AG612" s="60">
        <v>0</v>
      </c>
      <c r="AJ612" s="60">
        <v>0</v>
      </c>
      <c r="AM612" s="60" t="s">
        <v>2004</v>
      </c>
      <c r="AN612" s="60" t="s">
        <v>508</v>
      </c>
      <c r="AQ612" s="60" t="s">
        <v>2009</v>
      </c>
      <c r="AR612" s="61">
        <v>44589</v>
      </c>
      <c r="AS612" s="60">
        <v>6001986769</v>
      </c>
      <c r="AT612" s="61">
        <v>44589</v>
      </c>
      <c r="AU612" s="60" t="s">
        <v>2027</v>
      </c>
      <c r="AV612" s="61">
        <v>44651</v>
      </c>
      <c r="AW612" s="91">
        <v>44620</v>
      </c>
      <c r="AX612" s="91">
        <v>44640</v>
      </c>
      <c r="AY612" s="107">
        <v>78600</v>
      </c>
      <c r="AZ612" s="107">
        <f>ROUNDDOWN(AY612+(AY612*MASTER!$A$2/100),0)</f>
        <v>86460</v>
      </c>
      <c r="BA612" s="60" t="s">
        <v>317</v>
      </c>
      <c r="BB612" s="64">
        <v>43000</v>
      </c>
      <c r="BC612" s="64">
        <v>47300</v>
      </c>
      <c r="BD612" s="60" t="s">
        <v>2044</v>
      </c>
      <c r="BG612" s="64">
        <v>0</v>
      </c>
      <c r="BK612" s="64">
        <v>0</v>
      </c>
      <c r="BS612" s="64">
        <v>0</v>
      </c>
      <c r="BV612" s="65">
        <v>86460</v>
      </c>
      <c r="BW612" s="65">
        <v>47300</v>
      </c>
      <c r="BX612" s="65">
        <v>44585</v>
      </c>
      <c r="BY612" s="65">
        <v>39160</v>
      </c>
      <c r="BZ612" s="81">
        <v>45.292620865139952</v>
      </c>
    </row>
    <row r="613" spans="1:89" x14ac:dyDescent="0.15">
      <c r="A613" s="60">
        <v>2</v>
      </c>
      <c r="B613" s="61">
        <v>44602</v>
      </c>
      <c r="C613" s="61">
        <v>44651</v>
      </c>
      <c r="D613" s="61">
        <v>44635</v>
      </c>
      <c r="F613" s="61" t="s">
        <v>309</v>
      </c>
      <c r="G613" s="61">
        <v>44608</v>
      </c>
      <c r="H613" s="61" t="s">
        <v>309</v>
      </c>
      <c r="J613" s="60">
        <v>2</v>
      </c>
      <c r="L613" s="60">
        <v>0</v>
      </c>
      <c r="M613" s="61">
        <v>44585</v>
      </c>
      <c r="O613" s="62" t="s">
        <v>331</v>
      </c>
      <c r="P613" s="60" t="s">
        <v>26</v>
      </c>
      <c r="Q613" s="62" t="s">
        <v>40</v>
      </c>
      <c r="R613" s="62" t="s">
        <v>2293</v>
      </c>
      <c r="S613" s="63" t="s">
        <v>1910</v>
      </c>
      <c r="T613" s="63" t="s">
        <v>1524</v>
      </c>
      <c r="U613" s="64">
        <v>78600</v>
      </c>
      <c r="V613" s="64">
        <v>86460</v>
      </c>
      <c r="W613" s="64">
        <v>78600</v>
      </c>
      <c r="X613" s="64">
        <v>86460</v>
      </c>
      <c r="Y613" s="64">
        <v>0</v>
      </c>
      <c r="Z613" s="64">
        <v>0</v>
      </c>
      <c r="AA613" s="61">
        <v>44606</v>
      </c>
      <c r="AB613" s="61">
        <v>44606</v>
      </c>
      <c r="AD613" s="60">
        <v>0</v>
      </c>
      <c r="AG613" s="60">
        <v>0</v>
      </c>
      <c r="AJ613" s="60">
        <v>0</v>
      </c>
      <c r="AM613" s="60" t="s">
        <v>2004</v>
      </c>
      <c r="AN613" s="60" t="s">
        <v>508</v>
      </c>
      <c r="AQ613" s="60" t="s">
        <v>2009</v>
      </c>
      <c r="AR613" s="61">
        <v>44589</v>
      </c>
      <c r="AS613" s="60">
        <v>6001986769</v>
      </c>
      <c r="AT613" s="61">
        <v>44589</v>
      </c>
      <c r="AU613" s="60" t="s">
        <v>2027</v>
      </c>
      <c r="AV613" s="61">
        <v>44651</v>
      </c>
      <c r="AW613" s="91">
        <v>44620</v>
      </c>
      <c r="AX613" s="91">
        <v>44640</v>
      </c>
      <c r="AY613" s="107">
        <v>78600</v>
      </c>
      <c r="AZ613" s="107">
        <f>ROUNDDOWN(AY613+(AY613*MASTER!$A$2/100),0)</f>
        <v>86460</v>
      </c>
      <c r="BA613" s="60" t="s">
        <v>319</v>
      </c>
      <c r="BB613" s="64">
        <v>26000</v>
      </c>
      <c r="BC613" s="64">
        <v>28600</v>
      </c>
      <c r="BD613" s="60" t="s">
        <v>2044</v>
      </c>
      <c r="BG613" s="64">
        <v>0</v>
      </c>
      <c r="BK613" s="64">
        <v>0</v>
      </c>
      <c r="BS613" s="64">
        <v>0</v>
      </c>
      <c r="BV613" s="65">
        <v>86460</v>
      </c>
      <c r="BW613" s="65">
        <v>28600</v>
      </c>
      <c r="BX613" s="65">
        <v>44585</v>
      </c>
      <c r="BY613" s="65">
        <v>57860</v>
      </c>
      <c r="BZ613" s="81">
        <v>66.921119592875328</v>
      </c>
    </row>
    <row r="614" spans="1:89" x14ac:dyDescent="0.15">
      <c r="A614" s="60">
        <v>2</v>
      </c>
      <c r="B614" s="61">
        <v>44602</v>
      </c>
      <c r="C614" s="61">
        <v>44651</v>
      </c>
      <c r="D614" s="61">
        <v>44624</v>
      </c>
      <c r="F614" s="61" t="s">
        <v>309</v>
      </c>
      <c r="G614" s="61">
        <v>44610</v>
      </c>
      <c r="H614" s="61" t="s">
        <v>309</v>
      </c>
      <c r="J614" s="60">
        <v>2</v>
      </c>
      <c r="L614" s="60">
        <v>0</v>
      </c>
      <c r="M614" s="61">
        <v>44585</v>
      </c>
      <c r="O614" s="62" t="s">
        <v>331</v>
      </c>
      <c r="P614" s="60" t="s">
        <v>26</v>
      </c>
      <c r="Q614" s="62" t="s">
        <v>40</v>
      </c>
      <c r="R614" s="62" t="s">
        <v>2273</v>
      </c>
      <c r="S614" s="63" t="s">
        <v>552</v>
      </c>
      <c r="T614" s="63" t="s">
        <v>1524</v>
      </c>
      <c r="U614" s="64">
        <v>78600</v>
      </c>
      <c r="V614" s="64">
        <v>86460</v>
      </c>
      <c r="W614" s="64">
        <v>78600</v>
      </c>
      <c r="X614" s="64">
        <v>86460</v>
      </c>
      <c r="Y614" s="64">
        <v>0</v>
      </c>
      <c r="Z614" s="64">
        <v>0</v>
      </c>
      <c r="AA614" s="61">
        <v>44608</v>
      </c>
      <c r="AB614" s="61">
        <v>44608</v>
      </c>
      <c r="AD614" s="60">
        <v>0</v>
      </c>
      <c r="AG614" s="60">
        <v>0</v>
      </c>
      <c r="AJ614" s="60">
        <v>0</v>
      </c>
      <c r="AM614" s="60" t="s">
        <v>2004</v>
      </c>
      <c r="AN614" s="60" t="s">
        <v>508</v>
      </c>
      <c r="AQ614" s="60" t="s">
        <v>2009</v>
      </c>
      <c r="AR614" s="61">
        <v>44589</v>
      </c>
      <c r="AS614" s="60">
        <v>6001986769</v>
      </c>
      <c r="AT614" s="61">
        <v>44589</v>
      </c>
      <c r="AU614" s="60" t="s">
        <v>2027</v>
      </c>
      <c r="AV614" s="61">
        <v>44651</v>
      </c>
      <c r="AW614" s="91">
        <v>44620</v>
      </c>
      <c r="AX614" s="91">
        <v>44640</v>
      </c>
      <c r="AY614" s="107">
        <v>78600</v>
      </c>
      <c r="AZ614" s="107">
        <f>ROUNDDOWN(AY614+(AY614*MASTER!$A$2/100),0)</f>
        <v>86460</v>
      </c>
      <c r="BA614" s="60" t="s">
        <v>317</v>
      </c>
      <c r="BB614" s="64">
        <v>41000</v>
      </c>
      <c r="BC614" s="64">
        <v>45100</v>
      </c>
      <c r="BD614" s="60" t="s">
        <v>2044</v>
      </c>
      <c r="BG614" s="64">
        <v>0</v>
      </c>
      <c r="BK614" s="64">
        <v>0</v>
      </c>
      <c r="BS614" s="64">
        <v>0</v>
      </c>
      <c r="BV614" s="65">
        <v>86460</v>
      </c>
      <c r="BW614" s="65">
        <v>45100</v>
      </c>
      <c r="BX614" s="65">
        <v>44585</v>
      </c>
      <c r="BY614" s="65">
        <v>41360</v>
      </c>
      <c r="BZ614" s="81">
        <v>47.837150127226465</v>
      </c>
    </row>
    <row r="615" spans="1:89" x14ac:dyDescent="0.15">
      <c r="A615" s="60">
        <v>1</v>
      </c>
      <c r="B615" s="61">
        <v>44594</v>
      </c>
      <c r="C615" s="61">
        <v>44651</v>
      </c>
      <c r="D615" s="61">
        <v>44624</v>
      </c>
      <c r="F615" s="61" t="s">
        <v>309</v>
      </c>
      <c r="G615" s="61">
        <v>44609</v>
      </c>
      <c r="H615" s="61" t="s">
        <v>309</v>
      </c>
      <c r="J615" s="60">
        <v>2</v>
      </c>
      <c r="L615" s="60">
        <v>0</v>
      </c>
      <c r="M615" s="61">
        <v>44585</v>
      </c>
      <c r="O615" s="62" t="s">
        <v>331</v>
      </c>
      <c r="P615" s="60" t="s">
        <v>26</v>
      </c>
      <c r="Q615" s="62" t="s">
        <v>40</v>
      </c>
      <c r="R615" s="62" t="s">
        <v>2138</v>
      </c>
      <c r="S615" s="63" t="s">
        <v>384</v>
      </c>
      <c r="T615" s="63" t="s">
        <v>1524</v>
      </c>
      <c r="U615" s="64">
        <v>78600</v>
      </c>
      <c r="V615" s="64">
        <v>86460</v>
      </c>
      <c r="W615" s="64">
        <v>78600</v>
      </c>
      <c r="X615" s="64">
        <v>86460</v>
      </c>
      <c r="Y615" s="64">
        <v>0</v>
      </c>
      <c r="Z615" s="64">
        <v>0</v>
      </c>
      <c r="AA615" s="61">
        <v>44609</v>
      </c>
      <c r="AB615" s="61">
        <v>44609</v>
      </c>
      <c r="AD615" s="60">
        <v>0</v>
      </c>
      <c r="AG615" s="60">
        <v>0</v>
      </c>
      <c r="AJ615" s="60">
        <v>0</v>
      </c>
      <c r="AM615" s="60" t="s">
        <v>2004</v>
      </c>
      <c r="AN615" s="60" t="s">
        <v>508</v>
      </c>
      <c r="AQ615" s="60" t="s">
        <v>2009</v>
      </c>
      <c r="AR615" s="61">
        <v>44589</v>
      </c>
      <c r="AS615" s="60">
        <v>6001986769</v>
      </c>
      <c r="AT615" s="61">
        <v>44589</v>
      </c>
      <c r="AU615" s="60" t="s">
        <v>2027</v>
      </c>
      <c r="AV615" s="61">
        <v>44651</v>
      </c>
      <c r="AW615" s="91">
        <v>44620</v>
      </c>
      <c r="AX615" s="91">
        <v>44640</v>
      </c>
      <c r="AY615" s="107">
        <v>78600</v>
      </c>
      <c r="AZ615" s="107">
        <f>ROUNDDOWN(AY615+(AY615*MASTER!$A$2/100),0)</f>
        <v>86460</v>
      </c>
      <c r="BA615" s="60" t="s">
        <v>582</v>
      </c>
      <c r="BB615" s="64">
        <v>36000</v>
      </c>
      <c r="BC615" s="64">
        <v>39600</v>
      </c>
      <c r="BD615" s="60" t="s">
        <v>2044</v>
      </c>
      <c r="BG615" s="64">
        <v>0</v>
      </c>
      <c r="BK615" s="64">
        <v>0</v>
      </c>
      <c r="BS615" s="64">
        <v>0</v>
      </c>
      <c r="BV615" s="65">
        <v>86460</v>
      </c>
      <c r="BW615" s="65">
        <v>39600</v>
      </c>
      <c r="BX615" s="65">
        <v>44585</v>
      </c>
      <c r="BY615" s="65">
        <v>46860</v>
      </c>
      <c r="BZ615" s="81">
        <v>54.198473282442748</v>
      </c>
    </row>
    <row r="616" spans="1:89" x14ac:dyDescent="0.15">
      <c r="A616" s="60">
        <v>1</v>
      </c>
      <c r="B616" s="61">
        <v>44594</v>
      </c>
      <c r="C616" s="61">
        <v>44651</v>
      </c>
      <c r="D616" s="61">
        <v>44624</v>
      </c>
      <c r="F616" s="61" t="s">
        <v>309</v>
      </c>
      <c r="G616" s="61">
        <v>44609</v>
      </c>
      <c r="H616" s="61" t="s">
        <v>309</v>
      </c>
      <c r="J616" s="60">
        <v>2</v>
      </c>
      <c r="L616" s="60">
        <v>0</v>
      </c>
      <c r="M616" s="61">
        <v>44585</v>
      </c>
      <c r="O616" s="62" t="s">
        <v>331</v>
      </c>
      <c r="P616" s="60" t="s">
        <v>26</v>
      </c>
      <c r="Q616" s="62" t="s">
        <v>40</v>
      </c>
      <c r="R616" s="62" t="s">
        <v>2139</v>
      </c>
      <c r="S616" s="63" t="s">
        <v>823</v>
      </c>
      <c r="T616" s="63" t="s">
        <v>1524</v>
      </c>
      <c r="U616" s="64">
        <v>78600</v>
      </c>
      <c r="V616" s="64">
        <v>86460</v>
      </c>
      <c r="W616" s="64">
        <v>78600</v>
      </c>
      <c r="X616" s="64">
        <v>86460</v>
      </c>
      <c r="Y616" s="64">
        <v>0</v>
      </c>
      <c r="Z616" s="64">
        <v>0</v>
      </c>
      <c r="AA616" s="61">
        <v>44609</v>
      </c>
      <c r="AB616" s="61">
        <v>44609</v>
      </c>
      <c r="AD616" s="60">
        <v>0</v>
      </c>
      <c r="AG616" s="60">
        <v>0</v>
      </c>
      <c r="AJ616" s="60">
        <v>0</v>
      </c>
      <c r="AM616" s="60" t="s">
        <v>2004</v>
      </c>
      <c r="AN616" s="60" t="s">
        <v>508</v>
      </c>
      <c r="AQ616" s="60" t="s">
        <v>2009</v>
      </c>
      <c r="AR616" s="61">
        <v>44589</v>
      </c>
      <c r="AS616" s="60">
        <v>6001986769</v>
      </c>
      <c r="AT616" s="61">
        <v>44589</v>
      </c>
      <c r="AU616" s="60" t="s">
        <v>2027</v>
      </c>
      <c r="AV616" s="61">
        <v>44651</v>
      </c>
      <c r="AW616" s="91">
        <v>44620</v>
      </c>
      <c r="AX616" s="91">
        <v>44640</v>
      </c>
      <c r="AY616" s="107">
        <v>78600</v>
      </c>
      <c r="AZ616" s="107">
        <f>ROUNDDOWN(AY616+(AY616*MASTER!$A$2/100),0)</f>
        <v>86460</v>
      </c>
      <c r="BA616" s="60" t="s">
        <v>582</v>
      </c>
      <c r="BB616" s="64">
        <v>40000</v>
      </c>
      <c r="BC616" s="64">
        <v>44000</v>
      </c>
      <c r="BD616" s="60" t="s">
        <v>2044</v>
      </c>
      <c r="BG616" s="64">
        <v>0</v>
      </c>
      <c r="BK616" s="64">
        <v>0</v>
      </c>
      <c r="BS616" s="64">
        <v>0</v>
      </c>
      <c r="BV616" s="65">
        <v>86460</v>
      </c>
      <c r="BW616" s="65">
        <v>44000</v>
      </c>
      <c r="BX616" s="65">
        <v>44585</v>
      </c>
      <c r="BY616" s="65">
        <v>42460</v>
      </c>
      <c r="BZ616" s="81">
        <v>49.109414758269722</v>
      </c>
    </row>
    <row r="617" spans="1:89" x14ac:dyDescent="0.15">
      <c r="A617" s="60">
        <v>1</v>
      </c>
      <c r="B617" s="61">
        <v>44594</v>
      </c>
      <c r="C617" s="61">
        <v>44651</v>
      </c>
      <c r="D617" s="61">
        <v>44624</v>
      </c>
      <c r="F617" s="61" t="s">
        <v>309</v>
      </c>
      <c r="G617" s="61">
        <v>44608</v>
      </c>
      <c r="H617" s="61" t="s">
        <v>309</v>
      </c>
      <c r="J617" s="60">
        <v>2</v>
      </c>
      <c r="L617" s="60">
        <v>0</v>
      </c>
      <c r="M617" s="61">
        <v>44585</v>
      </c>
      <c r="O617" s="62" t="s">
        <v>331</v>
      </c>
      <c r="P617" s="60" t="s">
        <v>26</v>
      </c>
      <c r="Q617" s="62" t="s">
        <v>40</v>
      </c>
      <c r="R617" s="62" t="s">
        <v>2140</v>
      </c>
      <c r="S617" s="63" t="s">
        <v>1911</v>
      </c>
      <c r="T617" s="63" t="s">
        <v>1524</v>
      </c>
      <c r="U617" s="64">
        <v>78600</v>
      </c>
      <c r="V617" s="64">
        <v>86460</v>
      </c>
      <c r="W617" s="64">
        <v>78600</v>
      </c>
      <c r="X617" s="64">
        <v>86460</v>
      </c>
      <c r="Y617" s="64">
        <v>0</v>
      </c>
      <c r="Z617" s="64">
        <v>0</v>
      </c>
      <c r="AA617" s="61">
        <v>44608</v>
      </c>
      <c r="AB617" s="61">
        <v>44608</v>
      </c>
      <c r="AD617" s="60">
        <v>0</v>
      </c>
      <c r="AG617" s="60">
        <v>0</v>
      </c>
      <c r="AJ617" s="60">
        <v>0</v>
      </c>
      <c r="AM617" s="60" t="s">
        <v>2004</v>
      </c>
      <c r="AN617" s="60" t="s">
        <v>508</v>
      </c>
      <c r="AQ617" s="60" t="s">
        <v>2009</v>
      </c>
      <c r="AR617" s="61">
        <v>44589</v>
      </c>
      <c r="AS617" s="60">
        <v>6001986769</v>
      </c>
      <c r="AT617" s="61">
        <v>44589</v>
      </c>
      <c r="AU617" s="60" t="s">
        <v>2027</v>
      </c>
      <c r="AV617" s="61">
        <v>44651</v>
      </c>
      <c r="AW617" s="91">
        <v>44620</v>
      </c>
      <c r="AX617" s="91">
        <v>44640</v>
      </c>
      <c r="AY617" s="107">
        <v>78600</v>
      </c>
      <c r="AZ617" s="107">
        <f>ROUNDDOWN(AY617+(AY617*MASTER!$A$2/100),0)</f>
        <v>86460</v>
      </c>
      <c r="BA617" s="60" t="s">
        <v>582</v>
      </c>
      <c r="BB617" s="64">
        <v>31000</v>
      </c>
      <c r="BC617" s="64">
        <v>34100</v>
      </c>
      <c r="BD617" s="60" t="s">
        <v>2044</v>
      </c>
      <c r="BG617" s="64">
        <v>0</v>
      </c>
      <c r="BK617" s="64">
        <v>0</v>
      </c>
      <c r="BS617" s="64">
        <v>0</v>
      </c>
      <c r="BV617" s="65">
        <v>86460</v>
      </c>
      <c r="BW617" s="65">
        <v>34100</v>
      </c>
      <c r="BX617" s="65">
        <v>44585</v>
      </c>
      <c r="BY617" s="65">
        <v>52360</v>
      </c>
      <c r="BZ617" s="81">
        <v>60.559796437659031</v>
      </c>
    </row>
    <row r="618" spans="1:89" x14ac:dyDescent="0.15">
      <c r="A618" s="60">
        <v>2</v>
      </c>
      <c r="B618" s="61">
        <v>44602</v>
      </c>
      <c r="C618" s="61">
        <v>44651</v>
      </c>
      <c r="D618" s="61">
        <v>44635</v>
      </c>
      <c r="F618" s="61" t="s">
        <v>309</v>
      </c>
      <c r="G618" s="61">
        <v>44621</v>
      </c>
      <c r="H618" s="61" t="s">
        <v>309</v>
      </c>
      <c r="J618" s="60">
        <v>2</v>
      </c>
      <c r="L618" s="60">
        <v>0</v>
      </c>
      <c r="M618" s="61">
        <v>44585</v>
      </c>
      <c r="O618" s="62" t="s">
        <v>331</v>
      </c>
      <c r="P618" s="60" t="s">
        <v>26</v>
      </c>
      <c r="Q618" s="62" t="s">
        <v>40</v>
      </c>
      <c r="R618" s="62" t="s">
        <v>2296</v>
      </c>
      <c r="S618" s="63" t="s">
        <v>1163</v>
      </c>
      <c r="T618" s="63" t="s">
        <v>1524</v>
      </c>
      <c r="U618" s="64">
        <v>78600</v>
      </c>
      <c r="V618" s="64">
        <v>86460</v>
      </c>
      <c r="W618" s="64">
        <v>78600</v>
      </c>
      <c r="X618" s="64">
        <v>86460</v>
      </c>
      <c r="Y618" s="64">
        <v>0</v>
      </c>
      <c r="Z618" s="64">
        <v>0</v>
      </c>
      <c r="AA618" s="61">
        <v>44620</v>
      </c>
      <c r="AB618" s="61">
        <v>44620</v>
      </c>
      <c r="AD618" s="60">
        <v>0</v>
      </c>
      <c r="AG618" s="60">
        <v>0</v>
      </c>
      <c r="AJ618" s="60">
        <v>0</v>
      </c>
      <c r="AM618" s="60" t="s">
        <v>2004</v>
      </c>
      <c r="AN618" s="60" t="s">
        <v>508</v>
      </c>
      <c r="AQ618" s="60" t="s">
        <v>2009</v>
      </c>
      <c r="AR618" s="61">
        <v>44589</v>
      </c>
      <c r="AS618" s="60">
        <v>6001986770</v>
      </c>
      <c r="AT618" s="61">
        <v>44589</v>
      </c>
      <c r="AU618" s="60" t="s">
        <v>2026</v>
      </c>
      <c r="AV618" s="61">
        <v>44651</v>
      </c>
      <c r="AW618" s="91">
        <v>44620</v>
      </c>
      <c r="AX618" s="91">
        <v>44640</v>
      </c>
      <c r="AY618" s="107">
        <v>78600</v>
      </c>
      <c r="AZ618" s="107">
        <f>ROUNDDOWN(AY618+(AY618*MASTER!$A$2/100),0)</f>
        <v>86460</v>
      </c>
      <c r="BA618" s="60" t="s">
        <v>318</v>
      </c>
      <c r="BB618" s="64">
        <v>50000</v>
      </c>
      <c r="BC618" s="64">
        <v>55000</v>
      </c>
      <c r="BD618" s="60" t="s">
        <v>2044</v>
      </c>
      <c r="BG618" s="64">
        <v>0</v>
      </c>
      <c r="BK618" s="64">
        <v>0</v>
      </c>
      <c r="BS618" s="64">
        <v>0</v>
      </c>
      <c r="BV618" s="65">
        <v>86460</v>
      </c>
      <c r="BW618" s="65">
        <v>55000</v>
      </c>
      <c r="BX618" s="65">
        <v>44585</v>
      </c>
      <c r="BY618" s="65">
        <v>31460</v>
      </c>
      <c r="BZ618" s="81">
        <v>36.386768447837149</v>
      </c>
    </row>
    <row r="619" spans="1:89" x14ac:dyDescent="0.15">
      <c r="A619" s="60">
        <v>1</v>
      </c>
      <c r="B619" s="61">
        <v>44594</v>
      </c>
      <c r="C619" s="61">
        <v>44651</v>
      </c>
      <c r="D619" s="61">
        <v>44624</v>
      </c>
      <c r="F619" s="61" t="s">
        <v>309</v>
      </c>
      <c r="G619" s="61">
        <v>44608</v>
      </c>
      <c r="H619" s="61" t="s">
        <v>309</v>
      </c>
      <c r="J619" s="60">
        <v>2</v>
      </c>
      <c r="L619" s="60">
        <v>0</v>
      </c>
      <c r="M619" s="61">
        <v>44585</v>
      </c>
      <c r="O619" s="62" t="s">
        <v>331</v>
      </c>
      <c r="P619" s="60" t="s">
        <v>26</v>
      </c>
      <c r="Q619" s="62" t="s">
        <v>40</v>
      </c>
      <c r="R619" s="62" t="s">
        <v>2141</v>
      </c>
      <c r="S619" s="63" t="s">
        <v>1000</v>
      </c>
      <c r="T619" s="63" t="s">
        <v>1524</v>
      </c>
      <c r="U619" s="64">
        <v>78600</v>
      </c>
      <c r="V619" s="64">
        <v>86460</v>
      </c>
      <c r="W619" s="64">
        <v>78600</v>
      </c>
      <c r="X619" s="64">
        <v>86460</v>
      </c>
      <c r="Y619" s="64">
        <v>0</v>
      </c>
      <c r="Z619" s="64">
        <v>0</v>
      </c>
      <c r="AA619" s="61">
        <v>44608</v>
      </c>
      <c r="AB619" s="61">
        <v>44608</v>
      </c>
      <c r="AD619" s="60">
        <v>0</v>
      </c>
      <c r="AG619" s="60">
        <v>0</v>
      </c>
      <c r="AJ619" s="60">
        <v>0</v>
      </c>
      <c r="AM619" s="60" t="s">
        <v>2004</v>
      </c>
      <c r="AN619" s="60" t="s">
        <v>508</v>
      </c>
      <c r="AQ619" s="60" t="s">
        <v>2009</v>
      </c>
      <c r="AR619" s="61">
        <v>44589</v>
      </c>
      <c r="AS619" s="60">
        <v>6001986769</v>
      </c>
      <c r="AT619" s="61">
        <v>44589</v>
      </c>
      <c r="AU619" s="60" t="s">
        <v>2027</v>
      </c>
      <c r="AV619" s="61">
        <v>44651</v>
      </c>
      <c r="AW619" s="91">
        <v>44620</v>
      </c>
      <c r="AX619" s="91">
        <v>44640</v>
      </c>
      <c r="AY619" s="107">
        <v>78600</v>
      </c>
      <c r="AZ619" s="107">
        <f>ROUNDDOWN(AY619+(AY619*MASTER!$A$2/100),0)</f>
        <v>86460</v>
      </c>
      <c r="BA619" s="60" t="s">
        <v>582</v>
      </c>
      <c r="BB619" s="64">
        <v>28000</v>
      </c>
      <c r="BC619" s="64">
        <v>30800</v>
      </c>
      <c r="BD619" s="60" t="s">
        <v>2044</v>
      </c>
      <c r="BG619" s="64">
        <v>0</v>
      </c>
      <c r="BK619" s="64">
        <v>0</v>
      </c>
      <c r="BS619" s="64">
        <v>0</v>
      </c>
      <c r="BV619" s="65">
        <v>86460</v>
      </c>
      <c r="BW619" s="65">
        <v>30800</v>
      </c>
      <c r="BX619" s="65">
        <v>44585</v>
      </c>
      <c r="BY619" s="65">
        <v>55660</v>
      </c>
      <c r="BZ619" s="81">
        <v>64.376590330788801</v>
      </c>
    </row>
    <row r="620" spans="1:89" x14ac:dyDescent="0.15">
      <c r="A620" s="60">
        <v>2</v>
      </c>
      <c r="B620" s="61">
        <v>44602</v>
      </c>
      <c r="C620" s="61">
        <v>44651</v>
      </c>
      <c r="D620" s="61">
        <v>44635</v>
      </c>
      <c r="F620" s="61" t="s">
        <v>309</v>
      </c>
      <c r="G620" s="61">
        <v>44613</v>
      </c>
      <c r="H620" s="61" t="s">
        <v>309</v>
      </c>
      <c r="J620" s="60">
        <v>2</v>
      </c>
      <c r="L620" s="60">
        <v>0</v>
      </c>
      <c r="M620" s="61">
        <v>44585</v>
      </c>
      <c r="O620" s="62" t="s">
        <v>331</v>
      </c>
      <c r="P620" s="60" t="s">
        <v>26</v>
      </c>
      <c r="Q620" s="62" t="s">
        <v>40</v>
      </c>
      <c r="R620" s="62" t="s">
        <v>2292</v>
      </c>
      <c r="S620" s="63" t="s">
        <v>1697</v>
      </c>
      <c r="T620" s="63" t="s">
        <v>1524</v>
      </c>
      <c r="U620" s="64">
        <v>78600</v>
      </c>
      <c r="V620" s="64">
        <v>86460</v>
      </c>
      <c r="W620" s="64">
        <v>78600</v>
      </c>
      <c r="X620" s="64">
        <v>86460</v>
      </c>
      <c r="Y620" s="64">
        <v>0</v>
      </c>
      <c r="Z620" s="64">
        <v>0</v>
      </c>
      <c r="AA620" s="61">
        <v>44610</v>
      </c>
      <c r="AB620" s="61">
        <v>44610</v>
      </c>
      <c r="AD620" s="60">
        <v>0</v>
      </c>
      <c r="AG620" s="60">
        <v>0</v>
      </c>
      <c r="AJ620" s="60">
        <v>0</v>
      </c>
      <c r="AM620" s="60" t="s">
        <v>2004</v>
      </c>
      <c r="AN620" s="60" t="s">
        <v>508</v>
      </c>
      <c r="AQ620" s="60" t="s">
        <v>2009</v>
      </c>
      <c r="AR620" s="61">
        <v>44589</v>
      </c>
      <c r="AS620" s="60">
        <v>6001986769</v>
      </c>
      <c r="AT620" s="61">
        <v>44589</v>
      </c>
      <c r="AU620" s="60" t="s">
        <v>2027</v>
      </c>
      <c r="AV620" s="61">
        <v>44651</v>
      </c>
      <c r="AW620" s="91">
        <v>44620</v>
      </c>
      <c r="AX620" s="91">
        <v>44640</v>
      </c>
      <c r="AY620" s="107">
        <v>78600</v>
      </c>
      <c r="AZ620" s="107">
        <f>ROUNDDOWN(AY620+(AY620*MASTER!$A$2/100),0)</f>
        <v>86460</v>
      </c>
      <c r="BA620" s="60" t="s">
        <v>319</v>
      </c>
      <c r="BB620" s="64">
        <v>28000</v>
      </c>
      <c r="BC620" s="64">
        <v>30800</v>
      </c>
      <c r="BD620" s="60" t="s">
        <v>2044</v>
      </c>
      <c r="BG620" s="64">
        <v>0</v>
      </c>
      <c r="BK620" s="64">
        <v>0</v>
      </c>
      <c r="BS620" s="64">
        <v>0</v>
      </c>
      <c r="BV620" s="65">
        <v>86460</v>
      </c>
      <c r="BW620" s="65">
        <v>30800</v>
      </c>
      <c r="BX620" s="65">
        <v>44585</v>
      </c>
      <c r="BY620" s="65">
        <v>55660</v>
      </c>
      <c r="BZ620" s="81">
        <v>64.376590330788801</v>
      </c>
    </row>
    <row r="621" spans="1:89" x14ac:dyDescent="0.15">
      <c r="A621" s="60">
        <v>2</v>
      </c>
      <c r="B621" s="61">
        <v>44594</v>
      </c>
      <c r="C621" s="61">
        <v>44651</v>
      </c>
      <c r="D621" s="61">
        <v>44620</v>
      </c>
      <c r="F621" s="61">
        <v>44602</v>
      </c>
      <c r="G621" s="61">
        <v>44595</v>
      </c>
      <c r="H621" s="61">
        <v>44598</v>
      </c>
      <c r="I621" s="60" t="s">
        <v>511</v>
      </c>
      <c r="J621" s="60">
        <v>2</v>
      </c>
      <c r="L621" s="60">
        <v>0</v>
      </c>
      <c r="M621" s="61">
        <v>44585</v>
      </c>
      <c r="O621" s="62" t="s">
        <v>331</v>
      </c>
      <c r="P621" s="60" t="s">
        <v>26</v>
      </c>
      <c r="Q621" s="62" t="s">
        <v>40</v>
      </c>
      <c r="R621" s="62" t="s">
        <v>2128</v>
      </c>
      <c r="S621" s="63" t="s">
        <v>1239</v>
      </c>
      <c r="T621" s="63" t="s">
        <v>1524</v>
      </c>
      <c r="U621" s="64">
        <v>78600</v>
      </c>
      <c r="V621" s="64">
        <v>86460</v>
      </c>
      <c r="W621" s="64">
        <v>78600</v>
      </c>
      <c r="X621" s="64">
        <v>86460</v>
      </c>
      <c r="Y621" s="64">
        <v>0</v>
      </c>
      <c r="Z621" s="64">
        <v>0</v>
      </c>
      <c r="AA621" s="61">
        <v>44594</v>
      </c>
      <c r="AB621" s="61">
        <v>44595</v>
      </c>
      <c r="AC621" s="61">
        <v>44595</v>
      </c>
      <c r="AD621" s="60">
        <v>0</v>
      </c>
      <c r="AG621" s="60">
        <v>0</v>
      </c>
      <c r="AJ621" s="60">
        <v>0</v>
      </c>
      <c r="AM621" s="60" t="s">
        <v>2004</v>
      </c>
      <c r="AN621" s="60" t="s">
        <v>508</v>
      </c>
      <c r="AQ621" s="60" t="s">
        <v>2009</v>
      </c>
      <c r="AR621" s="61">
        <v>44589</v>
      </c>
      <c r="AS621" s="60">
        <v>6001986770</v>
      </c>
      <c r="AT621" s="61">
        <v>44589</v>
      </c>
      <c r="AU621" s="60" t="s">
        <v>2026</v>
      </c>
      <c r="AV621" s="61">
        <v>44651</v>
      </c>
      <c r="AW621" s="91">
        <v>44620</v>
      </c>
      <c r="AX621" s="91">
        <v>44640</v>
      </c>
      <c r="AY621" s="107">
        <v>78600</v>
      </c>
      <c r="AZ621" s="107">
        <f>ROUNDDOWN(AY621+(AY621*MASTER!$A$2/100),0)</f>
        <v>86460</v>
      </c>
      <c r="BA621" s="60" t="s">
        <v>765</v>
      </c>
      <c r="BC621" s="64">
        <v>0</v>
      </c>
      <c r="BG621" s="64">
        <v>0</v>
      </c>
      <c r="BK621" s="64">
        <v>0</v>
      </c>
      <c r="BS621" s="64">
        <v>0</v>
      </c>
      <c r="BV621" s="65">
        <v>86460</v>
      </c>
      <c r="BW621" s="65">
        <v>0</v>
      </c>
      <c r="BX621" s="65">
        <v>44585</v>
      </c>
      <c r="BY621" s="65">
        <v>86460</v>
      </c>
      <c r="BZ621" s="81">
        <v>100</v>
      </c>
    </row>
    <row r="622" spans="1:89" x14ac:dyDescent="0.15">
      <c r="A622" s="60">
        <v>2</v>
      </c>
      <c r="B622" s="61">
        <v>44602</v>
      </c>
      <c r="C622" s="61">
        <v>44651</v>
      </c>
      <c r="D622" s="61">
        <v>44624</v>
      </c>
      <c r="F622" s="61" t="s">
        <v>309</v>
      </c>
      <c r="G622" s="61">
        <v>44610</v>
      </c>
      <c r="H622" s="61" t="s">
        <v>309</v>
      </c>
      <c r="J622" s="60">
        <v>2</v>
      </c>
      <c r="L622" s="60">
        <v>0</v>
      </c>
      <c r="M622" s="61">
        <v>44585</v>
      </c>
      <c r="O622" s="62" t="s">
        <v>331</v>
      </c>
      <c r="P622" s="60" t="s">
        <v>26</v>
      </c>
      <c r="Q622" s="62" t="s">
        <v>40</v>
      </c>
      <c r="R622" s="62" t="s">
        <v>2274</v>
      </c>
      <c r="S622" s="63" t="s">
        <v>658</v>
      </c>
      <c r="T622" s="63" t="s">
        <v>1524</v>
      </c>
      <c r="U622" s="64">
        <v>78600</v>
      </c>
      <c r="V622" s="64">
        <v>86460</v>
      </c>
      <c r="W622" s="64">
        <v>78600</v>
      </c>
      <c r="X622" s="64">
        <v>86460</v>
      </c>
      <c r="Y622" s="64">
        <v>0</v>
      </c>
      <c r="Z622" s="64">
        <v>0</v>
      </c>
      <c r="AA622" s="61">
        <v>44609</v>
      </c>
      <c r="AB622" s="61">
        <v>44609</v>
      </c>
      <c r="AD622" s="60">
        <v>0</v>
      </c>
      <c r="AG622" s="60">
        <v>0</v>
      </c>
      <c r="AJ622" s="60">
        <v>0</v>
      </c>
      <c r="AM622" s="60" t="s">
        <v>2004</v>
      </c>
      <c r="AN622" s="60" t="s">
        <v>508</v>
      </c>
      <c r="AQ622" s="60" t="s">
        <v>2009</v>
      </c>
      <c r="AR622" s="61">
        <v>44589</v>
      </c>
      <c r="AS622" s="60">
        <v>6001986769</v>
      </c>
      <c r="AT622" s="61">
        <v>44589</v>
      </c>
      <c r="AU622" s="60" t="s">
        <v>2027</v>
      </c>
      <c r="AV622" s="61">
        <v>44651</v>
      </c>
      <c r="AW622" s="91">
        <v>44620</v>
      </c>
      <c r="AX622" s="91">
        <v>44640</v>
      </c>
      <c r="AY622" s="107">
        <v>78600</v>
      </c>
      <c r="AZ622" s="107">
        <f>ROUNDDOWN(AY622+(AY622*MASTER!$A$2/100),0)</f>
        <v>86460</v>
      </c>
      <c r="BA622" s="60" t="s">
        <v>317</v>
      </c>
      <c r="BB622" s="64">
        <v>36000</v>
      </c>
      <c r="BC622" s="64">
        <v>39600</v>
      </c>
      <c r="BD622" s="60" t="s">
        <v>2044</v>
      </c>
      <c r="BG622" s="64">
        <v>0</v>
      </c>
      <c r="BK622" s="64">
        <v>0</v>
      </c>
      <c r="BS622" s="64">
        <v>0</v>
      </c>
      <c r="BV622" s="65">
        <v>86460</v>
      </c>
      <c r="BW622" s="65">
        <v>39600</v>
      </c>
      <c r="BX622" s="65">
        <v>44585</v>
      </c>
      <c r="BY622" s="65">
        <v>46860</v>
      </c>
      <c r="BZ622" s="81">
        <v>54.198473282442748</v>
      </c>
    </row>
    <row r="623" spans="1:89" x14ac:dyDescent="0.15">
      <c r="A623" s="60">
        <v>2</v>
      </c>
      <c r="B623" s="61">
        <v>44602</v>
      </c>
      <c r="C623" s="61">
        <v>44651</v>
      </c>
      <c r="D623" s="61">
        <v>44635</v>
      </c>
      <c r="F623" s="61" t="s">
        <v>309</v>
      </c>
      <c r="G623" s="61">
        <v>44613</v>
      </c>
      <c r="H623" s="61" t="s">
        <v>309</v>
      </c>
      <c r="J623" s="60">
        <v>2</v>
      </c>
      <c r="L623" s="60">
        <v>0</v>
      </c>
      <c r="M623" s="61">
        <v>44585</v>
      </c>
      <c r="O623" s="62" t="s">
        <v>331</v>
      </c>
      <c r="P623" s="60" t="s">
        <v>26</v>
      </c>
      <c r="Q623" s="62" t="s">
        <v>40</v>
      </c>
      <c r="R623" s="62" t="s">
        <v>2291</v>
      </c>
      <c r="S623" s="63" t="s">
        <v>1493</v>
      </c>
      <c r="T623" s="63" t="s">
        <v>1524</v>
      </c>
      <c r="U623" s="64">
        <v>78600</v>
      </c>
      <c r="V623" s="64">
        <v>86460</v>
      </c>
      <c r="W623" s="64">
        <v>78600</v>
      </c>
      <c r="X623" s="64">
        <v>86460</v>
      </c>
      <c r="Y623" s="64">
        <v>0</v>
      </c>
      <c r="Z623" s="64">
        <v>0</v>
      </c>
      <c r="AA623" s="61">
        <v>44609</v>
      </c>
      <c r="AB623" s="61">
        <v>44609</v>
      </c>
      <c r="AD623" s="60">
        <v>0</v>
      </c>
      <c r="AG623" s="60">
        <v>0</v>
      </c>
      <c r="AJ623" s="60">
        <v>0</v>
      </c>
      <c r="AM623" s="60" t="s">
        <v>2004</v>
      </c>
      <c r="AN623" s="60" t="s">
        <v>508</v>
      </c>
      <c r="AQ623" s="60" t="s">
        <v>2009</v>
      </c>
      <c r="AR623" s="61">
        <v>44589</v>
      </c>
      <c r="AS623" s="60">
        <v>6001986769</v>
      </c>
      <c r="AT623" s="61">
        <v>44589</v>
      </c>
      <c r="AU623" s="60" t="s">
        <v>2027</v>
      </c>
      <c r="AV623" s="61">
        <v>44651</v>
      </c>
      <c r="AW623" s="91">
        <v>44620</v>
      </c>
      <c r="AX623" s="91">
        <v>44640</v>
      </c>
      <c r="AY623" s="107">
        <v>78600</v>
      </c>
      <c r="AZ623" s="107">
        <f>ROUNDDOWN(AY623+(AY623*MASTER!$A$2/100),0)</f>
        <v>86460</v>
      </c>
      <c r="BA623" s="60" t="s">
        <v>319</v>
      </c>
      <c r="BB623" s="64">
        <v>32000</v>
      </c>
      <c r="BC623" s="64">
        <v>35200</v>
      </c>
      <c r="BD623" s="60" t="s">
        <v>2044</v>
      </c>
      <c r="BG623" s="64">
        <v>0</v>
      </c>
      <c r="BK623" s="64">
        <v>0</v>
      </c>
      <c r="BS623" s="64">
        <v>0</v>
      </c>
      <c r="BV623" s="65">
        <v>86460</v>
      </c>
      <c r="BW623" s="65">
        <v>35200</v>
      </c>
      <c r="BX623" s="65">
        <v>44585</v>
      </c>
      <c r="BY623" s="65">
        <v>51260</v>
      </c>
      <c r="BZ623" s="81">
        <v>59.287531806615782</v>
      </c>
    </row>
    <row r="624" spans="1:89" x14ac:dyDescent="0.15">
      <c r="A624" s="60">
        <v>1</v>
      </c>
      <c r="B624" s="61">
        <v>44594</v>
      </c>
      <c r="C624" s="61">
        <v>44651</v>
      </c>
      <c r="D624" s="61">
        <v>44622</v>
      </c>
      <c r="F624" s="61" t="s">
        <v>309</v>
      </c>
      <c r="G624" s="61">
        <v>44607</v>
      </c>
      <c r="H624" s="61" t="s">
        <v>309</v>
      </c>
      <c r="J624" s="60">
        <v>2</v>
      </c>
      <c r="L624" s="60">
        <v>0</v>
      </c>
      <c r="M624" s="61">
        <v>44585</v>
      </c>
      <c r="O624" s="62" t="s">
        <v>331</v>
      </c>
      <c r="P624" s="60" t="s">
        <v>26</v>
      </c>
      <c r="Q624" s="62" t="s">
        <v>40</v>
      </c>
      <c r="R624" s="62" t="s">
        <v>2142</v>
      </c>
      <c r="S624" s="63" t="s">
        <v>379</v>
      </c>
      <c r="T624" s="63" t="s">
        <v>1524</v>
      </c>
      <c r="U624" s="64">
        <v>78600</v>
      </c>
      <c r="V624" s="64">
        <v>86460</v>
      </c>
      <c r="W624" s="64">
        <v>78600</v>
      </c>
      <c r="X624" s="64">
        <v>86460</v>
      </c>
      <c r="Y624" s="64">
        <v>0</v>
      </c>
      <c r="Z624" s="64">
        <v>0</v>
      </c>
      <c r="AA624" s="61">
        <v>44603</v>
      </c>
      <c r="AB624" s="61">
        <v>44603</v>
      </c>
      <c r="AD624" s="60">
        <v>0</v>
      </c>
      <c r="AG624" s="60">
        <v>0</v>
      </c>
      <c r="AJ624" s="60">
        <v>0</v>
      </c>
      <c r="AM624" s="60" t="s">
        <v>2004</v>
      </c>
      <c r="AN624" s="60" t="s">
        <v>508</v>
      </c>
      <c r="AQ624" s="60" t="s">
        <v>2009</v>
      </c>
      <c r="AR624" s="61">
        <v>44589</v>
      </c>
      <c r="AS624" s="60">
        <v>6001986769</v>
      </c>
      <c r="AT624" s="61">
        <v>44589</v>
      </c>
      <c r="AU624" s="60" t="s">
        <v>2027</v>
      </c>
      <c r="AV624" s="61">
        <v>44651</v>
      </c>
      <c r="AW624" s="91">
        <v>44620</v>
      </c>
      <c r="AX624" s="91">
        <v>44640</v>
      </c>
      <c r="AY624" s="107">
        <v>78600</v>
      </c>
      <c r="AZ624" s="107">
        <f>ROUNDDOWN(AY624+(AY624*MASTER!$A$2/100),0)</f>
        <v>86460</v>
      </c>
      <c r="BA624" s="60" t="s">
        <v>613</v>
      </c>
      <c r="BB624" s="64">
        <v>30000</v>
      </c>
      <c r="BC624" s="64">
        <v>33000</v>
      </c>
      <c r="BD624" s="60" t="s">
        <v>2044</v>
      </c>
      <c r="BG624" s="64">
        <v>0</v>
      </c>
      <c r="BK624" s="64">
        <v>0</v>
      </c>
      <c r="BS624" s="64">
        <v>0</v>
      </c>
      <c r="BV624" s="65">
        <v>86460</v>
      </c>
      <c r="BW624" s="65">
        <v>33000</v>
      </c>
      <c r="BX624" s="65">
        <v>44585</v>
      </c>
      <c r="BY624" s="65">
        <v>53460</v>
      </c>
      <c r="BZ624" s="81">
        <v>61.832061068702295</v>
      </c>
    </row>
    <row r="625" spans="1:78" x14ac:dyDescent="0.15">
      <c r="A625" s="60">
        <v>2</v>
      </c>
      <c r="B625" s="61">
        <v>44592</v>
      </c>
      <c r="C625" s="61">
        <v>44651</v>
      </c>
      <c r="D625" s="61">
        <v>44633</v>
      </c>
      <c r="F625" s="61" t="s">
        <v>309</v>
      </c>
      <c r="G625" s="61">
        <v>44616</v>
      </c>
      <c r="H625" s="61" t="s">
        <v>309</v>
      </c>
      <c r="J625" s="60">
        <v>2</v>
      </c>
      <c r="L625" s="60">
        <v>0</v>
      </c>
      <c r="M625" s="61">
        <v>44585</v>
      </c>
      <c r="O625" s="62" t="s">
        <v>331</v>
      </c>
      <c r="P625" s="60" t="s">
        <v>26</v>
      </c>
      <c r="Q625" s="62" t="s">
        <v>40</v>
      </c>
      <c r="R625" s="62" t="s">
        <v>2123</v>
      </c>
      <c r="S625" s="63" t="s">
        <v>1912</v>
      </c>
      <c r="T625" s="63" t="s">
        <v>1524</v>
      </c>
      <c r="U625" s="64">
        <v>78600</v>
      </c>
      <c r="V625" s="64">
        <v>86460</v>
      </c>
      <c r="W625" s="64">
        <v>78600</v>
      </c>
      <c r="X625" s="64">
        <v>86460</v>
      </c>
      <c r="Y625" s="64">
        <v>0</v>
      </c>
      <c r="Z625" s="64">
        <v>0</v>
      </c>
      <c r="AA625" s="61">
        <v>44613</v>
      </c>
      <c r="AB625" s="61">
        <v>44613</v>
      </c>
      <c r="AD625" s="60">
        <v>0</v>
      </c>
      <c r="AG625" s="60">
        <v>0</v>
      </c>
      <c r="AJ625" s="60">
        <v>0</v>
      </c>
      <c r="AM625" s="60" t="s">
        <v>2004</v>
      </c>
      <c r="AN625" s="60" t="s">
        <v>508</v>
      </c>
      <c r="AQ625" s="60" t="s">
        <v>2009</v>
      </c>
      <c r="AR625" s="61">
        <v>44589</v>
      </c>
      <c r="AS625" s="60">
        <v>6001986770</v>
      </c>
      <c r="AT625" s="61">
        <v>44589</v>
      </c>
      <c r="AU625" s="60" t="s">
        <v>2026</v>
      </c>
      <c r="AV625" s="61">
        <v>44651</v>
      </c>
      <c r="AW625" s="91">
        <v>44620</v>
      </c>
      <c r="AX625" s="91">
        <v>44640</v>
      </c>
      <c r="AY625" s="107">
        <v>78600</v>
      </c>
      <c r="AZ625" s="107">
        <f>ROUNDDOWN(AY625+(AY625*MASTER!$A$2/100),0)</f>
        <v>86460</v>
      </c>
      <c r="BA625" s="60" t="s">
        <v>314</v>
      </c>
      <c r="BB625" s="64">
        <v>34000</v>
      </c>
      <c r="BC625" s="64">
        <v>37400</v>
      </c>
      <c r="BD625" s="60" t="s">
        <v>2044</v>
      </c>
      <c r="BG625" s="64">
        <v>0</v>
      </c>
      <c r="BK625" s="64">
        <v>0</v>
      </c>
      <c r="BS625" s="64">
        <v>0</v>
      </c>
      <c r="BV625" s="65">
        <v>86460</v>
      </c>
      <c r="BW625" s="65">
        <v>37400</v>
      </c>
      <c r="BX625" s="65">
        <v>44585</v>
      </c>
      <c r="BY625" s="65">
        <v>49060</v>
      </c>
      <c r="BZ625" s="81">
        <v>56.743002544529261</v>
      </c>
    </row>
    <row r="626" spans="1:78" x14ac:dyDescent="0.15">
      <c r="A626" s="60">
        <v>2</v>
      </c>
      <c r="B626" s="61">
        <v>44594</v>
      </c>
      <c r="C626" s="61">
        <v>44651</v>
      </c>
      <c r="D626" s="61">
        <v>44622</v>
      </c>
      <c r="F626" s="61" t="s">
        <v>309</v>
      </c>
      <c r="G626" s="61">
        <v>44614</v>
      </c>
      <c r="H626" s="61" t="s">
        <v>309</v>
      </c>
      <c r="J626" s="60">
        <v>2</v>
      </c>
      <c r="L626" s="60">
        <v>0</v>
      </c>
      <c r="M626" s="61">
        <v>44585</v>
      </c>
      <c r="O626" s="62" t="s">
        <v>331</v>
      </c>
      <c r="P626" s="60" t="s">
        <v>26</v>
      </c>
      <c r="Q626" s="62" t="s">
        <v>40</v>
      </c>
      <c r="R626" s="62" t="s">
        <v>2143</v>
      </c>
      <c r="S626" s="63" t="s">
        <v>1051</v>
      </c>
      <c r="T626" s="63" t="s">
        <v>1524</v>
      </c>
      <c r="U626" s="64">
        <v>78600</v>
      </c>
      <c r="V626" s="64">
        <v>86460</v>
      </c>
      <c r="W626" s="64">
        <v>78600</v>
      </c>
      <c r="X626" s="64">
        <v>86460</v>
      </c>
      <c r="Y626" s="64">
        <v>0</v>
      </c>
      <c r="Z626" s="64">
        <v>0</v>
      </c>
      <c r="AA626" s="61">
        <v>44613</v>
      </c>
      <c r="AB626" s="61">
        <v>44613</v>
      </c>
      <c r="AD626" s="60">
        <v>0</v>
      </c>
      <c r="AG626" s="60">
        <v>0</v>
      </c>
      <c r="AJ626" s="60">
        <v>0</v>
      </c>
      <c r="AM626" s="60" t="s">
        <v>2004</v>
      </c>
      <c r="AN626" s="60" t="s">
        <v>508</v>
      </c>
      <c r="AQ626" s="60" t="s">
        <v>2009</v>
      </c>
      <c r="AR626" s="61">
        <v>44589</v>
      </c>
      <c r="AS626" s="60">
        <v>6001986770</v>
      </c>
      <c r="AT626" s="61">
        <v>44589</v>
      </c>
      <c r="AU626" s="60" t="s">
        <v>2026</v>
      </c>
      <c r="AV626" s="61">
        <v>44651</v>
      </c>
      <c r="AW626" s="91">
        <v>44620</v>
      </c>
      <c r="AX626" s="91">
        <v>44640</v>
      </c>
      <c r="AY626" s="107">
        <v>78600</v>
      </c>
      <c r="AZ626" s="107">
        <f>ROUNDDOWN(AY626+(AY626*MASTER!$A$2/100),0)</f>
        <v>86460</v>
      </c>
      <c r="BA626" s="60" t="s">
        <v>613</v>
      </c>
      <c r="BB626" s="64">
        <v>28000</v>
      </c>
      <c r="BC626" s="64">
        <v>30800</v>
      </c>
      <c r="BD626" s="60" t="s">
        <v>2044</v>
      </c>
      <c r="BG626" s="64">
        <v>0</v>
      </c>
      <c r="BK626" s="64">
        <v>0</v>
      </c>
      <c r="BS626" s="64">
        <v>0</v>
      </c>
      <c r="BV626" s="65">
        <v>86460</v>
      </c>
      <c r="BW626" s="65">
        <v>30800</v>
      </c>
      <c r="BX626" s="65">
        <v>44585</v>
      </c>
      <c r="BY626" s="65">
        <v>55660</v>
      </c>
      <c r="BZ626" s="81">
        <v>64.376590330788801</v>
      </c>
    </row>
    <row r="627" spans="1:78" x14ac:dyDescent="0.15">
      <c r="A627" s="60">
        <v>2</v>
      </c>
      <c r="B627" s="61">
        <v>44594</v>
      </c>
      <c r="C627" s="61">
        <v>44651</v>
      </c>
      <c r="D627" s="61">
        <v>44622</v>
      </c>
      <c r="F627" s="61" t="s">
        <v>309</v>
      </c>
      <c r="G627" s="61">
        <v>44616</v>
      </c>
      <c r="H627" s="61" t="s">
        <v>309</v>
      </c>
      <c r="J627" s="60">
        <v>2</v>
      </c>
      <c r="L627" s="60">
        <v>0</v>
      </c>
      <c r="M627" s="61">
        <v>44585</v>
      </c>
      <c r="O627" s="62" t="s">
        <v>331</v>
      </c>
      <c r="P627" s="60" t="s">
        <v>26</v>
      </c>
      <c r="Q627" s="62" t="s">
        <v>40</v>
      </c>
      <c r="R627" s="62" t="s">
        <v>2129</v>
      </c>
      <c r="S627" s="63" t="s">
        <v>1913</v>
      </c>
      <c r="T627" s="63" t="s">
        <v>1524</v>
      </c>
      <c r="U627" s="64">
        <v>78600</v>
      </c>
      <c r="V627" s="64">
        <v>86460</v>
      </c>
      <c r="W627" s="64">
        <v>78600</v>
      </c>
      <c r="X627" s="64">
        <v>86460</v>
      </c>
      <c r="Y627" s="64">
        <v>0</v>
      </c>
      <c r="Z627" s="64">
        <v>0</v>
      </c>
      <c r="AA627" s="61">
        <v>44614</v>
      </c>
      <c r="AB627" s="61">
        <v>44614</v>
      </c>
      <c r="AD627" s="60">
        <v>0</v>
      </c>
      <c r="AG627" s="60">
        <v>0</v>
      </c>
      <c r="AJ627" s="60">
        <v>0</v>
      </c>
      <c r="AM627" s="60" t="s">
        <v>2004</v>
      </c>
      <c r="AN627" s="60" t="s">
        <v>508</v>
      </c>
      <c r="AQ627" s="60" t="s">
        <v>2009</v>
      </c>
      <c r="AR627" s="61">
        <v>44589</v>
      </c>
      <c r="AS627" s="60">
        <v>6001986770</v>
      </c>
      <c r="AT627" s="61">
        <v>44589</v>
      </c>
      <c r="AU627" s="60" t="s">
        <v>2026</v>
      </c>
      <c r="AV627" s="61">
        <v>44651</v>
      </c>
      <c r="AW627" s="91">
        <v>44620</v>
      </c>
      <c r="AX627" s="91">
        <v>44640</v>
      </c>
      <c r="AY627" s="107">
        <v>78600</v>
      </c>
      <c r="AZ627" s="107">
        <f>ROUNDDOWN(AY627+(AY627*MASTER!$A$2/100),0)</f>
        <v>86460</v>
      </c>
      <c r="BA627" s="60" t="s">
        <v>613</v>
      </c>
      <c r="BB627" s="64">
        <v>34000</v>
      </c>
      <c r="BC627" s="64">
        <v>37400</v>
      </c>
      <c r="BD627" s="60" t="s">
        <v>2044</v>
      </c>
      <c r="BG627" s="64">
        <v>0</v>
      </c>
      <c r="BK627" s="64">
        <v>0</v>
      </c>
      <c r="BS627" s="64">
        <v>0</v>
      </c>
      <c r="BV627" s="65">
        <v>86460</v>
      </c>
      <c r="BW627" s="65">
        <v>37400</v>
      </c>
      <c r="BX627" s="65">
        <v>44585</v>
      </c>
      <c r="BY627" s="65">
        <v>49060</v>
      </c>
      <c r="BZ627" s="81">
        <v>56.743002544529261</v>
      </c>
    </row>
    <row r="628" spans="1:78" x14ac:dyDescent="0.15">
      <c r="A628" s="60">
        <v>2</v>
      </c>
      <c r="B628" s="61">
        <v>44594</v>
      </c>
      <c r="C628" s="61">
        <v>44651</v>
      </c>
      <c r="D628" s="61">
        <v>44622</v>
      </c>
      <c r="F628" s="61" t="s">
        <v>309</v>
      </c>
      <c r="G628" s="61">
        <v>44614</v>
      </c>
      <c r="H628" s="61" t="s">
        <v>309</v>
      </c>
      <c r="J628" s="60">
        <v>2</v>
      </c>
      <c r="L628" s="60">
        <v>0</v>
      </c>
      <c r="M628" s="61">
        <v>44585</v>
      </c>
      <c r="O628" s="62" t="s">
        <v>331</v>
      </c>
      <c r="P628" s="60" t="s">
        <v>26</v>
      </c>
      <c r="Q628" s="62" t="s">
        <v>40</v>
      </c>
      <c r="R628" s="62" t="s">
        <v>2130</v>
      </c>
      <c r="S628" s="63" t="s">
        <v>1914</v>
      </c>
      <c r="T628" s="63" t="s">
        <v>1524</v>
      </c>
      <c r="U628" s="64">
        <v>78600</v>
      </c>
      <c r="V628" s="64">
        <v>86460</v>
      </c>
      <c r="W628" s="64">
        <v>78600</v>
      </c>
      <c r="X628" s="64">
        <v>86460</v>
      </c>
      <c r="Y628" s="64">
        <v>0</v>
      </c>
      <c r="Z628" s="64">
        <v>0</v>
      </c>
      <c r="AA628" s="61">
        <v>44613</v>
      </c>
      <c r="AB628" s="61">
        <v>44613</v>
      </c>
      <c r="AD628" s="60">
        <v>0</v>
      </c>
      <c r="AG628" s="60">
        <v>0</v>
      </c>
      <c r="AJ628" s="60">
        <v>0</v>
      </c>
      <c r="AM628" s="60" t="s">
        <v>2004</v>
      </c>
      <c r="AN628" s="60" t="s">
        <v>508</v>
      </c>
      <c r="AQ628" s="60" t="s">
        <v>2009</v>
      </c>
      <c r="AR628" s="61">
        <v>44589</v>
      </c>
      <c r="AS628" s="60">
        <v>6001986770</v>
      </c>
      <c r="AT628" s="61">
        <v>44589</v>
      </c>
      <c r="AU628" s="60" t="s">
        <v>2026</v>
      </c>
      <c r="AV628" s="61">
        <v>44651</v>
      </c>
      <c r="AW628" s="91">
        <v>44620</v>
      </c>
      <c r="AX628" s="91">
        <v>44640</v>
      </c>
      <c r="AY628" s="107">
        <v>78600</v>
      </c>
      <c r="AZ628" s="107">
        <f>ROUNDDOWN(AY628+(AY628*MASTER!$A$2/100),0)</f>
        <v>86460</v>
      </c>
      <c r="BA628" s="60" t="s">
        <v>613</v>
      </c>
      <c r="BB628" s="64">
        <v>28000</v>
      </c>
      <c r="BC628" s="64">
        <v>30800</v>
      </c>
      <c r="BD628" s="60" t="s">
        <v>2044</v>
      </c>
      <c r="BG628" s="64">
        <v>0</v>
      </c>
      <c r="BK628" s="64">
        <v>0</v>
      </c>
      <c r="BS628" s="64">
        <v>0</v>
      </c>
      <c r="BV628" s="65">
        <v>86460</v>
      </c>
      <c r="BW628" s="65">
        <v>30800</v>
      </c>
      <c r="BX628" s="65">
        <v>44585</v>
      </c>
      <c r="BY628" s="65">
        <v>55660</v>
      </c>
      <c r="BZ628" s="81">
        <v>64.376590330788801</v>
      </c>
    </row>
    <row r="629" spans="1:78" x14ac:dyDescent="0.15">
      <c r="A629" s="60">
        <v>2</v>
      </c>
      <c r="B629" s="61">
        <v>44594</v>
      </c>
      <c r="C629" s="61">
        <v>44651</v>
      </c>
      <c r="D629" s="61">
        <v>44622</v>
      </c>
      <c r="F629" s="61" t="s">
        <v>309</v>
      </c>
      <c r="G629" s="61">
        <v>44616</v>
      </c>
      <c r="H629" s="61" t="s">
        <v>309</v>
      </c>
      <c r="J629" s="60">
        <v>2</v>
      </c>
      <c r="L629" s="60">
        <v>0</v>
      </c>
      <c r="M629" s="61">
        <v>44585</v>
      </c>
      <c r="O629" s="62" t="s">
        <v>331</v>
      </c>
      <c r="P629" s="60" t="s">
        <v>26</v>
      </c>
      <c r="Q629" s="62" t="s">
        <v>40</v>
      </c>
      <c r="R629" s="62" t="s">
        <v>2131</v>
      </c>
      <c r="S629" s="63" t="s">
        <v>655</v>
      </c>
      <c r="T629" s="63" t="s">
        <v>1524</v>
      </c>
      <c r="U629" s="64">
        <v>78600</v>
      </c>
      <c r="V629" s="64">
        <v>86460</v>
      </c>
      <c r="W629" s="64">
        <v>78600</v>
      </c>
      <c r="X629" s="64">
        <v>86460</v>
      </c>
      <c r="Y629" s="64">
        <v>0</v>
      </c>
      <c r="Z629" s="64">
        <v>0</v>
      </c>
      <c r="AA629" s="61">
        <v>44614</v>
      </c>
      <c r="AB629" s="61">
        <v>44614</v>
      </c>
      <c r="AD629" s="60">
        <v>0</v>
      </c>
      <c r="AG629" s="60">
        <v>0</v>
      </c>
      <c r="AJ629" s="60">
        <v>0</v>
      </c>
      <c r="AM629" s="60" t="s">
        <v>2004</v>
      </c>
      <c r="AN629" s="60" t="s">
        <v>508</v>
      </c>
      <c r="AQ629" s="60" t="s">
        <v>2009</v>
      </c>
      <c r="AR629" s="61">
        <v>44589</v>
      </c>
      <c r="AS629" s="60">
        <v>6001986770</v>
      </c>
      <c r="AT629" s="61">
        <v>44589</v>
      </c>
      <c r="AU629" s="60" t="s">
        <v>2026</v>
      </c>
      <c r="AV629" s="61">
        <v>44651</v>
      </c>
      <c r="AW629" s="91">
        <v>44620</v>
      </c>
      <c r="AX629" s="91">
        <v>44640</v>
      </c>
      <c r="AY629" s="107">
        <v>78600</v>
      </c>
      <c r="AZ629" s="107">
        <f>ROUNDDOWN(AY629+(AY629*MASTER!$A$2/100),0)</f>
        <v>86460</v>
      </c>
      <c r="BA629" s="60" t="s">
        <v>613</v>
      </c>
      <c r="BB629" s="64">
        <v>28000</v>
      </c>
      <c r="BC629" s="64">
        <v>30800</v>
      </c>
      <c r="BD629" s="60" t="s">
        <v>2044</v>
      </c>
      <c r="BG629" s="64">
        <v>0</v>
      </c>
      <c r="BK629" s="64">
        <v>0</v>
      </c>
      <c r="BS629" s="64">
        <v>0</v>
      </c>
      <c r="BV629" s="65">
        <v>86460</v>
      </c>
      <c r="BW629" s="65">
        <v>30800</v>
      </c>
      <c r="BX629" s="65">
        <v>44585</v>
      </c>
      <c r="BY629" s="65">
        <v>55660</v>
      </c>
      <c r="BZ629" s="81">
        <v>64.376590330788801</v>
      </c>
    </row>
    <row r="630" spans="1:78" x14ac:dyDescent="0.15">
      <c r="A630" s="60">
        <v>2</v>
      </c>
      <c r="B630" s="61">
        <v>44594</v>
      </c>
      <c r="C630" s="61">
        <v>44651</v>
      </c>
      <c r="D630" s="61">
        <v>44622</v>
      </c>
      <c r="F630" s="61" t="s">
        <v>309</v>
      </c>
      <c r="G630" s="61">
        <v>44607</v>
      </c>
      <c r="H630" s="61" t="s">
        <v>309</v>
      </c>
      <c r="J630" s="60">
        <v>2</v>
      </c>
      <c r="L630" s="60">
        <v>0</v>
      </c>
      <c r="M630" s="61">
        <v>44585</v>
      </c>
      <c r="O630" s="62" t="s">
        <v>331</v>
      </c>
      <c r="P630" s="60" t="s">
        <v>26</v>
      </c>
      <c r="Q630" s="62" t="s">
        <v>40</v>
      </c>
      <c r="R630" s="62" t="s">
        <v>2132</v>
      </c>
      <c r="S630" s="63" t="s">
        <v>719</v>
      </c>
      <c r="T630" s="63" t="s">
        <v>1524</v>
      </c>
      <c r="U630" s="64">
        <v>78600</v>
      </c>
      <c r="V630" s="64">
        <v>86460</v>
      </c>
      <c r="W630" s="64">
        <v>78600</v>
      </c>
      <c r="X630" s="64">
        <v>86460</v>
      </c>
      <c r="Y630" s="64">
        <v>0</v>
      </c>
      <c r="Z630" s="64">
        <v>0</v>
      </c>
      <c r="AA630" s="61">
        <v>44601</v>
      </c>
      <c r="AB630" s="61">
        <v>44601</v>
      </c>
      <c r="AD630" s="60">
        <v>0</v>
      </c>
      <c r="AG630" s="60">
        <v>0</v>
      </c>
      <c r="AJ630" s="60">
        <v>0</v>
      </c>
      <c r="AM630" s="60" t="s">
        <v>2004</v>
      </c>
      <c r="AN630" s="60" t="s">
        <v>508</v>
      </c>
      <c r="AQ630" s="60" t="s">
        <v>2009</v>
      </c>
      <c r="AR630" s="61">
        <v>44589</v>
      </c>
      <c r="AS630" s="60">
        <v>6001986770</v>
      </c>
      <c r="AT630" s="61">
        <v>44589</v>
      </c>
      <c r="AU630" s="60" t="s">
        <v>2026</v>
      </c>
      <c r="AV630" s="61">
        <v>44651</v>
      </c>
      <c r="AW630" s="91">
        <v>44620</v>
      </c>
      <c r="AX630" s="91">
        <v>44640</v>
      </c>
      <c r="AY630" s="107">
        <v>78600</v>
      </c>
      <c r="AZ630" s="107">
        <f>ROUNDDOWN(AY630+(AY630*MASTER!$A$2/100),0)</f>
        <v>86460</v>
      </c>
      <c r="BA630" s="60" t="s">
        <v>613</v>
      </c>
      <c r="BB630" s="64">
        <v>26000</v>
      </c>
      <c r="BC630" s="64">
        <v>28600</v>
      </c>
      <c r="BD630" s="60" t="s">
        <v>2044</v>
      </c>
      <c r="BG630" s="64">
        <v>0</v>
      </c>
      <c r="BK630" s="64">
        <v>0</v>
      </c>
      <c r="BS630" s="64">
        <v>0</v>
      </c>
      <c r="BV630" s="65">
        <v>86460</v>
      </c>
      <c r="BW630" s="65">
        <v>28600</v>
      </c>
      <c r="BX630" s="65">
        <v>44585</v>
      </c>
      <c r="BY630" s="65">
        <v>57860</v>
      </c>
      <c r="BZ630" s="81">
        <v>66.921119592875328</v>
      </c>
    </row>
    <row r="631" spans="1:78" x14ac:dyDescent="0.15">
      <c r="A631" s="60">
        <v>2</v>
      </c>
      <c r="B631" s="61">
        <v>44594</v>
      </c>
      <c r="C631" s="61">
        <v>44620</v>
      </c>
      <c r="D631" s="61">
        <v>44622</v>
      </c>
      <c r="F631" s="61" t="s">
        <v>309</v>
      </c>
      <c r="G631" s="61">
        <v>44606</v>
      </c>
      <c r="H631" s="61" t="s">
        <v>309</v>
      </c>
      <c r="J631" s="60">
        <v>2</v>
      </c>
      <c r="L631" s="60">
        <v>0</v>
      </c>
      <c r="M631" s="61">
        <v>44585</v>
      </c>
      <c r="O631" s="62" t="s">
        <v>331</v>
      </c>
      <c r="P631" s="60" t="s">
        <v>26</v>
      </c>
      <c r="Q631" s="62" t="s">
        <v>40</v>
      </c>
      <c r="R631" s="62" t="s">
        <v>2133</v>
      </c>
      <c r="S631" s="63" t="s">
        <v>1228</v>
      </c>
      <c r="T631" s="63" t="s">
        <v>1524</v>
      </c>
      <c r="U631" s="64">
        <v>78600</v>
      </c>
      <c r="V631" s="64">
        <v>86460</v>
      </c>
      <c r="W631" s="64">
        <v>78600</v>
      </c>
      <c r="X631" s="64">
        <v>86460</v>
      </c>
      <c r="Y631" s="64">
        <v>0</v>
      </c>
      <c r="Z631" s="64">
        <v>0</v>
      </c>
      <c r="AA631" s="61">
        <v>44601</v>
      </c>
      <c r="AB631" s="61">
        <v>44601</v>
      </c>
      <c r="AD631" s="60">
        <v>0</v>
      </c>
      <c r="AG631" s="60">
        <v>0</v>
      </c>
      <c r="AJ631" s="60">
        <v>0</v>
      </c>
      <c r="AM631" s="60" t="s">
        <v>2004</v>
      </c>
      <c r="AN631" s="60" t="s">
        <v>508</v>
      </c>
      <c r="AQ631" s="60" t="s">
        <v>2005</v>
      </c>
      <c r="AR631" s="61">
        <v>44589</v>
      </c>
      <c r="AS631" s="60">
        <v>6001986768</v>
      </c>
      <c r="AT631" s="61">
        <v>44589</v>
      </c>
      <c r="AU631" s="60" t="s">
        <v>2025</v>
      </c>
      <c r="AV631" s="61">
        <v>44620</v>
      </c>
      <c r="AW631" s="91">
        <v>44620</v>
      </c>
      <c r="AX631" s="91">
        <v>44640</v>
      </c>
      <c r="AY631" s="107">
        <v>78600</v>
      </c>
      <c r="AZ631" s="107">
        <f>ROUNDDOWN(AY631+(AY631*MASTER!$A$2/100),0)</f>
        <v>86460</v>
      </c>
      <c r="BA631" s="60" t="s">
        <v>613</v>
      </c>
      <c r="BB631" s="64">
        <v>26000</v>
      </c>
      <c r="BC631" s="64">
        <v>28600</v>
      </c>
      <c r="BD631" s="60" t="s">
        <v>2044</v>
      </c>
      <c r="BG631" s="64">
        <v>0</v>
      </c>
      <c r="BK631" s="64">
        <v>0</v>
      </c>
      <c r="BS631" s="64">
        <v>0</v>
      </c>
      <c r="BV631" s="65">
        <v>86460</v>
      </c>
      <c r="BW631" s="65">
        <v>28600</v>
      </c>
      <c r="BX631" s="65">
        <v>44585</v>
      </c>
      <c r="BY631" s="65">
        <v>57860</v>
      </c>
      <c r="BZ631" s="81">
        <v>66.921119592875328</v>
      </c>
    </row>
    <row r="632" spans="1:78" x14ac:dyDescent="0.15">
      <c r="A632" s="60">
        <v>2</v>
      </c>
      <c r="B632" s="61">
        <v>44594</v>
      </c>
      <c r="C632" s="61">
        <v>44620</v>
      </c>
      <c r="D632" s="61">
        <v>44622</v>
      </c>
      <c r="F632" s="61" t="s">
        <v>309</v>
      </c>
      <c r="G632" s="61">
        <v>44614</v>
      </c>
      <c r="H632" s="61" t="s">
        <v>309</v>
      </c>
      <c r="J632" s="60">
        <v>2</v>
      </c>
      <c r="L632" s="60">
        <v>0</v>
      </c>
      <c r="M632" s="61">
        <v>44585</v>
      </c>
      <c r="O632" s="62" t="s">
        <v>331</v>
      </c>
      <c r="P632" s="60" t="s">
        <v>26</v>
      </c>
      <c r="Q632" s="62" t="s">
        <v>40</v>
      </c>
      <c r="R632" s="62" t="s">
        <v>2003</v>
      </c>
      <c r="S632" s="63" t="s">
        <v>893</v>
      </c>
      <c r="T632" s="63" t="s">
        <v>1524</v>
      </c>
      <c r="U632" s="64">
        <v>78600</v>
      </c>
      <c r="V632" s="64">
        <v>86460</v>
      </c>
      <c r="W632" s="64">
        <v>78600</v>
      </c>
      <c r="X632" s="64">
        <v>86460</v>
      </c>
      <c r="Y632" s="64">
        <v>0</v>
      </c>
      <c r="Z632" s="64">
        <v>0</v>
      </c>
      <c r="AA632" s="61">
        <v>44613</v>
      </c>
      <c r="AB632" s="61">
        <v>44613</v>
      </c>
      <c r="AD632" s="60">
        <v>0</v>
      </c>
      <c r="AG632" s="60">
        <v>0</v>
      </c>
      <c r="AJ632" s="60">
        <v>0</v>
      </c>
      <c r="AM632" s="60" t="s">
        <v>2004</v>
      </c>
      <c r="AN632" s="60" t="s">
        <v>508</v>
      </c>
      <c r="AQ632" s="60" t="s">
        <v>2005</v>
      </c>
      <c r="AR632" s="61">
        <v>44589</v>
      </c>
      <c r="AS632" s="60">
        <v>6001986770</v>
      </c>
      <c r="AT632" s="61">
        <v>44589</v>
      </c>
      <c r="AU632" s="60" t="s">
        <v>2026</v>
      </c>
      <c r="AV632" s="61">
        <v>44620</v>
      </c>
      <c r="AW632" s="91">
        <v>44620</v>
      </c>
      <c r="AX632" s="91">
        <v>44640</v>
      </c>
      <c r="AY632" s="107">
        <v>78600</v>
      </c>
      <c r="AZ632" s="107">
        <f>ROUNDDOWN(AY632+(AY632*MASTER!$A$2/100),0)</f>
        <v>86460</v>
      </c>
      <c r="BA632" s="60" t="s">
        <v>613</v>
      </c>
      <c r="BB632" s="64">
        <v>32000</v>
      </c>
      <c r="BC632" s="64">
        <v>35200</v>
      </c>
      <c r="BD632" s="60" t="s">
        <v>2044</v>
      </c>
      <c r="BG632" s="64">
        <v>0</v>
      </c>
      <c r="BK632" s="64">
        <v>0</v>
      </c>
      <c r="BS632" s="64">
        <v>0</v>
      </c>
      <c r="BV632" s="65">
        <v>86460</v>
      </c>
      <c r="BW632" s="65">
        <v>35200</v>
      </c>
      <c r="BX632" s="65">
        <v>44585</v>
      </c>
      <c r="BY632" s="65">
        <v>51260</v>
      </c>
      <c r="BZ632" s="81">
        <v>59.287531806615782</v>
      </c>
    </row>
    <row r="633" spans="1:78" x14ac:dyDescent="0.15">
      <c r="A633" s="60">
        <v>2</v>
      </c>
      <c r="B633" s="61">
        <v>44592</v>
      </c>
      <c r="C633" s="61">
        <v>44620</v>
      </c>
      <c r="D633" s="61">
        <v>44633</v>
      </c>
      <c r="F633" s="61" t="s">
        <v>309</v>
      </c>
      <c r="G633" s="61">
        <v>44606</v>
      </c>
      <c r="H633" s="61" t="s">
        <v>309</v>
      </c>
      <c r="J633" s="60">
        <v>2</v>
      </c>
      <c r="L633" s="60">
        <v>0</v>
      </c>
      <c r="M633" s="61">
        <v>44585</v>
      </c>
      <c r="O633" s="62" t="s">
        <v>331</v>
      </c>
      <c r="P633" s="60" t="s">
        <v>26</v>
      </c>
      <c r="Q633" s="62" t="s">
        <v>40</v>
      </c>
      <c r="R633" s="62" t="s">
        <v>2124</v>
      </c>
      <c r="S633" s="63" t="s">
        <v>606</v>
      </c>
      <c r="T633" s="63" t="s">
        <v>1524</v>
      </c>
      <c r="U633" s="64">
        <v>78600</v>
      </c>
      <c r="V633" s="64">
        <v>86460</v>
      </c>
      <c r="W633" s="64">
        <v>78600</v>
      </c>
      <c r="X633" s="64">
        <v>86460</v>
      </c>
      <c r="Y633" s="64">
        <v>0</v>
      </c>
      <c r="Z633" s="64">
        <v>0</v>
      </c>
      <c r="AA633" s="61">
        <v>44602</v>
      </c>
      <c r="AB633" s="61">
        <v>44602</v>
      </c>
      <c r="AD633" s="60">
        <v>0</v>
      </c>
      <c r="AG633" s="60">
        <v>0</v>
      </c>
      <c r="AJ633" s="60">
        <v>0</v>
      </c>
      <c r="AM633" s="60" t="s">
        <v>2004</v>
      </c>
      <c r="AN633" s="60" t="s">
        <v>508</v>
      </c>
      <c r="AQ633" s="60" t="s">
        <v>2005</v>
      </c>
      <c r="AR633" s="61">
        <v>44589</v>
      </c>
      <c r="AS633" s="60">
        <v>6001986768</v>
      </c>
      <c r="AT633" s="61">
        <v>44589</v>
      </c>
      <c r="AU633" s="60" t="s">
        <v>2025</v>
      </c>
      <c r="AV633" s="61">
        <v>44620</v>
      </c>
      <c r="AW633" s="91">
        <v>44620</v>
      </c>
      <c r="AX633" s="91">
        <v>44640</v>
      </c>
      <c r="AY633" s="107">
        <v>78600</v>
      </c>
      <c r="AZ633" s="107">
        <f>ROUNDDOWN(AY633+(AY633*MASTER!$A$2/100),0)</f>
        <v>86460</v>
      </c>
      <c r="BA633" s="60" t="s">
        <v>314</v>
      </c>
      <c r="BB633" s="64">
        <v>40000</v>
      </c>
      <c r="BC633" s="64">
        <v>44000</v>
      </c>
      <c r="BD633" s="60" t="s">
        <v>2044</v>
      </c>
      <c r="BG633" s="64">
        <v>0</v>
      </c>
      <c r="BK633" s="64">
        <v>0</v>
      </c>
      <c r="BS633" s="64">
        <v>0</v>
      </c>
      <c r="BV633" s="65">
        <v>86460</v>
      </c>
      <c r="BW633" s="65">
        <v>44000</v>
      </c>
      <c r="BX633" s="65">
        <v>44585</v>
      </c>
      <c r="BY633" s="65">
        <v>42460</v>
      </c>
      <c r="BZ633" s="81">
        <v>49.109414758269722</v>
      </c>
    </row>
    <row r="634" spans="1:78" x14ac:dyDescent="0.15">
      <c r="A634" s="60">
        <v>2</v>
      </c>
      <c r="B634" s="61">
        <v>44594</v>
      </c>
      <c r="C634" s="61">
        <v>44620</v>
      </c>
      <c r="D634" s="61">
        <v>44622</v>
      </c>
      <c r="F634" s="61" t="s">
        <v>309</v>
      </c>
      <c r="G634" s="61">
        <v>44596</v>
      </c>
      <c r="H634" s="61" t="s">
        <v>309</v>
      </c>
      <c r="J634" s="60">
        <v>2</v>
      </c>
      <c r="L634" s="60">
        <v>0</v>
      </c>
      <c r="M634" s="61">
        <v>44585</v>
      </c>
      <c r="O634" s="62" t="s">
        <v>331</v>
      </c>
      <c r="P634" s="60" t="s">
        <v>26</v>
      </c>
      <c r="Q634" s="62" t="s">
        <v>40</v>
      </c>
      <c r="R634" s="62" t="s">
        <v>2134</v>
      </c>
      <c r="S634" s="63" t="s">
        <v>1915</v>
      </c>
      <c r="T634" s="63" t="s">
        <v>1524</v>
      </c>
      <c r="U634" s="64">
        <v>78600</v>
      </c>
      <c r="V634" s="64">
        <v>86460</v>
      </c>
      <c r="W634" s="64">
        <v>78600</v>
      </c>
      <c r="X634" s="64">
        <v>86460</v>
      </c>
      <c r="Y634" s="64">
        <v>0</v>
      </c>
      <c r="Z634" s="64">
        <v>0</v>
      </c>
      <c r="AA634" s="61">
        <v>44597</v>
      </c>
      <c r="AB634" s="61">
        <v>44597</v>
      </c>
      <c r="AD634" s="60">
        <v>0</v>
      </c>
      <c r="AG634" s="60">
        <v>0</v>
      </c>
      <c r="AJ634" s="60">
        <v>0</v>
      </c>
      <c r="AM634" s="60" t="s">
        <v>2004</v>
      </c>
      <c r="AN634" s="60" t="s">
        <v>508</v>
      </c>
      <c r="AQ634" s="60" t="s">
        <v>2005</v>
      </c>
      <c r="AR634" s="61">
        <v>44589</v>
      </c>
      <c r="AS634" s="60">
        <v>6001986768</v>
      </c>
      <c r="AT634" s="61">
        <v>44589</v>
      </c>
      <c r="AU634" s="60" t="s">
        <v>2025</v>
      </c>
      <c r="AV634" s="61">
        <v>44620</v>
      </c>
      <c r="AW634" s="91">
        <v>44620</v>
      </c>
      <c r="AX634" s="91">
        <v>44640</v>
      </c>
      <c r="AY634" s="107">
        <v>78600</v>
      </c>
      <c r="AZ634" s="107">
        <f>ROUNDDOWN(AY634+(AY634*MASTER!$A$2/100),0)</f>
        <v>86460</v>
      </c>
      <c r="BA634" s="60" t="s">
        <v>613</v>
      </c>
      <c r="BB634" s="64">
        <v>25000</v>
      </c>
      <c r="BC634" s="64">
        <v>27500</v>
      </c>
      <c r="BD634" s="60" t="s">
        <v>2044</v>
      </c>
      <c r="BG634" s="64">
        <v>0</v>
      </c>
      <c r="BK634" s="64">
        <v>0</v>
      </c>
      <c r="BS634" s="64">
        <v>0</v>
      </c>
      <c r="BV634" s="65">
        <v>86460</v>
      </c>
      <c r="BW634" s="65">
        <v>27500</v>
      </c>
      <c r="BX634" s="65">
        <v>44585</v>
      </c>
      <c r="BY634" s="65">
        <v>58960</v>
      </c>
      <c r="BZ634" s="81">
        <v>68.193384223918571</v>
      </c>
    </row>
    <row r="635" spans="1:78" x14ac:dyDescent="0.15">
      <c r="A635" s="60">
        <v>2</v>
      </c>
      <c r="B635" s="61">
        <v>44594</v>
      </c>
      <c r="C635" s="61">
        <v>44620</v>
      </c>
      <c r="D635" s="61">
        <v>44622</v>
      </c>
      <c r="F635" s="61" t="s">
        <v>309</v>
      </c>
      <c r="G635" s="61">
        <v>44598</v>
      </c>
      <c r="H635" s="61" t="s">
        <v>309</v>
      </c>
      <c r="J635" s="60">
        <v>2</v>
      </c>
      <c r="L635" s="60">
        <v>0</v>
      </c>
      <c r="M635" s="61">
        <v>44585</v>
      </c>
      <c r="O635" s="62" t="s">
        <v>331</v>
      </c>
      <c r="P635" s="60" t="s">
        <v>26</v>
      </c>
      <c r="Q635" s="62" t="s">
        <v>40</v>
      </c>
      <c r="R635" s="62" t="s">
        <v>2135</v>
      </c>
      <c r="S635" s="63" t="s">
        <v>1079</v>
      </c>
      <c r="T635" s="63" t="s">
        <v>1524</v>
      </c>
      <c r="U635" s="64">
        <v>78600</v>
      </c>
      <c r="V635" s="64">
        <v>86460</v>
      </c>
      <c r="W635" s="64">
        <v>78600</v>
      </c>
      <c r="X635" s="64">
        <v>86460</v>
      </c>
      <c r="Y635" s="64">
        <v>0</v>
      </c>
      <c r="Z635" s="64">
        <v>0</v>
      </c>
      <c r="AA635" s="61">
        <v>44597</v>
      </c>
      <c r="AB635" s="61">
        <v>44597</v>
      </c>
      <c r="AD635" s="60">
        <v>0</v>
      </c>
      <c r="AG635" s="60">
        <v>0</v>
      </c>
      <c r="AJ635" s="60">
        <v>0</v>
      </c>
      <c r="AM635" s="60" t="s">
        <v>2004</v>
      </c>
      <c r="AN635" s="60" t="s">
        <v>508</v>
      </c>
      <c r="AQ635" s="60" t="s">
        <v>2005</v>
      </c>
      <c r="AR635" s="61">
        <v>44589</v>
      </c>
      <c r="AS635" s="60">
        <v>6001986770</v>
      </c>
      <c r="AT635" s="61">
        <v>44589</v>
      </c>
      <c r="AU635" s="60" t="s">
        <v>2026</v>
      </c>
      <c r="AV635" s="61">
        <v>44620</v>
      </c>
      <c r="AW635" s="91">
        <v>44620</v>
      </c>
      <c r="AX635" s="91">
        <v>44640</v>
      </c>
      <c r="AY635" s="107">
        <v>78600</v>
      </c>
      <c r="AZ635" s="107">
        <f>ROUNDDOWN(AY635+(AY635*MASTER!$A$2/100),0)</f>
        <v>86460</v>
      </c>
      <c r="BA635" s="60" t="s">
        <v>613</v>
      </c>
      <c r="BB635" s="64">
        <v>25000</v>
      </c>
      <c r="BC635" s="64">
        <v>27500</v>
      </c>
      <c r="BD635" s="60" t="s">
        <v>2044</v>
      </c>
      <c r="BG635" s="64">
        <v>0</v>
      </c>
      <c r="BK635" s="64">
        <v>0</v>
      </c>
      <c r="BS635" s="64">
        <v>0</v>
      </c>
      <c r="BV635" s="65">
        <v>86460</v>
      </c>
      <c r="BW635" s="65">
        <v>27500</v>
      </c>
      <c r="BX635" s="65">
        <v>44585</v>
      </c>
      <c r="BY635" s="65">
        <v>58960</v>
      </c>
      <c r="BZ635" s="81">
        <v>68.193384223918571</v>
      </c>
    </row>
    <row r="636" spans="1:78" x14ac:dyDescent="0.15">
      <c r="A636" s="60">
        <v>2</v>
      </c>
      <c r="B636" s="61">
        <v>44594</v>
      </c>
      <c r="C636" s="61">
        <v>44620</v>
      </c>
      <c r="D636" s="61">
        <v>44622</v>
      </c>
      <c r="F636" s="61" t="s">
        <v>309</v>
      </c>
      <c r="G636" s="61">
        <v>44616</v>
      </c>
      <c r="H636" s="61" t="s">
        <v>309</v>
      </c>
      <c r="J636" s="60">
        <v>2</v>
      </c>
      <c r="L636" s="60">
        <v>0</v>
      </c>
      <c r="M636" s="61">
        <v>44585</v>
      </c>
      <c r="O636" s="62" t="s">
        <v>331</v>
      </c>
      <c r="P636" s="60" t="s">
        <v>26</v>
      </c>
      <c r="Q636" s="62" t="s">
        <v>40</v>
      </c>
      <c r="R636" s="62" t="s">
        <v>2136</v>
      </c>
      <c r="S636" s="63" t="s">
        <v>1916</v>
      </c>
      <c r="T636" s="63" t="s">
        <v>1524</v>
      </c>
      <c r="U636" s="64">
        <v>78600</v>
      </c>
      <c r="V636" s="64">
        <v>86460</v>
      </c>
      <c r="W636" s="64">
        <v>78600</v>
      </c>
      <c r="X636" s="64">
        <v>86460</v>
      </c>
      <c r="Y636" s="64">
        <v>0</v>
      </c>
      <c r="Z636" s="64">
        <v>0</v>
      </c>
      <c r="AA636" s="61">
        <v>44614</v>
      </c>
      <c r="AB636" s="61">
        <v>44614</v>
      </c>
      <c r="AD636" s="60">
        <v>0</v>
      </c>
      <c r="AG636" s="60">
        <v>0</v>
      </c>
      <c r="AJ636" s="60">
        <v>0</v>
      </c>
      <c r="AM636" s="60" t="s">
        <v>2004</v>
      </c>
      <c r="AN636" s="60" t="s">
        <v>508</v>
      </c>
      <c r="AQ636" s="60" t="s">
        <v>2005</v>
      </c>
      <c r="AR636" s="61">
        <v>44589</v>
      </c>
      <c r="AS636" s="60">
        <v>6001986770</v>
      </c>
      <c r="AT636" s="61">
        <v>44589</v>
      </c>
      <c r="AU636" s="60" t="s">
        <v>2026</v>
      </c>
      <c r="AV636" s="61">
        <v>44620</v>
      </c>
      <c r="AW636" s="91">
        <v>44620</v>
      </c>
      <c r="AX636" s="91">
        <v>44640</v>
      </c>
      <c r="AY636" s="107">
        <v>78600</v>
      </c>
      <c r="AZ636" s="107">
        <f>ROUNDDOWN(AY636+(AY636*MASTER!$A$2/100),0)</f>
        <v>86460</v>
      </c>
      <c r="BA636" s="60" t="s">
        <v>613</v>
      </c>
      <c r="BB636" s="64">
        <v>33000</v>
      </c>
      <c r="BC636" s="64">
        <v>36300</v>
      </c>
      <c r="BD636" s="60" t="s">
        <v>2044</v>
      </c>
      <c r="BG636" s="64">
        <v>0</v>
      </c>
      <c r="BK636" s="64">
        <v>0</v>
      </c>
      <c r="BS636" s="64">
        <v>0</v>
      </c>
      <c r="BV636" s="65">
        <v>86460</v>
      </c>
      <c r="BW636" s="65">
        <v>36300</v>
      </c>
      <c r="BX636" s="65">
        <v>44585</v>
      </c>
      <c r="BY636" s="65">
        <v>50160</v>
      </c>
      <c r="BZ636" s="81">
        <v>58.015267175572518</v>
      </c>
    </row>
    <row r="637" spans="1:78" x14ac:dyDescent="0.15">
      <c r="A637" s="60">
        <v>2</v>
      </c>
      <c r="B637" s="61">
        <v>44608</v>
      </c>
      <c r="C637" s="61">
        <v>44620</v>
      </c>
      <c r="D637" s="61">
        <v>44624</v>
      </c>
      <c r="F637" s="61" t="s">
        <v>309</v>
      </c>
      <c r="G637" s="61">
        <v>44621</v>
      </c>
      <c r="H637" s="61" t="s">
        <v>309</v>
      </c>
      <c r="J637" s="60">
        <v>2</v>
      </c>
      <c r="L637" s="60">
        <v>0</v>
      </c>
      <c r="M637" s="61">
        <v>44585</v>
      </c>
      <c r="O637" s="62" t="s">
        <v>331</v>
      </c>
      <c r="P637" s="60" t="s">
        <v>26</v>
      </c>
      <c r="Q637" s="62" t="s">
        <v>40</v>
      </c>
      <c r="R637" s="62" t="s">
        <v>2334</v>
      </c>
      <c r="S637" s="63" t="s">
        <v>1917</v>
      </c>
      <c r="T637" s="63" t="s">
        <v>1524</v>
      </c>
      <c r="U637" s="64">
        <v>78600</v>
      </c>
      <c r="V637" s="64">
        <v>86460</v>
      </c>
      <c r="W637" s="64">
        <v>78600</v>
      </c>
      <c r="X637" s="64">
        <v>86460</v>
      </c>
      <c r="Y637" s="64">
        <v>0</v>
      </c>
      <c r="Z637" s="64">
        <v>0</v>
      </c>
      <c r="AA637" s="61">
        <v>44616</v>
      </c>
      <c r="AB637" s="61">
        <v>44616</v>
      </c>
      <c r="AD637" s="60">
        <v>0</v>
      </c>
      <c r="AG637" s="60">
        <v>0</v>
      </c>
      <c r="AJ637" s="60">
        <v>0</v>
      </c>
      <c r="AM637" s="60" t="s">
        <v>2004</v>
      </c>
      <c r="AN637" s="60" t="s">
        <v>508</v>
      </c>
      <c r="AQ637" s="60" t="s">
        <v>2005</v>
      </c>
      <c r="AR637" s="61">
        <v>44589</v>
      </c>
      <c r="AS637" s="60">
        <v>6001986768</v>
      </c>
      <c r="AT637" s="61">
        <v>44589</v>
      </c>
      <c r="AU637" s="60" t="s">
        <v>2025</v>
      </c>
      <c r="AV637" s="61">
        <v>44620</v>
      </c>
      <c r="AW637" s="91">
        <v>44620</v>
      </c>
      <c r="AX637" s="91">
        <v>44640</v>
      </c>
      <c r="AY637" s="107">
        <v>78600</v>
      </c>
      <c r="AZ637" s="107">
        <f>ROUNDDOWN(AY637+(AY637*MASTER!$A$2/100),0)</f>
        <v>86460</v>
      </c>
      <c r="BA637" s="60" t="s">
        <v>317</v>
      </c>
      <c r="BB637" s="64">
        <v>29000</v>
      </c>
      <c r="BC637" s="64">
        <v>31900</v>
      </c>
      <c r="BD637" s="60" t="s">
        <v>2044</v>
      </c>
      <c r="BG637" s="64">
        <v>0</v>
      </c>
      <c r="BK637" s="64">
        <v>0</v>
      </c>
      <c r="BS637" s="64">
        <v>0</v>
      </c>
      <c r="BV637" s="65">
        <v>86460</v>
      </c>
      <c r="BW637" s="65">
        <v>31900</v>
      </c>
      <c r="BX637" s="65">
        <v>44585</v>
      </c>
      <c r="BY637" s="65">
        <v>54560</v>
      </c>
      <c r="BZ637" s="81">
        <v>63.104325699745544</v>
      </c>
    </row>
    <row r="638" spans="1:78" x14ac:dyDescent="0.15">
      <c r="A638" s="60">
        <v>2</v>
      </c>
      <c r="B638" s="61">
        <v>44594</v>
      </c>
      <c r="C638" s="61">
        <v>44620</v>
      </c>
      <c r="D638" s="61">
        <v>44624</v>
      </c>
      <c r="F638" s="61" t="s">
        <v>309</v>
      </c>
      <c r="G638" s="61">
        <v>44600</v>
      </c>
      <c r="H638" s="61" t="s">
        <v>309</v>
      </c>
      <c r="J638" s="60">
        <v>2</v>
      </c>
      <c r="L638" s="60">
        <v>0</v>
      </c>
      <c r="M638" s="61">
        <v>44585</v>
      </c>
      <c r="O638" s="62" t="s">
        <v>331</v>
      </c>
      <c r="P638" s="60" t="s">
        <v>26</v>
      </c>
      <c r="Q638" s="62" t="s">
        <v>40</v>
      </c>
      <c r="R638" s="62" t="s">
        <v>2137</v>
      </c>
      <c r="S638" s="63" t="s">
        <v>978</v>
      </c>
      <c r="T638" s="63" t="s">
        <v>1524</v>
      </c>
      <c r="U638" s="64">
        <v>78600</v>
      </c>
      <c r="V638" s="64">
        <v>86460</v>
      </c>
      <c r="W638" s="64">
        <v>78600</v>
      </c>
      <c r="X638" s="64">
        <v>86460</v>
      </c>
      <c r="Y638" s="64">
        <v>0</v>
      </c>
      <c r="Z638" s="64">
        <v>0</v>
      </c>
      <c r="AA638" s="61">
        <v>44599</v>
      </c>
      <c r="AB638" s="61">
        <v>44599</v>
      </c>
      <c r="AD638" s="60">
        <v>0</v>
      </c>
      <c r="AG638" s="60">
        <v>0</v>
      </c>
      <c r="AJ638" s="60">
        <v>0</v>
      </c>
      <c r="AM638" s="60" t="s">
        <v>2004</v>
      </c>
      <c r="AN638" s="60" t="s">
        <v>508</v>
      </c>
      <c r="AQ638" s="60" t="s">
        <v>2005</v>
      </c>
      <c r="AR638" s="61">
        <v>44589</v>
      </c>
      <c r="AS638" s="60">
        <v>6001986768</v>
      </c>
      <c r="AT638" s="61">
        <v>44589</v>
      </c>
      <c r="AU638" s="60" t="s">
        <v>2025</v>
      </c>
      <c r="AV638" s="61">
        <v>44620</v>
      </c>
      <c r="AW638" s="91">
        <v>44620</v>
      </c>
      <c r="AX638" s="91">
        <v>44640</v>
      </c>
      <c r="AY638" s="107">
        <v>78600</v>
      </c>
      <c r="AZ638" s="107">
        <f>ROUNDDOWN(AY638+(AY638*MASTER!$A$2/100),0)</f>
        <v>86460</v>
      </c>
      <c r="BA638" s="60" t="s">
        <v>317</v>
      </c>
      <c r="BB638" s="64">
        <v>29000</v>
      </c>
      <c r="BC638" s="64">
        <v>31900</v>
      </c>
      <c r="BD638" s="60" t="s">
        <v>2044</v>
      </c>
      <c r="BG638" s="64">
        <v>0</v>
      </c>
      <c r="BK638" s="64">
        <v>0</v>
      </c>
      <c r="BS638" s="64">
        <v>0</v>
      </c>
      <c r="BV638" s="65">
        <v>86460</v>
      </c>
      <c r="BW638" s="65">
        <v>31900</v>
      </c>
      <c r="BX638" s="65">
        <v>44585</v>
      </c>
      <c r="BY638" s="65">
        <v>54560</v>
      </c>
      <c r="BZ638" s="81">
        <v>63.104325699745544</v>
      </c>
    </row>
    <row r="639" spans="1:78" x14ac:dyDescent="0.15">
      <c r="A639" s="60">
        <v>2</v>
      </c>
      <c r="B639" s="61">
        <v>44608</v>
      </c>
      <c r="C639" s="61">
        <v>44620</v>
      </c>
      <c r="D639" s="61">
        <v>44624</v>
      </c>
      <c r="F639" s="61" t="s">
        <v>309</v>
      </c>
      <c r="G639" s="61">
        <v>44621</v>
      </c>
      <c r="H639" s="61" t="s">
        <v>309</v>
      </c>
      <c r="J639" s="60">
        <v>2</v>
      </c>
      <c r="L639" s="60">
        <v>0</v>
      </c>
      <c r="M639" s="61">
        <v>44585</v>
      </c>
      <c r="O639" s="62" t="s">
        <v>331</v>
      </c>
      <c r="P639" s="60" t="s">
        <v>26</v>
      </c>
      <c r="Q639" s="62" t="s">
        <v>40</v>
      </c>
      <c r="R639" s="62" t="s">
        <v>2335</v>
      </c>
      <c r="S639" s="63" t="s">
        <v>834</v>
      </c>
      <c r="T639" s="63" t="s">
        <v>1524</v>
      </c>
      <c r="U639" s="64">
        <v>78600</v>
      </c>
      <c r="V639" s="64">
        <v>86460</v>
      </c>
      <c r="W639" s="64">
        <v>78600</v>
      </c>
      <c r="X639" s="64">
        <v>86460</v>
      </c>
      <c r="Y639" s="64">
        <v>0</v>
      </c>
      <c r="Z639" s="64">
        <v>0</v>
      </c>
      <c r="AA639" s="61">
        <v>44614</v>
      </c>
      <c r="AB639" s="61">
        <v>44614</v>
      </c>
      <c r="AD639" s="60">
        <v>0</v>
      </c>
      <c r="AG639" s="60">
        <v>0</v>
      </c>
      <c r="AJ639" s="60">
        <v>0</v>
      </c>
      <c r="AM639" s="60" t="s">
        <v>2004</v>
      </c>
      <c r="AN639" s="60" t="s">
        <v>508</v>
      </c>
      <c r="AQ639" s="60" t="s">
        <v>2005</v>
      </c>
      <c r="AR639" s="61">
        <v>44589</v>
      </c>
      <c r="AS639" s="60">
        <v>6001986768</v>
      </c>
      <c r="AT639" s="61">
        <v>44589</v>
      </c>
      <c r="AU639" s="60" t="s">
        <v>2025</v>
      </c>
      <c r="AV639" s="61">
        <v>44620</v>
      </c>
      <c r="AW639" s="91">
        <v>44620</v>
      </c>
      <c r="AX639" s="91">
        <v>44640</v>
      </c>
      <c r="AY639" s="107">
        <v>78600</v>
      </c>
      <c r="AZ639" s="107">
        <f>ROUNDDOWN(AY639+(AY639*MASTER!$A$2/100),0)</f>
        <v>86460</v>
      </c>
      <c r="BA639" s="60" t="s">
        <v>317</v>
      </c>
      <c r="BB639" s="64">
        <v>51000</v>
      </c>
      <c r="BC639" s="64">
        <v>56100</v>
      </c>
      <c r="BD639" s="60" t="s">
        <v>2044</v>
      </c>
      <c r="BG639" s="64">
        <v>0</v>
      </c>
      <c r="BK639" s="64">
        <v>0</v>
      </c>
      <c r="BS639" s="64">
        <v>0</v>
      </c>
      <c r="BV639" s="65">
        <v>86460</v>
      </c>
      <c r="BW639" s="65">
        <v>56100</v>
      </c>
      <c r="BX639" s="65">
        <v>44585</v>
      </c>
      <c r="BY639" s="65">
        <v>30360</v>
      </c>
      <c r="BZ639" s="81">
        <v>35.114503816793892</v>
      </c>
    </row>
    <row r="640" spans="1:78" x14ac:dyDescent="0.15">
      <c r="A640" s="60">
        <v>1</v>
      </c>
      <c r="B640" s="61">
        <v>44613</v>
      </c>
      <c r="C640" s="61">
        <v>44620</v>
      </c>
      <c r="D640" s="61">
        <v>44621</v>
      </c>
      <c r="F640" s="61" t="s">
        <v>309</v>
      </c>
      <c r="G640" s="61">
        <v>44621</v>
      </c>
      <c r="H640" s="61" t="s">
        <v>309</v>
      </c>
      <c r="J640" s="60">
        <v>2</v>
      </c>
      <c r="L640" s="60">
        <v>0</v>
      </c>
      <c r="M640" s="61">
        <v>44585</v>
      </c>
      <c r="O640" s="62" t="s">
        <v>331</v>
      </c>
      <c r="P640" s="60" t="s">
        <v>26</v>
      </c>
      <c r="Q640" s="62" t="s">
        <v>40</v>
      </c>
      <c r="R640" s="62" t="s">
        <v>2445</v>
      </c>
      <c r="S640" s="63" t="s">
        <v>947</v>
      </c>
      <c r="T640" s="63" t="s">
        <v>1524</v>
      </c>
      <c r="U640" s="64">
        <v>78600</v>
      </c>
      <c r="V640" s="64">
        <v>86460</v>
      </c>
      <c r="W640" s="64">
        <v>78600</v>
      </c>
      <c r="X640" s="64">
        <v>86460</v>
      </c>
      <c r="Y640" s="64">
        <v>0</v>
      </c>
      <c r="Z640" s="64">
        <v>0</v>
      </c>
      <c r="AA640" s="61">
        <v>44616</v>
      </c>
      <c r="AB640" s="61">
        <v>44616</v>
      </c>
      <c r="AD640" s="60">
        <v>0</v>
      </c>
      <c r="AG640" s="60">
        <v>0</v>
      </c>
      <c r="AJ640" s="60">
        <v>0</v>
      </c>
      <c r="AM640" s="60" t="s">
        <v>2004</v>
      </c>
      <c r="AN640" s="60" t="s">
        <v>508</v>
      </c>
      <c r="AQ640" s="60" t="s">
        <v>2005</v>
      </c>
      <c r="AR640" s="61">
        <v>44589</v>
      </c>
      <c r="AS640" s="60">
        <v>6001986768</v>
      </c>
      <c r="AT640" s="61">
        <v>44589</v>
      </c>
      <c r="AU640" s="60" t="s">
        <v>2025</v>
      </c>
      <c r="AV640" s="61">
        <v>44620</v>
      </c>
      <c r="AW640" s="91">
        <v>44620</v>
      </c>
      <c r="AX640" s="91">
        <v>44640</v>
      </c>
      <c r="AY640" s="107">
        <v>78600</v>
      </c>
      <c r="AZ640" s="107">
        <f>ROUNDDOWN(AY640+(AY640*MASTER!$A$2/100),0)</f>
        <v>86460</v>
      </c>
      <c r="BA640" s="60" t="s">
        <v>765</v>
      </c>
      <c r="BC640" s="64">
        <v>0</v>
      </c>
      <c r="BG640" s="64">
        <v>0</v>
      </c>
      <c r="BK640" s="64">
        <v>0</v>
      </c>
      <c r="BS640" s="64">
        <v>0</v>
      </c>
      <c r="BV640" s="65">
        <v>86460</v>
      </c>
      <c r="BW640" s="65">
        <v>0</v>
      </c>
      <c r="BX640" s="65">
        <v>44585</v>
      </c>
      <c r="BY640" s="65">
        <v>86460</v>
      </c>
      <c r="BZ640" s="81">
        <v>100</v>
      </c>
    </row>
    <row r="641" spans="1:82" x14ac:dyDescent="0.15">
      <c r="A641" s="60">
        <v>2</v>
      </c>
      <c r="B641" s="61">
        <v>44608</v>
      </c>
      <c r="C641" s="61">
        <v>44620</v>
      </c>
      <c r="D641" s="61">
        <v>44624</v>
      </c>
      <c r="F641" s="61" t="s">
        <v>309</v>
      </c>
      <c r="G641" s="61">
        <v>44621</v>
      </c>
      <c r="H641" s="61" t="s">
        <v>309</v>
      </c>
      <c r="J641" s="60">
        <v>2</v>
      </c>
      <c r="L641" s="60">
        <v>0</v>
      </c>
      <c r="M641" s="61">
        <v>44585</v>
      </c>
      <c r="O641" s="62" t="s">
        <v>331</v>
      </c>
      <c r="P641" s="60" t="s">
        <v>26</v>
      </c>
      <c r="Q641" s="62" t="s">
        <v>40</v>
      </c>
      <c r="R641" s="62" t="s">
        <v>2336</v>
      </c>
      <c r="S641" s="63" t="s">
        <v>1918</v>
      </c>
      <c r="T641" s="63" t="s">
        <v>1524</v>
      </c>
      <c r="U641" s="64">
        <v>78600</v>
      </c>
      <c r="V641" s="64">
        <v>86460</v>
      </c>
      <c r="W641" s="64">
        <v>78600</v>
      </c>
      <c r="X641" s="64">
        <v>86460</v>
      </c>
      <c r="Y641" s="64">
        <v>0</v>
      </c>
      <c r="Z641" s="64">
        <v>0</v>
      </c>
      <c r="AA641" s="61">
        <v>44613</v>
      </c>
      <c r="AB641" s="61">
        <v>44613</v>
      </c>
      <c r="AD641" s="60">
        <v>0</v>
      </c>
      <c r="AG641" s="60">
        <v>0</v>
      </c>
      <c r="AJ641" s="60">
        <v>0</v>
      </c>
      <c r="AM641" s="60" t="s">
        <v>2004</v>
      </c>
      <c r="AN641" s="60" t="s">
        <v>508</v>
      </c>
      <c r="AQ641" s="60" t="s">
        <v>2005</v>
      </c>
      <c r="AR641" s="61">
        <v>44589</v>
      </c>
      <c r="AS641" s="60">
        <v>6001986768</v>
      </c>
      <c r="AT641" s="61">
        <v>44589</v>
      </c>
      <c r="AU641" s="60" t="s">
        <v>2025</v>
      </c>
      <c r="AV641" s="61">
        <v>44620</v>
      </c>
      <c r="AW641" s="91">
        <v>44620</v>
      </c>
      <c r="AX641" s="91">
        <v>44640</v>
      </c>
      <c r="AY641" s="107">
        <v>78600</v>
      </c>
      <c r="AZ641" s="107">
        <f>ROUNDDOWN(AY641+(AY641*MASTER!$A$2/100),0)</f>
        <v>86460</v>
      </c>
      <c r="BA641" s="60" t="s">
        <v>317</v>
      </c>
      <c r="BB641" s="64">
        <v>35000</v>
      </c>
      <c r="BC641" s="64">
        <v>38500</v>
      </c>
      <c r="BD641" s="60" t="s">
        <v>2044</v>
      </c>
      <c r="BG641" s="64">
        <v>0</v>
      </c>
      <c r="BK641" s="64">
        <v>0</v>
      </c>
      <c r="BS641" s="64">
        <v>0</v>
      </c>
      <c r="BV641" s="65">
        <v>86460</v>
      </c>
      <c r="BW641" s="65">
        <v>38500</v>
      </c>
      <c r="BX641" s="65">
        <v>44585</v>
      </c>
      <c r="BY641" s="65">
        <v>47960</v>
      </c>
      <c r="BZ641" s="81">
        <v>55.470737913486005</v>
      </c>
    </row>
    <row r="642" spans="1:82" x14ac:dyDescent="0.15">
      <c r="A642" s="60">
        <v>2</v>
      </c>
      <c r="B642" s="61">
        <v>44608</v>
      </c>
      <c r="C642" s="61">
        <v>44620</v>
      </c>
      <c r="D642" s="61">
        <v>44624</v>
      </c>
      <c r="F642" s="61" t="s">
        <v>309</v>
      </c>
      <c r="G642" s="61">
        <v>44621</v>
      </c>
      <c r="H642" s="61" t="s">
        <v>309</v>
      </c>
      <c r="J642" s="60">
        <v>2</v>
      </c>
      <c r="L642" s="60">
        <v>0</v>
      </c>
      <c r="M642" s="61">
        <v>44585</v>
      </c>
      <c r="O642" s="62" t="s">
        <v>331</v>
      </c>
      <c r="P642" s="60" t="s">
        <v>26</v>
      </c>
      <c r="Q642" s="62" t="s">
        <v>40</v>
      </c>
      <c r="R642" s="62" t="s">
        <v>2337</v>
      </c>
      <c r="S642" s="63" t="s">
        <v>1919</v>
      </c>
      <c r="T642" s="63" t="s">
        <v>1524</v>
      </c>
      <c r="U642" s="64">
        <v>78600</v>
      </c>
      <c r="V642" s="64">
        <v>86460</v>
      </c>
      <c r="W642" s="64">
        <v>78600</v>
      </c>
      <c r="X642" s="64">
        <v>86460</v>
      </c>
      <c r="Y642" s="64">
        <v>0</v>
      </c>
      <c r="Z642" s="64">
        <v>0</v>
      </c>
      <c r="AA642" s="61">
        <v>44614</v>
      </c>
      <c r="AB642" s="61">
        <v>44614</v>
      </c>
      <c r="AD642" s="60">
        <v>0</v>
      </c>
      <c r="AG642" s="60">
        <v>0</v>
      </c>
      <c r="AJ642" s="60">
        <v>0</v>
      </c>
      <c r="AM642" s="60" t="s">
        <v>2004</v>
      </c>
      <c r="AN642" s="60" t="s">
        <v>508</v>
      </c>
      <c r="AQ642" s="60" t="s">
        <v>2005</v>
      </c>
      <c r="AR642" s="61">
        <v>44589</v>
      </c>
      <c r="AS642" s="60">
        <v>6001986768</v>
      </c>
      <c r="AT642" s="61">
        <v>44589</v>
      </c>
      <c r="AU642" s="60" t="s">
        <v>2025</v>
      </c>
      <c r="AV642" s="61">
        <v>44620</v>
      </c>
      <c r="AW642" s="91">
        <v>44620</v>
      </c>
      <c r="AX642" s="91">
        <v>44640</v>
      </c>
      <c r="AY642" s="107">
        <v>78600</v>
      </c>
      <c r="AZ642" s="107">
        <f>ROUNDDOWN(AY642+(AY642*MASTER!$A$2/100),0)</f>
        <v>86460</v>
      </c>
      <c r="BA642" s="60" t="s">
        <v>317</v>
      </c>
      <c r="BB642" s="64">
        <v>38000</v>
      </c>
      <c r="BC642" s="64">
        <v>41800</v>
      </c>
      <c r="BD642" s="60" t="s">
        <v>2044</v>
      </c>
      <c r="BG642" s="64">
        <v>0</v>
      </c>
      <c r="BK642" s="64">
        <v>0</v>
      </c>
      <c r="BS642" s="64">
        <v>0</v>
      </c>
      <c r="BV642" s="65">
        <v>86460</v>
      </c>
      <c r="BW642" s="65">
        <v>41800</v>
      </c>
      <c r="BX642" s="65">
        <v>44585</v>
      </c>
      <c r="BY642" s="65">
        <v>44660</v>
      </c>
      <c r="BZ642" s="81">
        <v>51.653944020356235</v>
      </c>
    </row>
    <row r="643" spans="1:82" x14ac:dyDescent="0.15">
      <c r="A643" s="60">
        <v>2</v>
      </c>
      <c r="B643" s="61">
        <v>44608</v>
      </c>
      <c r="C643" s="61">
        <v>44620</v>
      </c>
      <c r="D643" s="61">
        <v>44624</v>
      </c>
      <c r="F643" s="61" t="s">
        <v>309</v>
      </c>
      <c r="G643" s="61">
        <v>44636</v>
      </c>
      <c r="H643" s="61" t="s">
        <v>309</v>
      </c>
      <c r="J643" s="60">
        <v>2</v>
      </c>
      <c r="L643" s="60">
        <v>0</v>
      </c>
      <c r="M643" s="61">
        <v>44585</v>
      </c>
      <c r="O643" s="62" t="s">
        <v>331</v>
      </c>
      <c r="P643" s="60" t="s">
        <v>26</v>
      </c>
      <c r="Q643" s="62" t="s">
        <v>40</v>
      </c>
      <c r="R643" s="62" t="s">
        <v>2338</v>
      </c>
      <c r="S643" s="63" t="s">
        <v>1920</v>
      </c>
      <c r="T643" s="63" t="s">
        <v>1524</v>
      </c>
      <c r="U643" s="64">
        <v>78600</v>
      </c>
      <c r="V643" s="64">
        <v>86460</v>
      </c>
      <c r="W643" s="64">
        <v>78600</v>
      </c>
      <c r="X643" s="64">
        <v>86460</v>
      </c>
      <c r="Y643" s="64">
        <v>0</v>
      </c>
      <c r="Z643" s="64">
        <v>0</v>
      </c>
      <c r="AA643" s="61">
        <v>44617</v>
      </c>
      <c r="AB643" s="61">
        <v>44617</v>
      </c>
      <c r="AD643" s="60">
        <v>0</v>
      </c>
      <c r="AG643" s="60">
        <v>0</v>
      </c>
      <c r="AJ643" s="60">
        <v>0</v>
      </c>
      <c r="AM643" s="60" t="s">
        <v>2004</v>
      </c>
      <c r="AN643" s="60" t="s">
        <v>508</v>
      </c>
      <c r="AQ643" s="60" t="s">
        <v>2005</v>
      </c>
      <c r="AR643" s="61">
        <v>44589</v>
      </c>
      <c r="AS643" s="60">
        <v>6001986768</v>
      </c>
      <c r="AT643" s="61">
        <v>44589</v>
      </c>
      <c r="AU643" s="60" t="s">
        <v>2025</v>
      </c>
      <c r="AV643" s="61">
        <v>44620</v>
      </c>
      <c r="AW643" s="91">
        <v>44620</v>
      </c>
      <c r="AX643" s="91">
        <v>44640</v>
      </c>
      <c r="AY643" s="107">
        <v>78600</v>
      </c>
      <c r="AZ643" s="107">
        <f>ROUNDDOWN(AY643+(AY643*MASTER!$A$2/100),0)</f>
        <v>86460</v>
      </c>
      <c r="BA643" s="60" t="s">
        <v>317</v>
      </c>
      <c r="BB643" s="64">
        <v>29000</v>
      </c>
      <c r="BC643" s="64">
        <v>31900</v>
      </c>
      <c r="BD643" s="60" t="s">
        <v>2044</v>
      </c>
      <c r="BG643" s="64">
        <v>0</v>
      </c>
      <c r="BK643" s="64">
        <v>0</v>
      </c>
      <c r="BS643" s="64">
        <v>0</v>
      </c>
      <c r="BV643" s="65">
        <v>86460</v>
      </c>
      <c r="BW643" s="65">
        <v>31900</v>
      </c>
      <c r="BX643" s="65">
        <v>44585</v>
      </c>
      <c r="BY643" s="65">
        <v>54560</v>
      </c>
      <c r="BZ643" s="81">
        <v>63.104325699745544</v>
      </c>
    </row>
    <row r="644" spans="1:82" x14ac:dyDescent="0.15">
      <c r="A644" s="60">
        <v>2</v>
      </c>
      <c r="B644" s="61">
        <v>44594</v>
      </c>
      <c r="C644" s="61">
        <v>44620</v>
      </c>
      <c r="D644" s="61">
        <v>44624</v>
      </c>
      <c r="F644" s="61" t="s">
        <v>309</v>
      </c>
      <c r="G644" s="61">
        <v>44606</v>
      </c>
      <c r="H644" s="61" t="s">
        <v>309</v>
      </c>
      <c r="J644" s="60">
        <v>2</v>
      </c>
      <c r="L644" s="60">
        <v>0</v>
      </c>
      <c r="M644" s="61">
        <v>44585</v>
      </c>
      <c r="O644" s="62" t="s">
        <v>331</v>
      </c>
      <c r="P644" s="60" t="s">
        <v>26</v>
      </c>
      <c r="Q644" s="62" t="s">
        <v>40</v>
      </c>
      <c r="R644" s="62" t="s">
        <v>2144</v>
      </c>
      <c r="S644" s="63" t="s">
        <v>1921</v>
      </c>
      <c r="T644" s="63" t="s">
        <v>1524</v>
      </c>
      <c r="U644" s="64">
        <v>78600</v>
      </c>
      <c r="V644" s="64">
        <v>86460</v>
      </c>
      <c r="W644" s="64">
        <v>78600</v>
      </c>
      <c r="X644" s="64">
        <v>86460</v>
      </c>
      <c r="Y644" s="64">
        <v>0</v>
      </c>
      <c r="Z644" s="64">
        <v>0</v>
      </c>
      <c r="AA644" s="61">
        <v>44601</v>
      </c>
      <c r="AB644" s="61">
        <v>44601</v>
      </c>
      <c r="AD644" s="60">
        <v>0</v>
      </c>
      <c r="AG644" s="60">
        <v>0</v>
      </c>
      <c r="AJ644" s="60">
        <v>0</v>
      </c>
      <c r="AM644" s="60" t="s">
        <v>2004</v>
      </c>
      <c r="AN644" s="60" t="s">
        <v>508</v>
      </c>
      <c r="AQ644" s="60" t="s">
        <v>2005</v>
      </c>
      <c r="AR644" s="61">
        <v>44589</v>
      </c>
      <c r="AS644" s="60">
        <v>6001986768</v>
      </c>
      <c r="AT644" s="61">
        <v>44589</v>
      </c>
      <c r="AU644" s="60" t="s">
        <v>2025</v>
      </c>
      <c r="AV644" s="61">
        <v>44620</v>
      </c>
      <c r="AW644" s="91">
        <v>44620</v>
      </c>
      <c r="AX644" s="91">
        <v>44640</v>
      </c>
      <c r="AY644" s="107">
        <v>78600</v>
      </c>
      <c r="AZ644" s="107">
        <f>ROUNDDOWN(AY644+(AY644*MASTER!$A$2/100),0)</f>
        <v>86460</v>
      </c>
      <c r="BA644" s="60" t="s">
        <v>317</v>
      </c>
      <c r="BB644" s="64">
        <v>30000</v>
      </c>
      <c r="BC644" s="64">
        <v>33000</v>
      </c>
      <c r="BD644" s="60" t="s">
        <v>2044</v>
      </c>
      <c r="BG644" s="64">
        <v>0</v>
      </c>
      <c r="BK644" s="64">
        <v>0</v>
      </c>
      <c r="BS644" s="64">
        <v>0</v>
      </c>
      <c r="BV644" s="65">
        <v>86460</v>
      </c>
      <c r="BW644" s="65">
        <v>33000</v>
      </c>
      <c r="BX644" s="65">
        <v>44585</v>
      </c>
      <c r="BY644" s="65">
        <v>53460</v>
      </c>
      <c r="BZ644" s="81">
        <v>61.832061068702295</v>
      </c>
    </row>
    <row r="645" spans="1:82" x14ac:dyDescent="0.15">
      <c r="A645" s="60">
        <v>2</v>
      </c>
      <c r="B645" s="61">
        <v>44594</v>
      </c>
      <c r="C645" s="61">
        <v>44620</v>
      </c>
      <c r="D645" s="61">
        <v>44624</v>
      </c>
      <c r="F645" s="61" t="s">
        <v>309</v>
      </c>
      <c r="G645" s="61">
        <v>44601</v>
      </c>
      <c r="H645" s="61" t="s">
        <v>309</v>
      </c>
      <c r="J645" s="60">
        <v>2</v>
      </c>
      <c r="L645" s="60">
        <v>0</v>
      </c>
      <c r="M645" s="61">
        <v>44585</v>
      </c>
      <c r="O645" s="62" t="s">
        <v>331</v>
      </c>
      <c r="P645" s="60" t="s">
        <v>26</v>
      </c>
      <c r="Q645" s="62" t="s">
        <v>40</v>
      </c>
      <c r="R645" s="62" t="s">
        <v>2145</v>
      </c>
      <c r="S645" s="63" t="s">
        <v>457</v>
      </c>
      <c r="T645" s="63" t="s">
        <v>1524</v>
      </c>
      <c r="U645" s="64">
        <v>78600</v>
      </c>
      <c r="V645" s="64">
        <v>86460</v>
      </c>
      <c r="W645" s="64">
        <v>78600</v>
      </c>
      <c r="X645" s="64">
        <v>86460</v>
      </c>
      <c r="Y645" s="64">
        <v>0</v>
      </c>
      <c r="Z645" s="64">
        <v>0</v>
      </c>
      <c r="AA645" s="61">
        <v>44600</v>
      </c>
      <c r="AB645" s="61">
        <v>44600</v>
      </c>
      <c r="AD645" s="60">
        <v>0</v>
      </c>
      <c r="AG645" s="60">
        <v>0</v>
      </c>
      <c r="AJ645" s="60">
        <v>0</v>
      </c>
      <c r="AM645" s="60" t="s">
        <v>2004</v>
      </c>
      <c r="AN645" s="60" t="s">
        <v>508</v>
      </c>
      <c r="AQ645" s="60" t="s">
        <v>2005</v>
      </c>
      <c r="AR645" s="61">
        <v>44589</v>
      </c>
      <c r="AS645" s="60">
        <v>6001986768</v>
      </c>
      <c r="AT645" s="61">
        <v>44589</v>
      </c>
      <c r="AU645" s="60" t="s">
        <v>2025</v>
      </c>
      <c r="AV645" s="61">
        <v>44620</v>
      </c>
      <c r="AW645" s="91">
        <v>44620</v>
      </c>
      <c r="AX645" s="91">
        <v>44640</v>
      </c>
      <c r="AY645" s="107">
        <v>78600</v>
      </c>
      <c r="AZ645" s="107">
        <f>ROUNDDOWN(AY645+(AY645*MASTER!$A$2/100),0)</f>
        <v>86460</v>
      </c>
      <c r="BA645" s="60" t="s">
        <v>317</v>
      </c>
      <c r="BB645" s="64">
        <v>30000</v>
      </c>
      <c r="BC645" s="64">
        <v>33000</v>
      </c>
      <c r="BD645" s="60" t="s">
        <v>2044</v>
      </c>
      <c r="BG645" s="64">
        <v>0</v>
      </c>
      <c r="BK645" s="64">
        <v>0</v>
      </c>
      <c r="BS645" s="64">
        <v>0</v>
      </c>
      <c r="BV645" s="65">
        <v>86460</v>
      </c>
      <c r="BW645" s="65">
        <v>33000</v>
      </c>
      <c r="BX645" s="65">
        <v>44585</v>
      </c>
      <c r="BY645" s="65">
        <v>53460</v>
      </c>
      <c r="BZ645" s="81">
        <v>61.832061068702295</v>
      </c>
    </row>
    <row r="646" spans="1:82" x14ac:dyDescent="0.15">
      <c r="A646" s="60">
        <v>2</v>
      </c>
      <c r="B646" s="61">
        <v>44608</v>
      </c>
      <c r="C646" s="61">
        <v>44620</v>
      </c>
      <c r="D646" s="61">
        <v>44624</v>
      </c>
      <c r="F646" s="61" t="s">
        <v>309</v>
      </c>
      <c r="G646" s="61">
        <v>44613</v>
      </c>
      <c r="H646" s="61" t="s">
        <v>309</v>
      </c>
      <c r="J646" s="60">
        <v>2</v>
      </c>
      <c r="L646" s="60">
        <v>0</v>
      </c>
      <c r="M646" s="61">
        <v>44585</v>
      </c>
      <c r="O646" s="62" t="s">
        <v>331</v>
      </c>
      <c r="P646" s="60" t="s">
        <v>26</v>
      </c>
      <c r="Q646" s="62" t="s">
        <v>40</v>
      </c>
      <c r="R646" s="62" t="s">
        <v>2339</v>
      </c>
      <c r="S646" s="63" t="s">
        <v>452</v>
      </c>
      <c r="T646" s="63" t="s">
        <v>1524</v>
      </c>
      <c r="U646" s="64">
        <v>78600</v>
      </c>
      <c r="V646" s="64">
        <v>86460</v>
      </c>
      <c r="W646" s="64">
        <v>78600</v>
      </c>
      <c r="X646" s="64">
        <v>86460</v>
      </c>
      <c r="Y646" s="64">
        <v>0</v>
      </c>
      <c r="Z646" s="64">
        <v>0</v>
      </c>
      <c r="AA646" s="61">
        <v>44613</v>
      </c>
      <c r="AB646" s="61">
        <v>44613</v>
      </c>
      <c r="AD646" s="60">
        <v>0</v>
      </c>
      <c r="AG646" s="60">
        <v>0</v>
      </c>
      <c r="AJ646" s="60">
        <v>0</v>
      </c>
      <c r="AM646" s="60" t="s">
        <v>2004</v>
      </c>
      <c r="AN646" s="60" t="s">
        <v>508</v>
      </c>
      <c r="AQ646" s="60" t="s">
        <v>2005</v>
      </c>
      <c r="AR646" s="61">
        <v>44589</v>
      </c>
      <c r="AS646" s="60">
        <v>6001986768</v>
      </c>
      <c r="AT646" s="61">
        <v>44589</v>
      </c>
      <c r="AU646" s="60" t="s">
        <v>2025</v>
      </c>
      <c r="AV646" s="61">
        <v>44620</v>
      </c>
      <c r="AW646" s="91">
        <v>44620</v>
      </c>
      <c r="AX646" s="91">
        <v>44640</v>
      </c>
      <c r="AY646" s="107">
        <v>78600</v>
      </c>
      <c r="AZ646" s="107">
        <f>ROUNDDOWN(AY646+(AY646*MASTER!$A$2/100),0)</f>
        <v>86460</v>
      </c>
      <c r="BA646" s="60" t="s">
        <v>317</v>
      </c>
      <c r="BB646" s="64">
        <v>29000</v>
      </c>
      <c r="BC646" s="64">
        <v>31900</v>
      </c>
      <c r="BD646" s="60" t="s">
        <v>2044</v>
      </c>
      <c r="BG646" s="64">
        <v>0</v>
      </c>
      <c r="BK646" s="64">
        <v>0</v>
      </c>
      <c r="BS646" s="64">
        <v>0</v>
      </c>
      <c r="BV646" s="65">
        <v>86460</v>
      </c>
      <c r="BW646" s="65">
        <v>31900</v>
      </c>
      <c r="BX646" s="65">
        <v>44585</v>
      </c>
      <c r="BY646" s="65">
        <v>54560</v>
      </c>
      <c r="BZ646" s="81">
        <v>63.104325699745544</v>
      </c>
    </row>
    <row r="647" spans="1:82" x14ac:dyDescent="0.15">
      <c r="A647" s="60">
        <v>2</v>
      </c>
      <c r="B647" s="61">
        <v>44602</v>
      </c>
      <c r="C647" s="61">
        <v>44620</v>
      </c>
      <c r="D647" s="61">
        <v>44624</v>
      </c>
      <c r="F647" s="61" t="s">
        <v>309</v>
      </c>
      <c r="G647" s="61">
        <v>44608</v>
      </c>
      <c r="H647" s="61" t="s">
        <v>309</v>
      </c>
      <c r="J647" s="60">
        <v>2</v>
      </c>
      <c r="L647" s="60">
        <v>0</v>
      </c>
      <c r="M647" s="61">
        <v>44585</v>
      </c>
      <c r="O647" s="62" t="s">
        <v>331</v>
      </c>
      <c r="P647" s="60" t="s">
        <v>26</v>
      </c>
      <c r="Q647" s="62" t="s">
        <v>40</v>
      </c>
      <c r="R647" s="62" t="s">
        <v>2275</v>
      </c>
      <c r="S647" s="63" t="s">
        <v>401</v>
      </c>
      <c r="T647" s="63" t="s">
        <v>1524</v>
      </c>
      <c r="U647" s="64">
        <v>78600</v>
      </c>
      <c r="V647" s="64">
        <v>86460</v>
      </c>
      <c r="W647" s="64">
        <v>78600</v>
      </c>
      <c r="X647" s="64">
        <v>86460</v>
      </c>
      <c r="Y647" s="64">
        <v>0</v>
      </c>
      <c r="Z647" s="64">
        <v>0</v>
      </c>
      <c r="AA647" s="61">
        <v>44606</v>
      </c>
      <c r="AB647" s="61">
        <v>44606</v>
      </c>
      <c r="AD647" s="60">
        <v>0</v>
      </c>
      <c r="AG647" s="60">
        <v>0</v>
      </c>
      <c r="AJ647" s="60">
        <v>0</v>
      </c>
      <c r="AM647" s="60" t="s">
        <v>2004</v>
      </c>
      <c r="AN647" s="60" t="s">
        <v>508</v>
      </c>
      <c r="AQ647" s="60" t="s">
        <v>2005</v>
      </c>
      <c r="AR647" s="61">
        <v>44589</v>
      </c>
      <c r="AS647" s="60">
        <v>6001986768</v>
      </c>
      <c r="AT647" s="61">
        <v>44589</v>
      </c>
      <c r="AU647" s="60" t="s">
        <v>2025</v>
      </c>
      <c r="AV647" s="61">
        <v>44620</v>
      </c>
      <c r="AW647" s="91">
        <v>44620</v>
      </c>
      <c r="AX647" s="91">
        <v>44630</v>
      </c>
      <c r="AY647" s="107">
        <v>78600</v>
      </c>
      <c r="AZ647" s="107">
        <f>ROUNDDOWN(AY647+(AY647*MASTER!$A$2/100),0)</f>
        <v>86460</v>
      </c>
      <c r="BA647" s="60" t="s">
        <v>317</v>
      </c>
      <c r="BB647" s="64">
        <v>31000</v>
      </c>
      <c r="BC647" s="64">
        <v>34100</v>
      </c>
      <c r="BD647" s="60" t="s">
        <v>2044</v>
      </c>
      <c r="BG647" s="64">
        <v>0</v>
      </c>
      <c r="BK647" s="64">
        <v>0</v>
      </c>
      <c r="BS647" s="64">
        <v>0</v>
      </c>
      <c r="BV647" s="65">
        <v>86460</v>
      </c>
      <c r="BW647" s="65">
        <v>34100</v>
      </c>
      <c r="BX647" s="65">
        <v>44585</v>
      </c>
      <c r="BY647" s="65">
        <v>52360</v>
      </c>
      <c r="BZ647" s="81">
        <v>60.559796437659031</v>
      </c>
    </row>
    <row r="648" spans="1:82" x14ac:dyDescent="0.15">
      <c r="A648" s="60">
        <v>2</v>
      </c>
      <c r="B648" s="61">
        <v>44602</v>
      </c>
      <c r="C648" s="61">
        <v>44620</v>
      </c>
      <c r="D648" s="61">
        <v>44624</v>
      </c>
      <c r="F648" s="61" t="s">
        <v>309</v>
      </c>
      <c r="G648" s="61">
        <v>44608</v>
      </c>
      <c r="H648" s="61" t="s">
        <v>309</v>
      </c>
      <c r="J648" s="60">
        <v>2</v>
      </c>
      <c r="L648" s="60">
        <v>0</v>
      </c>
      <c r="M648" s="61">
        <v>44585</v>
      </c>
      <c r="O648" s="62" t="s">
        <v>331</v>
      </c>
      <c r="P648" s="60" t="s">
        <v>26</v>
      </c>
      <c r="Q648" s="62" t="s">
        <v>40</v>
      </c>
      <c r="R648" s="62" t="s">
        <v>2276</v>
      </c>
      <c r="S648" s="63" t="s">
        <v>517</v>
      </c>
      <c r="T648" s="63" t="s">
        <v>1524</v>
      </c>
      <c r="U648" s="64">
        <v>78600</v>
      </c>
      <c r="V648" s="64">
        <v>86460</v>
      </c>
      <c r="W648" s="64">
        <v>78600</v>
      </c>
      <c r="X648" s="64">
        <v>86460</v>
      </c>
      <c r="Y648" s="64">
        <v>0</v>
      </c>
      <c r="Z648" s="64">
        <v>0</v>
      </c>
      <c r="AA648" s="61">
        <v>44607</v>
      </c>
      <c r="AB648" s="61">
        <v>44607</v>
      </c>
      <c r="AD648" s="60">
        <v>0</v>
      </c>
      <c r="AG648" s="60">
        <v>0</v>
      </c>
      <c r="AJ648" s="60">
        <v>0</v>
      </c>
      <c r="AM648" s="60" t="s">
        <v>2004</v>
      </c>
      <c r="AN648" s="60" t="s">
        <v>508</v>
      </c>
      <c r="AQ648" s="60" t="s">
        <v>2005</v>
      </c>
      <c r="AR648" s="61">
        <v>44589</v>
      </c>
      <c r="AS648" s="60">
        <v>6001986768</v>
      </c>
      <c r="AT648" s="61">
        <v>44589</v>
      </c>
      <c r="AU648" s="60" t="s">
        <v>2025</v>
      </c>
      <c r="AV648" s="61">
        <v>44620</v>
      </c>
      <c r="AW648" s="91">
        <v>44620</v>
      </c>
      <c r="AX648" s="91">
        <v>44640</v>
      </c>
      <c r="AY648" s="107">
        <v>78600</v>
      </c>
      <c r="AZ648" s="107">
        <f>ROUNDDOWN(AY648+(AY648*MASTER!$A$2/100),0)</f>
        <v>86460</v>
      </c>
      <c r="BA648" s="60" t="s">
        <v>317</v>
      </c>
      <c r="BB648" s="64">
        <v>32000</v>
      </c>
      <c r="BC648" s="64">
        <v>35200</v>
      </c>
      <c r="BD648" s="60" t="s">
        <v>2044</v>
      </c>
      <c r="BG648" s="64">
        <v>0</v>
      </c>
      <c r="BK648" s="64">
        <v>0</v>
      </c>
      <c r="BS648" s="64">
        <v>0</v>
      </c>
      <c r="BV648" s="65">
        <v>86460</v>
      </c>
      <c r="BW648" s="65">
        <v>35200</v>
      </c>
      <c r="BX648" s="65">
        <v>44585</v>
      </c>
      <c r="BY648" s="65">
        <v>51260</v>
      </c>
      <c r="BZ648" s="81">
        <v>59.287531806615782</v>
      </c>
    </row>
    <row r="649" spans="1:82" x14ac:dyDescent="0.15">
      <c r="A649" s="60">
        <v>2</v>
      </c>
      <c r="B649" s="61">
        <v>44602</v>
      </c>
      <c r="C649" s="61">
        <v>44620</v>
      </c>
      <c r="D649" s="61">
        <v>44624</v>
      </c>
      <c r="F649" s="61" t="s">
        <v>309</v>
      </c>
      <c r="G649" s="61">
        <v>44608</v>
      </c>
      <c r="H649" s="61" t="s">
        <v>309</v>
      </c>
      <c r="J649" s="60">
        <v>2</v>
      </c>
      <c r="L649" s="60">
        <v>0</v>
      </c>
      <c r="M649" s="61">
        <v>44585</v>
      </c>
      <c r="O649" s="62" t="s">
        <v>331</v>
      </c>
      <c r="P649" s="60" t="s">
        <v>26</v>
      </c>
      <c r="Q649" s="62" t="s">
        <v>40</v>
      </c>
      <c r="R649" s="62" t="s">
        <v>2277</v>
      </c>
      <c r="S649" s="63" t="s">
        <v>1922</v>
      </c>
      <c r="T649" s="63" t="s">
        <v>1524</v>
      </c>
      <c r="U649" s="64">
        <v>78600</v>
      </c>
      <c r="V649" s="64">
        <v>86460</v>
      </c>
      <c r="W649" s="64">
        <v>78600</v>
      </c>
      <c r="X649" s="64">
        <v>86460</v>
      </c>
      <c r="Y649" s="64">
        <v>0</v>
      </c>
      <c r="Z649" s="64">
        <v>0</v>
      </c>
      <c r="AA649" s="61">
        <v>44607</v>
      </c>
      <c r="AB649" s="61">
        <v>44607</v>
      </c>
      <c r="AD649" s="60">
        <v>0</v>
      </c>
      <c r="AG649" s="60">
        <v>0</v>
      </c>
      <c r="AJ649" s="60">
        <v>0</v>
      </c>
      <c r="AM649" s="60" t="s">
        <v>2004</v>
      </c>
      <c r="AN649" s="60" t="s">
        <v>508</v>
      </c>
      <c r="AQ649" s="60" t="s">
        <v>2005</v>
      </c>
      <c r="AR649" s="61">
        <v>44589</v>
      </c>
      <c r="AS649" s="60">
        <v>6001986768</v>
      </c>
      <c r="AT649" s="61">
        <v>44589</v>
      </c>
      <c r="AU649" s="60" t="s">
        <v>2025</v>
      </c>
      <c r="AV649" s="61">
        <v>44620</v>
      </c>
      <c r="AW649" s="91">
        <v>44620</v>
      </c>
      <c r="AX649" s="91">
        <v>44640</v>
      </c>
      <c r="AY649" s="107">
        <v>78600</v>
      </c>
      <c r="AZ649" s="107">
        <f>ROUNDDOWN(AY649+(AY649*MASTER!$A$2/100),0)</f>
        <v>86460</v>
      </c>
      <c r="BA649" s="60" t="s">
        <v>317</v>
      </c>
      <c r="BB649" s="64">
        <v>31000</v>
      </c>
      <c r="BC649" s="64">
        <v>34100</v>
      </c>
      <c r="BD649" s="60" t="s">
        <v>2044</v>
      </c>
      <c r="BG649" s="64">
        <v>0</v>
      </c>
      <c r="BK649" s="64">
        <v>0</v>
      </c>
      <c r="BS649" s="64">
        <v>0</v>
      </c>
      <c r="BV649" s="65">
        <v>86460</v>
      </c>
      <c r="BW649" s="65">
        <v>34100</v>
      </c>
      <c r="BX649" s="65">
        <v>44585</v>
      </c>
      <c r="BY649" s="65">
        <v>52360</v>
      </c>
      <c r="BZ649" s="81">
        <v>60.559796437659031</v>
      </c>
    </row>
    <row r="650" spans="1:82" x14ac:dyDescent="0.15">
      <c r="A650" s="60">
        <v>2</v>
      </c>
      <c r="B650" s="61">
        <v>44596</v>
      </c>
      <c r="C650" s="61">
        <v>44599</v>
      </c>
      <c r="D650" s="61">
        <v>44596</v>
      </c>
      <c r="E650" s="61">
        <v>44596</v>
      </c>
      <c r="F650" s="61" t="s">
        <v>309</v>
      </c>
      <c r="G650" s="61">
        <v>44596</v>
      </c>
      <c r="H650" s="61" t="s">
        <v>309</v>
      </c>
      <c r="I650" s="60" t="s">
        <v>494</v>
      </c>
      <c r="J650" s="60">
        <v>2</v>
      </c>
      <c r="L650" s="60">
        <v>0</v>
      </c>
      <c r="M650" s="61">
        <v>44586</v>
      </c>
      <c r="O650" s="62" t="s">
        <v>331</v>
      </c>
      <c r="P650" s="60" t="s">
        <v>6</v>
      </c>
      <c r="Q650" s="62" t="s">
        <v>40</v>
      </c>
      <c r="R650" s="62" t="s">
        <v>2164</v>
      </c>
      <c r="S650" s="63" t="s">
        <v>1819</v>
      </c>
      <c r="T650" s="63" t="s">
        <v>364</v>
      </c>
      <c r="U650" s="64">
        <v>35000</v>
      </c>
      <c r="V650" s="64">
        <v>38500</v>
      </c>
      <c r="W650" s="64">
        <v>35000</v>
      </c>
      <c r="X650" s="64">
        <v>38500</v>
      </c>
      <c r="Z650" s="64">
        <v>0</v>
      </c>
      <c r="AA650" s="61">
        <v>44595</v>
      </c>
      <c r="AB650" s="61">
        <v>44595</v>
      </c>
      <c r="AD650" s="60">
        <v>0</v>
      </c>
      <c r="AG650" s="60">
        <v>0</v>
      </c>
      <c r="AJ650" s="60">
        <v>0</v>
      </c>
      <c r="AN650" s="60" t="s">
        <v>309</v>
      </c>
      <c r="AQ650" s="60" t="s">
        <v>2116</v>
      </c>
      <c r="AR650" s="61">
        <v>44595</v>
      </c>
      <c r="AS650" s="60">
        <v>6001988897</v>
      </c>
      <c r="AT650" s="61">
        <v>44595</v>
      </c>
      <c r="AU650" s="60" t="s">
        <v>2163</v>
      </c>
      <c r="AV650" s="61">
        <v>44599</v>
      </c>
      <c r="AW650" s="91">
        <v>44620</v>
      </c>
      <c r="AX650" s="91">
        <v>44640</v>
      </c>
      <c r="AY650" s="99">
        <v>33600</v>
      </c>
      <c r="AZ650" s="141">
        <f>ROUNDDOWN(AY650+(AY650*MASTER!$A$2/100),0)</f>
        <v>36960</v>
      </c>
      <c r="BA650" s="60" t="s">
        <v>613</v>
      </c>
      <c r="BB650" s="64">
        <v>32000</v>
      </c>
      <c r="BC650" s="64">
        <v>35200</v>
      </c>
      <c r="BD650" s="60" t="s">
        <v>2044</v>
      </c>
      <c r="BG650" s="64">
        <v>0</v>
      </c>
      <c r="BK650" s="64">
        <v>0</v>
      </c>
      <c r="BS650" s="64">
        <v>0</v>
      </c>
      <c r="BV650" s="65">
        <v>38500</v>
      </c>
      <c r="BW650" s="65">
        <v>35200</v>
      </c>
      <c r="BX650" s="65">
        <v>44586</v>
      </c>
      <c r="BY650" s="65">
        <v>3300</v>
      </c>
      <c r="BZ650" s="81">
        <v>8.5714285714285712</v>
      </c>
    </row>
    <row r="651" spans="1:82" x14ac:dyDescent="0.15">
      <c r="A651" s="60">
        <v>2</v>
      </c>
      <c r="B651" s="61">
        <v>44635</v>
      </c>
      <c r="C651" s="61">
        <v>44651</v>
      </c>
      <c r="D651" s="61">
        <v>44658</v>
      </c>
      <c r="E651" s="61">
        <v>44655</v>
      </c>
      <c r="F651" s="61">
        <v>44658</v>
      </c>
      <c r="G651" s="61">
        <v>44651</v>
      </c>
      <c r="H651" s="61">
        <v>44654</v>
      </c>
      <c r="I651" s="60" t="s">
        <v>511</v>
      </c>
      <c r="J651" s="60">
        <v>1</v>
      </c>
      <c r="L651" s="60">
        <v>0</v>
      </c>
      <c r="M651" s="61">
        <v>44586</v>
      </c>
      <c r="O651" s="62" t="s">
        <v>331</v>
      </c>
      <c r="P651" s="60" t="s">
        <v>26</v>
      </c>
      <c r="Q651" s="62" t="s">
        <v>40</v>
      </c>
      <c r="R651" s="62" t="s">
        <v>1932</v>
      </c>
      <c r="S651" s="63" t="s">
        <v>1083</v>
      </c>
      <c r="T651" s="63" t="s">
        <v>485</v>
      </c>
      <c r="U651" s="64">
        <v>95000</v>
      </c>
      <c r="V651" s="64">
        <v>104500</v>
      </c>
      <c r="W651" s="64">
        <v>80000</v>
      </c>
      <c r="X651" s="64">
        <v>88000</v>
      </c>
      <c r="Y651" s="64">
        <v>15000</v>
      </c>
      <c r="Z651" s="64">
        <v>16500</v>
      </c>
      <c r="AA651" s="61">
        <v>44650</v>
      </c>
      <c r="AB651" s="61">
        <v>44651</v>
      </c>
      <c r="AC651" s="61">
        <v>44651</v>
      </c>
      <c r="AD651" s="60">
        <v>0</v>
      </c>
      <c r="AG651" s="60">
        <v>0</v>
      </c>
      <c r="AJ651" s="60">
        <v>0</v>
      </c>
      <c r="AQ651" s="60" t="s">
        <v>2807</v>
      </c>
      <c r="AR651" s="61">
        <v>44588</v>
      </c>
      <c r="AS651" s="60">
        <v>6001986264</v>
      </c>
      <c r="AT651" s="61">
        <v>44588</v>
      </c>
      <c r="AU651" s="60" t="s">
        <v>1982</v>
      </c>
      <c r="AV651" s="61">
        <v>44651</v>
      </c>
      <c r="AW651" s="91">
        <v>44651</v>
      </c>
      <c r="AX651" s="91">
        <v>44671</v>
      </c>
      <c r="AY651" s="99">
        <v>91200</v>
      </c>
      <c r="AZ651" s="141">
        <f>ROUNDDOWN(AY651+(AY651*MASTER!$A$2/100),0)</f>
        <v>100320</v>
      </c>
      <c r="BA651" s="60" t="s">
        <v>314</v>
      </c>
      <c r="BB651" s="64">
        <v>28000</v>
      </c>
      <c r="BC651" s="64">
        <v>30800</v>
      </c>
      <c r="BD651" s="60" t="s">
        <v>2107</v>
      </c>
      <c r="BG651" s="64">
        <v>0</v>
      </c>
      <c r="BI651" s="60" t="s">
        <v>748</v>
      </c>
      <c r="BJ651" s="64">
        <v>9750</v>
      </c>
      <c r="BK651" s="64">
        <v>10725</v>
      </c>
      <c r="BL651" s="60" t="s">
        <v>2107</v>
      </c>
      <c r="BS651" s="64">
        <v>0</v>
      </c>
      <c r="BV651" s="65">
        <v>88000</v>
      </c>
      <c r="BW651" s="65">
        <v>41525</v>
      </c>
      <c r="BX651" s="65">
        <v>44586</v>
      </c>
      <c r="BY651" s="65">
        <v>46475</v>
      </c>
      <c r="BZ651" s="81">
        <v>52.812499999999993</v>
      </c>
    </row>
    <row r="652" spans="1:82" x14ac:dyDescent="0.15">
      <c r="A652" s="60">
        <v>1</v>
      </c>
      <c r="B652" s="61">
        <v>44616</v>
      </c>
      <c r="C652" s="61">
        <v>44617</v>
      </c>
      <c r="F652" s="61" t="s">
        <v>309</v>
      </c>
      <c r="H652" s="61" t="s">
        <v>309</v>
      </c>
      <c r="J652" s="60">
        <v>2</v>
      </c>
      <c r="K652" s="61">
        <v>44589</v>
      </c>
      <c r="L652" s="60" t="s">
        <v>529</v>
      </c>
      <c r="M652" s="61">
        <v>44586</v>
      </c>
      <c r="O652" s="62" t="s">
        <v>331</v>
      </c>
      <c r="P652" s="60" t="s">
        <v>26</v>
      </c>
      <c r="Q652" s="62" t="s">
        <v>40</v>
      </c>
      <c r="R652" s="62" t="s">
        <v>1949</v>
      </c>
      <c r="S652" s="63" t="s">
        <v>342</v>
      </c>
      <c r="T652" s="63" t="s">
        <v>1947</v>
      </c>
      <c r="U652" s="64">
        <v>44500</v>
      </c>
      <c r="V652" s="64">
        <v>48950</v>
      </c>
      <c r="W652" s="64">
        <v>44500</v>
      </c>
      <c r="X652" s="64">
        <v>48950</v>
      </c>
      <c r="Y652" s="64">
        <v>0</v>
      </c>
      <c r="Z652" s="64">
        <v>0</v>
      </c>
      <c r="AA652" s="61">
        <v>44596</v>
      </c>
      <c r="AB652" s="61">
        <v>44596</v>
      </c>
      <c r="AD652" s="60">
        <v>0</v>
      </c>
      <c r="AG652" s="60">
        <v>0</v>
      </c>
      <c r="AJ652" s="60">
        <v>0</v>
      </c>
      <c r="AM652" s="60" t="s">
        <v>273</v>
      </c>
      <c r="AN652" s="60" t="s">
        <v>2018</v>
      </c>
      <c r="AQ652" s="60" t="s">
        <v>2351</v>
      </c>
      <c r="AR652" s="61">
        <v>44610</v>
      </c>
      <c r="AS652" s="60">
        <v>6001995916</v>
      </c>
      <c r="AT652" s="61">
        <v>44613</v>
      </c>
      <c r="AU652" s="60" t="s">
        <v>2448</v>
      </c>
      <c r="AV652" s="61">
        <v>44617</v>
      </c>
      <c r="AW652" s="91">
        <v>44620</v>
      </c>
      <c r="AX652" s="91">
        <v>44640</v>
      </c>
      <c r="AY652" s="107">
        <v>44500</v>
      </c>
      <c r="AZ652" s="107">
        <f>ROUNDDOWN(AY652+(AY652*MASTER!$A$2/100),0)</f>
        <v>48950</v>
      </c>
      <c r="BC652" s="64">
        <v>0</v>
      </c>
      <c r="BG652" s="64">
        <v>0</v>
      </c>
      <c r="BK652" s="64">
        <v>0</v>
      </c>
      <c r="BS652" s="64">
        <v>0</v>
      </c>
      <c r="BV652" s="65">
        <v>48950</v>
      </c>
      <c r="BW652" s="65">
        <v>0</v>
      </c>
      <c r="BX652" s="65">
        <v>0</v>
      </c>
      <c r="BY652" s="65">
        <v>44589</v>
      </c>
      <c r="BZ652" s="81">
        <v>100</v>
      </c>
    </row>
    <row r="653" spans="1:82" x14ac:dyDescent="0.15">
      <c r="A653" s="60">
        <v>2</v>
      </c>
      <c r="B653" s="61">
        <v>44596</v>
      </c>
      <c r="C653" s="61">
        <v>44599</v>
      </c>
      <c r="E653" s="61">
        <v>44588</v>
      </c>
      <c r="F653" s="61">
        <v>44594</v>
      </c>
      <c r="G653" s="61">
        <v>44588</v>
      </c>
      <c r="H653" s="61">
        <v>44590</v>
      </c>
      <c r="I653" s="60" t="s">
        <v>511</v>
      </c>
      <c r="J653" s="60">
        <v>1</v>
      </c>
      <c r="L653" s="60">
        <v>0</v>
      </c>
      <c r="M653" s="61">
        <v>44586</v>
      </c>
      <c r="O653" s="62" t="s">
        <v>331</v>
      </c>
      <c r="P653" s="60" t="s">
        <v>26</v>
      </c>
      <c r="Q653" s="62" t="s">
        <v>40</v>
      </c>
      <c r="R653" s="62" t="s">
        <v>1950</v>
      </c>
      <c r="S653" s="63" t="s">
        <v>1066</v>
      </c>
      <c r="T653" s="63" t="s">
        <v>1948</v>
      </c>
      <c r="U653" s="64">
        <v>46700</v>
      </c>
      <c r="V653" s="64">
        <v>51370</v>
      </c>
      <c r="W653" s="64">
        <v>34500</v>
      </c>
      <c r="X653" s="64">
        <v>37950</v>
      </c>
      <c r="Y653" s="64">
        <v>12200</v>
      </c>
      <c r="Z653" s="64">
        <v>13420</v>
      </c>
      <c r="AA653" s="61">
        <v>44584</v>
      </c>
      <c r="AB653" s="61">
        <v>44587</v>
      </c>
      <c r="AC653" s="61">
        <v>44587</v>
      </c>
      <c r="AD653" s="60">
        <v>0</v>
      </c>
      <c r="AG653" s="60">
        <v>0</v>
      </c>
      <c r="AJ653" s="60">
        <v>0</v>
      </c>
      <c r="AM653" s="60" t="s">
        <v>273</v>
      </c>
      <c r="AN653" s="60" t="s">
        <v>1951</v>
      </c>
      <c r="AQ653" s="60" t="s">
        <v>2113</v>
      </c>
      <c r="AR653" s="61">
        <v>44595</v>
      </c>
      <c r="AS653" s="60">
        <v>6001988897</v>
      </c>
      <c r="AT653" s="61">
        <v>44595</v>
      </c>
      <c r="AU653" s="60" t="s">
        <v>2163</v>
      </c>
      <c r="AV653" s="61">
        <v>44599</v>
      </c>
      <c r="AW653" s="91">
        <v>44620</v>
      </c>
      <c r="AX653" s="91">
        <v>44640</v>
      </c>
      <c r="AY653" s="99">
        <v>44832</v>
      </c>
      <c r="AZ653" s="141">
        <f>ROUNDDOWN(AY653+(AY653*MASTER!$A$2/100),0)</f>
        <v>49315</v>
      </c>
      <c r="BA653" s="60" t="s">
        <v>765</v>
      </c>
      <c r="BC653" s="64">
        <v>0</v>
      </c>
      <c r="BG653" s="64">
        <v>0</v>
      </c>
      <c r="BI653" s="60" t="s">
        <v>748</v>
      </c>
      <c r="BJ653" s="64">
        <v>7930</v>
      </c>
      <c r="BK653" s="64">
        <v>8723</v>
      </c>
      <c r="BL653" s="60" t="s">
        <v>1614</v>
      </c>
      <c r="BS653" s="64">
        <v>0</v>
      </c>
      <c r="BV653" s="65">
        <v>37950</v>
      </c>
      <c r="BW653" s="65">
        <v>8723</v>
      </c>
      <c r="BX653" s="65">
        <v>44586</v>
      </c>
      <c r="BY653" s="65">
        <v>29227</v>
      </c>
      <c r="BZ653" s="81">
        <v>77.014492753623188</v>
      </c>
      <c r="CD653" s="63" t="s">
        <v>1995</v>
      </c>
    </row>
    <row r="654" spans="1:82" x14ac:dyDescent="0.15">
      <c r="A654" s="60">
        <v>2</v>
      </c>
      <c r="C654" s="61">
        <v>44651</v>
      </c>
      <c r="D654" s="61">
        <v>44627</v>
      </c>
      <c r="F654" s="61" t="s">
        <v>309</v>
      </c>
      <c r="H654" s="61" t="s">
        <v>309</v>
      </c>
      <c r="J654" s="60">
        <v>2</v>
      </c>
      <c r="L654" s="60">
        <v>0</v>
      </c>
      <c r="M654" s="61">
        <v>44587</v>
      </c>
      <c r="O654" s="62" t="s">
        <v>331</v>
      </c>
      <c r="P654" s="60" t="s">
        <v>77</v>
      </c>
      <c r="Q654" s="62" t="s">
        <v>40</v>
      </c>
      <c r="R654" s="62" t="s">
        <v>1954</v>
      </c>
      <c r="S654" s="63" t="s">
        <v>1922</v>
      </c>
      <c r="T654" s="63" t="s">
        <v>1953</v>
      </c>
      <c r="U654" s="64">
        <v>65000</v>
      </c>
      <c r="V654" s="64">
        <v>71500</v>
      </c>
      <c r="W654" s="64">
        <v>65000</v>
      </c>
      <c r="X654" s="64">
        <v>71500</v>
      </c>
      <c r="Y654" s="64">
        <v>0</v>
      </c>
      <c r="Z654" s="64">
        <v>0</v>
      </c>
      <c r="AA654" s="61">
        <v>44592</v>
      </c>
      <c r="AB654" s="61">
        <v>44593</v>
      </c>
      <c r="AD654" s="60">
        <v>0</v>
      </c>
      <c r="AG654" s="60">
        <v>0</v>
      </c>
      <c r="AJ654" s="60">
        <v>0</v>
      </c>
      <c r="AQ654" s="60" t="s">
        <v>1985</v>
      </c>
      <c r="AR654" s="61">
        <v>44588</v>
      </c>
      <c r="AS654" s="60">
        <v>6001986452</v>
      </c>
      <c r="AT654" s="61">
        <v>44589</v>
      </c>
      <c r="AU654" s="60" t="s">
        <v>2613</v>
      </c>
      <c r="AV654" s="61">
        <v>44651</v>
      </c>
      <c r="AW654" s="91">
        <v>44620</v>
      </c>
      <c r="AX654" s="91">
        <v>44640</v>
      </c>
      <c r="AY654" s="99">
        <v>62400</v>
      </c>
      <c r="AZ654" s="99">
        <f>ROUNDDOWN(AY654+(AY654*MASTER!$A$2/100),0)</f>
        <v>68640</v>
      </c>
      <c r="BC654" s="64">
        <v>0</v>
      </c>
      <c r="BG654" s="64">
        <v>0</v>
      </c>
      <c r="BK654" s="64">
        <v>0</v>
      </c>
      <c r="BS654" s="64">
        <v>0</v>
      </c>
      <c r="BV654" s="65">
        <v>71500</v>
      </c>
      <c r="BW654" s="65">
        <v>0</v>
      </c>
      <c r="BX654" s="65">
        <v>44587</v>
      </c>
      <c r="BY654" s="65">
        <v>71500</v>
      </c>
      <c r="BZ654" s="81">
        <v>100</v>
      </c>
    </row>
    <row r="655" spans="1:82" x14ac:dyDescent="0.15">
      <c r="A655" s="60">
        <v>2</v>
      </c>
      <c r="B655" s="61">
        <v>44608</v>
      </c>
      <c r="C655" s="61">
        <v>44608</v>
      </c>
      <c r="D655" s="61">
        <v>44624</v>
      </c>
      <c r="E655" s="61">
        <v>44618</v>
      </c>
      <c r="F655" s="61">
        <v>44608</v>
      </c>
      <c r="G655" s="61">
        <v>44607</v>
      </c>
      <c r="H655" s="61">
        <v>44604</v>
      </c>
      <c r="I655" s="60" t="s">
        <v>511</v>
      </c>
      <c r="J655" s="60">
        <v>1</v>
      </c>
      <c r="L655" s="60">
        <v>0</v>
      </c>
      <c r="M655" s="61">
        <v>44587</v>
      </c>
      <c r="O655" s="62" t="s">
        <v>331</v>
      </c>
      <c r="P655" s="60" t="s">
        <v>26</v>
      </c>
      <c r="Q655" s="62" t="s">
        <v>40</v>
      </c>
      <c r="R655" s="62" t="s">
        <v>1963</v>
      </c>
      <c r="S655" s="63" t="s">
        <v>1068</v>
      </c>
      <c r="T655" s="63" t="s">
        <v>1962</v>
      </c>
      <c r="U655" s="64">
        <v>4021900</v>
      </c>
      <c r="V655" s="64">
        <v>4424090</v>
      </c>
      <c r="W655" s="64">
        <v>3935900</v>
      </c>
      <c r="X655" s="64">
        <v>4329490</v>
      </c>
      <c r="Y655" s="64">
        <v>86000</v>
      </c>
      <c r="Z655" s="64">
        <v>94600</v>
      </c>
      <c r="AA655" s="61">
        <v>44597</v>
      </c>
      <c r="AB655" s="61">
        <v>44601</v>
      </c>
      <c r="AC655" s="61">
        <v>44601</v>
      </c>
      <c r="AD655" s="60">
        <v>0</v>
      </c>
      <c r="AG655" s="60">
        <v>0</v>
      </c>
      <c r="AJ655" s="60">
        <v>0</v>
      </c>
      <c r="AM655" s="60" t="s">
        <v>273</v>
      </c>
      <c r="AN655" s="60" t="s">
        <v>683</v>
      </c>
      <c r="AQ655" s="60" t="s">
        <v>2256</v>
      </c>
      <c r="AR655" s="61">
        <v>44606</v>
      </c>
      <c r="AS655" s="60">
        <v>6001993158</v>
      </c>
      <c r="AT655" s="61">
        <v>44607</v>
      </c>
      <c r="AU655" s="60" t="s">
        <v>2318</v>
      </c>
      <c r="AV655" s="61">
        <v>44608</v>
      </c>
      <c r="AW655" s="91">
        <v>44620</v>
      </c>
      <c r="AX655" s="91">
        <v>44640</v>
      </c>
      <c r="AY655" s="99">
        <v>3861024</v>
      </c>
      <c r="AZ655" s="99">
        <f>ROUNDDOWN(AY655+(AY655*MASTER!$A$2/100),0)</f>
        <v>4247126</v>
      </c>
      <c r="BA655" s="60" t="s">
        <v>318</v>
      </c>
      <c r="BB655" s="64">
        <v>1159610</v>
      </c>
      <c r="BC655" s="64">
        <v>1275571</v>
      </c>
      <c r="BD655" s="60" t="s">
        <v>2044</v>
      </c>
      <c r="BG655" s="64">
        <v>0</v>
      </c>
      <c r="BI655" s="60" t="s">
        <v>748</v>
      </c>
      <c r="BJ655" s="64">
        <v>55900</v>
      </c>
      <c r="BK655" s="64">
        <v>61490</v>
      </c>
      <c r="BL655" s="60" t="s">
        <v>2044</v>
      </c>
      <c r="BS655" s="64">
        <v>0</v>
      </c>
      <c r="BV655" s="65">
        <v>4329490</v>
      </c>
      <c r="BW655" s="65">
        <v>1337061</v>
      </c>
      <c r="BX655" s="65">
        <v>44587</v>
      </c>
      <c r="BY655" s="65">
        <v>2992429</v>
      </c>
      <c r="BZ655" s="81">
        <v>69.117355623872555</v>
      </c>
    </row>
    <row r="656" spans="1:82" x14ac:dyDescent="0.15">
      <c r="A656" s="60">
        <v>1</v>
      </c>
      <c r="B656" s="61">
        <v>44596</v>
      </c>
      <c r="C656" s="61">
        <v>44599</v>
      </c>
      <c r="F656" s="61" t="s">
        <v>309</v>
      </c>
      <c r="G656" s="61">
        <v>44593</v>
      </c>
      <c r="H656" s="61" t="s">
        <v>309</v>
      </c>
      <c r="J656" s="60">
        <v>2</v>
      </c>
      <c r="L656" s="60">
        <v>0</v>
      </c>
      <c r="M656" s="61">
        <v>44587</v>
      </c>
      <c r="O656" s="62" t="s">
        <v>331</v>
      </c>
      <c r="P656" s="60" t="s">
        <v>6</v>
      </c>
      <c r="Q656" s="62" t="s">
        <v>40</v>
      </c>
      <c r="R656" s="62" t="s">
        <v>2077</v>
      </c>
      <c r="S656" s="63" t="s">
        <v>1233</v>
      </c>
      <c r="T656" s="63" t="s">
        <v>364</v>
      </c>
      <c r="U656" s="64">
        <v>35000</v>
      </c>
      <c r="V656" s="64">
        <v>38500</v>
      </c>
      <c r="W656" s="64">
        <v>35000</v>
      </c>
      <c r="X656" s="64">
        <v>38500</v>
      </c>
      <c r="Z656" s="64">
        <v>0</v>
      </c>
      <c r="AA656" s="61">
        <v>44591</v>
      </c>
      <c r="AB656" s="61">
        <v>44591</v>
      </c>
      <c r="AD656" s="60">
        <v>0</v>
      </c>
      <c r="AG656" s="60">
        <v>0</v>
      </c>
      <c r="AJ656" s="60">
        <v>0</v>
      </c>
      <c r="AN656" s="60" t="s">
        <v>309</v>
      </c>
      <c r="AQ656" s="60" t="s">
        <v>2115</v>
      </c>
      <c r="AR656" s="61">
        <v>44595</v>
      </c>
      <c r="AS656" s="60">
        <v>6001988897</v>
      </c>
      <c r="AT656" s="61">
        <v>44595</v>
      </c>
      <c r="AU656" s="60" t="s">
        <v>2163</v>
      </c>
      <c r="AV656" s="61">
        <v>44599</v>
      </c>
      <c r="AW656" s="91">
        <v>44620</v>
      </c>
      <c r="AX656" s="91">
        <v>44640</v>
      </c>
      <c r="AY656" s="99">
        <v>33600</v>
      </c>
      <c r="AZ656" s="99">
        <f>ROUNDDOWN(AY656+(AY656*MASTER!$A$2/100),0)</f>
        <v>36960</v>
      </c>
      <c r="BA656" s="60" t="s">
        <v>318</v>
      </c>
      <c r="BB656" s="64">
        <v>44000</v>
      </c>
      <c r="BC656" s="64">
        <v>48400</v>
      </c>
      <c r="BD656" s="60" t="s">
        <v>1614</v>
      </c>
      <c r="BG656" s="64">
        <v>0</v>
      </c>
      <c r="BK656" s="64">
        <v>0</v>
      </c>
      <c r="BS656" s="64">
        <v>0</v>
      </c>
      <c r="BV656" s="65">
        <v>38500</v>
      </c>
      <c r="BW656" s="65">
        <v>48400</v>
      </c>
      <c r="BX656" s="65">
        <v>44587</v>
      </c>
      <c r="BY656" s="65">
        <v>-9900</v>
      </c>
      <c r="BZ656" s="81">
        <v>-25.714285714285712</v>
      </c>
    </row>
    <row r="657" spans="1:89" x14ac:dyDescent="0.15">
      <c r="A657" s="60">
        <v>1</v>
      </c>
      <c r="B657" s="61">
        <v>44594</v>
      </c>
      <c r="C657" s="61">
        <v>44596</v>
      </c>
      <c r="F657" s="61" t="s">
        <v>309</v>
      </c>
      <c r="G657" s="61">
        <v>44592</v>
      </c>
      <c r="H657" s="61" t="s">
        <v>309</v>
      </c>
      <c r="J657" s="60">
        <v>2</v>
      </c>
      <c r="L657" s="60">
        <v>0</v>
      </c>
      <c r="M657" s="61">
        <v>44588</v>
      </c>
      <c r="O657" s="62" t="s">
        <v>331</v>
      </c>
      <c r="P657" s="60" t="s">
        <v>6</v>
      </c>
      <c r="Q657" s="62" t="s">
        <v>40</v>
      </c>
      <c r="R657" s="62" t="s">
        <v>2060</v>
      </c>
      <c r="S657" s="63" t="s">
        <v>1129</v>
      </c>
      <c r="T657" s="63" t="s">
        <v>364</v>
      </c>
      <c r="U657" s="64">
        <v>51000</v>
      </c>
      <c r="V657" s="64">
        <v>56100</v>
      </c>
      <c r="W657" s="64">
        <v>51000</v>
      </c>
      <c r="X657" s="64">
        <v>56100</v>
      </c>
      <c r="Z657" s="64">
        <v>0</v>
      </c>
      <c r="AA657" s="61">
        <v>44591</v>
      </c>
      <c r="AB657" s="61">
        <v>44591</v>
      </c>
      <c r="AD657" s="60">
        <v>0</v>
      </c>
      <c r="AG657" s="60">
        <v>0</v>
      </c>
      <c r="AJ657" s="60">
        <v>0</v>
      </c>
      <c r="AN657" s="60" t="s">
        <v>309</v>
      </c>
      <c r="AQ657" s="60" t="s">
        <v>2064</v>
      </c>
      <c r="AR657" s="61">
        <v>44593</v>
      </c>
      <c r="AS657" s="60">
        <v>6001987752</v>
      </c>
      <c r="AT657" s="61">
        <v>44593</v>
      </c>
      <c r="AU657" s="60" t="s">
        <v>2078</v>
      </c>
      <c r="AV657" s="61">
        <v>44596</v>
      </c>
      <c r="AW657" s="91">
        <v>44620</v>
      </c>
      <c r="AX657" s="91">
        <v>44640</v>
      </c>
      <c r="AY657" s="99">
        <v>48960</v>
      </c>
      <c r="AZ657" s="99">
        <f>ROUNDDOWN(AY657+(AY657*MASTER!$A$2/100),0)</f>
        <v>53856</v>
      </c>
      <c r="BA657" s="60" t="s">
        <v>317</v>
      </c>
      <c r="BB657" s="64">
        <v>24000</v>
      </c>
      <c r="BC657" s="64">
        <v>26400</v>
      </c>
      <c r="BD657" s="60" t="s">
        <v>1614</v>
      </c>
      <c r="BG657" s="64">
        <v>0</v>
      </c>
      <c r="BK657" s="64">
        <v>0</v>
      </c>
      <c r="BS657" s="64">
        <v>0</v>
      </c>
      <c r="BV657" s="65">
        <v>56100</v>
      </c>
      <c r="BW657" s="65">
        <v>26400</v>
      </c>
      <c r="BX657" s="65">
        <v>44588</v>
      </c>
      <c r="BY657" s="65">
        <v>29700</v>
      </c>
      <c r="BZ657" s="81">
        <v>52.941176470588239</v>
      </c>
    </row>
    <row r="658" spans="1:89" x14ac:dyDescent="0.15">
      <c r="A658" s="60">
        <v>2</v>
      </c>
      <c r="B658" s="61">
        <v>44594</v>
      </c>
      <c r="C658" s="61">
        <v>44596</v>
      </c>
      <c r="D658" s="61">
        <v>44592</v>
      </c>
      <c r="E658" s="61">
        <v>44592</v>
      </c>
      <c r="F658" s="61" t="s">
        <v>309</v>
      </c>
      <c r="G658" s="61">
        <v>44592</v>
      </c>
      <c r="H658" s="61" t="s">
        <v>309</v>
      </c>
      <c r="I658" s="60" t="s">
        <v>766</v>
      </c>
      <c r="J658" s="60">
        <v>2</v>
      </c>
      <c r="L658" s="60">
        <v>0</v>
      </c>
      <c r="M658" s="61">
        <v>44588</v>
      </c>
      <c r="O658" s="62" t="s">
        <v>331</v>
      </c>
      <c r="P658" s="60" t="s">
        <v>6</v>
      </c>
      <c r="Q658" s="62" t="s">
        <v>40</v>
      </c>
      <c r="R658" s="62" t="s">
        <v>2059</v>
      </c>
      <c r="S658" s="63" t="s">
        <v>1061</v>
      </c>
      <c r="T658" s="63" t="s">
        <v>364</v>
      </c>
      <c r="U658" s="64">
        <v>35000</v>
      </c>
      <c r="V658" s="64">
        <v>38500</v>
      </c>
      <c r="W658" s="64">
        <v>35000</v>
      </c>
      <c r="X658" s="64">
        <v>38500</v>
      </c>
      <c r="Z658" s="64">
        <v>0</v>
      </c>
      <c r="AA658" s="61">
        <v>44589</v>
      </c>
      <c r="AB658" s="61">
        <v>44589</v>
      </c>
      <c r="AD658" s="60">
        <v>0</v>
      </c>
      <c r="AG658" s="60">
        <v>0</v>
      </c>
      <c r="AJ658" s="60">
        <v>0</v>
      </c>
      <c r="AN658" s="60" t="s">
        <v>309</v>
      </c>
      <c r="AQ658" s="60" t="s">
        <v>2065</v>
      </c>
      <c r="AR658" s="61">
        <v>44593</v>
      </c>
      <c r="AS658" s="60">
        <v>6001987752</v>
      </c>
      <c r="AT658" s="61">
        <v>44593</v>
      </c>
      <c r="AU658" s="60" t="s">
        <v>2078</v>
      </c>
      <c r="AV658" s="61">
        <v>44596</v>
      </c>
      <c r="AW658" s="91">
        <v>44620</v>
      </c>
      <c r="AX658" s="91">
        <v>44640</v>
      </c>
      <c r="AY658" s="99">
        <v>33600</v>
      </c>
      <c r="AZ658" s="99">
        <f>ROUNDDOWN(AY658+(AY658*MASTER!$A$2/100),0)</f>
        <v>36960</v>
      </c>
      <c r="BA658" s="60" t="s">
        <v>318</v>
      </c>
      <c r="BB658" s="64">
        <v>22000</v>
      </c>
      <c r="BC658" s="64">
        <v>24200</v>
      </c>
      <c r="BD658" s="60" t="s">
        <v>1614</v>
      </c>
      <c r="BG658" s="64">
        <v>0</v>
      </c>
      <c r="BK658" s="64">
        <v>0</v>
      </c>
      <c r="BS658" s="64">
        <v>0</v>
      </c>
      <c r="BV658" s="65">
        <v>38500</v>
      </c>
      <c r="BW658" s="65">
        <v>24200</v>
      </c>
      <c r="BX658" s="65">
        <v>44588</v>
      </c>
      <c r="BY658" s="65">
        <v>14300</v>
      </c>
      <c r="BZ658" s="81">
        <v>37.142857142857146</v>
      </c>
    </row>
    <row r="659" spans="1:89" s="152" customFormat="1" x14ac:dyDescent="0.15">
      <c r="A659" s="142">
        <v>3</v>
      </c>
      <c r="B659" s="143"/>
      <c r="C659" s="143" t="s">
        <v>309</v>
      </c>
      <c r="D659" s="143"/>
      <c r="E659" s="143"/>
      <c r="F659" s="143" t="s">
        <v>309</v>
      </c>
      <c r="G659" s="143"/>
      <c r="H659" s="143" t="s">
        <v>309</v>
      </c>
      <c r="I659" s="142"/>
      <c r="J659" s="142">
        <v>2</v>
      </c>
      <c r="K659" s="143"/>
      <c r="L659" s="142">
        <v>0</v>
      </c>
      <c r="M659" s="143">
        <v>44588</v>
      </c>
      <c r="N659" s="61"/>
      <c r="O659" s="144" t="s">
        <v>331</v>
      </c>
      <c r="P659" s="142" t="s">
        <v>6</v>
      </c>
      <c r="Q659" s="144" t="s">
        <v>40</v>
      </c>
      <c r="R659" s="144" t="s">
        <v>2930</v>
      </c>
      <c r="S659" s="145" t="s">
        <v>702</v>
      </c>
      <c r="T659" s="145" t="s">
        <v>364</v>
      </c>
      <c r="U659" s="146">
        <v>110000</v>
      </c>
      <c r="V659" s="146">
        <v>121000</v>
      </c>
      <c r="W659" s="146">
        <v>110000</v>
      </c>
      <c r="X659" s="146">
        <v>121000</v>
      </c>
      <c r="Y659" s="146">
        <v>0</v>
      </c>
      <c r="Z659" s="146">
        <v>0</v>
      </c>
      <c r="AA659" s="143"/>
      <c r="AB659" s="143"/>
      <c r="AC659" s="143"/>
      <c r="AD659" s="142">
        <v>0</v>
      </c>
      <c r="AE659" s="142"/>
      <c r="AF659" s="142"/>
      <c r="AG659" s="142">
        <v>0</v>
      </c>
      <c r="AH659" s="142"/>
      <c r="AI659" s="142"/>
      <c r="AJ659" s="142">
        <v>0</v>
      </c>
      <c r="AK659" s="142"/>
      <c r="AL659" s="142"/>
      <c r="AM659" s="142"/>
      <c r="AN659" s="142" t="s">
        <v>309</v>
      </c>
      <c r="AO659" s="143"/>
      <c r="AP659" s="142"/>
      <c r="AQ659" s="142"/>
      <c r="AR659" s="143"/>
      <c r="AS659" s="142"/>
      <c r="AT659" s="143"/>
      <c r="AU659" s="142"/>
      <c r="AV659" s="143"/>
      <c r="AW659" s="147"/>
      <c r="AX659" s="147"/>
      <c r="AY659" s="148">
        <v>105600</v>
      </c>
      <c r="AZ659" s="148">
        <f>ROUNDDOWN(AY659+(AY659*MASTER!$A$2/100),0)</f>
        <v>116160</v>
      </c>
      <c r="BA659" s="142"/>
      <c r="BB659" s="146"/>
      <c r="BC659" s="146">
        <v>0</v>
      </c>
      <c r="BD659" s="142"/>
      <c r="BE659" s="142"/>
      <c r="BF659" s="146"/>
      <c r="BG659" s="146">
        <v>0</v>
      </c>
      <c r="BH659" s="142"/>
      <c r="BI659" s="142"/>
      <c r="BJ659" s="146"/>
      <c r="BK659" s="146">
        <v>0</v>
      </c>
      <c r="BL659" s="142"/>
      <c r="BM659" s="146"/>
      <c r="BN659" s="146"/>
      <c r="BO659" s="146"/>
      <c r="BP659" s="146"/>
      <c r="BQ659" s="146"/>
      <c r="BR659" s="146"/>
      <c r="BS659" s="146">
        <v>0</v>
      </c>
      <c r="BT659" s="149"/>
      <c r="BU659" s="149"/>
      <c r="BV659" s="150">
        <v>121000</v>
      </c>
      <c r="BW659" s="150">
        <v>0</v>
      </c>
      <c r="BX659" s="150">
        <v>44588</v>
      </c>
      <c r="BY659" s="150">
        <v>121000</v>
      </c>
      <c r="BZ659" s="151">
        <v>100</v>
      </c>
      <c r="CA659" s="142"/>
      <c r="CB659" s="142"/>
      <c r="CC659" s="142"/>
      <c r="CD659" s="145" t="s">
        <v>2660</v>
      </c>
      <c r="CE659" s="143"/>
      <c r="CF659" s="143"/>
      <c r="CG659" s="143"/>
      <c r="CH659" s="143"/>
      <c r="CI659" s="143"/>
      <c r="CJ659" s="143"/>
      <c r="CK659" s="146"/>
    </row>
    <row r="660" spans="1:89" s="152" customFormat="1" x14ac:dyDescent="0.15">
      <c r="A660" s="142">
        <v>3</v>
      </c>
      <c r="B660" s="143"/>
      <c r="C660" s="143" t="s">
        <v>309</v>
      </c>
      <c r="D660" s="143"/>
      <c r="E660" s="143"/>
      <c r="F660" s="143" t="s">
        <v>309</v>
      </c>
      <c r="G660" s="143"/>
      <c r="H660" s="143" t="s">
        <v>309</v>
      </c>
      <c r="I660" s="142"/>
      <c r="J660" s="142">
        <v>2</v>
      </c>
      <c r="K660" s="143"/>
      <c r="L660" s="142">
        <v>0</v>
      </c>
      <c r="M660" s="143">
        <v>44588</v>
      </c>
      <c r="N660" s="143"/>
      <c r="O660" s="144" t="s">
        <v>331</v>
      </c>
      <c r="P660" s="142" t="s">
        <v>6</v>
      </c>
      <c r="Q660" s="144" t="s">
        <v>40</v>
      </c>
      <c r="R660" s="144" t="s">
        <v>2666</v>
      </c>
      <c r="S660" s="145" t="s">
        <v>1023</v>
      </c>
      <c r="T660" s="145" t="s">
        <v>364</v>
      </c>
      <c r="U660" s="146">
        <v>35000</v>
      </c>
      <c r="V660" s="146">
        <v>38500</v>
      </c>
      <c r="W660" s="146">
        <v>35000</v>
      </c>
      <c r="X660" s="146">
        <v>38500</v>
      </c>
      <c r="Y660" s="146">
        <v>0</v>
      </c>
      <c r="Z660" s="146">
        <v>0</v>
      </c>
      <c r="AA660" s="143"/>
      <c r="AB660" s="143"/>
      <c r="AC660" s="143"/>
      <c r="AD660" s="142">
        <v>0</v>
      </c>
      <c r="AE660" s="142"/>
      <c r="AF660" s="142"/>
      <c r="AG660" s="142">
        <v>0</v>
      </c>
      <c r="AH660" s="142"/>
      <c r="AI660" s="142"/>
      <c r="AJ660" s="142">
        <v>0</v>
      </c>
      <c r="AK660" s="142"/>
      <c r="AL660" s="142"/>
      <c r="AM660" s="142"/>
      <c r="AN660" s="142" t="s">
        <v>309</v>
      </c>
      <c r="AO660" s="143"/>
      <c r="AP660" s="142"/>
      <c r="AQ660" s="142"/>
      <c r="AR660" s="143"/>
      <c r="AS660" s="142"/>
      <c r="AT660" s="143"/>
      <c r="AU660" s="142"/>
      <c r="AV660" s="143"/>
      <c r="AW660" s="147"/>
      <c r="AX660" s="147"/>
      <c r="AY660" s="148">
        <v>33600</v>
      </c>
      <c r="AZ660" s="148">
        <f>ROUNDDOWN(AY660+(AY660*MASTER!$A$2/100),0)</f>
        <v>36960</v>
      </c>
      <c r="BA660" s="142"/>
      <c r="BB660" s="146"/>
      <c r="BC660" s="146">
        <v>0</v>
      </c>
      <c r="BD660" s="142"/>
      <c r="BE660" s="142"/>
      <c r="BF660" s="146"/>
      <c r="BG660" s="146">
        <v>0</v>
      </c>
      <c r="BH660" s="142"/>
      <c r="BI660" s="142"/>
      <c r="BJ660" s="146"/>
      <c r="BK660" s="146">
        <v>0</v>
      </c>
      <c r="BL660" s="142"/>
      <c r="BM660" s="146"/>
      <c r="BN660" s="146"/>
      <c r="BO660" s="146"/>
      <c r="BP660" s="146"/>
      <c r="BQ660" s="146"/>
      <c r="BR660" s="146"/>
      <c r="BS660" s="146">
        <v>0</v>
      </c>
      <c r="BT660" s="149"/>
      <c r="BU660" s="149"/>
      <c r="BV660" s="150">
        <v>38500</v>
      </c>
      <c r="BW660" s="150">
        <v>0</v>
      </c>
      <c r="BX660" s="150">
        <v>44588</v>
      </c>
      <c r="BY660" s="150">
        <v>38500</v>
      </c>
      <c r="BZ660" s="151">
        <v>100</v>
      </c>
      <c r="CA660" s="142"/>
      <c r="CB660" s="142"/>
      <c r="CC660" s="142"/>
      <c r="CD660" s="145" t="s">
        <v>2660</v>
      </c>
      <c r="CE660" s="143"/>
      <c r="CF660" s="143"/>
      <c r="CG660" s="143"/>
      <c r="CH660" s="143"/>
      <c r="CI660" s="143"/>
      <c r="CJ660" s="143"/>
      <c r="CK660" s="146"/>
    </row>
    <row r="661" spans="1:89" x14ac:dyDescent="0.15">
      <c r="A661" s="60">
        <v>2</v>
      </c>
      <c r="B661" s="61">
        <v>44594</v>
      </c>
      <c r="C661" s="61">
        <v>44596</v>
      </c>
      <c r="D661" s="61">
        <v>44588</v>
      </c>
      <c r="E661" s="61">
        <v>44588</v>
      </c>
      <c r="F661" s="61" t="s">
        <v>309</v>
      </c>
      <c r="G661" s="61">
        <v>44588</v>
      </c>
      <c r="H661" s="61" t="s">
        <v>309</v>
      </c>
      <c r="I661" s="60" t="s">
        <v>494</v>
      </c>
      <c r="J661" s="60">
        <v>2</v>
      </c>
      <c r="L661" s="60">
        <v>0</v>
      </c>
      <c r="M661" s="61">
        <v>44588</v>
      </c>
      <c r="O661" s="62" t="s">
        <v>331</v>
      </c>
      <c r="P661" s="60" t="s">
        <v>6</v>
      </c>
      <c r="Q661" s="62" t="s">
        <v>40</v>
      </c>
      <c r="R661" s="62" t="s">
        <v>2001</v>
      </c>
      <c r="S661" s="63" t="s">
        <v>1542</v>
      </c>
      <c r="T661" s="63" t="s">
        <v>364</v>
      </c>
      <c r="U661" s="64">
        <v>35000</v>
      </c>
      <c r="V661" s="64">
        <v>38500</v>
      </c>
      <c r="W661" s="64">
        <v>35000</v>
      </c>
      <c r="X661" s="64">
        <v>38500</v>
      </c>
      <c r="Z661" s="64">
        <v>0</v>
      </c>
      <c r="AA661" s="61">
        <v>44587</v>
      </c>
      <c r="AB661" s="61">
        <v>44587</v>
      </c>
      <c r="AD661" s="60">
        <v>0</v>
      </c>
      <c r="AG661" s="60">
        <v>0</v>
      </c>
      <c r="AJ661" s="60">
        <v>0</v>
      </c>
      <c r="AN661" s="60" t="s">
        <v>309</v>
      </c>
      <c r="AQ661" s="60" t="s">
        <v>2066</v>
      </c>
      <c r="AR661" s="61">
        <v>44593</v>
      </c>
      <c r="AS661" s="60">
        <v>6001987752</v>
      </c>
      <c r="AT661" s="61">
        <v>44593</v>
      </c>
      <c r="AU661" s="60" t="s">
        <v>2078</v>
      </c>
      <c r="AV661" s="61">
        <v>44596</v>
      </c>
      <c r="AW661" s="91">
        <v>44620</v>
      </c>
      <c r="AX661" s="91">
        <v>44640</v>
      </c>
      <c r="AY661" s="99">
        <v>33600</v>
      </c>
      <c r="AZ661" s="99">
        <f>ROUNDDOWN(AY661+(AY661*MASTER!$A$2/100),0)</f>
        <v>36960</v>
      </c>
      <c r="BA661" s="60" t="s">
        <v>314</v>
      </c>
      <c r="BB661" s="64">
        <v>28000</v>
      </c>
      <c r="BC661" s="64">
        <v>30800</v>
      </c>
      <c r="BD661" s="60" t="s">
        <v>1614</v>
      </c>
      <c r="BG661" s="64">
        <v>0</v>
      </c>
      <c r="BK661" s="64">
        <v>0</v>
      </c>
      <c r="BS661" s="64">
        <v>0</v>
      </c>
      <c r="BV661" s="65">
        <v>38500</v>
      </c>
      <c r="BW661" s="65">
        <v>30800</v>
      </c>
      <c r="BX661" s="65">
        <v>44588</v>
      </c>
      <c r="BY661" s="65">
        <v>7700</v>
      </c>
      <c r="BZ661" s="81">
        <v>20</v>
      </c>
    </row>
    <row r="662" spans="1:89" x14ac:dyDescent="0.15">
      <c r="A662" s="60">
        <v>2</v>
      </c>
      <c r="C662" s="61" t="s">
        <v>309</v>
      </c>
      <c r="F662" s="61" t="s">
        <v>309</v>
      </c>
      <c r="H662" s="61" t="s">
        <v>309</v>
      </c>
      <c r="J662" s="60">
        <v>4</v>
      </c>
      <c r="L662" s="60">
        <v>0</v>
      </c>
      <c r="M662" s="61">
        <v>44588</v>
      </c>
      <c r="O662" s="62" t="s">
        <v>331</v>
      </c>
      <c r="P662" s="60" t="s">
        <v>263</v>
      </c>
      <c r="Q662" s="62" t="s">
        <v>40</v>
      </c>
      <c r="R662" s="62" t="s">
        <v>1980</v>
      </c>
      <c r="S662" s="63" t="s">
        <v>354</v>
      </c>
      <c r="T662" s="63" t="s">
        <v>1981</v>
      </c>
      <c r="U662" s="64">
        <v>0</v>
      </c>
      <c r="V662" s="64">
        <v>0</v>
      </c>
      <c r="W662" s="64">
        <v>0</v>
      </c>
      <c r="X662" s="64">
        <v>0</v>
      </c>
      <c r="Y662" s="64">
        <v>0</v>
      </c>
      <c r="Z662" s="64">
        <v>0</v>
      </c>
      <c r="AA662" s="61">
        <v>44562</v>
      </c>
      <c r="AB662" s="61">
        <v>44592</v>
      </c>
      <c r="AD662" s="60">
        <v>0</v>
      </c>
      <c r="AG662" s="60">
        <v>0</v>
      </c>
      <c r="AJ662" s="60">
        <v>0</v>
      </c>
      <c r="AN662" s="60" t="s">
        <v>309</v>
      </c>
      <c r="AY662" s="99">
        <f>ROUNDDOWN((0.96*U662),0)</f>
        <v>0</v>
      </c>
      <c r="AZ662" s="99">
        <f>ROUNDDOWN(AY662+(AY662*MASTER!$A$2/100),0)</f>
        <v>0</v>
      </c>
      <c r="BA662" s="60" t="s">
        <v>318</v>
      </c>
      <c r="BB662" s="64">
        <v>10000</v>
      </c>
      <c r="BC662" s="64">
        <v>11000</v>
      </c>
      <c r="BD662" s="60" t="s">
        <v>1614</v>
      </c>
      <c r="BG662" s="64">
        <v>0</v>
      </c>
      <c r="BK662" s="64">
        <v>0</v>
      </c>
      <c r="BS662" s="64">
        <v>0</v>
      </c>
      <c r="BV662" s="65">
        <v>0</v>
      </c>
      <c r="BW662" s="65">
        <v>11000</v>
      </c>
      <c r="BX662" s="65">
        <v>44588</v>
      </c>
      <c r="BY662" s="65">
        <v>-11000</v>
      </c>
      <c r="BZ662" s="81" t="s">
        <v>309</v>
      </c>
    </row>
    <row r="663" spans="1:89" x14ac:dyDescent="0.15">
      <c r="A663" s="60">
        <v>2</v>
      </c>
      <c r="B663" s="61">
        <v>44637</v>
      </c>
      <c r="C663" s="61">
        <v>44651</v>
      </c>
      <c r="D663" s="61">
        <v>44659</v>
      </c>
      <c r="F663" s="61" t="s">
        <v>309</v>
      </c>
      <c r="G663" s="61">
        <v>44648</v>
      </c>
      <c r="H663" s="61" t="s">
        <v>309</v>
      </c>
      <c r="J663" s="60">
        <v>2</v>
      </c>
      <c r="L663" s="60">
        <v>0</v>
      </c>
      <c r="M663" s="61">
        <v>44588</v>
      </c>
      <c r="O663" s="62" t="s">
        <v>331</v>
      </c>
      <c r="P663" s="60" t="s">
        <v>26</v>
      </c>
      <c r="Q663" s="62" t="s">
        <v>40</v>
      </c>
      <c r="R663" s="62" t="s">
        <v>1986</v>
      </c>
      <c r="S663" s="63" t="s">
        <v>1233</v>
      </c>
      <c r="T663" s="63" t="s">
        <v>1524</v>
      </c>
      <c r="U663" s="64">
        <v>78600</v>
      </c>
      <c r="V663" s="64">
        <v>86460</v>
      </c>
      <c r="W663" s="64">
        <v>78600</v>
      </c>
      <c r="X663" s="64">
        <v>86460</v>
      </c>
      <c r="Y663" s="64">
        <v>0</v>
      </c>
      <c r="Z663" s="64">
        <v>0</v>
      </c>
      <c r="AA663" s="61">
        <v>44647</v>
      </c>
      <c r="AB663" s="61">
        <v>44647</v>
      </c>
      <c r="AD663" s="60">
        <v>0</v>
      </c>
      <c r="AG663" s="60">
        <v>0</v>
      </c>
      <c r="AJ663" s="60">
        <v>0</v>
      </c>
      <c r="AQ663" s="60" t="s">
        <v>2098</v>
      </c>
      <c r="AR663" s="61">
        <v>44594</v>
      </c>
      <c r="AS663" s="60">
        <v>6001988591</v>
      </c>
      <c r="AT663" s="61">
        <v>44595</v>
      </c>
      <c r="AU663" s="60" t="s">
        <v>2149</v>
      </c>
      <c r="AV663" s="61">
        <v>44651</v>
      </c>
      <c r="AW663" s="91">
        <v>44651</v>
      </c>
      <c r="AX663" s="91">
        <v>44671</v>
      </c>
      <c r="AY663" s="107">
        <v>78600</v>
      </c>
      <c r="AZ663" s="107">
        <f>ROUNDDOWN(AY663+(AY663*MASTER!$A$2/100),0)</f>
        <v>86460</v>
      </c>
      <c r="BA663" s="60" t="s">
        <v>318</v>
      </c>
      <c r="BB663" s="64">
        <v>52000</v>
      </c>
      <c r="BC663" s="64">
        <v>57200</v>
      </c>
      <c r="BD663" s="60" t="s">
        <v>2107</v>
      </c>
      <c r="BG663" s="64">
        <v>0</v>
      </c>
      <c r="BK663" s="64">
        <v>0</v>
      </c>
      <c r="BS663" s="64">
        <v>0</v>
      </c>
      <c r="BV663" s="65">
        <v>86460</v>
      </c>
      <c r="BW663" s="65">
        <v>57200</v>
      </c>
      <c r="BX663" s="65">
        <v>44588</v>
      </c>
      <c r="BY663" s="65">
        <v>29260</v>
      </c>
      <c r="BZ663" s="81">
        <v>33.842239185750635</v>
      </c>
    </row>
    <row r="664" spans="1:89" x14ac:dyDescent="0.15">
      <c r="A664" s="60">
        <v>2</v>
      </c>
      <c r="B664" s="61">
        <v>44602</v>
      </c>
      <c r="C664" s="61">
        <v>44620</v>
      </c>
      <c r="D664" s="61">
        <v>44624</v>
      </c>
      <c r="F664" s="61" t="s">
        <v>309</v>
      </c>
      <c r="G664" s="61">
        <v>44634</v>
      </c>
      <c r="H664" s="61" t="s">
        <v>309</v>
      </c>
      <c r="J664" s="60">
        <v>2</v>
      </c>
      <c r="L664" s="60">
        <v>0</v>
      </c>
      <c r="M664" s="61">
        <v>44588</v>
      </c>
      <c r="O664" s="62" t="s">
        <v>331</v>
      </c>
      <c r="P664" s="60" t="s">
        <v>26</v>
      </c>
      <c r="Q664" s="62" t="s">
        <v>40</v>
      </c>
      <c r="R664" s="62" t="s">
        <v>2278</v>
      </c>
      <c r="S664" s="63" t="s">
        <v>714</v>
      </c>
      <c r="T664" s="63" t="s">
        <v>1524</v>
      </c>
      <c r="U664" s="64">
        <v>78600</v>
      </c>
      <c r="V664" s="64">
        <v>86460</v>
      </c>
      <c r="W664" s="64">
        <v>78600</v>
      </c>
      <c r="X664" s="64">
        <v>86460</v>
      </c>
      <c r="Y664" s="64">
        <v>0</v>
      </c>
      <c r="Z664" s="64">
        <v>0</v>
      </c>
      <c r="AA664" s="61">
        <v>44609</v>
      </c>
      <c r="AB664" s="61">
        <v>44609</v>
      </c>
      <c r="AD664" s="60">
        <v>0</v>
      </c>
      <c r="AG664" s="60">
        <v>0</v>
      </c>
      <c r="AJ664" s="60">
        <v>0</v>
      </c>
      <c r="AQ664" s="60" t="s">
        <v>2099</v>
      </c>
      <c r="AR664" s="61">
        <v>44594</v>
      </c>
      <c r="AS664" s="60">
        <v>6001988591</v>
      </c>
      <c r="AT664" s="61">
        <v>44595</v>
      </c>
      <c r="AU664" s="60" t="s">
        <v>2149</v>
      </c>
      <c r="AV664" s="61">
        <v>44620</v>
      </c>
      <c r="AW664" s="91">
        <v>44620</v>
      </c>
      <c r="AX664" s="91">
        <v>44640</v>
      </c>
      <c r="AY664" s="107">
        <v>78600</v>
      </c>
      <c r="AZ664" s="107">
        <f>ROUNDDOWN(AY664+(AY664*MASTER!$A$2/100),0)</f>
        <v>86460</v>
      </c>
      <c r="BA664" s="60" t="s">
        <v>317</v>
      </c>
      <c r="BB664" s="64">
        <v>40000</v>
      </c>
      <c r="BC664" s="64">
        <v>44000</v>
      </c>
      <c r="BD664" s="60" t="s">
        <v>2044</v>
      </c>
      <c r="BG664" s="64">
        <v>0</v>
      </c>
      <c r="BK664" s="64">
        <v>0</v>
      </c>
      <c r="BS664" s="64">
        <v>0</v>
      </c>
      <c r="BV664" s="65">
        <v>86460</v>
      </c>
      <c r="BW664" s="65">
        <v>44000</v>
      </c>
      <c r="BX664" s="65">
        <v>44588</v>
      </c>
      <c r="BY664" s="65">
        <v>42460</v>
      </c>
      <c r="BZ664" s="81">
        <v>49.109414758269722</v>
      </c>
    </row>
    <row r="665" spans="1:89" x14ac:dyDescent="0.15">
      <c r="A665" s="60">
        <v>2</v>
      </c>
      <c r="B665" s="61">
        <v>44602</v>
      </c>
      <c r="C665" s="61">
        <v>44620</v>
      </c>
      <c r="D665" s="61">
        <v>44624</v>
      </c>
      <c r="F665" s="61" t="s">
        <v>309</v>
      </c>
      <c r="G665" s="61">
        <v>44608</v>
      </c>
      <c r="H665" s="61" t="s">
        <v>309</v>
      </c>
      <c r="J665" s="60">
        <v>2</v>
      </c>
      <c r="L665" s="60">
        <v>0</v>
      </c>
      <c r="M665" s="61">
        <v>44588</v>
      </c>
      <c r="O665" s="62" t="s">
        <v>331</v>
      </c>
      <c r="P665" s="60" t="s">
        <v>26</v>
      </c>
      <c r="Q665" s="62" t="s">
        <v>40</v>
      </c>
      <c r="R665" s="62" t="s">
        <v>2279</v>
      </c>
      <c r="S665" s="63" t="s">
        <v>1987</v>
      </c>
      <c r="T665" s="63" t="s">
        <v>1524</v>
      </c>
      <c r="U665" s="64">
        <v>78600</v>
      </c>
      <c r="V665" s="64">
        <v>86460</v>
      </c>
      <c r="W665" s="64">
        <v>78600</v>
      </c>
      <c r="X665" s="64">
        <v>86460</v>
      </c>
      <c r="Y665" s="64">
        <v>0</v>
      </c>
      <c r="Z665" s="64">
        <v>0</v>
      </c>
      <c r="AA665" s="61">
        <v>44608</v>
      </c>
      <c r="AB665" s="61">
        <v>44608</v>
      </c>
      <c r="AD665" s="60">
        <v>0</v>
      </c>
      <c r="AG665" s="60">
        <v>0</v>
      </c>
      <c r="AJ665" s="60">
        <v>0</v>
      </c>
      <c r="AQ665" s="60" t="s">
        <v>2099</v>
      </c>
      <c r="AR665" s="61">
        <v>44594</v>
      </c>
      <c r="AS665" s="60">
        <v>6001988591</v>
      </c>
      <c r="AT665" s="61">
        <v>44595</v>
      </c>
      <c r="AU665" s="60" t="s">
        <v>2149</v>
      </c>
      <c r="AV665" s="61">
        <v>44620</v>
      </c>
      <c r="AW665" s="91">
        <v>44620</v>
      </c>
      <c r="AX665" s="91">
        <v>44640</v>
      </c>
      <c r="AY665" s="107">
        <v>78600</v>
      </c>
      <c r="AZ665" s="107">
        <f>ROUNDDOWN(AY665+(AY665*MASTER!$A$2/100),0)</f>
        <v>86460</v>
      </c>
      <c r="BA665" s="60" t="s">
        <v>317</v>
      </c>
      <c r="BB665" s="64">
        <v>34000</v>
      </c>
      <c r="BC665" s="64">
        <v>37400</v>
      </c>
      <c r="BD665" s="60" t="s">
        <v>2044</v>
      </c>
      <c r="BG665" s="64">
        <v>0</v>
      </c>
      <c r="BK665" s="64">
        <v>0</v>
      </c>
      <c r="BS665" s="64">
        <v>0</v>
      </c>
      <c r="BV665" s="65">
        <v>86460</v>
      </c>
      <c r="BW665" s="65">
        <v>37400</v>
      </c>
      <c r="BX665" s="65">
        <v>44588</v>
      </c>
      <c r="BY665" s="65">
        <v>49060</v>
      </c>
      <c r="BZ665" s="81">
        <v>56.743002544529261</v>
      </c>
    </row>
    <row r="666" spans="1:89" x14ac:dyDescent="0.15">
      <c r="A666" s="60">
        <v>2</v>
      </c>
      <c r="B666" s="61">
        <v>44623</v>
      </c>
      <c r="C666" s="61">
        <v>44651</v>
      </c>
      <c r="D666" s="61">
        <v>44658</v>
      </c>
      <c r="F666" s="61" t="s">
        <v>309</v>
      </c>
      <c r="G666" s="61">
        <v>44638</v>
      </c>
      <c r="H666" s="61" t="s">
        <v>309</v>
      </c>
      <c r="J666" s="60">
        <v>2</v>
      </c>
      <c r="L666" s="60">
        <v>0</v>
      </c>
      <c r="M666" s="61">
        <v>44588</v>
      </c>
      <c r="O666" s="62" t="s">
        <v>331</v>
      </c>
      <c r="P666" s="60" t="s">
        <v>26</v>
      </c>
      <c r="Q666" s="62" t="s">
        <v>40</v>
      </c>
      <c r="R666" s="62" t="s">
        <v>2583</v>
      </c>
      <c r="S666" s="63" t="s">
        <v>685</v>
      </c>
      <c r="T666" s="63" t="s">
        <v>1524</v>
      </c>
      <c r="U666" s="64">
        <v>78600</v>
      </c>
      <c r="V666" s="64">
        <v>86460</v>
      </c>
      <c r="W666" s="64">
        <v>78600</v>
      </c>
      <c r="X666" s="64">
        <v>86460</v>
      </c>
      <c r="Y666" s="64">
        <v>0</v>
      </c>
      <c r="Z666" s="64">
        <v>0</v>
      </c>
      <c r="AA666" s="61">
        <v>44627</v>
      </c>
      <c r="AB666" s="61">
        <v>44627</v>
      </c>
      <c r="AD666" s="60">
        <v>0</v>
      </c>
      <c r="AG666" s="60">
        <v>0</v>
      </c>
      <c r="AJ666" s="60">
        <v>0</v>
      </c>
      <c r="AQ666" s="60" t="s">
        <v>2098</v>
      </c>
      <c r="AR666" s="61">
        <v>44594</v>
      </c>
      <c r="AS666" s="60">
        <v>6001988591</v>
      </c>
      <c r="AT666" s="61">
        <v>44595</v>
      </c>
      <c r="AU666" s="60" t="s">
        <v>2149</v>
      </c>
      <c r="AV666" s="61">
        <v>44651</v>
      </c>
      <c r="AW666" s="91">
        <v>44651</v>
      </c>
      <c r="AX666" s="91">
        <v>44671</v>
      </c>
      <c r="AY666" s="107">
        <v>78600</v>
      </c>
      <c r="AZ666" s="107">
        <f>ROUNDDOWN(AY666+(AY666*MASTER!$A$2/100),0)</f>
        <v>86460</v>
      </c>
      <c r="BA666" s="60" t="s">
        <v>317</v>
      </c>
      <c r="BB666" s="64">
        <v>41000</v>
      </c>
      <c r="BC666" s="64">
        <v>45100</v>
      </c>
      <c r="BD666" s="60" t="s">
        <v>2107</v>
      </c>
      <c r="BG666" s="64">
        <v>0</v>
      </c>
      <c r="BK666" s="64">
        <v>0</v>
      </c>
      <c r="BS666" s="64">
        <v>0</v>
      </c>
      <c r="BV666" s="65">
        <v>86460</v>
      </c>
      <c r="BW666" s="65">
        <v>45100</v>
      </c>
      <c r="BX666" s="65">
        <v>44588</v>
      </c>
      <c r="BY666" s="65">
        <v>41360</v>
      </c>
      <c r="BZ666" s="81">
        <v>47.837150127226465</v>
      </c>
    </row>
    <row r="667" spans="1:89" x14ac:dyDescent="0.15">
      <c r="A667" s="60">
        <v>2</v>
      </c>
      <c r="B667" s="61">
        <v>44602</v>
      </c>
      <c r="C667" s="61">
        <v>44620</v>
      </c>
      <c r="D667" s="61">
        <v>44624</v>
      </c>
      <c r="F667" s="61" t="s">
        <v>309</v>
      </c>
      <c r="G667" s="61">
        <v>44610</v>
      </c>
      <c r="H667" s="61" t="s">
        <v>309</v>
      </c>
      <c r="J667" s="60">
        <v>2</v>
      </c>
      <c r="L667" s="60">
        <v>0</v>
      </c>
      <c r="M667" s="61">
        <v>44588</v>
      </c>
      <c r="O667" s="62" t="s">
        <v>331</v>
      </c>
      <c r="P667" s="60" t="s">
        <v>26</v>
      </c>
      <c r="Q667" s="62" t="s">
        <v>40</v>
      </c>
      <c r="R667" s="62" t="s">
        <v>2280</v>
      </c>
      <c r="S667" s="63" t="s">
        <v>1988</v>
      </c>
      <c r="T667" s="63" t="s">
        <v>1524</v>
      </c>
      <c r="U667" s="64">
        <v>78600</v>
      </c>
      <c r="V667" s="64">
        <v>86460</v>
      </c>
      <c r="W667" s="64">
        <v>78600</v>
      </c>
      <c r="X667" s="64">
        <v>86460</v>
      </c>
      <c r="Y667" s="64">
        <v>0</v>
      </c>
      <c r="Z667" s="64">
        <v>0</v>
      </c>
      <c r="AA667" s="61">
        <v>44610</v>
      </c>
      <c r="AB667" s="61">
        <v>44610</v>
      </c>
      <c r="AD667" s="60">
        <v>0</v>
      </c>
      <c r="AG667" s="60">
        <v>0</v>
      </c>
      <c r="AJ667" s="60">
        <v>0</v>
      </c>
      <c r="AQ667" s="60" t="s">
        <v>2099</v>
      </c>
      <c r="AR667" s="61">
        <v>44594</v>
      </c>
      <c r="AS667" s="60">
        <v>6001988591</v>
      </c>
      <c r="AT667" s="61">
        <v>44595</v>
      </c>
      <c r="AU667" s="60" t="s">
        <v>2149</v>
      </c>
      <c r="AV667" s="61">
        <v>44620</v>
      </c>
      <c r="AW667" s="91">
        <v>44620</v>
      </c>
      <c r="AX667" s="91">
        <v>44640</v>
      </c>
      <c r="AY667" s="107">
        <v>78600</v>
      </c>
      <c r="AZ667" s="107">
        <f>ROUNDDOWN(AY667+(AY667*MASTER!$A$2/100),0)</f>
        <v>86460</v>
      </c>
      <c r="BA667" s="60" t="s">
        <v>317</v>
      </c>
      <c r="BB667" s="64">
        <v>38000</v>
      </c>
      <c r="BC667" s="64">
        <v>41800</v>
      </c>
      <c r="BD667" s="60" t="s">
        <v>2044</v>
      </c>
      <c r="BG667" s="64">
        <v>0</v>
      </c>
      <c r="BK667" s="64">
        <v>0</v>
      </c>
      <c r="BS667" s="64">
        <v>0</v>
      </c>
      <c r="BV667" s="65">
        <v>86460</v>
      </c>
      <c r="BW667" s="65">
        <v>41800</v>
      </c>
      <c r="BX667" s="65">
        <v>44588</v>
      </c>
      <c r="BY667" s="65">
        <v>44660</v>
      </c>
      <c r="BZ667" s="81">
        <v>51.653944020356235</v>
      </c>
    </row>
    <row r="668" spans="1:89" x14ac:dyDescent="0.15">
      <c r="A668" s="60">
        <v>2</v>
      </c>
      <c r="B668" s="61">
        <v>44637</v>
      </c>
      <c r="C668" s="61">
        <v>44651</v>
      </c>
      <c r="D668" s="61">
        <v>44664</v>
      </c>
      <c r="F668" s="61" t="s">
        <v>309</v>
      </c>
      <c r="G668" s="61">
        <v>44664</v>
      </c>
      <c r="H668" s="61" t="s">
        <v>309</v>
      </c>
      <c r="J668" s="60">
        <v>2</v>
      </c>
      <c r="L668" s="60">
        <v>0</v>
      </c>
      <c r="M668" s="61">
        <v>44588</v>
      </c>
      <c r="O668" s="62" t="s">
        <v>331</v>
      </c>
      <c r="P668" s="60" t="s">
        <v>26</v>
      </c>
      <c r="Q668" s="62" t="s">
        <v>40</v>
      </c>
      <c r="R668" s="62" t="s">
        <v>2818</v>
      </c>
      <c r="S668" s="63" t="s">
        <v>342</v>
      </c>
      <c r="T668" s="63" t="s">
        <v>1524</v>
      </c>
      <c r="U668" s="64">
        <v>78600</v>
      </c>
      <c r="V668" s="64">
        <v>86460</v>
      </c>
      <c r="W668" s="64">
        <v>78600</v>
      </c>
      <c r="X668" s="64">
        <v>86460</v>
      </c>
      <c r="Y668" s="64">
        <v>0</v>
      </c>
      <c r="Z668" s="64">
        <v>0</v>
      </c>
      <c r="AA668" s="61">
        <v>44661</v>
      </c>
      <c r="AB668" s="61">
        <v>44661</v>
      </c>
      <c r="AD668" s="60">
        <v>0</v>
      </c>
      <c r="AG668" s="60">
        <v>0</v>
      </c>
      <c r="AJ668" s="60">
        <v>0</v>
      </c>
      <c r="AQ668" s="60" t="s">
        <v>2098</v>
      </c>
      <c r="AR668" s="61">
        <v>44594</v>
      </c>
      <c r="AS668" s="60">
        <v>6001988591</v>
      </c>
      <c r="AT668" s="61">
        <v>44595</v>
      </c>
      <c r="AU668" s="60" t="s">
        <v>2149</v>
      </c>
      <c r="AV668" s="61">
        <v>44651</v>
      </c>
      <c r="AW668" s="91">
        <v>44651</v>
      </c>
      <c r="AX668" s="91">
        <v>44671</v>
      </c>
      <c r="AY668" s="107">
        <v>78600</v>
      </c>
      <c r="AZ668" s="107">
        <f>ROUNDDOWN(AY668+(AY668*MASTER!$A$2/100),0)</f>
        <v>86460</v>
      </c>
      <c r="BA668" s="60" t="s">
        <v>765</v>
      </c>
      <c r="BC668" s="64">
        <v>0</v>
      </c>
      <c r="BG668" s="64">
        <v>0</v>
      </c>
      <c r="BK668" s="64">
        <v>0</v>
      </c>
      <c r="BS668" s="64">
        <v>0</v>
      </c>
      <c r="BV668" s="65">
        <v>86460</v>
      </c>
      <c r="BW668" s="65">
        <v>0</v>
      </c>
      <c r="BX668" s="65">
        <v>44588</v>
      </c>
      <c r="BY668" s="65">
        <v>86460</v>
      </c>
      <c r="BZ668" s="81">
        <v>100</v>
      </c>
    </row>
    <row r="669" spans="1:89" x14ac:dyDescent="0.15">
      <c r="A669" s="60">
        <v>2</v>
      </c>
      <c r="B669" s="61">
        <v>44634</v>
      </c>
      <c r="C669" s="61">
        <v>44651</v>
      </c>
      <c r="D669" s="61">
        <v>44658</v>
      </c>
      <c r="F669" s="61" t="s">
        <v>309</v>
      </c>
      <c r="G669" s="61">
        <v>44642</v>
      </c>
      <c r="H669" s="61" t="s">
        <v>309</v>
      </c>
      <c r="J669" s="60">
        <v>2</v>
      </c>
      <c r="L669" s="60">
        <v>0</v>
      </c>
      <c r="M669" s="61">
        <v>44588</v>
      </c>
      <c r="O669" s="62" t="s">
        <v>331</v>
      </c>
      <c r="P669" s="60" t="s">
        <v>26</v>
      </c>
      <c r="Q669" s="62" t="s">
        <v>40</v>
      </c>
      <c r="R669" s="62" t="s">
        <v>2724</v>
      </c>
      <c r="S669" s="63" t="s">
        <v>1732</v>
      </c>
      <c r="T669" s="63" t="s">
        <v>1524</v>
      </c>
      <c r="U669" s="64">
        <v>78600</v>
      </c>
      <c r="V669" s="64">
        <v>86460</v>
      </c>
      <c r="W669" s="64">
        <v>78600</v>
      </c>
      <c r="X669" s="64">
        <v>86460</v>
      </c>
      <c r="Y669" s="64">
        <v>0</v>
      </c>
      <c r="Z669" s="64">
        <v>0</v>
      </c>
      <c r="AA669" s="61">
        <v>44638</v>
      </c>
      <c r="AB669" s="61">
        <v>44638</v>
      </c>
      <c r="AD669" s="60">
        <v>0</v>
      </c>
      <c r="AG669" s="60">
        <v>0</v>
      </c>
      <c r="AJ669" s="60">
        <v>0</v>
      </c>
      <c r="AQ669" s="60" t="s">
        <v>2098</v>
      </c>
      <c r="AR669" s="61">
        <v>44594</v>
      </c>
      <c r="AS669" s="60">
        <v>6001988591</v>
      </c>
      <c r="AT669" s="61">
        <v>44595</v>
      </c>
      <c r="AU669" s="60" t="s">
        <v>2149</v>
      </c>
      <c r="AV669" s="61">
        <v>44651</v>
      </c>
      <c r="AW669" s="91">
        <v>44651</v>
      </c>
      <c r="AX669" s="91">
        <v>44671</v>
      </c>
      <c r="AY669" s="107">
        <v>78600</v>
      </c>
      <c r="AZ669" s="107">
        <f>ROUNDDOWN(AY669+(AY669*MASTER!$A$2/100),0)</f>
        <v>86460</v>
      </c>
      <c r="BA669" s="60" t="s">
        <v>314</v>
      </c>
      <c r="BB669" s="64">
        <v>39000</v>
      </c>
      <c r="BC669" s="64">
        <v>42900</v>
      </c>
      <c r="BD669" s="60" t="s">
        <v>2107</v>
      </c>
      <c r="BG669" s="64">
        <v>0</v>
      </c>
      <c r="BK669" s="64">
        <v>0</v>
      </c>
      <c r="BS669" s="64">
        <v>0</v>
      </c>
      <c r="BV669" s="65">
        <v>86460</v>
      </c>
      <c r="BW669" s="65">
        <v>42900</v>
      </c>
      <c r="BX669" s="65">
        <v>44588</v>
      </c>
      <c r="BY669" s="65">
        <v>43560</v>
      </c>
      <c r="BZ669" s="81">
        <v>50.381679389312971</v>
      </c>
    </row>
    <row r="670" spans="1:89" x14ac:dyDescent="0.15">
      <c r="A670" s="60">
        <v>2</v>
      </c>
      <c r="B670" s="61">
        <v>44634</v>
      </c>
      <c r="C670" s="61">
        <v>44651</v>
      </c>
      <c r="D670" s="61">
        <v>44658</v>
      </c>
      <c r="F670" s="61" t="s">
        <v>309</v>
      </c>
      <c r="G670" s="61">
        <v>44637</v>
      </c>
      <c r="H670" s="61" t="s">
        <v>309</v>
      </c>
      <c r="J670" s="60">
        <v>2</v>
      </c>
      <c r="L670" s="60">
        <v>0</v>
      </c>
      <c r="M670" s="61">
        <v>44588</v>
      </c>
      <c r="O670" s="62" t="s">
        <v>331</v>
      </c>
      <c r="P670" s="60" t="s">
        <v>26</v>
      </c>
      <c r="Q670" s="62" t="s">
        <v>40</v>
      </c>
      <c r="R670" s="62" t="s">
        <v>2725</v>
      </c>
      <c r="S670" s="63" t="s">
        <v>666</v>
      </c>
      <c r="T670" s="63" t="s">
        <v>1524</v>
      </c>
      <c r="U670" s="64">
        <v>78600</v>
      </c>
      <c r="V670" s="64">
        <v>86460</v>
      </c>
      <c r="W670" s="64">
        <v>78600</v>
      </c>
      <c r="X670" s="64">
        <v>86460</v>
      </c>
      <c r="Y670" s="64">
        <v>0</v>
      </c>
      <c r="Z670" s="64">
        <v>0</v>
      </c>
      <c r="AA670" s="61">
        <v>44636</v>
      </c>
      <c r="AB670" s="61">
        <v>44636</v>
      </c>
      <c r="AD670" s="60">
        <v>0</v>
      </c>
      <c r="AG670" s="60">
        <v>0</v>
      </c>
      <c r="AJ670" s="60">
        <v>0</v>
      </c>
      <c r="AQ670" s="60" t="s">
        <v>2098</v>
      </c>
      <c r="AR670" s="61">
        <v>44594</v>
      </c>
      <c r="AS670" s="60">
        <v>6001988591</v>
      </c>
      <c r="AT670" s="61">
        <v>44595</v>
      </c>
      <c r="AU670" s="60" t="s">
        <v>2149</v>
      </c>
      <c r="AV670" s="61">
        <v>44651</v>
      </c>
      <c r="AW670" s="91">
        <v>44651</v>
      </c>
      <c r="AX670" s="91">
        <v>44671</v>
      </c>
      <c r="AY670" s="107">
        <v>78600</v>
      </c>
      <c r="AZ670" s="107">
        <f>ROUNDDOWN(AY670+(AY670*MASTER!$A$2/100),0)</f>
        <v>86460</v>
      </c>
      <c r="BA670" s="60" t="s">
        <v>314</v>
      </c>
      <c r="BB670" s="64">
        <v>32000</v>
      </c>
      <c r="BC670" s="64">
        <v>35200</v>
      </c>
      <c r="BD670" s="60" t="s">
        <v>2107</v>
      </c>
      <c r="BG670" s="64">
        <v>0</v>
      </c>
      <c r="BK670" s="64">
        <v>0</v>
      </c>
      <c r="BS670" s="64">
        <v>0</v>
      </c>
      <c r="BV670" s="65">
        <v>86460</v>
      </c>
      <c r="BW670" s="65">
        <v>35200</v>
      </c>
      <c r="BX670" s="65">
        <v>44588</v>
      </c>
      <c r="BY670" s="65">
        <v>51260</v>
      </c>
      <c r="BZ670" s="81">
        <v>59.287531806615782</v>
      </c>
    </row>
    <row r="671" spans="1:89" x14ac:dyDescent="0.15">
      <c r="A671" s="60">
        <v>2</v>
      </c>
      <c r="B671" s="61">
        <v>44627</v>
      </c>
      <c r="C671" s="61">
        <v>44651</v>
      </c>
      <c r="D671" s="61">
        <v>44658</v>
      </c>
      <c r="F671" s="61" t="s">
        <v>309</v>
      </c>
      <c r="G671" s="61">
        <v>44631</v>
      </c>
      <c r="H671" s="61" t="s">
        <v>309</v>
      </c>
      <c r="J671" s="60">
        <v>2</v>
      </c>
      <c r="L671" s="60">
        <v>0</v>
      </c>
      <c r="M671" s="61">
        <v>44588</v>
      </c>
      <c r="O671" s="62" t="s">
        <v>331</v>
      </c>
      <c r="P671" s="60" t="s">
        <v>26</v>
      </c>
      <c r="Q671" s="62" t="s">
        <v>40</v>
      </c>
      <c r="R671" s="62" t="s">
        <v>2608</v>
      </c>
      <c r="S671" s="63" t="s">
        <v>1989</v>
      </c>
      <c r="T671" s="63" t="s">
        <v>1524</v>
      </c>
      <c r="U671" s="64">
        <v>78600</v>
      </c>
      <c r="V671" s="64">
        <v>86460</v>
      </c>
      <c r="W671" s="64">
        <v>78600</v>
      </c>
      <c r="X671" s="64">
        <v>86460</v>
      </c>
      <c r="Y671" s="64">
        <v>0</v>
      </c>
      <c r="Z671" s="64">
        <v>0</v>
      </c>
      <c r="AA671" s="61">
        <v>44630</v>
      </c>
      <c r="AB671" s="61">
        <v>44630</v>
      </c>
      <c r="AD671" s="60">
        <v>0</v>
      </c>
      <c r="AG671" s="60">
        <v>0</v>
      </c>
      <c r="AJ671" s="60">
        <v>0</v>
      </c>
      <c r="AQ671" s="60" t="s">
        <v>2098</v>
      </c>
      <c r="AR671" s="61">
        <v>44594</v>
      </c>
      <c r="AS671" s="60">
        <v>6001988591</v>
      </c>
      <c r="AT671" s="61">
        <v>44595</v>
      </c>
      <c r="AU671" s="60" t="s">
        <v>2149</v>
      </c>
      <c r="AV671" s="61">
        <v>44651</v>
      </c>
      <c r="AW671" s="91">
        <v>44651</v>
      </c>
      <c r="AX671" s="91">
        <v>44671</v>
      </c>
      <c r="AY671" s="107">
        <v>78600</v>
      </c>
      <c r="AZ671" s="107">
        <f>ROUNDDOWN(AY671+(AY671*MASTER!$A$2/100),0)</f>
        <v>86460</v>
      </c>
      <c r="BA671" s="60" t="s">
        <v>613</v>
      </c>
      <c r="BB671" s="64">
        <v>28000</v>
      </c>
      <c r="BC671" s="64">
        <v>30800</v>
      </c>
      <c r="BD671" s="60" t="s">
        <v>2107</v>
      </c>
      <c r="BG671" s="64">
        <v>0</v>
      </c>
      <c r="BK671" s="64">
        <v>0</v>
      </c>
      <c r="BS671" s="64">
        <v>0</v>
      </c>
      <c r="BV671" s="65">
        <v>86460</v>
      </c>
      <c r="BW671" s="65">
        <v>30800</v>
      </c>
      <c r="BX671" s="65">
        <v>44588</v>
      </c>
      <c r="BY671" s="65">
        <v>55660</v>
      </c>
      <c r="BZ671" s="81">
        <v>64.376590330788801</v>
      </c>
    </row>
    <row r="672" spans="1:89" x14ac:dyDescent="0.15">
      <c r="A672" s="60">
        <v>2</v>
      </c>
      <c r="B672" s="61">
        <v>44627</v>
      </c>
      <c r="C672" s="61">
        <v>44651</v>
      </c>
      <c r="D672" s="61">
        <v>44658</v>
      </c>
      <c r="F672" s="61" t="s">
        <v>309</v>
      </c>
      <c r="G672" s="61">
        <v>44635</v>
      </c>
      <c r="H672" s="61" t="s">
        <v>309</v>
      </c>
      <c r="J672" s="60">
        <v>2</v>
      </c>
      <c r="K672" s="61">
        <v>44589</v>
      </c>
      <c r="L672" s="60" t="s">
        <v>529</v>
      </c>
      <c r="M672" s="61">
        <v>44588</v>
      </c>
      <c r="O672" s="62" t="s">
        <v>331</v>
      </c>
      <c r="P672" s="60" t="s">
        <v>26</v>
      </c>
      <c r="Q672" s="62" t="s">
        <v>40</v>
      </c>
      <c r="R672" s="62" t="s">
        <v>2013</v>
      </c>
      <c r="S672" s="171" t="s">
        <v>617</v>
      </c>
      <c r="T672" s="63" t="s">
        <v>1524</v>
      </c>
      <c r="U672" s="64">
        <v>78600</v>
      </c>
      <c r="V672" s="64">
        <v>86460</v>
      </c>
      <c r="W672" s="64">
        <v>78600</v>
      </c>
      <c r="X672" s="64">
        <v>86460</v>
      </c>
      <c r="Y672" s="64">
        <v>0</v>
      </c>
      <c r="Z672" s="64">
        <v>0</v>
      </c>
      <c r="AA672" s="61">
        <v>44634</v>
      </c>
      <c r="AB672" s="61">
        <v>44634</v>
      </c>
      <c r="AD672" s="60">
        <v>0</v>
      </c>
      <c r="AG672" s="60">
        <v>0</v>
      </c>
      <c r="AJ672" s="60">
        <v>0</v>
      </c>
      <c r="AQ672" s="60" t="s">
        <v>2098</v>
      </c>
      <c r="AR672" s="61">
        <v>44594</v>
      </c>
      <c r="AS672" s="60">
        <v>6001988591</v>
      </c>
      <c r="AT672" s="61">
        <v>44595</v>
      </c>
      <c r="AU672" s="60" t="s">
        <v>2149</v>
      </c>
      <c r="AV672" s="61">
        <v>44651</v>
      </c>
      <c r="AW672" s="91">
        <v>44651</v>
      </c>
      <c r="AX672" s="91">
        <v>44671</v>
      </c>
      <c r="AY672" s="107">
        <v>78600</v>
      </c>
      <c r="AZ672" s="107">
        <f>ROUNDDOWN(AY672+(AY672*MASTER!$A$2/100),0)</f>
        <v>86460</v>
      </c>
      <c r="BA672" s="60" t="s">
        <v>613</v>
      </c>
      <c r="BB672" s="64">
        <v>26000</v>
      </c>
      <c r="BC672" s="64">
        <v>28600</v>
      </c>
      <c r="BD672" s="60" t="s">
        <v>2107</v>
      </c>
      <c r="BG672" s="64">
        <v>0</v>
      </c>
      <c r="BK672" s="64">
        <v>0</v>
      </c>
      <c r="BS672" s="64">
        <v>0</v>
      </c>
      <c r="BV672" s="65">
        <v>86460</v>
      </c>
      <c r="BW672" s="65">
        <v>28600</v>
      </c>
      <c r="BX672" s="65">
        <v>0</v>
      </c>
      <c r="BY672" s="65">
        <v>44589</v>
      </c>
      <c r="BZ672" s="81">
        <v>66.921119592875328</v>
      </c>
      <c r="CD672" s="63" t="s">
        <v>2014</v>
      </c>
    </row>
    <row r="673" spans="1:89" x14ac:dyDescent="0.15">
      <c r="A673" s="60">
        <v>2</v>
      </c>
      <c r="B673" s="61">
        <v>44596</v>
      </c>
      <c r="C673" s="61">
        <v>44602</v>
      </c>
      <c r="D673" s="61">
        <v>44624</v>
      </c>
      <c r="F673" s="61" t="s">
        <v>309</v>
      </c>
      <c r="G673" s="61">
        <v>44607</v>
      </c>
      <c r="H673" s="61" t="s">
        <v>309</v>
      </c>
      <c r="J673" s="60">
        <v>2</v>
      </c>
      <c r="L673" s="60">
        <v>0</v>
      </c>
      <c r="M673" s="61">
        <v>44588</v>
      </c>
      <c r="O673" s="62" t="s">
        <v>331</v>
      </c>
      <c r="P673" s="60" t="s">
        <v>26</v>
      </c>
      <c r="Q673" s="62" t="s">
        <v>40</v>
      </c>
      <c r="R673" s="62" t="s">
        <v>2167</v>
      </c>
      <c r="S673" s="63" t="s">
        <v>1990</v>
      </c>
      <c r="T673" s="63" t="s">
        <v>1524</v>
      </c>
      <c r="U673" s="64">
        <v>78600</v>
      </c>
      <c r="V673" s="64">
        <v>86460</v>
      </c>
      <c r="W673" s="64">
        <v>78600</v>
      </c>
      <c r="X673" s="64">
        <v>86460</v>
      </c>
      <c r="Y673" s="64">
        <v>0</v>
      </c>
      <c r="Z673" s="64">
        <v>0</v>
      </c>
      <c r="AA673" s="61">
        <v>44601</v>
      </c>
      <c r="AB673" s="61">
        <v>44601</v>
      </c>
      <c r="AD673" s="60">
        <v>0</v>
      </c>
      <c r="AG673" s="60">
        <v>0</v>
      </c>
      <c r="AJ673" s="60">
        <v>0</v>
      </c>
      <c r="AQ673" s="60" t="s">
        <v>2099</v>
      </c>
      <c r="AR673" s="61">
        <v>44594</v>
      </c>
      <c r="AS673" s="60">
        <v>6001988591</v>
      </c>
      <c r="AT673" s="61">
        <v>44595</v>
      </c>
      <c r="AU673" s="60" t="s">
        <v>2149</v>
      </c>
      <c r="AV673" s="61">
        <v>44602</v>
      </c>
      <c r="AW673" s="91">
        <v>44620</v>
      </c>
      <c r="AX673" s="91">
        <v>44640</v>
      </c>
      <c r="AY673" s="107">
        <v>78600</v>
      </c>
      <c r="AZ673" s="107">
        <f>ROUNDDOWN(AY673+(AY673*MASTER!$A$2/100),0)</f>
        <v>86460</v>
      </c>
      <c r="BA673" s="60" t="s">
        <v>317</v>
      </c>
      <c r="BB673" s="64">
        <v>32000</v>
      </c>
      <c r="BC673" s="64">
        <v>35200</v>
      </c>
      <c r="BD673" s="60" t="s">
        <v>2044</v>
      </c>
      <c r="BG673" s="64">
        <v>0</v>
      </c>
      <c r="BK673" s="64">
        <v>0</v>
      </c>
      <c r="BS673" s="64">
        <v>0</v>
      </c>
      <c r="BV673" s="65">
        <v>86460</v>
      </c>
      <c r="BW673" s="65">
        <v>35200</v>
      </c>
      <c r="BX673" s="65">
        <v>44588</v>
      </c>
      <c r="BY673" s="65">
        <v>51260</v>
      </c>
      <c r="BZ673" s="81">
        <v>59.287531806615782</v>
      </c>
    </row>
    <row r="674" spans="1:89" x14ac:dyDescent="0.15">
      <c r="A674" s="60">
        <v>2</v>
      </c>
      <c r="B674" s="61">
        <v>44596</v>
      </c>
      <c r="C674" s="61">
        <v>44602</v>
      </c>
      <c r="D674" s="61">
        <v>44624</v>
      </c>
      <c r="F674" s="61" t="s">
        <v>309</v>
      </c>
      <c r="G674" s="61">
        <v>44607</v>
      </c>
      <c r="H674" s="61" t="s">
        <v>309</v>
      </c>
      <c r="J674" s="60">
        <v>2</v>
      </c>
      <c r="L674" s="60">
        <v>0</v>
      </c>
      <c r="M674" s="61">
        <v>44588</v>
      </c>
      <c r="O674" s="62" t="s">
        <v>331</v>
      </c>
      <c r="P674" s="60" t="s">
        <v>26</v>
      </c>
      <c r="Q674" s="62" t="s">
        <v>40</v>
      </c>
      <c r="R674" s="62" t="s">
        <v>2168</v>
      </c>
      <c r="S674" s="63" t="s">
        <v>1991</v>
      </c>
      <c r="T674" s="63" t="s">
        <v>1524</v>
      </c>
      <c r="U674" s="64">
        <v>78600</v>
      </c>
      <c r="V674" s="64">
        <v>86460</v>
      </c>
      <c r="W674" s="64">
        <v>78600</v>
      </c>
      <c r="X674" s="64">
        <v>86460</v>
      </c>
      <c r="Y674" s="64">
        <v>0</v>
      </c>
      <c r="Z674" s="64">
        <v>0</v>
      </c>
      <c r="AA674" s="61">
        <v>44602</v>
      </c>
      <c r="AB674" s="61">
        <v>44602</v>
      </c>
      <c r="AD674" s="60">
        <v>0</v>
      </c>
      <c r="AG674" s="60">
        <v>0</v>
      </c>
      <c r="AJ674" s="60">
        <v>0</v>
      </c>
      <c r="AQ674" s="60" t="s">
        <v>2099</v>
      </c>
      <c r="AR674" s="61">
        <v>44594</v>
      </c>
      <c r="AS674" s="60">
        <v>6001988591</v>
      </c>
      <c r="AT674" s="61">
        <v>44595</v>
      </c>
      <c r="AU674" s="60" t="s">
        <v>2149</v>
      </c>
      <c r="AV674" s="61">
        <v>44602</v>
      </c>
      <c r="AW674" s="91">
        <v>44620</v>
      </c>
      <c r="AX674" s="91">
        <v>44640</v>
      </c>
      <c r="AY674" s="107">
        <v>78600</v>
      </c>
      <c r="AZ674" s="107">
        <f>ROUNDDOWN(AY674+(AY674*MASTER!$A$2/100),0)</f>
        <v>86460</v>
      </c>
      <c r="BA674" s="60" t="s">
        <v>317</v>
      </c>
      <c r="BB674" s="64">
        <v>34000</v>
      </c>
      <c r="BC674" s="64">
        <v>37400</v>
      </c>
      <c r="BD674" s="60" t="s">
        <v>2044</v>
      </c>
      <c r="BG674" s="64">
        <v>0</v>
      </c>
      <c r="BK674" s="64">
        <v>0</v>
      </c>
      <c r="BS674" s="64">
        <v>0</v>
      </c>
      <c r="BV674" s="65">
        <v>86460</v>
      </c>
      <c r="BW674" s="65">
        <v>37400</v>
      </c>
      <c r="BX674" s="65">
        <v>44588</v>
      </c>
      <c r="BY674" s="65">
        <v>49060</v>
      </c>
      <c r="BZ674" s="81">
        <v>56.743002544529261</v>
      </c>
    </row>
    <row r="675" spans="1:89" x14ac:dyDescent="0.15">
      <c r="A675" s="60">
        <v>2</v>
      </c>
      <c r="B675" s="61">
        <v>44629</v>
      </c>
      <c r="C675" s="61">
        <v>44651</v>
      </c>
      <c r="D675" s="61">
        <v>44658</v>
      </c>
      <c r="F675" s="61" t="s">
        <v>309</v>
      </c>
      <c r="G675" s="61">
        <v>44636</v>
      </c>
      <c r="H675" s="61" t="s">
        <v>309</v>
      </c>
      <c r="J675" s="60">
        <v>2</v>
      </c>
      <c r="L675" s="60">
        <v>0</v>
      </c>
      <c r="M675" s="61">
        <v>44588</v>
      </c>
      <c r="O675" s="62" t="s">
        <v>331</v>
      </c>
      <c r="P675" s="60" t="s">
        <v>26</v>
      </c>
      <c r="Q675" s="62" t="s">
        <v>40</v>
      </c>
      <c r="R675" s="62" t="s">
        <v>2635</v>
      </c>
      <c r="S675" s="63" t="s">
        <v>986</v>
      </c>
      <c r="T675" s="63" t="s">
        <v>1524</v>
      </c>
      <c r="U675" s="64">
        <v>78600</v>
      </c>
      <c r="V675" s="64">
        <v>86460</v>
      </c>
      <c r="W675" s="64">
        <v>78600</v>
      </c>
      <c r="X675" s="64">
        <v>86460</v>
      </c>
      <c r="Y675" s="64">
        <v>0</v>
      </c>
      <c r="Z675" s="64">
        <v>0</v>
      </c>
      <c r="AA675" s="61">
        <v>44636</v>
      </c>
      <c r="AB675" s="61">
        <v>44636</v>
      </c>
      <c r="AD675" s="60">
        <v>0</v>
      </c>
      <c r="AG675" s="60">
        <v>0</v>
      </c>
      <c r="AJ675" s="60">
        <v>0</v>
      </c>
      <c r="AQ675" s="60" t="s">
        <v>2098</v>
      </c>
      <c r="AR675" s="61">
        <v>44594</v>
      </c>
      <c r="AS675" s="60">
        <v>6001988591</v>
      </c>
      <c r="AT675" s="61">
        <v>44595</v>
      </c>
      <c r="AU675" s="60" t="s">
        <v>2149</v>
      </c>
      <c r="AV675" s="61">
        <v>44651</v>
      </c>
      <c r="AW675" s="91">
        <v>44651</v>
      </c>
      <c r="AX675" s="91">
        <v>44671</v>
      </c>
      <c r="AY675" s="107">
        <v>78600</v>
      </c>
      <c r="AZ675" s="107">
        <f>ROUNDDOWN(AY675+(AY675*MASTER!$A$2/100),0)</f>
        <v>86460</v>
      </c>
      <c r="BA675" s="60" t="s">
        <v>317</v>
      </c>
      <c r="BB675" s="64">
        <v>29000</v>
      </c>
      <c r="BC675" s="64">
        <v>31900</v>
      </c>
      <c r="BD675" s="60" t="s">
        <v>2107</v>
      </c>
      <c r="BG675" s="64">
        <v>0</v>
      </c>
      <c r="BK675" s="64">
        <v>0</v>
      </c>
      <c r="BS675" s="64">
        <v>0</v>
      </c>
      <c r="BV675" s="65">
        <v>86460</v>
      </c>
      <c r="BW675" s="65">
        <v>31900</v>
      </c>
      <c r="BX675" s="65">
        <v>44588</v>
      </c>
      <c r="BY675" s="65">
        <v>54560</v>
      </c>
      <c r="BZ675" s="81">
        <v>63.104325699745544</v>
      </c>
    </row>
    <row r="676" spans="1:89" x14ac:dyDescent="0.15">
      <c r="A676" s="60">
        <v>2</v>
      </c>
      <c r="B676" s="61">
        <v>44630</v>
      </c>
      <c r="C676" s="61">
        <v>44651</v>
      </c>
      <c r="D676" s="61">
        <v>44660</v>
      </c>
      <c r="F676" s="61" t="s">
        <v>309</v>
      </c>
      <c r="G676" s="61">
        <v>44644</v>
      </c>
      <c r="H676" s="61" t="s">
        <v>309</v>
      </c>
      <c r="J676" s="60">
        <v>2</v>
      </c>
      <c r="L676" s="60">
        <v>0</v>
      </c>
      <c r="M676" s="61">
        <v>44588</v>
      </c>
      <c r="O676" s="62" t="s">
        <v>331</v>
      </c>
      <c r="P676" s="60" t="s">
        <v>26</v>
      </c>
      <c r="Q676" s="62" t="s">
        <v>40</v>
      </c>
      <c r="R676" s="62" t="s">
        <v>2715</v>
      </c>
      <c r="S676" s="63" t="s">
        <v>1992</v>
      </c>
      <c r="T676" s="63" t="s">
        <v>1524</v>
      </c>
      <c r="U676" s="64">
        <v>78600</v>
      </c>
      <c r="V676" s="64">
        <v>86460</v>
      </c>
      <c r="W676" s="64">
        <v>78600</v>
      </c>
      <c r="X676" s="64">
        <v>86460</v>
      </c>
      <c r="Y676" s="64">
        <v>0</v>
      </c>
      <c r="Z676" s="64">
        <v>0</v>
      </c>
      <c r="AA676" s="61">
        <v>44642</v>
      </c>
      <c r="AB676" s="61">
        <v>44642</v>
      </c>
      <c r="AD676" s="60">
        <v>0</v>
      </c>
      <c r="AG676" s="60">
        <v>0</v>
      </c>
      <c r="AJ676" s="60">
        <v>0</v>
      </c>
      <c r="AQ676" s="60" t="s">
        <v>2098</v>
      </c>
      <c r="AR676" s="61">
        <v>44594</v>
      </c>
      <c r="AS676" s="60">
        <v>6001988591</v>
      </c>
      <c r="AT676" s="61">
        <v>44595</v>
      </c>
      <c r="AU676" s="60" t="s">
        <v>2149</v>
      </c>
      <c r="AV676" s="61">
        <v>44651</v>
      </c>
      <c r="AW676" s="91">
        <v>44651</v>
      </c>
      <c r="AX676" s="91">
        <v>44671</v>
      </c>
      <c r="AY676" s="107">
        <v>78600</v>
      </c>
      <c r="AZ676" s="107">
        <f>ROUNDDOWN(AY676+(AY676*MASTER!$A$2/100),0)</f>
        <v>86460</v>
      </c>
      <c r="BC676" s="64">
        <v>0</v>
      </c>
      <c r="BG676" s="64">
        <v>0</v>
      </c>
      <c r="BK676" s="64">
        <v>0</v>
      </c>
      <c r="BS676" s="64">
        <v>0</v>
      </c>
      <c r="BV676" s="65">
        <v>86460</v>
      </c>
      <c r="BW676" s="65">
        <v>0</v>
      </c>
      <c r="BX676" s="65">
        <v>44588</v>
      </c>
      <c r="BY676" s="65">
        <v>86460</v>
      </c>
      <c r="BZ676" s="81">
        <v>100</v>
      </c>
    </row>
    <row r="677" spans="1:89" x14ac:dyDescent="0.15">
      <c r="A677" s="60">
        <v>2</v>
      </c>
      <c r="B677" s="61">
        <v>44629</v>
      </c>
      <c r="C677" s="61">
        <v>44651</v>
      </c>
      <c r="D677" s="61">
        <v>44658</v>
      </c>
      <c r="F677" s="61" t="s">
        <v>309</v>
      </c>
      <c r="G677" s="61">
        <v>44634</v>
      </c>
      <c r="H677" s="61" t="s">
        <v>309</v>
      </c>
      <c r="J677" s="60">
        <v>2</v>
      </c>
      <c r="L677" s="60">
        <v>0</v>
      </c>
      <c r="M677" s="61">
        <v>44588</v>
      </c>
      <c r="O677" s="62" t="s">
        <v>331</v>
      </c>
      <c r="P677" s="60" t="s">
        <v>26</v>
      </c>
      <c r="Q677" s="62" t="s">
        <v>40</v>
      </c>
      <c r="R677" s="62" t="s">
        <v>2636</v>
      </c>
      <c r="S677" s="63" t="s">
        <v>1993</v>
      </c>
      <c r="T677" s="63" t="s">
        <v>1524</v>
      </c>
      <c r="U677" s="64">
        <v>78600</v>
      </c>
      <c r="V677" s="64">
        <v>86460</v>
      </c>
      <c r="W677" s="64">
        <v>78600</v>
      </c>
      <c r="X677" s="64">
        <v>86460</v>
      </c>
      <c r="Y677" s="64">
        <v>0</v>
      </c>
      <c r="Z677" s="64">
        <v>0</v>
      </c>
      <c r="AA677" s="61">
        <v>44634</v>
      </c>
      <c r="AB677" s="61">
        <v>44634</v>
      </c>
      <c r="AD677" s="60">
        <v>0</v>
      </c>
      <c r="AG677" s="60">
        <v>0</v>
      </c>
      <c r="AJ677" s="60">
        <v>0</v>
      </c>
      <c r="AQ677" s="60" t="s">
        <v>2098</v>
      </c>
      <c r="AR677" s="61">
        <v>44594</v>
      </c>
      <c r="AS677" s="60">
        <v>6001988591</v>
      </c>
      <c r="AT677" s="61">
        <v>44595</v>
      </c>
      <c r="AU677" s="60" t="s">
        <v>2149</v>
      </c>
      <c r="AV677" s="61">
        <v>44651</v>
      </c>
      <c r="AW677" s="91">
        <v>44651</v>
      </c>
      <c r="AX677" s="91">
        <v>44671</v>
      </c>
      <c r="AY677" s="107">
        <v>78600</v>
      </c>
      <c r="AZ677" s="107">
        <f>ROUNDDOWN(AY677+(AY677*MASTER!$A$2/100),0)</f>
        <v>86460</v>
      </c>
      <c r="BA677" s="60" t="s">
        <v>317</v>
      </c>
      <c r="BB677" s="64">
        <v>30000</v>
      </c>
      <c r="BC677" s="64">
        <v>33000</v>
      </c>
      <c r="BD677" s="60" t="s">
        <v>2107</v>
      </c>
      <c r="BG677" s="64">
        <v>0</v>
      </c>
      <c r="BK677" s="64">
        <v>0</v>
      </c>
      <c r="BS677" s="64">
        <v>0</v>
      </c>
      <c r="BV677" s="65">
        <v>86460</v>
      </c>
      <c r="BW677" s="65">
        <v>33000</v>
      </c>
      <c r="BX677" s="65">
        <v>44588</v>
      </c>
      <c r="BY677" s="65">
        <v>53460</v>
      </c>
      <c r="BZ677" s="81">
        <v>61.832061068702295</v>
      </c>
    </row>
    <row r="678" spans="1:89" x14ac:dyDescent="0.15">
      <c r="A678" s="60">
        <v>1</v>
      </c>
      <c r="B678" s="61">
        <v>44644</v>
      </c>
      <c r="C678" s="61">
        <v>44645</v>
      </c>
      <c r="F678" s="61" t="s">
        <v>309</v>
      </c>
      <c r="H678" s="61" t="s">
        <v>309</v>
      </c>
      <c r="J678" s="60">
        <v>2</v>
      </c>
      <c r="K678" s="61">
        <v>44589</v>
      </c>
      <c r="L678" s="60" t="s">
        <v>529</v>
      </c>
      <c r="M678" s="61">
        <v>44589</v>
      </c>
      <c r="O678" s="62" t="s">
        <v>331</v>
      </c>
      <c r="P678" s="60" t="s">
        <v>50</v>
      </c>
      <c r="Q678" s="62" t="s">
        <v>40</v>
      </c>
      <c r="R678" s="62" t="s">
        <v>2016</v>
      </c>
      <c r="S678" s="63" t="s">
        <v>326</v>
      </c>
      <c r="T678" s="63" t="s">
        <v>2015</v>
      </c>
      <c r="U678" s="64">
        <v>1520000</v>
      </c>
      <c r="V678" s="64">
        <v>1672000</v>
      </c>
      <c r="W678" s="64">
        <v>1520000</v>
      </c>
      <c r="X678" s="64">
        <v>1672000</v>
      </c>
      <c r="Y678" s="64">
        <v>0</v>
      </c>
      <c r="Z678" s="64">
        <v>0</v>
      </c>
      <c r="AD678" s="60">
        <v>0</v>
      </c>
      <c r="AG678" s="60">
        <v>0</v>
      </c>
      <c r="AJ678" s="60">
        <v>0</v>
      </c>
      <c r="AQ678" s="60" t="s">
        <v>1421</v>
      </c>
      <c r="AR678" s="61">
        <v>44608</v>
      </c>
      <c r="AS678" s="60">
        <v>6001994480</v>
      </c>
      <c r="AT678" s="61">
        <v>44609</v>
      </c>
      <c r="AU678" s="60" t="s">
        <v>2881</v>
      </c>
      <c r="AV678" s="61">
        <v>44645</v>
      </c>
      <c r="AW678" s="91">
        <v>44651</v>
      </c>
      <c r="AX678" s="91">
        <v>44671</v>
      </c>
      <c r="AY678" s="107">
        <v>1520000</v>
      </c>
      <c r="AZ678" s="107">
        <f>ROUNDDOWN(AY678+(AY678*MASTER!$A$2/100),0)</f>
        <v>1672000</v>
      </c>
      <c r="BC678" s="64">
        <v>0</v>
      </c>
      <c r="BG678" s="64">
        <v>0</v>
      </c>
      <c r="BK678" s="64">
        <v>0</v>
      </c>
      <c r="BS678" s="64">
        <v>0</v>
      </c>
      <c r="BV678" s="65">
        <v>1672000</v>
      </c>
      <c r="BW678" s="65">
        <v>0</v>
      </c>
      <c r="BX678" s="65">
        <v>0</v>
      </c>
      <c r="BY678" s="65">
        <v>44589</v>
      </c>
      <c r="BZ678" s="81">
        <v>100</v>
      </c>
    </row>
    <row r="679" spans="1:89" x14ac:dyDescent="0.15">
      <c r="A679" s="60">
        <v>2</v>
      </c>
      <c r="B679" s="61">
        <v>44616</v>
      </c>
      <c r="C679" s="61">
        <v>44620</v>
      </c>
      <c r="D679" s="61">
        <v>44634</v>
      </c>
      <c r="F679" s="61" t="s">
        <v>309</v>
      </c>
      <c r="H679" s="61" t="s">
        <v>309</v>
      </c>
      <c r="J679" s="60">
        <v>2</v>
      </c>
      <c r="K679" s="61">
        <v>44602</v>
      </c>
      <c r="L679" s="60" t="s">
        <v>529</v>
      </c>
      <c r="M679" s="61">
        <v>44589</v>
      </c>
      <c r="O679" s="62" t="s">
        <v>331</v>
      </c>
      <c r="P679" s="60" t="s">
        <v>77</v>
      </c>
      <c r="Q679" s="62" t="s">
        <v>40</v>
      </c>
      <c r="R679" s="62" t="s">
        <v>2241</v>
      </c>
      <c r="S679" s="63" t="s">
        <v>664</v>
      </c>
      <c r="T679" s="63" t="s">
        <v>346</v>
      </c>
      <c r="U679" s="64">
        <v>65000</v>
      </c>
      <c r="V679" s="64">
        <v>71500</v>
      </c>
      <c r="W679" s="64">
        <v>65000</v>
      </c>
      <c r="X679" s="64">
        <v>71500</v>
      </c>
      <c r="Y679" s="64">
        <v>0</v>
      </c>
      <c r="Z679" s="64">
        <v>0</v>
      </c>
      <c r="AA679" s="61">
        <v>44620</v>
      </c>
      <c r="AB679" s="61">
        <v>44621</v>
      </c>
      <c r="AD679" s="60">
        <v>0</v>
      </c>
      <c r="AG679" s="60">
        <v>0</v>
      </c>
      <c r="AJ679" s="60">
        <v>0</v>
      </c>
      <c r="AQ679" s="60" t="s">
        <v>2265</v>
      </c>
      <c r="AR679" s="61">
        <v>44610</v>
      </c>
      <c r="AS679" s="60">
        <v>6001995916</v>
      </c>
      <c r="AT679" s="61">
        <v>44613</v>
      </c>
      <c r="AU679" s="60" t="s">
        <v>2448</v>
      </c>
      <c r="AV679" s="61">
        <v>44620</v>
      </c>
      <c r="AW679" s="91">
        <v>44620</v>
      </c>
      <c r="AX679" s="91">
        <v>44640</v>
      </c>
      <c r="AY679" s="107">
        <v>65000</v>
      </c>
      <c r="AZ679" s="107">
        <f>ROUNDDOWN(AY679+(AY679*MASTER!$A$2/100),0)</f>
        <v>71500</v>
      </c>
      <c r="BC679" s="64">
        <v>0</v>
      </c>
      <c r="BG679" s="64">
        <v>0</v>
      </c>
      <c r="BK679" s="64">
        <v>0</v>
      </c>
      <c r="BS679" s="64">
        <v>0</v>
      </c>
      <c r="BV679" s="65">
        <v>71500</v>
      </c>
      <c r="BW679" s="65">
        <v>0</v>
      </c>
      <c r="BX679" s="65">
        <v>0</v>
      </c>
      <c r="BY679" s="65">
        <v>44602</v>
      </c>
      <c r="BZ679" s="81">
        <v>100</v>
      </c>
      <c r="CD679" s="63" t="s">
        <v>2349</v>
      </c>
    </row>
    <row r="680" spans="1:89" s="152" customFormat="1" x14ac:dyDescent="0.15">
      <c r="A680" s="142">
        <v>3</v>
      </c>
      <c r="B680" s="143"/>
      <c r="C680" s="143" t="s">
        <v>309</v>
      </c>
      <c r="D680" s="143"/>
      <c r="E680" s="143"/>
      <c r="F680" s="143" t="s">
        <v>309</v>
      </c>
      <c r="G680" s="143"/>
      <c r="H680" s="143" t="s">
        <v>309</v>
      </c>
      <c r="I680" s="142"/>
      <c r="J680" s="142">
        <v>2</v>
      </c>
      <c r="K680" s="143"/>
      <c r="L680" s="142">
        <v>0</v>
      </c>
      <c r="M680" s="143">
        <v>44589</v>
      </c>
      <c r="N680" s="143"/>
      <c r="O680" s="144" t="s">
        <v>331</v>
      </c>
      <c r="P680" s="142" t="s">
        <v>77</v>
      </c>
      <c r="Q680" s="144" t="s">
        <v>40</v>
      </c>
      <c r="R680" s="144" t="s">
        <v>2047</v>
      </c>
      <c r="S680" s="145" t="s">
        <v>1021</v>
      </c>
      <c r="T680" s="145" t="s">
        <v>2048</v>
      </c>
      <c r="U680" s="146">
        <v>195000</v>
      </c>
      <c r="V680" s="146">
        <v>214500</v>
      </c>
      <c r="W680" s="146">
        <v>195000</v>
      </c>
      <c r="X680" s="146">
        <v>214500</v>
      </c>
      <c r="Y680" s="146">
        <v>0</v>
      </c>
      <c r="Z680" s="146">
        <v>0</v>
      </c>
      <c r="AA680" s="143" t="s">
        <v>2044</v>
      </c>
      <c r="AB680" s="143"/>
      <c r="AC680" s="143"/>
      <c r="AD680" s="142">
        <v>0</v>
      </c>
      <c r="AE680" s="142"/>
      <c r="AF680" s="142"/>
      <c r="AG680" s="142">
        <v>0</v>
      </c>
      <c r="AH680" s="142"/>
      <c r="AI680" s="142"/>
      <c r="AJ680" s="142">
        <v>0</v>
      </c>
      <c r="AK680" s="142"/>
      <c r="AL680" s="142"/>
      <c r="AM680" s="142"/>
      <c r="AN680" s="142"/>
      <c r="AO680" s="143"/>
      <c r="AP680" s="142"/>
      <c r="AQ680" s="142"/>
      <c r="AR680" s="143"/>
      <c r="AS680" s="142"/>
      <c r="AT680" s="143"/>
      <c r="AU680" s="142"/>
      <c r="AV680" s="143"/>
      <c r="AW680" s="147"/>
      <c r="AX680" s="147"/>
      <c r="AY680" s="154">
        <v>195000</v>
      </c>
      <c r="AZ680" s="154">
        <f>ROUNDDOWN(AY680+(AY680*MASTER!$A$2/100),0)</f>
        <v>214500</v>
      </c>
      <c r="BA680" s="142"/>
      <c r="BB680" s="146"/>
      <c r="BC680" s="146">
        <v>0</v>
      </c>
      <c r="BD680" s="142"/>
      <c r="BE680" s="142"/>
      <c r="BF680" s="146"/>
      <c r="BG680" s="146">
        <v>0</v>
      </c>
      <c r="BH680" s="142"/>
      <c r="BI680" s="142"/>
      <c r="BJ680" s="146"/>
      <c r="BK680" s="146">
        <v>0</v>
      </c>
      <c r="BL680" s="142"/>
      <c r="BM680" s="146"/>
      <c r="BN680" s="146"/>
      <c r="BO680" s="146"/>
      <c r="BP680" s="146"/>
      <c r="BQ680" s="146"/>
      <c r="BR680" s="146"/>
      <c r="BS680" s="146">
        <v>0</v>
      </c>
      <c r="BT680" s="149"/>
      <c r="BU680" s="149"/>
      <c r="BV680" s="150">
        <v>214500</v>
      </c>
      <c r="BW680" s="150">
        <v>0</v>
      </c>
      <c r="BX680" s="150">
        <v>44589</v>
      </c>
      <c r="BY680" s="150">
        <v>214500</v>
      </c>
      <c r="BZ680" s="151">
        <v>100</v>
      </c>
      <c r="CA680" s="142"/>
      <c r="CB680" s="142"/>
      <c r="CC680" s="142"/>
      <c r="CD680" s="145" t="s">
        <v>2161</v>
      </c>
      <c r="CE680" s="143"/>
      <c r="CF680" s="143"/>
      <c r="CG680" s="143"/>
      <c r="CH680" s="143"/>
      <c r="CI680" s="143"/>
      <c r="CJ680" s="143"/>
      <c r="CK680" s="146"/>
    </row>
    <row r="681" spans="1:89" s="152" customFormat="1" x14ac:dyDescent="0.15">
      <c r="A681" s="142">
        <v>3</v>
      </c>
      <c r="B681" s="143"/>
      <c r="C681" s="143" t="s">
        <v>309</v>
      </c>
      <c r="D681" s="143"/>
      <c r="E681" s="143"/>
      <c r="F681" s="143" t="s">
        <v>309</v>
      </c>
      <c r="G681" s="143"/>
      <c r="H681" s="143" t="s">
        <v>309</v>
      </c>
      <c r="I681" s="142"/>
      <c r="J681" s="142">
        <v>2</v>
      </c>
      <c r="K681" s="143"/>
      <c r="L681" s="142">
        <v>0</v>
      </c>
      <c r="M681" s="143">
        <v>44589</v>
      </c>
      <c r="N681" s="143"/>
      <c r="O681" s="144" t="s">
        <v>331</v>
      </c>
      <c r="P681" s="142" t="s">
        <v>77</v>
      </c>
      <c r="Q681" s="144" t="s">
        <v>40</v>
      </c>
      <c r="R681" s="144" t="s">
        <v>2049</v>
      </c>
      <c r="S681" s="145" t="s">
        <v>1026</v>
      </c>
      <c r="T681" s="145" t="s">
        <v>2042</v>
      </c>
      <c r="U681" s="146">
        <v>130000</v>
      </c>
      <c r="V681" s="146">
        <v>143000</v>
      </c>
      <c r="W681" s="146">
        <v>130000</v>
      </c>
      <c r="X681" s="146">
        <v>143000</v>
      </c>
      <c r="Y681" s="146">
        <v>0</v>
      </c>
      <c r="Z681" s="146">
        <v>0</v>
      </c>
      <c r="AA681" s="143" t="s">
        <v>2044</v>
      </c>
      <c r="AB681" s="143"/>
      <c r="AC681" s="143"/>
      <c r="AD681" s="142">
        <v>0</v>
      </c>
      <c r="AE681" s="142"/>
      <c r="AF681" s="142"/>
      <c r="AG681" s="142">
        <v>0</v>
      </c>
      <c r="AH681" s="142"/>
      <c r="AI681" s="142"/>
      <c r="AJ681" s="142">
        <v>0</v>
      </c>
      <c r="AK681" s="142"/>
      <c r="AL681" s="142"/>
      <c r="AM681" s="142"/>
      <c r="AN681" s="142"/>
      <c r="AO681" s="143"/>
      <c r="AP681" s="142"/>
      <c r="AQ681" s="142"/>
      <c r="AR681" s="143"/>
      <c r="AS681" s="142"/>
      <c r="AT681" s="143"/>
      <c r="AU681" s="142"/>
      <c r="AV681" s="143"/>
      <c r="AW681" s="147"/>
      <c r="AX681" s="147"/>
      <c r="AY681" s="154">
        <v>130000</v>
      </c>
      <c r="AZ681" s="154">
        <f>ROUNDDOWN(AY681+(AY681*MASTER!$A$2/100),0)</f>
        <v>143000</v>
      </c>
      <c r="BA681" s="142"/>
      <c r="BB681" s="146"/>
      <c r="BC681" s="146">
        <v>0</v>
      </c>
      <c r="BD681" s="142"/>
      <c r="BE681" s="142"/>
      <c r="BF681" s="146"/>
      <c r="BG681" s="146">
        <v>0</v>
      </c>
      <c r="BH681" s="142"/>
      <c r="BI681" s="142"/>
      <c r="BJ681" s="146"/>
      <c r="BK681" s="146">
        <v>0</v>
      </c>
      <c r="BL681" s="142"/>
      <c r="BM681" s="146"/>
      <c r="BN681" s="146"/>
      <c r="BO681" s="146"/>
      <c r="BP681" s="146"/>
      <c r="BQ681" s="146"/>
      <c r="BR681" s="146"/>
      <c r="BS681" s="146">
        <v>0</v>
      </c>
      <c r="BT681" s="149"/>
      <c r="BU681" s="149"/>
      <c r="BV681" s="150">
        <v>143000</v>
      </c>
      <c r="BW681" s="150">
        <v>0</v>
      </c>
      <c r="BX681" s="150">
        <v>44589</v>
      </c>
      <c r="BY681" s="150">
        <v>143000</v>
      </c>
      <c r="BZ681" s="151">
        <v>100</v>
      </c>
      <c r="CA681" s="142"/>
      <c r="CB681" s="142"/>
      <c r="CC681" s="142"/>
      <c r="CD681" s="145" t="s">
        <v>2202</v>
      </c>
      <c r="CE681" s="143"/>
      <c r="CF681" s="143"/>
      <c r="CG681" s="143"/>
      <c r="CH681" s="143"/>
      <c r="CI681" s="143"/>
      <c r="CJ681" s="143"/>
      <c r="CK681" s="146"/>
    </row>
    <row r="682" spans="1:89" x14ac:dyDescent="0.15">
      <c r="A682" s="60">
        <v>2</v>
      </c>
      <c r="B682" s="61">
        <v>44608</v>
      </c>
      <c r="C682" s="61">
        <v>44609</v>
      </c>
      <c r="D682" s="61">
        <v>44634</v>
      </c>
      <c r="F682" s="61" t="s">
        <v>309</v>
      </c>
      <c r="H682" s="61" t="s">
        <v>309</v>
      </c>
      <c r="J682" s="60">
        <v>2</v>
      </c>
      <c r="L682" s="60">
        <v>0</v>
      </c>
      <c r="M682" s="61">
        <v>44589</v>
      </c>
      <c r="O682" s="62" t="s">
        <v>331</v>
      </c>
      <c r="P682" s="60" t="s">
        <v>77</v>
      </c>
      <c r="Q682" s="62" t="s">
        <v>40</v>
      </c>
      <c r="R682" s="62" t="s">
        <v>2382</v>
      </c>
      <c r="S682" s="63" t="s">
        <v>689</v>
      </c>
      <c r="T682" s="63" t="s">
        <v>346</v>
      </c>
      <c r="U682" s="64">
        <v>65000</v>
      </c>
      <c r="V682" s="64">
        <v>71500</v>
      </c>
      <c r="W682" s="64">
        <v>65000</v>
      </c>
      <c r="X682" s="64">
        <v>71500</v>
      </c>
      <c r="Y682" s="64">
        <v>0</v>
      </c>
      <c r="Z682" s="64">
        <v>0</v>
      </c>
      <c r="AA682" s="61" t="s">
        <v>2044</v>
      </c>
      <c r="AD682" s="60">
        <v>0</v>
      </c>
      <c r="AG682" s="60">
        <v>0</v>
      </c>
      <c r="AJ682" s="60">
        <v>0</v>
      </c>
      <c r="AQ682" s="60" t="s">
        <v>2232</v>
      </c>
      <c r="AR682" s="61">
        <v>44606</v>
      </c>
      <c r="AS682" s="60">
        <v>6001993041</v>
      </c>
      <c r="AT682" s="61">
        <v>44607</v>
      </c>
      <c r="AU682" s="60" t="s">
        <v>2311</v>
      </c>
      <c r="AV682" s="61">
        <v>44609</v>
      </c>
      <c r="AW682" s="91">
        <v>44620</v>
      </c>
      <c r="AX682" s="91">
        <v>44640</v>
      </c>
      <c r="AY682" s="107">
        <v>65000</v>
      </c>
      <c r="AZ682" s="107">
        <f>ROUNDDOWN(AY682+(AY682*MASTER!$A$2/100),0)</f>
        <v>71500</v>
      </c>
      <c r="BC682" s="64">
        <v>0</v>
      </c>
      <c r="BG682" s="64">
        <v>0</v>
      </c>
      <c r="BK682" s="64">
        <v>0</v>
      </c>
      <c r="BS682" s="64">
        <v>0</v>
      </c>
      <c r="BV682" s="65">
        <v>71500</v>
      </c>
      <c r="BW682" s="65">
        <v>0</v>
      </c>
      <c r="BX682" s="65">
        <v>44589</v>
      </c>
      <c r="BY682" s="65">
        <v>71500</v>
      </c>
      <c r="BZ682" s="81">
        <v>100</v>
      </c>
    </row>
    <row r="683" spans="1:89" x14ac:dyDescent="0.15">
      <c r="A683" s="60">
        <v>2</v>
      </c>
      <c r="B683" s="61">
        <v>44608</v>
      </c>
      <c r="C683" s="61">
        <v>44608</v>
      </c>
      <c r="D683" s="61">
        <v>44634</v>
      </c>
      <c r="F683" s="61" t="s">
        <v>309</v>
      </c>
      <c r="H683" s="61" t="s">
        <v>309</v>
      </c>
      <c r="J683" s="60">
        <v>2</v>
      </c>
      <c r="L683" s="60">
        <v>0</v>
      </c>
      <c r="M683" s="61">
        <v>44589</v>
      </c>
      <c r="O683" s="62" t="s">
        <v>331</v>
      </c>
      <c r="P683" s="60" t="s">
        <v>77</v>
      </c>
      <c r="Q683" s="62" t="s">
        <v>40</v>
      </c>
      <c r="R683" s="62" t="s">
        <v>2383</v>
      </c>
      <c r="S683" s="63" t="s">
        <v>685</v>
      </c>
      <c r="T683" s="63" t="s">
        <v>346</v>
      </c>
      <c r="U683" s="64">
        <v>65000</v>
      </c>
      <c r="V683" s="64">
        <v>71500</v>
      </c>
      <c r="W683" s="64">
        <v>65000</v>
      </c>
      <c r="X683" s="64">
        <v>71500</v>
      </c>
      <c r="Y683" s="64">
        <v>0</v>
      </c>
      <c r="Z683" s="64">
        <v>0</v>
      </c>
      <c r="AA683" s="61" t="s">
        <v>2044</v>
      </c>
      <c r="AD683" s="60">
        <v>0</v>
      </c>
      <c r="AG683" s="60">
        <v>0</v>
      </c>
      <c r="AJ683" s="60">
        <v>0</v>
      </c>
      <c r="AQ683" s="60" t="s">
        <v>2234</v>
      </c>
      <c r="AR683" s="61">
        <v>44606</v>
      </c>
      <c r="AS683" s="60">
        <v>6001993041</v>
      </c>
      <c r="AT683" s="61">
        <v>44607</v>
      </c>
      <c r="AU683" s="60" t="s">
        <v>2311</v>
      </c>
      <c r="AV683" s="61">
        <v>44608</v>
      </c>
      <c r="AW683" s="91">
        <v>44620</v>
      </c>
      <c r="AX683" s="91">
        <v>44640</v>
      </c>
      <c r="AY683" s="107">
        <v>65000</v>
      </c>
      <c r="AZ683" s="107">
        <f>ROUNDDOWN(AY683+(AY683*MASTER!$A$2/100),0)</f>
        <v>71500</v>
      </c>
      <c r="BC683" s="64">
        <v>0</v>
      </c>
      <c r="BG683" s="64">
        <v>0</v>
      </c>
      <c r="BK683" s="64">
        <v>0</v>
      </c>
      <c r="BS683" s="64">
        <v>0</v>
      </c>
      <c r="BV683" s="65">
        <v>71500</v>
      </c>
      <c r="BW683" s="65">
        <v>0</v>
      </c>
      <c r="BX683" s="65">
        <v>44589</v>
      </c>
      <c r="BY683" s="65">
        <v>71500</v>
      </c>
      <c r="BZ683" s="81">
        <v>100</v>
      </c>
    </row>
    <row r="684" spans="1:89" x14ac:dyDescent="0.15">
      <c r="A684" s="60">
        <v>2</v>
      </c>
      <c r="B684" s="61">
        <v>44608</v>
      </c>
      <c r="C684" s="61">
        <v>44608</v>
      </c>
      <c r="D684" s="61">
        <v>44634</v>
      </c>
      <c r="F684" s="61" t="s">
        <v>309</v>
      </c>
      <c r="H684" s="61" t="s">
        <v>309</v>
      </c>
      <c r="J684" s="60">
        <v>2</v>
      </c>
      <c r="L684" s="60">
        <v>0</v>
      </c>
      <c r="M684" s="61">
        <v>44589</v>
      </c>
      <c r="O684" s="62" t="s">
        <v>331</v>
      </c>
      <c r="P684" s="60" t="s">
        <v>77</v>
      </c>
      <c r="Q684" s="62" t="s">
        <v>40</v>
      </c>
      <c r="R684" s="62" t="s">
        <v>2388</v>
      </c>
      <c r="S684" s="63" t="s">
        <v>1028</v>
      </c>
      <c r="T684" s="63" t="s">
        <v>346</v>
      </c>
      <c r="U684" s="64">
        <v>65000</v>
      </c>
      <c r="V684" s="64">
        <v>71500</v>
      </c>
      <c r="W684" s="64">
        <v>65000</v>
      </c>
      <c r="X684" s="64">
        <v>71500</v>
      </c>
      <c r="Y684" s="64">
        <v>0</v>
      </c>
      <c r="Z684" s="64">
        <v>0</v>
      </c>
      <c r="AA684" s="61" t="s">
        <v>2044</v>
      </c>
      <c r="AD684" s="60">
        <v>0</v>
      </c>
      <c r="AG684" s="60">
        <v>0</v>
      </c>
      <c r="AJ684" s="60">
        <v>0</v>
      </c>
      <c r="AQ684" s="60" t="s">
        <v>2234</v>
      </c>
      <c r="AR684" s="61">
        <v>44606</v>
      </c>
      <c r="AS684" s="60">
        <v>6001993041</v>
      </c>
      <c r="AT684" s="61">
        <v>44607</v>
      </c>
      <c r="AU684" s="60" t="s">
        <v>2311</v>
      </c>
      <c r="AV684" s="61">
        <v>44608</v>
      </c>
      <c r="AW684" s="91">
        <v>44620</v>
      </c>
      <c r="AX684" s="91">
        <v>44640</v>
      </c>
      <c r="AY684" s="107">
        <v>65000</v>
      </c>
      <c r="AZ684" s="107">
        <f>ROUNDDOWN(AY684+(AY684*MASTER!$A$2/100),0)</f>
        <v>71500</v>
      </c>
      <c r="BC684" s="64">
        <v>0</v>
      </c>
      <c r="BG684" s="64">
        <v>0</v>
      </c>
      <c r="BK684" s="64">
        <v>0</v>
      </c>
      <c r="BS684" s="64">
        <v>0</v>
      </c>
      <c r="BV684" s="65">
        <v>71500</v>
      </c>
      <c r="BW684" s="65">
        <v>0</v>
      </c>
      <c r="BX684" s="65">
        <v>44589</v>
      </c>
      <c r="BY684" s="65">
        <v>71500</v>
      </c>
      <c r="BZ684" s="81">
        <v>100</v>
      </c>
    </row>
    <row r="685" spans="1:89" x14ac:dyDescent="0.15">
      <c r="A685" s="60">
        <v>2</v>
      </c>
      <c r="B685" s="61">
        <v>44608</v>
      </c>
      <c r="C685" s="61">
        <v>44608</v>
      </c>
      <c r="D685" s="61">
        <v>44634</v>
      </c>
      <c r="F685" s="61">
        <v>44607</v>
      </c>
      <c r="H685" s="61">
        <v>44603</v>
      </c>
      <c r="J685" s="60">
        <v>2</v>
      </c>
      <c r="L685" s="60">
        <v>0</v>
      </c>
      <c r="M685" s="61">
        <v>44589</v>
      </c>
      <c r="O685" s="62" t="s">
        <v>331</v>
      </c>
      <c r="P685" s="60" t="s">
        <v>77</v>
      </c>
      <c r="Q685" s="62" t="s">
        <v>40</v>
      </c>
      <c r="R685" s="62" t="s">
        <v>2043</v>
      </c>
      <c r="S685" s="63" t="s">
        <v>401</v>
      </c>
      <c r="T685" s="63" t="s">
        <v>2041</v>
      </c>
      <c r="U685" s="64">
        <v>130000</v>
      </c>
      <c r="V685" s="64">
        <v>143000</v>
      </c>
      <c r="W685" s="64">
        <v>130000</v>
      </c>
      <c r="X685" s="64">
        <v>143000</v>
      </c>
      <c r="Y685" s="64">
        <v>0</v>
      </c>
      <c r="Z685" s="64">
        <v>0</v>
      </c>
      <c r="AA685" s="61">
        <v>44599</v>
      </c>
      <c r="AB685" s="61">
        <v>44600</v>
      </c>
      <c r="AC685" s="61">
        <v>44600</v>
      </c>
      <c r="AD685" s="60">
        <v>0</v>
      </c>
      <c r="AG685" s="60">
        <v>0</v>
      </c>
      <c r="AJ685" s="60">
        <v>0</v>
      </c>
      <c r="AQ685" s="60" t="s">
        <v>2222</v>
      </c>
      <c r="AR685" s="61">
        <v>44606</v>
      </c>
      <c r="AS685" s="60">
        <v>6001993031</v>
      </c>
      <c r="AT685" s="61">
        <v>44607</v>
      </c>
      <c r="AU685" s="60" t="s">
        <v>2314</v>
      </c>
      <c r="AV685" s="61">
        <v>44608</v>
      </c>
      <c r="AW685" s="91">
        <v>44620</v>
      </c>
      <c r="AX685" s="91">
        <v>44640</v>
      </c>
      <c r="AY685" s="107">
        <v>130000</v>
      </c>
      <c r="AZ685" s="107">
        <f>ROUNDDOWN(AY685+(AY685*MASTER!$A$2/100),0)</f>
        <v>143000</v>
      </c>
      <c r="BC685" s="64">
        <v>0</v>
      </c>
      <c r="BG685" s="64">
        <v>0</v>
      </c>
      <c r="BK685" s="64">
        <v>0</v>
      </c>
      <c r="BS685" s="64">
        <v>0</v>
      </c>
      <c r="BV685" s="65">
        <v>143000</v>
      </c>
      <c r="BW685" s="65">
        <v>0</v>
      </c>
      <c r="BX685" s="65">
        <v>44589</v>
      </c>
      <c r="BY685" s="65">
        <v>143000</v>
      </c>
      <c r="BZ685" s="81">
        <v>100</v>
      </c>
    </row>
    <row r="686" spans="1:89" x14ac:dyDescent="0.15">
      <c r="A686" s="60">
        <v>2</v>
      </c>
      <c r="B686" s="61">
        <v>44608</v>
      </c>
      <c r="C686" s="61">
        <v>44608</v>
      </c>
      <c r="D686" s="61">
        <v>44634</v>
      </c>
      <c r="F686" s="61">
        <v>44608</v>
      </c>
      <c r="H686" s="61">
        <v>44604</v>
      </c>
      <c r="J686" s="60">
        <v>2</v>
      </c>
      <c r="L686" s="60">
        <v>0</v>
      </c>
      <c r="M686" s="61">
        <v>44589</v>
      </c>
      <c r="O686" s="62" t="s">
        <v>331</v>
      </c>
      <c r="P686" s="60" t="s">
        <v>77</v>
      </c>
      <c r="Q686" s="62" t="s">
        <v>40</v>
      </c>
      <c r="R686" s="62" t="s">
        <v>2389</v>
      </c>
      <c r="S686" s="63" t="s">
        <v>1568</v>
      </c>
      <c r="T686" s="63" t="s">
        <v>1953</v>
      </c>
      <c r="U686" s="64">
        <v>65000</v>
      </c>
      <c r="V686" s="64">
        <v>71500</v>
      </c>
      <c r="W686" s="64">
        <v>65000</v>
      </c>
      <c r="X686" s="64">
        <v>71500</v>
      </c>
      <c r="Y686" s="64">
        <v>0</v>
      </c>
      <c r="Z686" s="64">
        <v>0</v>
      </c>
      <c r="AA686" s="61">
        <v>44600</v>
      </c>
      <c r="AB686" s="61">
        <v>44601</v>
      </c>
      <c r="AC686" s="61">
        <v>44601</v>
      </c>
      <c r="AD686" s="60">
        <v>0</v>
      </c>
      <c r="AG686" s="60">
        <v>0</v>
      </c>
      <c r="AJ686" s="60">
        <v>0</v>
      </c>
      <c r="AQ686" s="60" t="s">
        <v>1985</v>
      </c>
      <c r="AR686" s="61">
        <v>44606</v>
      </c>
      <c r="AS686" s="60">
        <v>6001993031</v>
      </c>
      <c r="AT686" s="61">
        <v>44607</v>
      </c>
      <c r="AU686" s="60" t="s">
        <v>2314</v>
      </c>
      <c r="AV686" s="61">
        <v>44608</v>
      </c>
      <c r="AW686" s="91">
        <v>44620</v>
      </c>
      <c r="AX686" s="91">
        <v>44640</v>
      </c>
      <c r="AY686" s="107">
        <v>65000</v>
      </c>
      <c r="AZ686" s="107">
        <f>ROUNDDOWN(AY686+(AY686*MASTER!$A$2/100),0)</f>
        <v>71500</v>
      </c>
      <c r="BC686" s="64">
        <v>0</v>
      </c>
      <c r="BG686" s="64">
        <v>0</v>
      </c>
      <c r="BK686" s="64">
        <v>0</v>
      </c>
      <c r="BS686" s="64">
        <v>0</v>
      </c>
      <c r="BV686" s="65">
        <v>71500</v>
      </c>
      <c r="BW686" s="65">
        <v>0</v>
      </c>
      <c r="BX686" s="65">
        <v>44589</v>
      </c>
      <c r="BY686" s="65">
        <v>71500</v>
      </c>
      <c r="BZ686" s="81">
        <v>100</v>
      </c>
    </row>
    <row r="687" spans="1:89" x14ac:dyDescent="0.15">
      <c r="A687" s="60">
        <v>2</v>
      </c>
      <c r="B687" s="61">
        <v>44608</v>
      </c>
      <c r="C687" s="61">
        <v>44608</v>
      </c>
      <c r="D687" s="61">
        <v>44634</v>
      </c>
      <c r="F687" s="61">
        <v>44609</v>
      </c>
      <c r="H687" s="61">
        <v>44605</v>
      </c>
      <c r="J687" s="60">
        <v>2</v>
      </c>
      <c r="L687" s="60">
        <v>0</v>
      </c>
      <c r="M687" s="61">
        <v>44589</v>
      </c>
      <c r="O687" s="62" t="s">
        <v>331</v>
      </c>
      <c r="P687" s="60" t="s">
        <v>77</v>
      </c>
      <c r="Q687" s="62" t="s">
        <v>40</v>
      </c>
      <c r="R687" s="62" t="s">
        <v>2390</v>
      </c>
      <c r="S687" s="63" t="s">
        <v>988</v>
      </c>
      <c r="T687" s="63" t="s">
        <v>346</v>
      </c>
      <c r="U687" s="64">
        <v>65000</v>
      </c>
      <c r="V687" s="64">
        <v>71500</v>
      </c>
      <c r="W687" s="64">
        <v>65000</v>
      </c>
      <c r="X687" s="64">
        <v>71500</v>
      </c>
      <c r="Y687" s="64">
        <v>0</v>
      </c>
      <c r="Z687" s="64">
        <v>0</v>
      </c>
      <c r="AA687" s="61">
        <v>44601</v>
      </c>
      <c r="AB687" s="61">
        <v>44602</v>
      </c>
      <c r="AC687" s="61">
        <v>44602</v>
      </c>
      <c r="AD687" s="60">
        <v>0</v>
      </c>
      <c r="AG687" s="60">
        <v>0</v>
      </c>
      <c r="AJ687" s="60">
        <v>0</v>
      </c>
      <c r="AQ687" s="60" t="s">
        <v>2224</v>
      </c>
      <c r="AR687" s="61">
        <v>44606</v>
      </c>
      <c r="AS687" s="60">
        <v>6001993031</v>
      </c>
      <c r="AT687" s="61">
        <v>44607</v>
      </c>
      <c r="AU687" s="60" t="s">
        <v>2314</v>
      </c>
      <c r="AV687" s="61">
        <v>44608</v>
      </c>
      <c r="AW687" s="91">
        <v>44620</v>
      </c>
      <c r="AX687" s="91">
        <v>44640</v>
      </c>
      <c r="AY687" s="107">
        <v>65000</v>
      </c>
      <c r="AZ687" s="107">
        <f>ROUNDDOWN(AY687+(AY687*MASTER!$A$2/100),0)</f>
        <v>71500</v>
      </c>
      <c r="BC687" s="64">
        <v>0</v>
      </c>
      <c r="BG687" s="64">
        <v>0</v>
      </c>
      <c r="BK687" s="64">
        <v>0</v>
      </c>
      <c r="BS687" s="64">
        <v>0</v>
      </c>
      <c r="BV687" s="65">
        <v>71500</v>
      </c>
      <c r="BW687" s="65">
        <v>0</v>
      </c>
      <c r="BX687" s="65">
        <v>44589</v>
      </c>
      <c r="BY687" s="65">
        <v>71500</v>
      </c>
      <c r="BZ687" s="81">
        <v>100</v>
      </c>
    </row>
    <row r="688" spans="1:89" x14ac:dyDescent="0.15">
      <c r="A688" s="60">
        <v>2</v>
      </c>
      <c r="B688" s="61">
        <v>44608</v>
      </c>
      <c r="C688" s="61">
        <v>44608</v>
      </c>
      <c r="D688" s="61">
        <v>44634</v>
      </c>
      <c r="F688" s="61">
        <v>44610</v>
      </c>
      <c r="H688" s="61">
        <v>44606</v>
      </c>
      <c r="J688" s="60">
        <v>2</v>
      </c>
      <c r="L688" s="60">
        <v>0</v>
      </c>
      <c r="M688" s="61">
        <v>44589</v>
      </c>
      <c r="O688" s="62" t="s">
        <v>331</v>
      </c>
      <c r="P688" s="60" t="s">
        <v>77</v>
      </c>
      <c r="Q688" s="62" t="s">
        <v>40</v>
      </c>
      <c r="R688" s="62" t="s">
        <v>2391</v>
      </c>
      <c r="S688" s="63" t="s">
        <v>984</v>
      </c>
      <c r="T688" s="63" t="s">
        <v>1953</v>
      </c>
      <c r="U688" s="64">
        <v>65000</v>
      </c>
      <c r="V688" s="64">
        <v>71500</v>
      </c>
      <c r="W688" s="64">
        <v>65000</v>
      </c>
      <c r="X688" s="64">
        <v>71500</v>
      </c>
      <c r="Y688" s="64">
        <v>0</v>
      </c>
      <c r="Z688" s="64">
        <v>0</v>
      </c>
      <c r="AA688" s="61">
        <v>44602</v>
      </c>
      <c r="AB688" s="61">
        <v>44603</v>
      </c>
      <c r="AC688" s="61">
        <v>44603</v>
      </c>
      <c r="AD688" s="60">
        <v>0</v>
      </c>
      <c r="AG688" s="60">
        <v>0</v>
      </c>
      <c r="AJ688" s="60">
        <v>0</v>
      </c>
      <c r="AQ688" s="60" t="s">
        <v>1985</v>
      </c>
      <c r="AR688" s="61">
        <v>44606</v>
      </c>
      <c r="AS688" s="60">
        <v>6001993031</v>
      </c>
      <c r="AT688" s="61">
        <v>44607</v>
      </c>
      <c r="AU688" s="60" t="s">
        <v>2314</v>
      </c>
      <c r="AV688" s="61">
        <v>44608</v>
      </c>
      <c r="AW688" s="91">
        <v>44620</v>
      </c>
      <c r="AX688" s="91">
        <v>44640</v>
      </c>
      <c r="AY688" s="107">
        <v>65000</v>
      </c>
      <c r="AZ688" s="107">
        <f>ROUNDDOWN(AY688+(AY688*MASTER!$A$2/100),0)</f>
        <v>71500</v>
      </c>
      <c r="BC688" s="64">
        <v>0</v>
      </c>
      <c r="BG688" s="64">
        <v>0</v>
      </c>
      <c r="BK688" s="64">
        <v>0</v>
      </c>
      <c r="BS688" s="64">
        <v>0</v>
      </c>
      <c r="BV688" s="65">
        <v>71500</v>
      </c>
      <c r="BW688" s="65">
        <v>0</v>
      </c>
      <c r="BX688" s="65">
        <v>44589</v>
      </c>
      <c r="BY688" s="65">
        <v>71500</v>
      </c>
      <c r="BZ688" s="81">
        <v>100</v>
      </c>
    </row>
    <row r="689" spans="1:89" x14ac:dyDescent="0.15">
      <c r="A689" s="60">
        <v>2</v>
      </c>
      <c r="B689" s="61">
        <v>44608</v>
      </c>
      <c r="C689" s="61">
        <v>44608</v>
      </c>
      <c r="D689" s="61">
        <v>44634</v>
      </c>
      <c r="F689" s="61">
        <v>44611</v>
      </c>
      <c r="H689" s="61">
        <v>44607</v>
      </c>
      <c r="J689" s="60">
        <v>2</v>
      </c>
      <c r="L689" s="60">
        <v>0</v>
      </c>
      <c r="M689" s="61">
        <v>44589</v>
      </c>
      <c r="O689" s="62" t="s">
        <v>331</v>
      </c>
      <c r="P689" s="60" t="s">
        <v>77</v>
      </c>
      <c r="Q689" s="62" t="s">
        <v>40</v>
      </c>
      <c r="R689" s="62" t="s">
        <v>2392</v>
      </c>
      <c r="S689" s="63" t="s">
        <v>1255</v>
      </c>
      <c r="T689" s="63" t="s">
        <v>346</v>
      </c>
      <c r="U689" s="64">
        <v>65000</v>
      </c>
      <c r="V689" s="64">
        <v>71500</v>
      </c>
      <c r="W689" s="64">
        <v>65000</v>
      </c>
      <c r="X689" s="64">
        <v>71500</v>
      </c>
      <c r="Y689" s="64">
        <v>0</v>
      </c>
      <c r="Z689" s="64">
        <v>0</v>
      </c>
      <c r="AA689" s="61">
        <v>44603</v>
      </c>
      <c r="AB689" s="61">
        <v>44604</v>
      </c>
      <c r="AC689" s="61">
        <v>44604</v>
      </c>
      <c r="AD689" s="60">
        <v>0</v>
      </c>
      <c r="AG689" s="60">
        <v>0</v>
      </c>
      <c r="AJ689" s="60">
        <v>0</v>
      </c>
      <c r="AQ689" s="60" t="s">
        <v>2224</v>
      </c>
      <c r="AR689" s="61">
        <v>44606</v>
      </c>
      <c r="AS689" s="60">
        <v>6001993031</v>
      </c>
      <c r="AT689" s="61">
        <v>44607</v>
      </c>
      <c r="AU689" s="60" t="s">
        <v>2314</v>
      </c>
      <c r="AV689" s="61">
        <v>44608</v>
      </c>
      <c r="AW689" s="91">
        <v>44620</v>
      </c>
      <c r="AX689" s="91">
        <v>44640</v>
      </c>
      <c r="AY689" s="107">
        <v>65000</v>
      </c>
      <c r="AZ689" s="107">
        <f>ROUNDDOWN(AY689+(AY689*MASTER!$A$2/100),0)</f>
        <v>71500</v>
      </c>
      <c r="BC689" s="64">
        <v>0</v>
      </c>
      <c r="BG689" s="64">
        <v>0</v>
      </c>
      <c r="BK689" s="64">
        <v>0</v>
      </c>
      <c r="BS689" s="64">
        <v>0</v>
      </c>
      <c r="BV689" s="65">
        <v>71500</v>
      </c>
      <c r="BW689" s="65">
        <v>0</v>
      </c>
      <c r="BX689" s="65">
        <v>44589</v>
      </c>
      <c r="BY689" s="65">
        <v>71500</v>
      </c>
      <c r="BZ689" s="81">
        <v>100</v>
      </c>
    </row>
    <row r="690" spans="1:89" s="152" customFormat="1" x14ac:dyDescent="0.15">
      <c r="A690" s="142">
        <v>3</v>
      </c>
      <c r="B690" s="61"/>
      <c r="C690" s="143" t="s">
        <v>309</v>
      </c>
      <c r="D690" s="143"/>
      <c r="E690" s="143"/>
      <c r="F690" s="143" t="s">
        <v>309</v>
      </c>
      <c r="G690" s="143"/>
      <c r="H690" s="143" t="s">
        <v>309</v>
      </c>
      <c r="I690" s="142"/>
      <c r="J690" s="142">
        <v>2</v>
      </c>
      <c r="K690" s="143"/>
      <c r="L690" s="142">
        <v>0</v>
      </c>
      <c r="M690" s="143">
        <v>44589</v>
      </c>
      <c r="N690" s="143"/>
      <c r="O690" s="144" t="s">
        <v>331</v>
      </c>
      <c r="P690" s="142" t="s">
        <v>77</v>
      </c>
      <c r="Q690" s="144" t="s">
        <v>40</v>
      </c>
      <c r="R690" s="144" t="s">
        <v>2037</v>
      </c>
      <c r="S690" s="145" t="s">
        <v>391</v>
      </c>
      <c r="T690" s="145" t="s">
        <v>1953</v>
      </c>
      <c r="U690" s="146">
        <v>65000</v>
      </c>
      <c r="V690" s="146">
        <v>71500</v>
      </c>
      <c r="W690" s="146">
        <v>65000</v>
      </c>
      <c r="X690" s="146">
        <v>71500</v>
      </c>
      <c r="Y690" s="146">
        <v>0</v>
      </c>
      <c r="Z690" s="146">
        <v>0</v>
      </c>
      <c r="AA690" s="143" t="s">
        <v>2044</v>
      </c>
      <c r="AB690" s="143"/>
      <c r="AC690" s="143"/>
      <c r="AD690" s="142">
        <v>0</v>
      </c>
      <c r="AE690" s="142"/>
      <c r="AF690" s="142"/>
      <c r="AG690" s="142">
        <v>0</v>
      </c>
      <c r="AH690" s="142"/>
      <c r="AI690" s="142"/>
      <c r="AJ690" s="142">
        <v>0</v>
      </c>
      <c r="AK690" s="142"/>
      <c r="AL690" s="142"/>
      <c r="AM690" s="142"/>
      <c r="AN690" s="142"/>
      <c r="AO690" s="143"/>
      <c r="AP690" s="142"/>
      <c r="AQ690" s="142"/>
      <c r="AR690" s="143"/>
      <c r="AS690" s="142"/>
      <c r="AT690" s="143"/>
      <c r="AU690" s="142"/>
      <c r="AV690" s="143"/>
      <c r="AW690" s="91"/>
      <c r="AX690" s="91"/>
      <c r="AY690" s="154">
        <v>65000</v>
      </c>
      <c r="AZ690" s="154">
        <f>ROUNDDOWN(AY690+(AY690*MASTER!$A$2/100),0)</f>
        <v>71500</v>
      </c>
      <c r="BA690" s="142"/>
      <c r="BB690" s="146"/>
      <c r="BC690" s="146">
        <v>0</v>
      </c>
      <c r="BD690" s="142"/>
      <c r="BE690" s="142"/>
      <c r="BF690" s="146"/>
      <c r="BG690" s="146">
        <v>0</v>
      </c>
      <c r="BH690" s="142"/>
      <c r="BI690" s="142"/>
      <c r="BJ690" s="146"/>
      <c r="BK690" s="146">
        <v>0</v>
      </c>
      <c r="BL690" s="142"/>
      <c r="BM690" s="146"/>
      <c r="BN690" s="146"/>
      <c r="BO690" s="146"/>
      <c r="BP690" s="146"/>
      <c r="BQ690" s="146"/>
      <c r="BR690" s="146"/>
      <c r="BS690" s="146">
        <v>0</v>
      </c>
      <c r="BT690" s="149"/>
      <c r="BU690" s="149"/>
      <c r="BV690" s="150">
        <v>71500</v>
      </c>
      <c r="BW690" s="150">
        <v>0</v>
      </c>
      <c r="BX690" s="150">
        <v>44589</v>
      </c>
      <c r="BY690" s="150">
        <v>71500</v>
      </c>
      <c r="BZ690" s="151">
        <v>100</v>
      </c>
      <c r="CA690" s="142"/>
      <c r="CB690" s="142"/>
      <c r="CC690" s="142"/>
      <c r="CD690" s="145" t="s">
        <v>2393</v>
      </c>
      <c r="CE690" s="143"/>
      <c r="CF690" s="143"/>
      <c r="CG690" s="143"/>
      <c r="CH690" s="143"/>
      <c r="CI690" s="143"/>
      <c r="CJ690" s="143"/>
      <c r="CK690" s="146"/>
    </row>
    <row r="691" spans="1:89" x14ac:dyDescent="0.15">
      <c r="A691" s="60">
        <v>2</v>
      </c>
      <c r="B691" s="61">
        <v>44608</v>
      </c>
      <c r="C691" s="61">
        <v>44614</v>
      </c>
      <c r="D691" s="61">
        <v>44634</v>
      </c>
      <c r="F691" s="61" t="s">
        <v>309</v>
      </c>
      <c r="H691" s="61" t="s">
        <v>309</v>
      </c>
      <c r="J691" s="60">
        <v>2</v>
      </c>
      <c r="L691" s="60">
        <v>0</v>
      </c>
      <c r="M691" s="61">
        <v>44589</v>
      </c>
      <c r="O691" s="62" t="s">
        <v>331</v>
      </c>
      <c r="P691" s="60" t="s">
        <v>77</v>
      </c>
      <c r="Q691" s="62" t="s">
        <v>40</v>
      </c>
      <c r="R691" s="62" t="s">
        <v>2394</v>
      </c>
      <c r="S691" s="63" t="s">
        <v>623</v>
      </c>
      <c r="T691" s="63" t="s">
        <v>346</v>
      </c>
      <c r="U691" s="64">
        <v>65000</v>
      </c>
      <c r="V691" s="64">
        <v>71500</v>
      </c>
      <c r="W691" s="64">
        <v>65000</v>
      </c>
      <c r="X691" s="64">
        <v>71500</v>
      </c>
      <c r="Y691" s="64">
        <v>0</v>
      </c>
      <c r="Z691" s="64">
        <v>0</v>
      </c>
      <c r="AA691" s="61">
        <v>44613</v>
      </c>
      <c r="AB691" s="61">
        <v>44614</v>
      </c>
      <c r="AD691" s="60">
        <v>0</v>
      </c>
      <c r="AG691" s="60">
        <v>0</v>
      </c>
      <c r="AJ691" s="60">
        <v>0</v>
      </c>
      <c r="AQ691" s="60" t="s">
        <v>2265</v>
      </c>
      <c r="AR691" s="61">
        <v>44606</v>
      </c>
      <c r="AS691" s="60">
        <v>6001993157</v>
      </c>
      <c r="AT691" s="61">
        <v>44607</v>
      </c>
      <c r="AU691" s="60" t="s">
        <v>2316</v>
      </c>
      <c r="AV691" s="61">
        <v>44614</v>
      </c>
      <c r="AW691" s="91">
        <v>44620</v>
      </c>
      <c r="AX691" s="91">
        <v>44640</v>
      </c>
      <c r="AY691" s="107">
        <v>65000</v>
      </c>
      <c r="AZ691" s="107">
        <f>ROUNDDOWN(AY691+(AY691*MASTER!$A$2/100),0)</f>
        <v>71500</v>
      </c>
      <c r="BC691" s="64">
        <v>0</v>
      </c>
      <c r="BG691" s="64">
        <v>0</v>
      </c>
      <c r="BK691" s="64">
        <v>0</v>
      </c>
      <c r="BS691" s="64">
        <v>0</v>
      </c>
      <c r="BV691" s="65">
        <v>71500</v>
      </c>
      <c r="BW691" s="65">
        <v>0</v>
      </c>
      <c r="BX691" s="65">
        <v>44589</v>
      </c>
      <c r="BY691" s="65">
        <v>71500</v>
      </c>
      <c r="BZ691" s="81">
        <v>100</v>
      </c>
    </row>
    <row r="692" spans="1:89" x14ac:dyDescent="0.15">
      <c r="A692" s="60">
        <v>2</v>
      </c>
      <c r="B692" s="61">
        <v>44608</v>
      </c>
      <c r="C692" s="61">
        <v>44615</v>
      </c>
      <c r="D692" s="61">
        <v>44634</v>
      </c>
      <c r="F692" s="61" t="s">
        <v>309</v>
      </c>
      <c r="H692" s="61" t="s">
        <v>309</v>
      </c>
      <c r="J692" s="60">
        <v>2</v>
      </c>
      <c r="L692" s="60">
        <v>0</v>
      </c>
      <c r="M692" s="61">
        <v>44589</v>
      </c>
      <c r="O692" s="62" t="s">
        <v>331</v>
      </c>
      <c r="P692" s="60" t="s">
        <v>77</v>
      </c>
      <c r="Q692" s="62" t="s">
        <v>40</v>
      </c>
      <c r="R692" s="62" t="s">
        <v>2395</v>
      </c>
      <c r="S692" s="63" t="s">
        <v>717</v>
      </c>
      <c r="T692" s="63" t="s">
        <v>1953</v>
      </c>
      <c r="U692" s="64">
        <v>65000</v>
      </c>
      <c r="V692" s="64">
        <v>71500</v>
      </c>
      <c r="W692" s="64">
        <v>65000</v>
      </c>
      <c r="X692" s="64">
        <v>71500</v>
      </c>
      <c r="Y692" s="64">
        <v>0</v>
      </c>
      <c r="Z692" s="64">
        <v>0</v>
      </c>
      <c r="AA692" s="61">
        <v>44614</v>
      </c>
      <c r="AB692" s="61">
        <v>44615</v>
      </c>
      <c r="AD692" s="60">
        <v>0</v>
      </c>
      <c r="AG692" s="60">
        <v>0</v>
      </c>
      <c r="AJ692" s="60">
        <v>0</v>
      </c>
      <c r="AQ692" s="60" t="s">
        <v>2223</v>
      </c>
      <c r="AR692" s="61">
        <v>44606</v>
      </c>
      <c r="AS692" s="60">
        <v>6001993031</v>
      </c>
      <c r="AT692" s="61">
        <v>44607</v>
      </c>
      <c r="AU692" s="60" t="s">
        <v>2314</v>
      </c>
      <c r="AV692" s="61">
        <v>44615</v>
      </c>
      <c r="AW692" s="91">
        <v>44620</v>
      </c>
      <c r="AX692" s="91">
        <v>44640</v>
      </c>
      <c r="AY692" s="107">
        <v>65000</v>
      </c>
      <c r="AZ692" s="107">
        <f>ROUNDDOWN(AY692+(AY692*MASTER!$A$2/100),0)</f>
        <v>71500</v>
      </c>
      <c r="BC692" s="64">
        <v>0</v>
      </c>
      <c r="BG692" s="64">
        <v>0</v>
      </c>
      <c r="BK692" s="64">
        <v>0</v>
      </c>
      <c r="BS692" s="64">
        <v>0</v>
      </c>
      <c r="BV692" s="65">
        <v>71500</v>
      </c>
      <c r="BW692" s="65">
        <v>0</v>
      </c>
      <c r="BX692" s="65">
        <v>44589</v>
      </c>
      <c r="BY692" s="65">
        <v>71500</v>
      </c>
      <c r="BZ692" s="81">
        <v>100</v>
      </c>
    </row>
    <row r="693" spans="1:89" x14ac:dyDescent="0.15">
      <c r="A693" s="60">
        <v>2</v>
      </c>
      <c r="B693" s="61">
        <v>44608</v>
      </c>
      <c r="C693" s="61">
        <v>44617</v>
      </c>
      <c r="D693" s="61">
        <v>44634</v>
      </c>
      <c r="F693" s="61" t="s">
        <v>309</v>
      </c>
      <c r="H693" s="61" t="s">
        <v>309</v>
      </c>
      <c r="J693" s="60">
        <v>2</v>
      </c>
      <c r="L693" s="60">
        <v>0</v>
      </c>
      <c r="M693" s="61">
        <v>44589</v>
      </c>
      <c r="O693" s="62" t="s">
        <v>331</v>
      </c>
      <c r="P693" s="60" t="s">
        <v>77</v>
      </c>
      <c r="Q693" s="62" t="s">
        <v>40</v>
      </c>
      <c r="R693" s="62" t="s">
        <v>2054</v>
      </c>
      <c r="S693" s="63" t="s">
        <v>2055</v>
      </c>
      <c r="T693" s="63" t="s">
        <v>2041</v>
      </c>
      <c r="U693" s="64">
        <v>130000</v>
      </c>
      <c r="V693" s="64">
        <v>143000</v>
      </c>
      <c r="W693" s="64">
        <v>130000</v>
      </c>
      <c r="X693" s="64">
        <v>143000</v>
      </c>
      <c r="Y693" s="64">
        <v>0</v>
      </c>
      <c r="Z693" s="64">
        <v>0</v>
      </c>
      <c r="AA693" s="61">
        <v>44615</v>
      </c>
      <c r="AB693" s="61">
        <v>44616</v>
      </c>
      <c r="AD693" s="60">
        <v>0</v>
      </c>
      <c r="AG693" s="60">
        <v>0</v>
      </c>
      <c r="AJ693" s="60">
        <v>0</v>
      </c>
      <c r="AQ693" s="60" t="s">
        <v>2225</v>
      </c>
      <c r="AR693" s="61">
        <v>44606</v>
      </c>
      <c r="AS693" s="60">
        <v>6001993031</v>
      </c>
      <c r="AT693" s="61">
        <v>44607</v>
      </c>
      <c r="AU693" s="60" t="s">
        <v>2314</v>
      </c>
      <c r="AV693" s="61">
        <v>44617</v>
      </c>
      <c r="AW693" s="91">
        <v>44620</v>
      </c>
      <c r="AX693" s="91">
        <v>44640</v>
      </c>
      <c r="AY693" s="107">
        <v>130000</v>
      </c>
      <c r="AZ693" s="107">
        <f>ROUNDDOWN(AY693+(AY693*MASTER!$A$2/100),0)</f>
        <v>143000</v>
      </c>
      <c r="BC693" s="64">
        <v>0</v>
      </c>
      <c r="BG693" s="64">
        <v>0</v>
      </c>
      <c r="BK693" s="64">
        <v>0</v>
      </c>
      <c r="BS693" s="64">
        <v>0</v>
      </c>
      <c r="BV693" s="65">
        <v>143000</v>
      </c>
      <c r="BW693" s="65">
        <v>0</v>
      </c>
      <c r="BX693" s="65">
        <v>44589</v>
      </c>
      <c r="BY693" s="65">
        <v>143000</v>
      </c>
      <c r="BZ693" s="81">
        <v>100</v>
      </c>
    </row>
    <row r="694" spans="1:89" x14ac:dyDescent="0.15">
      <c r="A694" s="60">
        <v>2</v>
      </c>
      <c r="B694" s="61">
        <v>44608</v>
      </c>
      <c r="C694" s="61">
        <v>44616</v>
      </c>
      <c r="D694" s="61">
        <v>44634</v>
      </c>
      <c r="F694" s="61" t="s">
        <v>309</v>
      </c>
      <c r="H694" s="61" t="s">
        <v>309</v>
      </c>
      <c r="J694" s="60">
        <v>2</v>
      </c>
      <c r="L694" s="60">
        <v>0</v>
      </c>
      <c r="M694" s="61">
        <v>44589</v>
      </c>
      <c r="O694" s="62" t="s">
        <v>331</v>
      </c>
      <c r="P694" s="60" t="s">
        <v>77</v>
      </c>
      <c r="Q694" s="62" t="s">
        <v>40</v>
      </c>
      <c r="R694" s="62" t="s">
        <v>2396</v>
      </c>
      <c r="S694" s="63" t="s">
        <v>2055</v>
      </c>
      <c r="T694" s="63" t="s">
        <v>346</v>
      </c>
      <c r="U694" s="64">
        <v>65000</v>
      </c>
      <c r="V694" s="64">
        <v>71500</v>
      </c>
      <c r="W694" s="64">
        <v>65000</v>
      </c>
      <c r="X694" s="64">
        <v>71500</v>
      </c>
      <c r="Y694" s="64">
        <v>0</v>
      </c>
      <c r="Z694" s="64">
        <v>0</v>
      </c>
      <c r="AA694" s="61">
        <v>44616</v>
      </c>
      <c r="AB694" s="61">
        <v>44617</v>
      </c>
      <c r="AD694" s="60">
        <v>0</v>
      </c>
      <c r="AG694" s="60">
        <v>0</v>
      </c>
      <c r="AJ694" s="60">
        <v>0</v>
      </c>
      <c r="AQ694" s="60" t="s">
        <v>2265</v>
      </c>
      <c r="AR694" s="61">
        <v>44606</v>
      </c>
      <c r="AS694" s="60">
        <v>6001993157</v>
      </c>
      <c r="AT694" s="61">
        <v>44607</v>
      </c>
      <c r="AU694" s="60" t="s">
        <v>2316</v>
      </c>
      <c r="AV694" s="61">
        <v>44616</v>
      </c>
      <c r="AW694" s="91">
        <v>44620</v>
      </c>
      <c r="AX694" s="91">
        <v>44640</v>
      </c>
      <c r="AY694" s="107">
        <v>65000</v>
      </c>
      <c r="AZ694" s="107">
        <f>ROUNDDOWN(AY694+(AY694*MASTER!$A$2/100),0)</f>
        <v>71500</v>
      </c>
      <c r="BC694" s="64">
        <v>0</v>
      </c>
      <c r="BG694" s="64">
        <v>0</v>
      </c>
      <c r="BK694" s="64">
        <v>0</v>
      </c>
      <c r="BS694" s="64">
        <v>0</v>
      </c>
      <c r="BV694" s="65">
        <v>71500</v>
      </c>
      <c r="BW694" s="65">
        <v>0</v>
      </c>
      <c r="BX694" s="65">
        <v>44589</v>
      </c>
      <c r="BY694" s="65">
        <v>71500</v>
      </c>
      <c r="BZ694" s="81">
        <v>100</v>
      </c>
    </row>
    <row r="695" spans="1:89" x14ac:dyDescent="0.15">
      <c r="A695" s="60">
        <v>2</v>
      </c>
      <c r="B695" s="61">
        <v>44608</v>
      </c>
      <c r="C695" s="61">
        <v>44618</v>
      </c>
      <c r="D695" s="61">
        <v>44634</v>
      </c>
      <c r="F695" s="61" t="s">
        <v>309</v>
      </c>
      <c r="H695" s="61" t="s">
        <v>309</v>
      </c>
      <c r="J695" s="60">
        <v>2</v>
      </c>
      <c r="L695" s="60">
        <v>0</v>
      </c>
      <c r="M695" s="61">
        <v>44589</v>
      </c>
      <c r="O695" s="62" t="s">
        <v>331</v>
      </c>
      <c r="P695" s="60" t="s">
        <v>77</v>
      </c>
      <c r="Q695" s="62" t="s">
        <v>40</v>
      </c>
      <c r="R695" s="62" t="s">
        <v>2397</v>
      </c>
      <c r="S695" s="63" t="s">
        <v>348</v>
      </c>
      <c r="T695" s="63" t="s">
        <v>1953</v>
      </c>
      <c r="U695" s="64">
        <v>65000</v>
      </c>
      <c r="V695" s="64">
        <v>71500</v>
      </c>
      <c r="W695" s="64">
        <v>65000</v>
      </c>
      <c r="X695" s="64">
        <v>71500</v>
      </c>
      <c r="Y695" s="64">
        <v>0</v>
      </c>
      <c r="Z695" s="64">
        <v>0</v>
      </c>
      <c r="AA695" s="61">
        <v>44617</v>
      </c>
      <c r="AB695" s="61">
        <v>44618</v>
      </c>
      <c r="AD695" s="60">
        <v>0</v>
      </c>
      <c r="AG695" s="60">
        <v>0</v>
      </c>
      <c r="AJ695" s="60">
        <v>0</v>
      </c>
      <c r="AQ695" s="60" t="s">
        <v>2223</v>
      </c>
      <c r="AR695" s="61">
        <v>44606</v>
      </c>
      <c r="AS695" s="60">
        <v>6001993031</v>
      </c>
      <c r="AT695" s="61">
        <v>44607</v>
      </c>
      <c r="AU695" s="60" t="s">
        <v>2314</v>
      </c>
      <c r="AV695" s="61">
        <v>44618</v>
      </c>
      <c r="AW695" s="91">
        <v>44620</v>
      </c>
      <c r="AX695" s="91">
        <v>44640</v>
      </c>
      <c r="AY695" s="107">
        <v>65000</v>
      </c>
      <c r="AZ695" s="107">
        <f>ROUNDDOWN(AY695+(AY695*MASTER!$A$2/100),0)</f>
        <v>71500</v>
      </c>
      <c r="BC695" s="64">
        <v>0</v>
      </c>
      <c r="BG695" s="64">
        <v>0</v>
      </c>
      <c r="BK695" s="64">
        <v>0</v>
      </c>
      <c r="BS695" s="64">
        <v>0</v>
      </c>
      <c r="BV695" s="65">
        <v>71500</v>
      </c>
      <c r="BW695" s="65">
        <v>0</v>
      </c>
      <c r="BX695" s="65">
        <v>44589</v>
      </c>
      <c r="BY695" s="65">
        <v>71500</v>
      </c>
      <c r="BZ695" s="81">
        <v>100</v>
      </c>
    </row>
    <row r="696" spans="1:89" x14ac:dyDescent="0.15">
      <c r="A696" s="60">
        <v>2</v>
      </c>
      <c r="B696" s="61">
        <v>44608</v>
      </c>
      <c r="C696" s="61">
        <v>44621</v>
      </c>
      <c r="D696" s="61">
        <v>44627</v>
      </c>
      <c r="F696" s="61" t="s">
        <v>309</v>
      </c>
      <c r="H696" s="61" t="s">
        <v>309</v>
      </c>
      <c r="J696" s="60">
        <v>2</v>
      </c>
      <c r="L696" s="60">
        <v>0</v>
      </c>
      <c r="M696" s="61">
        <v>44589</v>
      </c>
      <c r="O696" s="62" t="s">
        <v>331</v>
      </c>
      <c r="P696" s="60" t="s">
        <v>77</v>
      </c>
      <c r="Q696" s="62" t="s">
        <v>40</v>
      </c>
      <c r="R696" s="62" t="s">
        <v>2398</v>
      </c>
      <c r="S696" s="63" t="s">
        <v>482</v>
      </c>
      <c r="T696" s="63" t="s">
        <v>1953</v>
      </c>
      <c r="U696" s="64">
        <v>65000</v>
      </c>
      <c r="V696" s="64">
        <v>71500</v>
      </c>
      <c r="W696" s="64">
        <v>65000</v>
      </c>
      <c r="X696" s="64">
        <v>71500</v>
      </c>
      <c r="Y696" s="64">
        <v>0</v>
      </c>
      <c r="Z696" s="64">
        <v>0</v>
      </c>
      <c r="AA696" s="61">
        <v>44610</v>
      </c>
      <c r="AB696" s="61">
        <v>44611</v>
      </c>
      <c r="AD696" s="60">
        <v>0</v>
      </c>
      <c r="AG696" s="60">
        <v>0</v>
      </c>
      <c r="AJ696" s="60">
        <v>0</v>
      </c>
      <c r="AQ696" s="60" t="s">
        <v>2223</v>
      </c>
      <c r="AR696" s="61">
        <v>44606</v>
      </c>
      <c r="AS696" s="60">
        <v>6001993031</v>
      </c>
      <c r="AT696" s="61">
        <v>44607</v>
      </c>
      <c r="AU696" s="60" t="s">
        <v>2314</v>
      </c>
      <c r="AV696" s="61">
        <v>44621</v>
      </c>
      <c r="AW696" s="91">
        <v>44620</v>
      </c>
      <c r="AX696" s="91">
        <v>44640</v>
      </c>
      <c r="AY696" s="107">
        <v>65000</v>
      </c>
      <c r="AZ696" s="107">
        <f>ROUNDDOWN(AY696+(AY696*MASTER!$A$2/100),0)</f>
        <v>71500</v>
      </c>
      <c r="BC696" s="64">
        <v>0</v>
      </c>
      <c r="BG696" s="64">
        <v>0</v>
      </c>
      <c r="BK696" s="64">
        <v>0</v>
      </c>
      <c r="BS696" s="64">
        <v>0</v>
      </c>
      <c r="BV696" s="65">
        <v>71500</v>
      </c>
      <c r="BW696" s="65">
        <v>0</v>
      </c>
      <c r="BX696" s="65">
        <v>44589</v>
      </c>
      <c r="BY696" s="65">
        <v>71500</v>
      </c>
      <c r="BZ696" s="81">
        <v>100</v>
      </c>
    </row>
    <row r="697" spans="1:89" x14ac:dyDescent="0.15">
      <c r="A697" s="60">
        <v>1</v>
      </c>
      <c r="B697" s="61">
        <v>44608</v>
      </c>
      <c r="C697" s="61">
        <v>44611</v>
      </c>
      <c r="F697" s="61" t="s">
        <v>309</v>
      </c>
      <c r="H697" s="61" t="s">
        <v>309</v>
      </c>
      <c r="J697" s="60">
        <v>2</v>
      </c>
      <c r="K697" s="61">
        <v>44602</v>
      </c>
      <c r="L697" s="60" t="s">
        <v>529</v>
      </c>
      <c r="M697" s="61">
        <v>44589</v>
      </c>
      <c r="O697" s="62" t="s">
        <v>331</v>
      </c>
      <c r="P697" s="60" t="s">
        <v>77</v>
      </c>
      <c r="Q697" s="62" t="s">
        <v>40</v>
      </c>
      <c r="R697" s="62" t="s">
        <v>2242</v>
      </c>
      <c r="S697" s="63" t="s">
        <v>2343</v>
      </c>
      <c r="T697" s="63" t="s">
        <v>346</v>
      </c>
      <c r="U697" s="64">
        <v>65000</v>
      </c>
      <c r="V697" s="64">
        <v>71500</v>
      </c>
      <c r="W697" s="64">
        <v>65000</v>
      </c>
      <c r="X697" s="64">
        <v>71500</v>
      </c>
      <c r="Y697" s="64">
        <v>0</v>
      </c>
      <c r="Z697" s="64">
        <v>0</v>
      </c>
      <c r="AA697" s="61" t="s">
        <v>2044</v>
      </c>
      <c r="AD697" s="60">
        <v>0</v>
      </c>
      <c r="AG697" s="60">
        <v>0</v>
      </c>
      <c r="AJ697" s="60">
        <v>0</v>
      </c>
      <c r="AQ697" s="60" t="s">
        <v>2265</v>
      </c>
      <c r="AR697" s="61">
        <v>44606</v>
      </c>
      <c r="AS697" s="60">
        <v>6001993157</v>
      </c>
      <c r="AT697" s="61">
        <v>44607</v>
      </c>
      <c r="AU697" s="60" t="s">
        <v>2316</v>
      </c>
      <c r="AV697" s="61">
        <v>44611</v>
      </c>
      <c r="AW697" s="91">
        <v>44620</v>
      </c>
      <c r="AX697" s="91">
        <v>44640</v>
      </c>
      <c r="AY697" s="107">
        <v>65000</v>
      </c>
      <c r="AZ697" s="107">
        <f>ROUNDDOWN(AY697+(AY697*MASTER!$A$2/100),0)</f>
        <v>71500</v>
      </c>
      <c r="BC697" s="64">
        <v>0</v>
      </c>
      <c r="BG697" s="64">
        <v>0</v>
      </c>
      <c r="BK697" s="64">
        <v>0</v>
      </c>
      <c r="BS697" s="64">
        <v>0</v>
      </c>
      <c r="BV697" s="65">
        <v>71500</v>
      </c>
      <c r="BW697" s="65">
        <v>0</v>
      </c>
      <c r="BX697" s="65">
        <v>0</v>
      </c>
      <c r="BY697" s="65">
        <v>44602</v>
      </c>
      <c r="BZ697" s="81">
        <v>100</v>
      </c>
      <c r="CD697" s="63" t="s">
        <v>2353</v>
      </c>
    </row>
    <row r="698" spans="1:89" x14ac:dyDescent="0.15">
      <c r="A698" s="60">
        <v>2</v>
      </c>
      <c r="B698" s="61">
        <v>44608</v>
      </c>
      <c r="C698" s="61">
        <v>44608</v>
      </c>
      <c r="D698" s="61">
        <v>44627</v>
      </c>
      <c r="F698" s="61">
        <v>44610</v>
      </c>
      <c r="H698" s="61">
        <v>44606</v>
      </c>
      <c r="J698" s="60">
        <v>2</v>
      </c>
      <c r="L698" s="60">
        <v>0</v>
      </c>
      <c r="M698" s="61">
        <v>44589</v>
      </c>
      <c r="O698" s="62" t="s">
        <v>331</v>
      </c>
      <c r="P698" s="60" t="s">
        <v>77</v>
      </c>
      <c r="Q698" s="62" t="s">
        <v>40</v>
      </c>
      <c r="R698" s="62" t="s">
        <v>2046</v>
      </c>
      <c r="S698" s="63" t="s">
        <v>866</v>
      </c>
      <c r="T698" s="63" t="s">
        <v>346</v>
      </c>
      <c r="U698" s="64">
        <v>65000</v>
      </c>
      <c r="V698" s="64">
        <v>71500</v>
      </c>
      <c r="W698" s="64">
        <v>65000</v>
      </c>
      <c r="X698" s="64">
        <v>71500</v>
      </c>
      <c r="Y698" s="64">
        <v>0</v>
      </c>
      <c r="Z698" s="64">
        <v>0</v>
      </c>
      <c r="AA698" s="61">
        <v>44602</v>
      </c>
      <c r="AB698" s="61">
        <v>44603</v>
      </c>
      <c r="AC698" s="61">
        <v>44603</v>
      </c>
      <c r="AD698" s="60">
        <v>0</v>
      </c>
      <c r="AG698" s="60">
        <v>0</v>
      </c>
      <c r="AJ698" s="60">
        <v>0</v>
      </c>
      <c r="AQ698" s="60" t="s">
        <v>2233</v>
      </c>
      <c r="AR698" s="61">
        <v>44606</v>
      </c>
      <c r="AS698" s="60">
        <v>6001993041</v>
      </c>
      <c r="AT698" s="61">
        <v>44607</v>
      </c>
      <c r="AU698" s="60" t="s">
        <v>2311</v>
      </c>
      <c r="AV698" s="61">
        <v>44608</v>
      </c>
      <c r="AW698" s="91">
        <v>44620</v>
      </c>
      <c r="AX698" s="91">
        <v>44640</v>
      </c>
      <c r="AY698" s="107">
        <v>65000</v>
      </c>
      <c r="AZ698" s="107">
        <f>ROUNDDOWN(AY698+(AY698*MASTER!$A$2/100),0)</f>
        <v>71500</v>
      </c>
      <c r="BC698" s="64">
        <v>0</v>
      </c>
      <c r="BG698" s="64">
        <v>0</v>
      </c>
      <c r="BK698" s="64">
        <v>0</v>
      </c>
      <c r="BS698" s="64">
        <v>0</v>
      </c>
      <c r="BV698" s="65">
        <v>71500</v>
      </c>
      <c r="BW698" s="65">
        <v>0</v>
      </c>
      <c r="BX698" s="65">
        <v>44589</v>
      </c>
      <c r="BY698" s="65">
        <v>71500</v>
      </c>
      <c r="BZ698" s="81">
        <v>100</v>
      </c>
    </row>
    <row r="699" spans="1:89" s="152" customFormat="1" x14ac:dyDescent="0.15">
      <c r="A699" s="142">
        <v>3</v>
      </c>
      <c r="B699" s="61"/>
      <c r="C699" s="143" t="s">
        <v>309</v>
      </c>
      <c r="D699" s="143"/>
      <c r="E699" s="143"/>
      <c r="F699" s="143" t="s">
        <v>309</v>
      </c>
      <c r="G699" s="143"/>
      <c r="H699" s="143" t="s">
        <v>309</v>
      </c>
      <c r="I699" s="142"/>
      <c r="J699" s="142">
        <v>2</v>
      </c>
      <c r="K699" s="143"/>
      <c r="L699" s="142">
        <v>0</v>
      </c>
      <c r="M699" s="143">
        <v>44589</v>
      </c>
      <c r="N699" s="143"/>
      <c r="O699" s="144" t="s">
        <v>331</v>
      </c>
      <c r="P699" s="142" t="s">
        <v>77</v>
      </c>
      <c r="Q699" s="144" t="s">
        <v>40</v>
      </c>
      <c r="R699" s="144" t="s">
        <v>2050</v>
      </c>
      <c r="S699" s="145" t="s">
        <v>557</v>
      </c>
      <c r="T699" s="145" t="s">
        <v>2042</v>
      </c>
      <c r="U699" s="146">
        <v>130000</v>
      </c>
      <c r="V699" s="146">
        <v>143000</v>
      </c>
      <c r="W699" s="146">
        <v>130000</v>
      </c>
      <c r="X699" s="146">
        <v>143000</v>
      </c>
      <c r="Y699" s="146">
        <v>0</v>
      </c>
      <c r="Z699" s="146">
        <v>0</v>
      </c>
      <c r="AA699" s="143" t="s">
        <v>2044</v>
      </c>
      <c r="AB699" s="143"/>
      <c r="AC699" s="143"/>
      <c r="AD699" s="142">
        <v>0</v>
      </c>
      <c r="AE699" s="142"/>
      <c r="AF699" s="142"/>
      <c r="AG699" s="142">
        <v>0</v>
      </c>
      <c r="AH699" s="142"/>
      <c r="AI699" s="142"/>
      <c r="AJ699" s="142">
        <v>0</v>
      </c>
      <c r="AK699" s="142"/>
      <c r="AL699" s="142"/>
      <c r="AM699" s="142"/>
      <c r="AN699" s="142"/>
      <c r="AO699" s="143"/>
      <c r="AP699" s="142"/>
      <c r="AQ699" s="142"/>
      <c r="AR699" s="143"/>
      <c r="AS699" s="142"/>
      <c r="AT699" s="143"/>
      <c r="AU699" s="142"/>
      <c r="AV699" s="143"/>
      <c r="AW699" s="91"/>
      <c r="AX699" s="91"/>
      <c r="AY699" s="154">
        <v>130000</v>
      </c>
      <c r="AZ699" s="154">
        <f>ROUNDDOWN(AY699+(AY699*MASTER!$A$2/100),0)</f>
        <v>143000</v>
      </c>
      <c r="BA699" s="142"/>
      <c r="BB699" s="146"/>
      <c r="BC699" s="146">
        <v>0</v>
      </c>
      <c r="BD699" s="142"/>
      <c r="BE699" s="142"/>
      <c r="BF699" s="146"/>
      <c r="BG699" s="146">
        <v>0</v>
      </c>
      <c r="BH699" s="142"/>
      <c r="BI699" s="142"/>
      <c r="BJ699" s="146"/>
      <c r="BK699" s="146">
        <v>0</v>
      </c>
      <c r="BL699" s="142"/>
      <c r="BM699" s="146"/>
      <c r="BN699" s="146"/>
      <c r="BO699" s="146"/>
      <c r="BP699" s="146"/>
      <c r="BQ699" s="146"/>
      <c r="BR699" s="146"/>
      <c r="BS699" s="146">
        <v>0</v>
      </c>
      <c r="BT699" s="149"/>
      <c r="BU699" s="149"/>
      <c r="BV699" s="150">
        <v>143000</v>
      </c>
      <c r="BW699" s="150">
        <v>0</v>
      </c>
      <c r="BX699" s="150">
        <v>44589</v>
      </c>
      <c r="BY699" s="150">
        <v>143000</v>
      </c>
      <c r="BZ699" s="151">
        <v>100</v>
      </c>
      <c r="CA699" s="142"/>
      <c r="CB699" s="142"/>
      <c r="CC699" s="142"/>
      <c r="CD699" s="145" t="s">
        <v>2161</v>
      </c>
      <c r="CE699" s="143"/>
      <c r="CF699" s="143"/>
      <c r="CG699" s="143"/>
      <c r="CH699" s="143"/>
      <c r="CI699" s="143"/>
      <c r="CJ699" s="143"/>
      <c r="CK699" s="146"/>
    </row>
    <row r="700" spans="1:89" x14ac:dyDescent="0.15">
      <c r="A700" s="60">
        <v>2</v>
      </c>
      <c r="B700" s="61">
        <v>44616</v>
      </c>
      <c r="C700" s="61">
        <v>44620</v>
      </c>
      <c r="D700" s="61">
        <v>44627</v>
      </c>
      <c r="F700" s="61" t="s">
        <v>309</v>
      </c>
      <c r="H700" s="61" t="s">
        <v>309</v>
      </c>
      <c r="J700" s="60">
        <v>2</v>
      </c>
      <c r="K700" s="61">
        <v>44602</v>
      </c>
      <c r="L700" s="60">
        <v>1</v>
      </c>
      <c r="M700" s="61">
        <v>44589</v>
      </c>
      <c r="O700" s="62" t="s">
        <v>331</v>
      </c>
      <c r="P700" s="60" t="s">
        <v>77</v>
      </c>
      <c r="Q700" s="62" t="s">
        <v>40</v>
      </c>
      <c r="R700" s="62" t="s">
        <v>2051</v>
      </c>
      <c r="S700" s="63" t="s">
        <v>1073</v>
      </c>
      <c r="T700" s="63" t="s">
        <v>1953</v>
      </c>
      <c r="U700" s="64">
        <v>65000</v>
      </c>
      <c r="V700" s="64">
        <v>71500</v>
      </c>
      <c r="W700" s="64">
        <v>65000</v>
      </c>
      <c r="X700" s="64">
        <v>71500</v>
      </c>
      <c r="Y700" s="64">
        <v>0</v>
      </c>
      <c r="Z700" s="64">
        <v>0</v>
      </c>
      <c r="AA700" s="61">
        <v>44608</v>
      </c>
      <c r="AB700" s="61">
        <v>44609</v>
      </c>
      <c r="AD700" s="60">
        <v>0</v>
      </c>
      <c r="AG700" s="60">
        <v>0</v>
      </c>
      <c r="AJ700" s="60">
        <v>0</v>
      </c>
      <c r="AQ700" s="60" t="s">
        <v>2231</v>
      </c>
      <c r="AR700" s="61">
        <v>44610</v>
      </c>
      <c r="AS700" s="60">
        <v>6001995916</v>
      </c>
      <c r="AT700" s="61">
        <v>44613</v>
      </c>
      <c r="AU700" s="60" t="s">
        <v>2448</v>
      </c>
      <c r="AV700" s="61">
        <v>44620</v>
      </c>
      <c r="AW700" s="91">
        <v>44620</v>
      </c>
      <c r="AX700" s="91">
        <v>44640</v>
      </c>
      <c r="AY700" s="107">
        <v>65000</v>
      </c>
      <c r="AZ700" s="107">
        <f>ROUNDDOWN(AY700+(AY700*MASTER!$A$2/100),0)</f>
        <v>71500</v>
      </c>
      <c r="BC700" s="64">
        <v>0</v>
      </c>
      <c r="BG700" s="64">
        <v>0</v>
      </c>
      <c r="BK700" s="64">
        <v>0</v>
      </c>
      <c r="BS700" s="64">
        <v>0</v>
      </c>
      <c r="BV700" s="65">
        <v>71500</v>
      </c>
      <c r="BW700" s="65">
        <v>0</v>
      </c>
      <c r="BX700" s="65">
        <v>0</v>
      </c>
      <c r="BY700" s="65">
        <v>44602</v>
      </c>
      <c r="BZ700" s="81">
        <v>100</v>
      </c>
      <c r="CD700" s="63" t="s">
        <v>2350</v>
      </c>
    </row>
    <row r="701" spans="1:89" x14ac:dyDescent="0.15">
      <c r="A701" s="60">
        <v>2</v>
      </c>
      <c r="B701" s="61">
        <v>44608</v>
      </c>
      <c r="C701" s="61">
        <v>44610</v>
      </c>
      <c r="D701" s="61">
        <v>44627</v>
      </c>
      <c r="F701" s="61" t="s">
        <v>309</v>
      </c>
      <c r="H701" s="61" t="s">
        <v>309</v>
      </c>
      <c r="J701" s="60">
        <v>2</v>
      </c>
      <c r="L701" s="60">
        <v>0</v>
      </c>
      <c r="M701" s="61">
        <v>44589</v>
      </c>
      <c r="O701" s="62" t="s">
        <v>331</v>
      </c>
      <c r="P701" s="60" t="s">
        <v>77</v>
      </c>
      <c r="Q701" s="62" t="s">
        <v>40</v>
      </c>
      <c r="R701" s="62" t="s">
        <v>2052</v>
      </c>
      <c r="S701" s="63" t="s">
        <v>583</v>
      </c>
      <c r="T701" s="63" t="s">
        <v>346</v>
      </c>
      <c r="U701" s="64">
        <v>65000</v>
      </c>
      <c r="V701" s="64">
        <v>71500</v>
      </c>
      <c r="W701" s="64">
        <v>65000</v>
      </c>
      <c r="X701" s="64">
        <v>71500</v>
      </c>
      <c r="Y701" s="64">
        <v>0</v>
      </c>
      <c r="Z701" s="64">
        <v>0</v>
      </c>
      <c r="AA701" s="61">
        <v>44609</v>
      </c>
      <c r="AB701" s="61">
        <v>44610</v>
      </c>
      <c r="AD701" s="60">
        <v>0</v>
      </c>
      <c r="AG701" s="60">
        <v>0</v>
      </c>
      <c r="AJ701" s="60">
        <v>0</v>
      </c>
      <c r="AQ701" s="60" t="s">
        <v>2265</v>
      </c>
      <c r="AR701" s="61">
        <v>44606</v>
      </c>
      <c r="AS701" s="60">
        <v>6001993157</v>
      </c>
      <c r="AT701" s="61">
        <v>44607</v>
      </c>
      <c r="AU701" s="60" t="s">
        <v>2316</v>
      </c>
      <c r="AV701" s="61">
        <v>44610</v>
      </c>
      <c r="AW701" s="91">
        <v>44620</v>
      </c>
      <c r="AX701" s="91">
        <v>44640</v>
      </c>
      <c r="AY701" s="107">
        <v>65000</v>
      </c>
      <c r="AZ701" s="107">
        <f>ROUNDDOWN(AY701+(AY701*MASTER!$A$2/100),0)</f>
        <v>71500</v>
      </c>
      <c r="BC701" s="64">
        <v>0</v>
      </c>
      <c r="BG701" s="64">
        <v>0</v>
      </c>
      <c r="BK701" s="64">
        <v>0</v>
      </c>
      <c r="BS701" s="64">
        <v>0</v>
      </c>
      <c r="BV701" s="65">
        <v>71500</v>
      </c>
      <c r="BW701" s="65">
        <v>0</v>
      </c>
      <c r="BX701" s="65">
        <v>44589</v>
      </c>
      <c r="BY701" s="65">
        <v>71500</v>
      </c>
      <c r="BZ701" s="81">
        <v>100</v>
      </c>
    </row>
    <row r="702" spans="1:89" x14ac:dyDescent="0.15">
      <c r="A702" s="60">
        <v>2</v>
      </c>
      <c r="B702" s="61">
        <v>44608</v>
      </c>
      <c r="C702" s="61">
        <v>44608</v>
      </c>
      <c r="D702" s="61">
        <v>44627</v>
      </c>
      <c r="F702" s="61">
        <v>44609</v>
      </c>
      <c r="H702" s="61">
        <v>44605</v>
      </c>
      <c r="J702" s="60">
        <v>2</v>
      </c>
      <c r="L702" s="60">
        <v>0</v>
      </c>
      <c r="M702" s="61">
        <v>44589</v>
      </c>
      <c r="O702" s="62" t="s">
        <v>331</v>
      </c>
      <c r="P702" s="60" t="s">
        <v>77</v>
      </c>
      <c r="Q702" s="62" t="s">
        <v>40</v>
      </c>
      <c r="R702" s="62" t="s">
        <v>2399</v>
      </c>
      <c r="S702" s="63" t="s">
        <v>1070</v>
      </c>
      <c r="T702" s="63" t="s">
        <v>346</v>
      </c>
      <c r="U702" s="64">
        <v>65000</v>
      </c>
      <c r="V702" s="64">
        <v>71500</v>
      </c>
      <c r="W702" s="64">
        <v>65000</v>
      </c>
      <c r="X702" s="64">
        <v>71500</v>
      </c>
      <c r="Y702" s="64">
        <v>0</v>
      </c>
      <c r="Z702" s="64">
        <v>0</v>
      </c>
      <c r="AA702" s="61">
        <v>44601</v>
      </c>
      <c r="AB702" s="61">
        <v>44602</v>
      </c>
      <c r="AC702" s="61">
        <v>44602</v>
      </c>
      <c r="AD702" s="60">
        <v>0</v>
      </c>
      <c r="AG702" s="60">
        <v>0</v>
      </c>
      <c r="AJ702" s="60">
        <v>0</v>
      </c>
      <c r="AQ702" s="60" t="s">
        <v>2233</v>
      </c>
      <c r="AR702" s="61">
        <v>44606</v>
      </c>
      <c r="AS702" s="60">
        <v>6001993041</v>
      </c>
      <c r="AT702" s="61">
        <v>44607</v>
      </c>
      <c r="AU702" s="60" t="s">
        <v>2311</v>
      </c>
      <c r="AV702" s="61">
        <v>44608</v>
      </c>
      <c r="AW702" s="91">
        <v>44620</v>
      </c>
      <c r="AX702" s="91">
        <v>44640</v>
      </c>
      <c r="AY702" s="107">
        <v>65000</v>
      </c>
      <c r="AZ702" s="107">
        <f>ROUNDDOWN(AY702+(AY702*MASTER!$A$2/100),0)</f>
        <v>71500</v>
      </c>
      <c r="BC702" s="64">
        <v>0</v>
      </c>
      <c r="BG702" s="64">
        <v>0</v>
      </c>
      <c r="BK702" s="64">
        <v>0</v>
      </c>
      <c r="BS702" s="64">
        <v>0</v>
      </c>
      <c r="BV702" s="65">
        <v>71500</v>
      </c>
      <c r="BW702" s="65">
        <v>0</v>
      </c>
      <c r="BX702" s="65">
        <v>44589</v>
      </c>
      <c r="BY702" s="65">
        <v>71500</v>
      </c>
      <c r="BZ702" s="81">
        <v>100</v>
      </c>
    </row>
    <row r="703" spans="1:89" x14ac:dyDescent="0.15">
      <c r="A703" s="60">
        <v>2</v>
      </c>
      <c r="B703" s="61">
        <v>44608</v>
      </c>
      <c r="C703" s="61">
        <v>44608</v>
      </c>
      <c r="D703" s="61">
        <v>44627</v>
      </c>
      <c r="F703" s="61">
        <v>44608</v>
      </c>
      <c r="H703" s="61">
        <v>44604</v>
      </c>
      <c r="J703" s="60">
        <v>2</v>
      </c>
      <c r="K703" s="61">
        <v>44599</v>
      </c>
      <c r="L703" s="60">
        <v>1</v>
      </c>
      <c r="M703" s="61">
        <v>44589</v>
      </c>
      <c r="O703" s="62" t="s">
        <v>331</v>
      </c>
      <c r="P703" s="60" t="s">
        <v>77</v>
      </c>
      <c r="Q703" s="62" t="s">
        <v>40</v>
      </c>
      <c r="R703" s="62" t="s">
        <v>2045</v>
      </c>
      <c r="S703" s="63" t="s">
        <v>1071</v>
      </c>
      <c r="T703" s="63" t="s">
        <v>346</v>
      </c>
      <c r="U703" s="64">
        <v>65000</v>
      </c>
      <c r="V703" s="64">
        <v>71500</v>
      </c>
      <c r="W703" s="64">
        <v>65000</v>
      </c>
      <c r="X703" s="64">
        <v>71500</v>
      </c>
      <c r="Y703" s="64">
        <v>0</v>
      </c>
      <c r="Z703" s="64">
        <v>0</v>
      </c>
      <c r="AA703" s="61">
        <v>44600</v>
      </c>
      <c r="AB703" s="61">
        <v>44601</v>
      </c>
      <c r="AC703" s="61">
        <v>44601</v>
      </c>
      <c r="AD703" s="60">
        <v>0</v>
      </c>
      <c r="AG703" s="60">
        <v>0</v>
      </c>
      <c r="AJ703" s="60">
        <v>0</v>
      </c>
      <c r="AQ703" s="60" t="s">
        <v>2232</v>
      </c>
      <c r="AR703" s="61">
        <v>44606</v>
      </c>
      <c r="AS703" s="60">
        <v>6001993041</v>
      </c>
      <c r="AT703" s="61">
        <v>44607</v>
      </c>
      <c r="AU703" s="60" t="s">
        <v>2311</v>
      </c>
      <c r="AV703" s="61">
        <v>44608</v>
      </c>
      <c r="AW703" s="91">
        <v>44620</v>
      </c>
      <c r="AX703" s="91">
        <v>44640</v>
      </c>
      <c r="AY703" s="107">
        <v>65000</v>
      </c>
      <c r="AZ703" s="107">
        <f>ROUNDDOWN(AY703+(AY703*MASTER!$A$2/100),0)</f>
        <v>71500</v>
      </c>
      <c r="BC703" s="64">
        <v>0</v>
      </c>
      <c r="BG703" s="64">
        <v>0</v>
      </c>
      <c r="BK703" s="64">
        <v>0</v>
      </c>
      <c r="BS703" s="64">
        <v>0</v>
      </c>
      <c r="BV703" s="65">
        <v>71500</v>
      </c>
      <c r="BW703" s="65">
        <v>0</v>
      </c>
      <c r="BX703" s="65">
        <v>0</v>
      </c>
      <c r="BY703" s="65">
        <v>44599</v>
      </c>
      <c r="BZ703" s="81">
        <v>100</v>
      </c>
      <c r="CD703" s="63" t="s">
        <v>2208</v>
      </c>
    </row>
    <row r="704" spans="1:89" s="152" customFormat="1" x14ac:dyDescent="0.15">
      <c r="A704" s="142">
        <v>3</v>
      </c>
      <c r="B704" s="61"/>
      <c r="C704" s="143" t="s">
        <v>309</v>
      </c>
      <c r="D704" s="143"/>
      <c r="E704" s="143"/>
      <c r="F704" s="143" t="s">
        <v>309</v>
      </c>
      <c r="G704" s="143"/>
      <c r="H704" s="143" t="s">
        <v>309</v>
      </c>
      <c r="I704" s="142"/>
      <c r="J704" s="142">
        <v>2</v>
      </c>
      <c r="K704" s="143"/>
      <c r="L704" s="142">
        <v>0</v>
      </c>
      <c r="M704" s="143">
        <v>44589</v>
      </c>
      <c r="N704" s="143"/>
      <c r="O704" s="144" t="s">
        <v>331</v>
      </c>
      <c r="P704" s="142" t="s">
        <v>77</v>
      </c>
      <c r="Q704" s="144" t="s">
        <v>40</v>
      </c>
      <c r="R704" s="144" t="s">
        <v>2053</v>
      </c>
      <c r="S704" s="145" t="s">
        <v>714</v>
      </c>
      <c r="T704" s="145" t="s">
        <v>2042</v>
      </c>
      <c r="U704" s="146">
        <v>130000</v>
      </c>
      <c r="V704" s="146">
        <v>143000</v>
      </c>
      <c r="W704" s="146">
        <v>130000</v>
      </c>
      <c r="X704" s="146">
        <v>143000</v>
      </c>
      <c r="Y704" s="146">
        <v>0</v>
      </c>
      <c r="Z704" s="146">
        <v>0</v>
      </c>
      <c r="AA704" s="143" t="s">
        <v>2044</v>
      </c>
      <c r="AB704" s="143"/>
      <c r="AC704" s="143"/>
      <c r="AD704" s="142">
        <v>0</v>
      </c>
      <c r="AE704" s="142"/>
      <c r="AF704" s="142"/>
      <c r="AG704" s="142">
        <v>0</v>
      </c>
      <c r="AH704" s="142"/>
      <c r="AI704" s="142"/>
      <c r="AJ704" s="142">
        <v>0</v>
      </c>
      <c r="AK704" s="142"/>
      <c r="AL704" s="142"/>
      <c r="AM704" s="142"/>
      <c r="AN704" s="142"/>
      <c r="AO704" s="143"/>
      <c r="AP704" s="142"/>
      <c r="AQ704" s="142"/>
      <c r="AR704" s="143"/>
      <c r="AS704" s="142"/>
      <c r="AT704" s="143"/>
      <c r="AU704" s="142"/>
      <c r="AV704" s="143"/>
      <c r="AW704" s="91"/>
      <c r="AX704" s="91"/>
      <c r="AY704" s="154">
        <v>130000</v>
      </c>
      <c r="AZ704" s="154">
        <f>ROUNDDOWN(AY704+(AY704*MASTER!$A$2/100),0)</f>
        <v>143000</v>
      </c>
      <c r="BA704" s="142"/>
      <c r="BB704" s="146"/>
      <c r="BC704" s="146">
        <v>0</v>
      </c>
      <c r="BD704" s="142"/>
      <c r="BE704" s="142"/>
      <c r="BF704" s="146"/>
      <c r="BG704" s="146">
        <v>0</v>
      </c>
      <c r="BH704" s="142"/>
      <c r="BI704" s="142"/>
      <c r="BJ704" s="146"/>
      <c r="BK704" s="146">
        <v>0</v>
      </c>
      <c r="BL704" s="142"/>
      <c r="BM704" s="146"/>
      <c r="BN704" s="146"/>
      <c r="BO704" s="146"/>
      <c r="BP704" s="146"/>
      <c r="BQ704" s="146"/>
      <c r="BR704" s="146"/>
      <c r="BS704" s="146">
        <v>0</v>
      </c>
      <c r="BT704" s="149"/>
      <c r="BU704" s="149"/>
      <c r="BV704" s="150">
        <v>143000</v>
      </c>
      <c r="BW704" s="150">
        <v>0</v>
      </c>
      <c r="BX704" s="150">
        <v>44589</v>
      </c>
      <c r="BY704" s="150">
        <v>143000</v>
      </c>
      <c r="BZ704" s="151">
        <v>100</v>
      </c>
      <c r="CA704" s="142"/>
      <c r="CB704" s="142"/>
      <c r="CC704" s="142"/>
      <c r="CD704" s="145" t="s">
        <v>2400</v>
      </c>
      <c r="CE704" s="143"/>
      <c r="CF704" s="143"/>
      <c r="CG704" s="143"/>
      <c r="CH704" s="143"/>
      <c r="CI704" s="143"/>
      <c r="CJ704" s="143"/>
      <c r="CK704" s="146"/>
    </row>
    <row r="705" spans="1:89" x14ac:dyDescent="0.15">
      <c r="A705" s="60">
        <v>2</v>
      </c>
      <c r="B705" s="61">
        <v>44608</v>
      </c>
      <c r="C705" s="61">
        <v>44608</v>
      </c>
      <c r="D705" s="61">
        <v>44627</v>
      </c>
      <c r="F705" s="61">
        <v>44611</v>
      </c>
      <c r="H705" s="61">
        <v>44607</v>
      </c>
      <c r="J705" s="60">
        <v>2</v>
      </c>
      <c r="L705" s="60">
        <v>0</v>
      </c>
      <c r="M705" s="61">
        <v>44589</v>
      </c>
      <c r="O705" s="62" t="s">
        <v>331</v>
      </c>
      <c r="P705" s="60" t="s">
        <v>77</v>
      </c>
      <c r="Q705" s="62" t="s">
        <v>40</v>
      </c>
      <c r="R705" s="62" t="s">
        <v>2401</v>
      </c>
      <c r="S705" s="63" t="s">
        <v>1233</v>
      </c>
      <c r="T705" s="63" t="s">
        <v>346</v>
      </c>
      <c r="U705" s="64">
        <v>65000</v>
      </c>
      <c r="V705" s="64">
        <v>71500</v>
      </c>
      <c r="W705" s="64">
        <v>65000</v>
      </c>
      <c r="X705" s="64">
        <v>71500</v>
      </c>
      <c r="Y705" s="64">
        <v>0</v>
      </c>
      <c r="Z705" s="64">
        <v>0</v>
      </c>
      <c r="AA705" s="61">
        <v>44603</v>
      </c>
      <c r="AB705" s="61">
        <v>44604</v>
      </c>
      <c r="AC705" s="61">
        <v>44604</v>
      </c>
      <c r="AD705" s="60">
        <v>0</v>
      </c>
      <c r="AG705" s="60">
        <v>0</v>
      </c>
      <c r="AJ705" s="60">
        <v>0</v>
      </c>
      <c r="AQ705" s="60" t="s">
        <v>2233</v>
      </c>
      <c r="AR705" s="61">
        <v>44606</v>
      </c>
      <c r="AS705" s="60">
        <v>6001993041</v>
      </c>
      <c r="AT705" s="61">
        <v>44607</v>
      </c>
      <c r="AU705" s="60" t="s">
        <v>2311</v>
      </c>
      <c r="AV705" s="61">
        <v>44608</v>
      </c>
      <c r="AW705" s="91">
        <v>44620</v>
      </c>
      <c r="AX705" s="91">
        <v>44640</v>
      </c>
      <c r="AY705" s="107">
        <v>65000</v>
      </c>
      <c r="AZ705" s="107">
        <f>ROUNDDOWN(AY705+(AY705*MASTER!$A$2/100),0)</f>
        <v>71500</v>
      </c>
      <c r="BC705" s="64">
        <v>0</v>
      </c>
      <c r="BG705" s="64">
        <v>0</v>
      </c>
      <c r="BK705" s="64">
        <v>0</v>
      </c>
      <c r="BS705" s="64">
        <v>0</v>
      </c>
      <c r="BV705" s="65">
        <v>71500</v>
      </c>
      <c r="BW705" s="65">
        <v>0</v>
      </c>
      <c r="BX705" s="65">
        <v>44589</v>
      </c>
      <c r="BY705" s="65">
        <v>71500</v>
      </c>
      <c r="BZ705" s="81">
        <v>100</v>
      </c>
    </row>
    <row r="706" spans="1:89" x14ac:dyDescent="0.15">
      <c r="A706" s="60">
        <v>2</v>
      </c>
      <c r="B706" s="61">
        <v>44608</v>
      </c>
      <c r="C706" s="61">
        <v>44608</v>
      </c>
      <c r="D706" s="61">
        <v>44627</v>
      </c>
      <c r="F706" s="61">
        <v>44612</v>
      </c>
      <c r="H706" s="61">
        <v>44608</v>
      </c>
      <c r="J706" s="60">
        <v>2</v>
      </c>
      <c r="L706" s="60">
        <v>0</v>
      </c>
      <c r="M706" s="61">
        <v>44589</v>
      </c>
      <c r="O706" s="62" t="s">
        <v>331</v>
      </c>
      <c r="P706" s="60" t="s">
        <v>77</v>
      </c>
      <c r="Q706" s="62" t="s">
        <v>40</v>
      </c>
      <c r="R706" s="62" t="s">
        <v>2402</v>
      </c>
      <c r="S706" s="63" t="s">
        <v>1163</v>
      </c>
      <c r="T706" s="63" t="s">
        <v>346</v>
      </c>
      <c r="U706" s="64">
        <v>65000</v>
      </c>
      <c r="V706" s="64">
        <v>71500</v>
      </c>
      <c r="W706" s="64">
        <v>65000</v>
      </c>
      <c r="X706" s="64">
        <v>71500</v>
      </c>
      <c r="Y706" s="64">
        <v>0</v>
      </c>
      <c r="Z706" s="64">
        <v>0</v>
      </c>
      <c r="AA706" s="61">
        <v>44604</v>
      </c>
      <c r="AB706" s="61">
        <v>44605</v>
      </c>
      <c r="AC706" s="61">
        <v>44605</v>
      </c>
      <c r="AD706" s="60">
        <v>0</v>
      </c>
      <c r="AG706" s="60">
        <v>0</v>
      </c>
      <c r="AJ706" s="60">
        <v>0</v>
      </c>
      <c r="AQ706" s="60" t="s">
        <v>2233</v>
      </c>
      <c r="AR706" s="61">
        <v>44606</v>
      </c>
      <c r="AS706" s="60">
        <v>6001993041</v>
      </c>
      <c r="AT706" s="61">
        <v>44607</v>
      </c>
      <c r="AU706" s="60" t="s">
        <v>2311</v>
      </c>
      <c r="AV706" s="61">
        <v>44608</v>
      </c>
      <c r="AW706" s="91">
        <v>44620</v>
      </c>
      <c r="AX706" s="91">
        <v>44640</v>
      </c>
      <c r="AY706" s="107">
        <v>65000</v>
      </c>
      <c r="AZ706" s="107">
        <f>ROUNDDOWN(AY706+(AY706*MASTER!$A$2/100),0)</f>
        <v>71500</v>
      </c>
      <c r="BC706" s="64">
        <v>0</v>
      </c>
      <c r="BG706" s="64">
        <v>0</v>
      </c>
      <c r="BK706" s="64">
        <v>0</v>
      </c>
      <c r="BS706" s="64">
        <v>0</v>
      </c>
      <c r="BV706" s="65">
        <v>71500</v>
      </c>
      <c r="BW706" s="65">
        <v>0</v>
      </c>
      <c r="BX706" s="65">
        <v>44589</v>
      </c>
      <c r="BY706" s="65">
        <v>71500</v>
      </c>
      <c r="BZ706" s="81">
        <v>100</v>
      </c>
    </row>
    <row r="707" spans="1:89" x14ac:dyDescent="0.15">
      <c r="A707" s="60">
        <v>2</v>
      </c>
      <c r="B707" s="61">
        <v>44608</v>
      </c>
      <c r="C707" s="61">
        <v>44614</v>
      </c>
      <c r="D707" s="61">
        <v>44627</v>
      </c>
      <c r="F707" s="61" t="s">
        <v>309</v>
      </c>
      <c r="H707" s="61" t="s">
        <v>309</v>
      </c>
      <c r="J707" s="60">
        <v>2</v>
      </c>
      <c r="L707" s="60">
        <v>0</v>
      </c>
      <c r="M707" s="61">
        <v>44589</v>
      </c>
      <c r="O707" s="62" t="s">
        <v>331</v>
      </c>
      <c r="P707" s="60" t="s">
        <v>77</v>
      </c>
      <c r="Q707" s="62" t="s">
        <v>40</v>
      </c>
      <c r="R707" s="62" t="s">
        <v>2403</v>
      </c>
      <c r="S707" s="63" t="s">
        <v>460</v>
      </c>
      <c r="T707" s="63" t="s">
        <v>346</v>
      </c>
      <c r="U707" s="64">
        <v>65000</v>
      </c>
      <c r="V707" s="64">
        <v>71500</v>
      </c>
      <c r="W707" s="64">
        <v>65000</v>
      </c>
      <c r="X707" s="64">
        <v>71500</v>
      </c>
      <c r="Y707" s="64">
        <v>0</v>
      </c>
      <c r="Z707" s="64">
        <v>0</v>
      </c>
      <c r="AA707" s="61">
        <v>44614</v>
      </c>
      <c r="AB707" s="61">
        <v>44615</v>
      </c>
      <c r="AD707" s="60">
        <v>0</v>
      </c>
      <c r="AG707" s="60">
        <v>0</v>
      </c>
      <c r="AJ707" s="60">
        <v>0</v>
      </c>
      <c r="AQ707" s="60" t="s">
        <v>2224</v>
      </c>
      <c r="AR707" s="61">
        <v>44606</v>
      </c>
      <c r="AS707" s="60">
        <v>6001993031</v>
      </c>
      <c r="AT707" s="61">
        <v>44607</v>
      </c>
      <c r="AU707" s="60" t="s">
        <v>2314</v>
      </c>
      <c r="AV707" s="61">
        <v>44614</v>
      </c>
      <c r="AW707" s="91">
        <v>44620</v>
      </c>
      <c r="AX707" s="91">
        <v>44640</v>
      </c>
      <c r="AY707" s="107">
        <v>65000</v>
      </c>
      <c r="AZ707" s="107">
        <f>ROUNDDOWN(AY707+(AY707*MASTER!$A$2/100),0)</f>
        <v>71500</v>
      </c>
      <c r="BC707" s="64">
        <v>0</v>
      </c>
      <c r="BG707" s="64">
        <v>0</v>
      </c>
      <c r="BK707" s="64">
        <v>0</v>
      </c>
      <c r="BS707" s="64">
        <v>0</v>
      </c>
      <c r="BV707" s="65">
        <v>71500</v>
      </c>
      <c r="BW707" s="65">
        <v>0</v>
      </c>
      <c r="BX707" s="65">
        <v>44589</v>
      </c>
      <c r="BY707" s="65">
        <v>71500</v>
      </c>
      <c r="BZ707" s="81">
        <v>100</v>
      </c>
    </row>
    <row r="708" spans="1:89" x14ac:dyDescent="0.15">
      <c r="A708" s="60">
        <v>2</v>
      </c>
      <c r="B708" s="61">
        <v>44608</v>
      </c>
      <c r="C708" s="61">
        <v>44615</v>
      </c>
      <c r="D708" s="61">
        <v>44627</v>
      </c>
      <c r="F708" s="61" t="s">
        <v>309</v>
      </c>
      <c r="H708" s="61" t="s">
        <v>309</v>
      </c>
      <c r="J708" s="60">
        <v>2</v>
      </c>
      <c r="L708" s="60">
        <v>0</v>
      </c>
      <c r="M708" s="61">
        <v>44589</v>
      </c>
      <c r="O708" s="62" t="s">
        <v>331</v>
      </c>
      <c r="P708" s="60" t="s">
        <v>77</v>
      </c>
      <c r="Q708" s="62" t="s">
        <v>40</v>
      </c>
      <c r="R708" s="62" t="s">
        <v>2404</v>
      </c>
      <c r="S708" s="63" t="s">
        <v>1990</v>
      </c>
      <c r="T708" s="63" t="s">
        <v>346</v>
      </c>
      <c r="U708" s="64">
        <v>65000</v>
      </c>
      <c r="V708" s="64">
        <v>71500</v>
      </c>
      <c r="W708" s="64">
        <v>65000</v>
      </c>
      <c r="X708" s="64">
        <v>71500</v>
      </c>
      <c r="Y708" s="64">
        <v>0</v>
      </c>
      <c r="Z708" s="64">
        <v>0</v>
      </c>
      <c r="AA708" s="61">
        <v>44615</v>
      </c>
      <c r="AB708" s="61">
        <v>44616</v>
      </c>
      <c r="AD708" s="60">
        <v>0</v>
      </c>
      <c r="AG708" s="60">
        <v>0</v>
      </c>
      <c r="AJ708" s="60">
        <v>0</v>
      </c>
      <c r="AQ708" s="60" t="s">
        <v>2224</v>
      </c>
      <c r="AR708" s="61">
        <v>44606</v>
      </c>
      <c r="AS708" s="60">
        <v>6001993031</v>
      </c>
      <c r="AT708" s="61">
        <v>44607</v>
      </c>
      <c r="AU708" s="60" t="s">
        <v>2314</v>
      </c>
      <c r="AV708" s="61">
        <v>44615</v>
      </c>
      <c r="AW708" s="91">
        <v>44620</v>
      </c>
      <c r="AX708" s="91">
        <v>44640</v>
      </c>
      <c r="AY708" s="107">
        <v>65000</v>
      </c>
      <c r="AZ708" s="107">
        <f>ROUNDDOWN(AY708+(AY708*MASTER!$A$2/100),0)</f>
        <v>71500</v>
      </c>
      <c r="BC708" s="64">
        <v>0</v>
      </c>
      <c r="BG708" s="64">
        <v>0</v>
      </c>
      <c r="BK708" s="64">
        <v>0</v>
      </c>
      <c r="BS708" s="64">
        <v>0</v>
      </c>
      <c r="BV708" s="65">
        <v>71500</v>
      </c>
      <c r="BW708" s="65">
        <v>0</v>
      </c>
      <c r="BX708" s="65">
        <v>44589</v>
      </c>
      <c r="BY708" s="65">
        <v>71500</v>
      </c>
      <c r="BZ708" s="81">
        <v>100</v>
      </c>
    </row>
    <row r="709" spans="1:89" x14ac:dyDescent="0.15">
      <c r="A709" s="60">
        <v>2</v>
      </c>
      <c r="B709" s="61">
        <v>44608</v>
      </c>
      <c r="C709" s="61">
        <v>44616</v>
      </c>
      <c r="D709" s="61">
        <v>44627</v>
      </c>
      <c r="F709" s="61" t="s">
        <v>309</v>
      </c>
      <c r="H709" s="61" t="s">
        <v>309</v>
      </c>
      <c r="J709" s="60">
        <v>2</v>
      </c>
      <c r="L709" s="60">
        <v>0</v>
      </c>
      <c r="M709" s="61">
        <v>44589</v>
      </c>
      <c r="O709" s="62" t="s">
        <v>331</v>
      </c>
      <c r="P709" s="60" t="s">
        <v>77</v>
      </c>
      <c r="Q709" s="62" t="s">
        <v>40</v>
      </c>
      <c r="R709" s="62" t="s">
        <v>2405</v>
      </c>
      <c r="S709" s="63" t="s">
        <v>487</v>
      </c>
      <c r="T709" s="63" t="s">
        <v>346</v>
      </c>
      <c r="U709" s="64">
        <v>65000</v>
      </c>
      <c r="V709" s="64">
        <v>71500</v>
      </c>
      <c r="W709" s="64">
        <v>65000</v>
      </c>
      <c r="X709" s="64">
        <v>71500</v>
      </c>
      <c r="Y709" s="64">
        <v>0</v>
      </c>
      <c r="Z709" s="64">
        <v>0</v>
      </c>
      <c r="AA709" s="61">
        <v>44618</v>
      </c>
      <c r="AB709" s="61">
        <v>44619</v>
      </c>
      <c r="AD709" s="60">
        <v>0</v>
      </c>
      <c r="AG709" s="60">
        <v>0</v>
      </c>
      <c r="AJ709" s="60">
        <v>0</v>
      </c>
      <c r="AQ709" s="60" t="s">
        <v>2224</v>
      </c>
      <c r="AR709" s="61">
        <v>44606</v>
      </c>
      <c r="AS709" s="60">
        <v>6001993031</v>
      </c>
      <c r="AT709" s="61">
        <v>44607</v>
      </c>
      <c r="AU709" s="60" t="s">
        <v>2314</v>
      </c>
      <c r="AV709" s="61">
        <v>44616</v>
      </c>
      <c r="AW709" s="91">
        <v>44620</v>
      </c>
      <c r="AX709" s="91">
        <v>44640</v>
      </c>
      <c r="AY709" s="107">
        <v>65000</v>
      </c>
      <c r="AZ709" s="107">
        <f>ROUNDDOWN(AY709+(AY709*MASTER!$A$2/100),0)</f>
        <v>71500</v>
      </c>
      <c r="BC709" s="64">
        <v>0</v>
      </c>
      <c r="BG709" s="64">
        <v>0</v>
      </c>
      <c r="BK709" s="64">
        <v>0</v>
      </c>
      <c r="BS709" s="64">
        <v>0</v>
      </c>
      <c r="BV709" s="65">
        <v>71500</v>
      </c>
      <c r="BW709" s="65">
        <v>0</v>
      </c>
      <c r="BX709" s="65">
        <v>44589</v>
      </c>
      <c r="BY709" s="65">
        <v>71500</v>
      </c>
      <c r="BZ709" s="81">
        <v>100</v>
      </c>
    </row>
    <row r="710" spans="1:89" x14ac:dyDescent="0.15">
      <c r="A710" s="60">
        <v>2</v>
      </c>
      <c r="B710" s="61">
        <v>44608</v>
      </c>
      <c r="C710" s="61">
        <v>44617</v>
      </c>
      <c r="D710" s="61">
        <v>44627</v>
      </c>
      <c r="F710" s="61" t="s">
        <v>309</v>
      </c>
      <c r="H710" s="61" t="s">
        <v>309</v>
      </c>
      <c r="J710" s="60">
        <v>2</v>
      </c>
      <c r="L710" s="60">
        <v>0</v>
      </c>
      <c r="M710" s="61">
        <v>44589</v>
      </c>
      <c r="O710" s="62" t="s">
        <v>331</v>
      </c>
      <c r="P710" s="60" t="s">
        <v>77</v>
      </c>
      <c r="Q710" s="62" t="s">
        <v>40</v>
      </c>
      <c r="R710" s="62" t="s">
        <v>2406</v>
      </c>
      <c r="S710" s="63" t="s">
        <v>1608</v>
      </c>
      <c r="T710" s="63" t="s">
        <v>1953</v>
      </c>
      <c r="U710" s="64">
        <v>65000</v>
      </c>
      <c r="V710" s="64">
        <v>71500</v>
      </c>
      <c r="W710" s="64">
        <v>65000</v>
      </c>
      <c r="X710" s="64">
        <v>71500</v>
      </c>
      <c r="Y710" s="64">
        <v>0</v>
      </c>
      <c r="Z710" s="64">
        <v>0</v>
      </c>
      <c r="AA710" s="61">
        <v>44617</v>
      </c>
      <c r="AB710" s="61">
        <v>44618</v>
      </c>
      <c r="AD710" s="60">
        <v>0</v>
      </c>
      <c r="AG710" s="60">
        <v>0</v>
      </c>
      <c r="AJ710" s="60">
        <v>0</v>
      </c>
      <c r="AQ710" s="60" t="s">
        <v>1985</v>
      </c>
      <c r="AR710" s="61">
        <v>44606</v>
      </c>
      <c r="AS710" s="60">
        <v>6001993031</v>
      </c>
      <c r="AT710" s="61">
        <v>44607</v>
      </c>
      <c r="AU710" s="60" t="s">
        <v>2314</v>
      </c>
      <c r="AV710" s="61">
        <v>44617</v>
      </c>
      <c r="AW710" s="91">
        <v>44620</v>
      </c>
      <c r="AX710" s="91">
        <v>44640</v>
      </c>
      <c r="AY710" s="107">
        <v>65000</v>
      </c>
      <c r="AZ710" s="107">
        <f>ROUNDDOWN(AY710+(AY710*MASTER!$A$2/100),0)</f>
        <v>71500</v>
      </c>
      <c r="BC710" s="64">
        <v>0</v>
      </c>
      <c r="BG710" s="64">
        <v>0</v>
      </c>
      <c r="BK710" s="64">
        <v>0</v>
      </c>
      <c r="BS710" s="64">
        <v>0</v>
      </c>
      <c r="BV710" s="65">
        <v>71500</v>
      </c>
      <c r="BW710" s="65">
        <v>0</v>
      </c>
      <c r="BX710" s="65">
        <v>44589</v>
      </c>
      <c r="BY710" s="65">
        <v>71500</v>
      </c>
      <c r="BZ710" s="81">
        <v>100</v>
      </c>
    </row>
    <row r="711" spans="1:89" x14ac:dyDescent="0.15">
      <c r="A711" s="60">
        <v>1</v>
      </c>
      <c r="B711" s="61">
        <v>44608</v>
      </c>
      <c r="C711" s="61">
        <v>44608</v>
      </c>
      <c r="F711" s="61" t="s">
        <v>309</v>
      </c>
      <c r="H711" s="61" t="s">
        <v>309</v>
      </c>
      <c r="J711" s="60">
        <v>2</v>
      </c>
      <c r="L711" s="60">
        <v>0</v>
      </c>
      <c r="M711" s="61">
        <v>44592</v>
      </c>
      <c r="O711" s="62" t="s">
        <v>331</v>
      </c>
      <c r="P711" s="60" t="s">
        <v>77</v>
      </c>
      <c r="Q711" s="62" t="s">
        <v>40</v>
      </c>
      <c r="R711" s="62" t="s">
        <v>2031</v>
      </c>
      <c r="S711" s="63" t="s">
        <v>391</v>
      </c>
      <c r="T711" s="63" t="s">
        <v>2032</v>
      </c>
      <c r="U711" s="64">
        <v>65000</v>
      </c>
      <c r="V711" s="64">
        <v>71500</v>
      </c>
      <c r="W711" s="64">
        <v>65000</v>
      </c>
      <c r="X711" s="64">
        <v>71500</v>
      </c>
      <c r="Y711" s="64">
        <v>0</v>
      </c>
      <c r="Z711" s="64">
        <v>0</v>
      </c>
      <c r="AA711" s="61" t="s">
        <v>2044</v>
      </c>
      <c r="AD711" s="60">
        <v>0</v>
      </c>
      <c r="AG711" s="60">
        <v>0</v>
      </c>
      <c r="AJ711" s="60">
        <v>0</v>
      </c>
      <c r="AQ711" s="60" t="s">
        <v>2223</v>
      </c>
      <c r="AR711" s="61">
        <v>44606</v>
      </c>
      <c r="AS711" s="60">
        <v>6001993031</v>
      </c>
      <c r="AT711" s="61">
        <v>44607</v>
      </c>
      <c r="AU711" s="60" t="s">
        <v>2314</v>
      </c>
      <c r="AV711" s="61">
        <v>44608</v>
      </c>
      <c r="AW711" s="91">
        <v>44620</v>
      </c>
      <c r="AX711" s="91">
        <v>44640</v>
      </c>
      <c r="AY711" s="107">
        <v>65000</v>
      </c>
      <c r="AZ711" s="107">
        <f>ROUNDDOWN(AY711+(AY711*MASTER!$A$2/100),0)</f>
        <v>71500</v>
      </c>
      <c r="BC711" s="64">
        <v>0</v>
      </c>
      <c r="BG711" s="64">
        <v>0</v>
      </c>
      <c r="BK711" s="64">
        <v>0</v>
      </c>
      <c r="BS711" s="64">
        <v>0</v>
      </c>
      <c r="BV711" s="65">
        <v>71500</v>
      </c>
      <c r="BW711" s="65">
        <v>0</v>
      </c>
      <c r="BX711" s="65">
        <v>44592</v>
      </c>
      <c r="BY711" s="65">
        <v>71500</v>
      </c>
      <c r="BZ711" s="81">
        <v>100</v>
      </c>
    </row>
    <row r="712" spans="1:89" x14ac:dyDescent="0.15">
      <c r="A712" s="60">
        <v>1</v>
      </c>
      <c r="B712" s="61">
        <v>44595</v>
      </c>
      <c r="C712" s="61">
        <v>44602</v>
      </c>
      <c r="F712" s="61" t="s">
        <v>309</v>
      </c>
      <c r="H712" s="61" t="s">
        <v>309</v>
      </c>
      <c r="J712" s="60">
        <v>2</v>
      </c>
      <c r="L712" s="60">
        <v>0</v>
      </c>
      <c r="M712" s="61">
        <v>44592</v>
      </c>
      <c r="O712" s="62" t="s">
        <v>331</v>
      </c>
      <c r="P712" s="60" t="s">
        <v>77</v>
      </c>
      <c r="Q712" s="62" t="s">
        <v>40</v>
      </c>
      <c r="R712" s="62" t="s">
        <v>2034</v>
      </c>
      <c r="S712" s="63" t="s">
        <v>489</v>
      </c>
      <c r="T712" s="63" t="s">
        <v>2033</v>
      </c>
      <c r="U712" s="64">
        <v>98800</v>
      </c>
      <c r="V712" s="64">
        <v>108680</v>
      </c>
      <c r="W712" s="64">
        <v>98800</v>
      </c>
      <c r="X712" s="64">
        <v>108680</v>
      </c>
      <c r="Y712" s="64">
        <v>0</v>
      </c>
      <c r="Z712" s="64">
        <v>0</v>
      </c>
      <c r="AD712" s="60">
        <v>0</v>
      </c>
      <c r="AG712" s="60">
        <v>0</v>
      </c>
      <c r="AJ712" s="60">
        <v>0</v>
      </c>
      <c r="AQ712" s="60" t="s">
        <v>2035</v>
      </c>
      <c r="AR712" s="61">
        <v>44592</v>
      </c>
      <c r="AS712" s="60">
        <v>6001987172</v>
      </c>
      <c r="AT712" s="61">
        <v>44592</v>
      </c>
      <c r="AU712" s="60" t="s">
        <v>2056</v>
      </c>
      <c r="AV712" s="61">
        <v>44602</v>
      </c>
      <c r="AW712" s="91">
        <v>44620</v>
      </c>
      <c r="AX712" s="175">
        <v>44640</v>
      </c>
      <c r="AY712" s="107">
        <v>98800</v>
      </c>
      <c r="AZ712" s="107">
        <f>ROUNDDOWN(AY712+(AY712*MASTER!$A$2/100),0)</f>
        <v>108680</v>
      </c>
      <c r="BC712" s="64">
        <v>0</v>
      </c>
      <c r="BG712" s="64">
        <v>0</v>
      </c>
      <c r="BK712" s="64">
        <v>0</v>
      </c>
      <c r="BS712" s="64">
        <v>0</v>
      </c>
      <c r="BV712" s="65">
        <v>108680</v>
      </c>
      <c r="BW712" s="65">
        <v>0</v>
      </c>
      <c r="BX712" s="65">
        <v>44592</v>
      </c>
      <c r="BY712" s="65">
        <v>108680</v>
      </c>
      <c r="BZ712" s="81">
        <v>100</v>
      </c>
      <c r="CD712" s="63" t="s">
        <v>2579</v>
      </c>
    </row>
    <row r="713" spans="1:89" x14ac:dyDescent="0.15">
      <c r="A713" s="60">
        <v>1</v>
      </c>
      <c r="B713" s="61">
        <v>44595</v>
      </c>
      <c r="C713" s="61">
        <v>44602</v>
      </c>
      <c r="F713" s="61" t="s">
        <v>309</v>
      </c>
      <c r="H713" s="61" t="s">
        <v>309</v>
      </c>
      <c r="J713" s="60">
        <v>2</v>
      </c>
      <c r="L713" s="60">
        <v>0</v>
      </c>
      <c r="M713" s="61">
        <v>44592</v>
      </c>
      <c r="O713" s="62" t="s">
        <v>331</v>
      </c>
      <c r="P713" s="60" t="s">
        <v>77</v>
      </c>
      <c r="Q713" s="62" t="s">
        <v>40</v>
      </c>
      <c r="R713" s="62" t="s">
        <v>2036</v>
      </c>
      <c r="S713" s="63" t="s">
        <v>489</v>
      </c>
      <c r="T713" s="63" t="s">
        <v>2038</v>
      </c>
      <c r="U713" s="64">
        <v>14040</v>
      </c>
      <c r="V713" s="64">
        <v>15444</v>
      </c>
      <c r="W713" s="64">
        <v>14040</v>
      </c>
      <c r="X713" s="64">
        <v>15444</v>
      </c>
      <c r="Y713" s="64">
        <v>0</v>
      </c>
      <c r="Z713" s="64">
        <v>0</v>
      </c>
      <c r="AD713" s="60">
        <v>0</v>
      </c>
      <c r="AG713" s="60">
        <v>0</v>
      </c>
      <c r="AJ713" s="60">
        <v>0</v>
      </c>
      <c r="AR713" s="61">
        <v>44592</v>
      </c>
      <c r="AS713" s="60">
        <v>6001987172</v>
      </c>
      <c r="AT713" s="61">
        <v>44592</v>
      </c>
      <c r="AU713" s="60" t="s">
        <v>2056</v>
      </c>
      <c r="AV713" s="61">
        <v>44602</v>
      </c>
      <c r="AW713" s="91">
        <v>44620</v>
      </c>
      <c r="AX713" s="175">
        <v>44640</v>
      </c>
      <c r="AY713" s="107">
        <v>14040</v>
      </c>
      <c r="AZ713" s="107">
        <f>ROUNDDOWN(AY713+(AY713*MASTER!$A$2/100),0)</f>
        <v>15444</v>
      </c>
      <c r="BC713" s="64">
        <v>0</v>
      </c>
      <c r="BG713" s="64">
        <v>0</v>
      </c>
      <c r="BK713" s="64">
        <v>0</v>
      </c>
      <c r="BS713" s="64">
        <v>0</v>
      </c>
      <c r="BV713" s="65">
        <v>15444</v>
      </c>
      <c r="BW713" s="65">
        <v>0</v>
      </c>
      <c r="BX713" s="65">
        <v>44592</v>
      </c>
      <c r="BY713" s="65">
        <v>15444</v>
      </c>
      <c r="BZ713" s="81">
        <v>100</v>
      </c>
      <c r="CD713" s="63" t="s">
        <v>2579</v>
      </c>
    </row>
    <row r="714" spans="1:89" x14ac:dyDescent="0.15">
      <c r="A714" s="60">
        <v>1</v>
      </c>
      <c r="B714" s="61">
        <v>44608</v>
      </c>
      <c r="C714" s="61">
        <v>44608</v>
      </c>
      <c r="F714" s="61" t="s">
        <v>309</v>
      </c>
      <c r="H714" s="61" t="s">
        <v>309</v>
      </c>
      <c r="J714" s="60">
        <v>2</v>
      </c>
      <c r="L714" s="60">
        <v>0</v>
      </c>
      <c r="M714" s="61">
        <v>44592</v>
      </c>
      <c r="O714" s="62" t="s">
        <v>331</v>
      </c>
      <c r="P714" s="60" t="s">
        <v>6</v>
      </c>
      <c r="Q714" s="62" t="s">
        <v>40</v>
      </c>
      <c r="R714" s="62" t="s">
        <v>2184</v>
      </c>
      <c r="S714" s="63" t="s">
        <v>986</v>
      </c>
      <c r="T714" s="63" t="s">
        <v>364</v>
      </c>
      <c r="U714" s="64">
        <v>51000</v>
      </c>
      <c r="V714" s="64">
        <v>56100</v>
      </c>
      <c r="W714" s="64">
        <v>51000</v>
      </c>
      <c r="X714" s="64">
        <v>56100</v>
      </c>
      <c r="Z714" s="64">
        <v>0</v>
      </c>
      <c r="AA714" s="61">
        <v>44596</v>
      </c>
      <c r="AB714" s="61">
        <v>44596</v>
      </c>
      <c r="AD714" s="60">
        <v>0</v>
      </c>
      <c r="AG714" s="60">
        <v>0</v>
      </c>
      <c r="AJ714" s="60">
        <v>0</v>
      </c>
      <c r="AN714" s="60" t="s">
        <v>309</v>
      </c>
      <c r="AQ714" s="60" t="s">
        <v>2230</v>
      </c>
      <c r="AR714" s="61">
        <v>44606</v>
      </c>
      <c r="AS714" s="60">
        <v>6001993031</v>
      </c>
      <c r="AT714" s="61">
        <v>44607</v>
      </c>
      <c r="AU714" s="60" t="s">
        <v>2314</v>
      </c>
      <c r="AV714" s="61">
        <v>44608</v>
      </c>
      <c r="AW714" s="91">
        <v>44620</v>
      </c>
      <c r="AX714" s="91">
        <v>44640</v>
      </c>
      <c r="AY714" s="99">
        <v>48960</v>
      </c>
      <c r="AZ714" s="99">
        <f>ROUNDDOWN(AY714+(AY714*MASTER!$A$2/100),0)</f>
        <v>53856</v>
      </c>
      <c r="BA714" s="60" t="s">
        <v>317</v>
      </c>
      <c r="BB714" s="64">
        <v>21000</v>
      </c>
      <c r="BC714" s="64">
        <v>23100</v>
      </c>
      <c r="BD714" s="60" t="s">
        <v>2044</v>
      </c>
      <c r="BG714" s="64">
        <v>0</v>
      </c>
      <c r="BK714" s="64">
        <v>0</v>
      </c>
      <c r="BS714" s="64">
        <v>0</v>
      </c>
      <c r="BV714" s="65">
        <v>56100</v>
      </c>
      <c r="BW714" s="65">
        <v>23100</v>
      </c>
      <c r="BX714" s="65">
        <v>44592</v>
      </c>
      <c r="BY714" s="65">
        <v>33000</v>
      </c>
      <c r="BZ714" s="81">
        <v>58.82352941176471</v>
      </c>
    </row>
    <row r="715" spans="1:89" x14ac:dyDescent="0.15">
      <c r="A715" s="60">
        <v>1</v>
      </c>
      <c r="B715" s="61">
        <v>44637</v>
      </c>
      <c r="C715" s="61">
        <v>44680</v>
      </c>
      <c r="F715" s="61" t="s">
        <v>309</v>
      </c>
      <c r="G715" s="61">
        <v>44676</v>
      </c>
      <c r="H715" s="61" t="s">
        <v>309</v>
      </c>
      <c r="J715" s="60">
        <v>2</v>
      </c>
      <c r="L715" s="60">
        <v>0</v>
      </c>
      <c r="M715" s="61">
        <v>44592</v>
      </c>
      <c r="O715" s="62" t="s">
        <v>331</v>
      </c>
      <c r="P715" s="60" t="s">
        <v>26</v>
      </c>
      <c r="Q715" s="62" t="s">
        <v>40</v>
      </c>
      <c r="R715" s="62" t="s">
        <v>2823</v>
      </c>
      <c r="S715" s="63" t="s">
        <v>1647</v>
      </c>
      <c r="T715" s="63" t="s">
        <v>2753</v>
      </c>
      <c r="U715" s="64">
        <v>442000</v>
      </c>
      <c r="V715" s="64">
        <v>486200</v>
      </c>
      <c r="W715" s="64">
        <v>442000</v>
      </c>
      <c r="X715" s="64">
        <v>486200</v>
      </c>
      <c r="Z715" s="64">
        <v>0</v>
      </c>
      <c r="AA715" s="61">
        <v>44629</v>
      </c>
      <c r="AB715" s="61">
        <v>44651</v>
      </c>
      <c r="AD715" s="60">
        <v>0</v>
      </c>
      <c r="AG715" s="60">
        <v>0</v>
      </c>
      <c r="AJ715" s="60">
        <v>0</v>
      </c>
      <c r="AN715" s="60" t="s">
        <v>309</v>
      </c>
      <c r="AQ715" s="60" t="s">
        <v>2097</v>
      </c>
      <c r="AR715" s="61">
        <v>44596</v>
      </c>
      <c r="AS715" s="60">
        <v>6001990064</v>
      </c>
      <c r="AT715" s="61">
        <v>44599</v>
      </c>
      <c r="AU715" s="60" t="s">
        <v>2207</v>
      </c>
      <c r="AV715" s="61">
        <v>44680</v>
      </c>
      <c r="AW715" s="91">
        <v>44651</v>
      </c>
      <c r="AX715" s="91">
        <v>44671</v>
      </c>
      <c r="AY715" s="99">
        <v>424320</v>
      </c>
      <c r="AZ715" s="99">
        <f>ROUNDDOWN(AY715+(AY715*MASTER!$A$2/100),0)</f>
        <v>466752</v>
      </c>
      <c r="BA715" s="60" t="s">
        <v>314</v>
      </c>
      <c r="BB715" s="64">
        <v>168000</v>
      </c>
      <c r="BC715" s="64">
        <v>184800</v>
      </c>
      <c r="BD715" s="60" t="s">
        <v>2107</v>
      </c>
      <c r="BG715" s="64">
        <v>0</v>
      </c>
      <c r="BK715" s="64">
        <v>0</v>
      </c>
      <c r="BS715" s="64">
        <v>0</v>
      </c>
      <c r="BV715" s="65">
        <v>486200</v>
      </c>
      <c r="BW715" s="65">
        <v>184800</v>
      </c>
      <c r="BX715" s="65">
        <v>44592</v>
      </c>
      <c r="BY715" s="65">
        <v>301400</v>
      </c>
      <c r="BZ715" s="81">
        <v>61.990950226244344</v>
      </c>
    </row>
    <row r="716" spans="1:89" x14ac:dyDescent="0.15">
      <c r="A716" s="60">
        <v>1</v>
      </c>
      <c r="B716" s="61">
        <v>44637</v>
      </c>
      <c r="C716" s="61">
        <v>44680</v>
      </c>
      <c r="F716" s="61" t="s">
        <v>309</v>
      </c>
      <c r="H716" s="61" t="s">
        <v>309</v>
      </c>
      <c r="J716" s="60">
        <v>1</v>
      </c>
      <c r="L716" s="60">
        <v>0</v>
      </c>
      <c r="M716" s="61">
        <v>44592</v>
      </c>
      <c r="O716" s="62" t="s">
        <v>331</v>
      </c>
      <c r="P716" s="60" t="s">
        <v>26</v>
      </c>
      <c r="Q716" s="62" t="s">
        <v>40</v>
      </c>
      <c r="R716" s="62" t="s">
        <v>2824</v>
      </c>
      <c r="S716" s="63" t="s">
        <v>1647</v>
      </c>
      <c r="T716" s="63" t="s">
        <v>2825</v>
      </c>
      <c r="U716" s="64">
        <v>319000</v>
      </c>
      <c r="V716" s="64">
        <v>350900</v>
      </c>
      <c r="W716" s="64">
        <v>252000</v>
      </c>
      <c r="X716" s="64">
        <v>277200</v>
      </c>
      <c r="Y716" s="64">
        <v>67000</v>
      </c>
      <c r="Z716" s="64">
        <v>73700</v>
      </c>
      <c r="AD716" s="60">
        <v>0</v>
      </c>
      <c r="AG716" s="60">
        <v>0</v>
      </c>
      <c r="AJ716" s="60">
        <v>0</v>
      </c>
      <c r="AN716" s="60" t="s">
        <v>309</v>
      </c>
      <c r="AQ716" s="60" t="s">
        <v>2097</v>
      </c>
      <c r="AR716" s="61">
        <v>44594</v>
      </c>
      <c r="AS716" s="60">
        <v>6001988571</v>
      </c>
      <c r="AT716" s="61">
        <v>44595</v>
      </c>
      <c r="AU716" s="60" t="s">
        <v>2148</v>
      </c>
      <c r="AV716" s="61">
        <v>44680</v>
      </c>
      <c r="AW716" s="91">
        <v>44651</v>
      </c>
      <c r="AX716" s="91">
        <v>44671</v>
      </c>
      <c r="AY716" s="99">
        <v>306240</v>
      </c>
      <c r="AZ716" s="99">
        <f>ROUNDDOWN(AY716+(AY716*MASTER!$A$2/100),0)</f>
        <v>336864</v>
      </c>
      <c r="BC716" s="64">
        <v>0</v>
      </c>
      <c r="BG716" s="64">
        <v>0</v>
      </c>
      <c r="BK716" s="64">
        <v>0</v>
      </c>
      <c r="BS716" s="64">
        <v>0</v>
      </c>
      <c r="BV716" s="65">
        <v>277200</v>
      </c>
      <c r="BW716" s="65">
        <v>0</v>
      </c>
      <c r="BX716" s="65">
        <v>44592</v>
      </c>
      <c r="BY716" s="65">
        <v>277200</v>
      </c>
      <c r="BZ716" s="81">
        <v>100</v>
      </c>
    </row>
    <row r="717" spans="1:89" s="152" customFormat="1" x14ac:dyDescent="0.15">
      <c r="A717" s="142">
        <v>3</v>
      </c>
      <c r="B717" s="143"/>
      <c r="C717" s="143" t="s">
        <v>309</v>
      </c>
      <c r="D717" s="143"/>
      <c r="E717" s="143"/>
      <c r="F717" s="143" t="s">
        <v>309</v>
      </c>
      <c r="G717" s="143"/>
      <c r="H717" s="143" t="s">
        <v>309</v>
      </c>
      <c r="I717" s="142"/>
      <c r="J717" s="142">
        <v>1</v>
      </c>
      <c r="K717" s="143"/>
      <c r="L717" s="142">
        <v>0</v>
      </c>
      <c r="M717" s="143">
        <v>44593</v>
      </c>
      <c r="N717" s="143"/>
      <c r="O717" s="144" t="s">
        <v>331</v>
      </c>
      <c r="P717" s="142" t="s">
        <v>26</v>
      </c>
      <c r="Q717" s="144" t="s">
        <v>141</v>
      </c>
      <c r="R717" s="144" t="s">
        <v>3020</v>
      </c>
      <c r="S717" s="145" t="s">
        <v>986</v>
      </c>
      <c r="T717" s="145" t="s">
        <v>2420</v>
      </c>
      <c r="U717" s="146">
        <v>23900</v>
      </c>
      <c r="V717" s="146">
        <v>26290</v>
      </c>
      <c r="W717" s="146">
        <v>14700</v>
      </c>
      <c r="X717" s="146">
        <v>16170</v>
      </c>
      <c r="Y717" s="146">
        <v>9200</v>
      </c>
      <c r="Z717" s="146">
        <v>10120</v>
      </c>
      <c r="AA717" s="143">
        <v>44617</v>
      </c>
      <c r="AB717" s="143">
        <v>44618</v>
      </c>
      <c r="AC717" s="143"/>
      <c r="AD717" s="142">
        <v>0</v>
      </c>
      <c r="AE717" s="142"/>
      <c r="AF717" s="142"/>
      <c r="AG717" s="142">
        <v>0</v>
      </c>
      <c r="AH717" s="142"/>
      <c r="AI717" s="142"/>
      <c r="AJ717" s="142">
        <v>0</v>
      </c>
      <c r="AK717" s="142"/>
      <c r="AL717" s="142"/>
      <c r="AM717" s="142"/>
      <c r="AN717" s="142" t="s">
        <v>309</v>
      </c>
      <c r="AO717" s="143"/>
      <c r="AP717" s="142"/>
      <c r="AQ717" s="142"/>
      <c r="AR717" s="143"/>
      <c r="AS717" s="142"/>
      <c r="AT717" s="143"/>
      <c r="AU717" s="142"/>
      <c r="AV717" s="143"/>
      <c r="AW717" s="147"/>
      <c r="AX717" s="147"/>
      <c r="AY717" s="148">
        <v>22944</v>
      </c>
      <c r="AZ717" s="148">
        <f>ROUNDDOWN(AY717+(AY717*MASTER!$A$2/100),0)</f>
        <v>25238</v>
      </c>
      <c r="BA717" s="142"/>
      <c r="BB717" s="146"/>
      <c r="BC717" s="146">
        <v>0</v>
      </c>
      <c r="BD717" s="142"/>
      <c r="BE717" s="142"/>
      <c r="BF717" s="146"/>
      <c r="BG717" s="146">
        <v>0</v>
      </c>
      <c r="BH717" s="142"/>
      <c r="BI717" s="142"/>
      <c r="BJ717" s="146"/>
      <c r="BK717" s="146">
        <v>0</v>
      </c>
      <c r="BL717" s="142"/>
      <c r="BM717" s="146"/>
      <c r="BN717" s="146"/>
      <c r="BO717" s="146"/>
      <c r="BP717" s="146"/>
      <c r="BQ717" s="146"/>
      <c r="BR717" s="146"/>
      <c r="BS717" s="146">
        <v>0</v>
      </c>
      <c r="BT717" s="149"/>
      <c r="BU717" s="149"/>
      <c r="BV717" s="150">
        <v>16170</v>
      </c>
      <c r="BW717" s="150">
        <v>0</v>
      </c>
      <c r="BX717" s="150">
        <v>44593</v>
      </c>
      <c r="BY717" s="150">
        <v>16170</v>
      </c>
      <c r="BZ717" s="151">
        <v>100</v>
      </c>
      <c r="CA717" s="142"/>
      <c r="CB717" s="142"/>
      <c r="CC717" s="142"/>
      <c r="CD717" s="145" t="s">
        <v>2660</v>
      </c>
      <c r="CE717" s="143"/>
      <c r="CF717" s="143"/>
      <c r="CG717" s="143"/>
      <c r="CH717" s="143"/>
      <c r="CI717" s="143"/>
      <c r="CJ717" s="143"/>
      <c r="CK717" s="146"/>
    </row>
    <row r="718" spans="1:89" x14ac:dyDescent="0.15">
      <c r="A718" s="60">
        <v>1</v>
      </c>
      <c r="B718" s="61">
        <v>44595</v>
      </c>
      <c r="C718" s="61">
        <v>44603</v>
      </c>
      <c r="F718" s="61" t="s">
        <v>309</v>
      </c>
      <c r="H718" s="61" t="s">
        <v>309</v>
      </c>
      <c r="J718" s="60">
        <v>2</v>
      </c>
      <c r="L718" s="60">
        <v>0</v>
      </c>
      <c r="M718" s="61">
        <v>44593</v>
      </c>
      <c r="O718" s="62" t="s">
        <v>331</v>
      </c>
      <c r="P718" s="60" t="s">
        <v>77</v>
      </c>
      <c r="Q718" s="62" t="s">
        <v>141</v>
      </c>
      <c r="R718" s="62" t="s">
        <v>2069</v>
      </c>
      <c r="S718" s="63" t="s">
        <v>489</v>
      </c>
      <c r="T718" s="63" t="s">
        <v>490</v>
      </c>
      <c r="U718" s="64">
        <v>9880</v>
      </c>
      <c r="V718" s="64">
        <v>10868</v>
      </c>
      <c r="W718" s="64">
        <v>9880</v>
      </c>
      <c r="X718" s="64">
        <v>10868</v>
      </c>
      <c r="Z718" s="64">
        <v>0</v>
      </c>
      <c r="AD718" s="60">
        <v>0</v>
      </c>
      <c r="AG718" s="60">
        <v>0</v>
      </c>
      <c r="AJ718" s="60">
        <v>0</v>
      </c>
      <c r="AQ718" s="60" t="s">
        <v>2070</v>
      </c>
      <c r="AR718" s="61">
        <v>44593</v>
      </c>
      <c r="AS718" s="60">
        <v>6001987866</v>
      </c>
      <c r="AT718" s="61">
        <v>44594</v>
      </c>
      <c r="AU718" s="60" t="s">
        <v>2094</v>
      </c>
      <c r="AV718" s="61">
        <v>44603</v>
      </c>
      <c r="AW718" s="91">
        <v>44620</v>
      </c>
      <c r="AX718" s="91">
        <v>44640</v>
      </c>
      <c r="AY718" s="107">
        <v>9880</v>
      </c>
      <c r="AZ718" s="107">
        <f>ROUNDDOWN(AY718+(AY718*MASTER!$A$2/100),0)</f>
        <v>10868</v>
      </c>
      <c r="BC718" s="64">
        <v>0</v>
      </c>
      <c r="BG718" s="64">
        <v>0</v>
      </c>
      <c r="BK718" s="64">
        <v>0</v>
      </c>
      <c r="BS718" s="64">
        <v>0</v>
      </c>
      <c r="BV718" s="65">
        <v>10868</v>
      </c>
      <c r="BW718" s="65">
        <v>0</v>
      </c>
      <c r="BX718" s="65">
        <v>44593</v>
      </c>
      <c r="BY718" s="65">
        <v>10868</v>
      </c>
      <c r="BZ718" s="81">
        <v>100</v>
      </c>
    </row>
    <row r="719" spans="1:89" x14ac:dyDescent="0.15">
      <c r="A719" s="60">
        <v>2</v>
      </c>
      <c r="B719" s="61">
        <v>44608</v>
      </c>
      <c r="C719" s="61">
        <v>44608</v>
      </c>
      <c r="D719" s="61">
        <v>44624</v>
      </c>
      <c r="E719" s="61">
        <v>44643</v>
      </c>
      <c r="F719" s="61">
        <v>44610</v>
      </c>
      <c r="G719" s="61">
        <v>44607</v>
      </c>
      <c r="H719" s="61">
        <v>44606</v>
      </c>
      <c r="I719" s="60" t="s">
        <v>612</v>
      </c>
      <c r="J719" s="60">
        <v>1</v>
      </c>
      <c r="L719" s="60">
        <v>0</v>
      </c>
      <c r="M719" s="61">
        <v>44593</v>
      </c>
      <c r="O719" s="62" t="s">
        <v>331</v>
      </c>
      <c r="P719" s="60" t="s">
        <v>26</v>
      </c>
      <c r="Q719" s="62" t="s">
        <v>141</v>
      </c>
      <c r="R719" s="62" t="s">
        <v>2359</v>
      </c>
      <c r="S719" s="63" t="s">
        <v>1028</v>
      </c>
      <c r="T719" s="63" t="s">
        <v>2360</v>
      </c>
      <c r="U719" s="64">
        <v>178500</v>
      </c>
      <c r="V719" s="64">
        <v>196350</v>
      </c>
      <c r="W719" s="64">
        <v>86000</v>
      </c>
      <c r="X719" s="64">
        <v>94600</v>
      </c>
      <c r="Y719" s="64">
        <v>92500</v>
      </c>
      <c r="Z719" s="64">
        <v>101750</v>
      </c>
      <c r="AA719" s="61">
        <v>44602</v>
      </c>
      <c r="AB719" s="61">
        <v>44603</v>
      </c>
      <c r="AC719" s="61">
        <v>44603</v>
      </c>
      <c r="AD719" s="60">
        <v>0</v>
      </c>
      <c r="AG719" s="60">
        <v>0</v>
      </c>
      <c r="AJ719" s="60">
        <v>0</v>
      </c>
      <c r="AM719" s="60" t="s">
        <v>273</v>
      </c>
      <c r="AN719" s="60" t="s">
        <v>2361</v>
      </c>
      <c r="AQ719" s="60" t="s">
        <v>2229</v>
      </c>
      <c r="AR719" s="61">
        <v>44606</v>
      </c>
      <c r="AS719" s="60">
        <v>6001993031</v>
      </c>
      <c r="AT719" s="61">
        <v>44607</v>
      </c>
      <c r="AU719" s="60" t="s">
        <v>2314</v>
      </c>
      <c r="AV719" s="61">
        <v>44608</v>
      </c>
      <c r="AW719" s="91">
        <v>44620</v>
      </c>
      <c r="AX719" s="91">
        <v>44640</v>
      </c>
      <c r="AY719" s="99">
        <v>171360</v>
      </c>
      <c r="AZ719" s="99">
        <f>ROUNDDOWN(AY719+(AY719*MASTER!$A$2/100),0)</f>
        <v>188496</v>
      </c>
      <c r="BA719" s="60" t="s">
        <v>317</v>
      </c>
      <c r="BB719" s="64">
        <v>35000</v>
      </c>
      <c r="BC719" s="64">
        <v>38500</v>
      </c>
      <c r="BD719" s="60" t="s">
        <v>2044</v>
      </c>
      <c r="BG719" s="64">
        <v>0</v>
      </c>
      <c r="BI719" s="60" t="s">
        <v>748</v>
      </c>
      <c r="BJ719" s="64">
        <v>60125</v>
      </c>
      <c r="BK719" s="64">
        <v>66137.5</v>
      </c>
      <c r="BL719" s="60" t="s">
        <v>2044</v>
      </c>
      <c r="BS719" s="64">
        <v>0</v>
      </c>
      <c r="BV719" s="65">
        <v>94600</v>
      </c>
      <c r="BW719" s="65">
        <v>104637.5</v>
      </c>
      <c r="BX719" s="65">
        <v>44593</v>
      </c>
      <c r="BY719" s="65">
        <v>-10037.5</v>
      </c>
      <c r="BZ719" s="81">
        <v>-10.61046511627907</v>
      </c>
    </row>
    <row r="720" spans="1:89" x14ac:dyDescent="0.15">
      <c r="A720" s="60">
        <v>1</v>
      </c>
      <c r="B720" s="61">
        <v>44608</v>
      </c>
      <c r="C720" s="61">
        <v>44613</v>
      </c>
      <c r="F720" s="61" t="s">
        <v>309</v>
      </c>
      <c r="H720" s="61" t="s">
        <v>309</v>
      </c>
      <c r="J720" s="60">
        <v>2</v>
      </c>
      <c r="L720" s="60">
        <v>0</v>
      </c>
      <c r="M720" s="61">
        <v>44593</v>
      </c>
      <c r="O720" s="62" t="s">
        <v>331</v>
      </c>
      <c r="P720" s="60" t="s">
        <v>262</v>
      </c>
      <c r="Q720" s="62" t="s">
        <v>141</v>
      </c>
      <c r="R720" s="62" t="s">
        <v>2075</v>
      </c>
      <c r="S720" s="63" t="s">
        <v>326</v>
      </c>
      <c r="T720" s="63" t="s">
        <v>2071</v>
      </c>
      <c r="U720" s="64">
        <v>438000</v>
      </c>
      <c r="V720" s="64">
        <v>481800</v>
      </c>
      <c r="W720" s="64">
        <v>438000</v>
      </c>
      <c r="X720" s="64">
        <v>481800</v>
      </c>
      <c r="Y720" s="64">
        <v>0</v>
      </c>
      <c r="Z720" s="64">
        <v>0</v>
      </c>
      <c r="AA720" s="61">
        <v>44593</v>
      </c>
      <c r="AB720" s="61">
        <v>44620</v>
      </c>
      <c r="AD720" s="60">
        <v>0</v>
      </c>
      <c r="AG720" s="60">
        <v>0</v>
      </c>
      <c r="AJ720" s="60">
        <v>0</v>
      </c>
      <c r="AQ720" s="60" t="s">
        <v>2236</v>
      </c>
      <c r="AR720" s="61">
        <v>44606</v>
      </c>
      <c r="AS720" s="60">
        <v>6001993046</v>
      </c>
      <c r="AT720" s="61">
        <v>44607</v>
      </c>
      <c r="AU720" s="60" t="s">
        <v>2312</v>
      </c>
      <c r="AV720" s="61">
        <v>44613</v>
      </c>
      <c r="AW720" s="91">
        <v>44620</v>
      </c>
      <c r="AX720" s="91">
        <v>44640</v>
      </c>
      <c r="AY720" s="107">
        <v>438000</v>
      </c>
      <c r="AZ720" s="107">
        <f>ROUNDDOWN(AY720+(AY720*MASTER!$A$2/100),0)</f>
        <v>481800</v>
      </c>
      <c r="BC720" s="64">
        <v>0</v>
      </c>
      <c r="BG720" s="64">
        <v>0</v>
      </c>
      <c r="BK720" s="64">
        <v>0</v>
      </c>
      <c r="BS720" s="64">
        <v>0</v>
      </c>
      <c r="BV720" s="65">
        <v>481800</v>
      </c>
      <c r="BW720" s="65">
        <v>0</v>
      </c>
      <c r="BX720" s="65">
        <v>44593</v>
      </c>
      <c r="BY720" s="65">
        <v>481800</v>
      </c>
      <c r="BZ720" s="81">
        <v>100</v>
      </c>
    </row>
    <row r="721" spans="1:78" x14ac:dyDescent="0.15">
      <c r="A721" s="60">
        <v>1</v>
      </c>
      <c r="B721" s="61">
        <v>44608</v>
      </c>
      <c r="C721" s="61">
        <v>44613</v>
      </c>
      <c r="F721" s="61" t="s">
        <v>309</v>
      </c>
      <c r="H721" s="61" t="s">
        <v>309</v>
      </c>
      <c r="J721" s="60">
        <v>2</v>
      </c>
      <c r="L721" s="60">
        <v>0</v>
      </c>
      <c r="M721" s="61">
        <v>44593</v>
      </c>
      <c r="O721" s="62" t="s">
        <v>331</v>
      </c>
      <c r="P721" s="60" t="s">
        <v>262</v>
      </c>
      <c r="Q721" s="62" t="s">
        <v>141</v>
      </c>
      <c r="R721" s="62" t="s">
        <v>2362</v>
      </c>
      <c r="S721" s="63" t="s">
        <v>326</v>
      </c>
      <c r="T721" s="63" t="s">
        <v>2072</v>
      </c>
      <c r="U721" s="64">
        <v>438000</v>
      </c>
      <c r="V721" s="64">
        <v>481800</v>
      </c>
      <c r="W721" s="64">
        <v>438000</v>
      </c>
      <c r="X721" s="64">
        <v>481800</v>
      </c>
      <c r="Y721" s="64">
        <v>0</v>
      </c>
      <c r="Z721" s="64">
        <v>0</v>
      </c>
      <c r="AA721" s="61">
        <v>44593</v>
      </c>
      <c r="AB721" s="61">
        <v>44620</v>
      </c>
      <c r="AD721" s="60">
        <v>0</v>
      </c>
      <c r="AG721" s="60">
        <v>0</v>
      </c>
      <c r="AJ721" s="60">
        <v>0</v>
      </c>
      <c r="AQ721" s="60" t="s">
        <v>2236</v>
      </c>
      <c r="AR721" s="61">
        <v>44606</v>
      </c>
      <c r="AS721" s="60">
        <v>6001993046</v>
      </c>
      <c r="AT721" s="61">
        <v>44607</v>
      </c>
      <c r="AU721" s="60" t="s">
        <v>2312</v>
      </c>
      <c r="AV721" s="61">
        <v>44613</v>
      </c>
      <c r="AW721" s="91">
        <v>44620</v>
      </c>
      <c r="AX721" s="91">
        <v>44640</v>
      </c>
      <c r="AY721" s="107">
        <v>438000</v>
      </c>
      <c r="AZ721" s="107">
        <f>ROUNDDOWN(AY721+(AY721*MASTER!$A$2/100),0)</f>
        <v>481800</v>
      </c>
      <c r="BC721" s="64">
        <v>0</v>
      </c>
      <c r="BG721" s="64">
        <v>0</v>
      </c>
      <c r="BK721" s="64">
        <v>0</v>
      </c>
      <c r="BS721" s="64">
        <v>0</v>
      </c>
      <c r="BV721" s="65">
        <v>481800</v>
      </c>
      <c r="BW721" s="65">
        <v>0</v>
      </c>
      <c r="BX721" s="65">
        <v>44593</v>
      </c>
      <c r="BY721" s="65">
        <v>481800</v>
      </c>
      <c r="BZ721" s="81">
        <v>100</v>
      </c>
    </row>
    <row r="722" spans="1:78" x14ac:dyDescent="0.15">
      <c r="A722" s="60">
        <v>1</v>
      </c>
      <c r="B722" s="61">
        <v>44608</v>
      </c>
      <c r="C722" s="61">
        <v>44613</v>
      </c>
      <c r="F722" s="61" t="s">
        <v>309</v>
      </c>
      <c r="H722" s="61" t="s">
        <v>309</v>
      </c>
      <c r="J722" s="60">
        <v>2</v>
      </c>
      <c r="L722" s="60">
        <v>0</v>
      </c>
      <c r="M722" s="61">
        <v>44593</v>
      </c>
      <c r="O722" s="62" t="s">
        <v>331</v>
      </c>
      <c r="P722" s="60" t="s">
        <v>262</v>
      </c>
      <c r="Q722" s="62" t="s">
        <v>141</v>
      </c>
      <c r="R722" s="62" t="s">
        <v>2363</v>
      </c>
      <c r="S722" s="63" t="s">
        <v>326</v>
      </c>
      <c r="T722" s="63" t="s">
        <v>2073</v>
      </c>
      <c r="U722" s="64">
        <v>262000</v>
      </c>
      <c r="V722" s="64">
        <v>288200</v>
      </c>
      <c r="W722" s="64">
        <v>262000</v>
      </c>
      <c r="X722" s="64">
        <v>288200</v>
      </c>
      <c r="Y722" s="64">
        <v>0</v>
      </c>
      <c r="Z722" s="64">
        <v>0</v>
      </c>
      <c r="AA722" s="61">
        <v>44593</v>
      </c>
      <c r="AB722" s="61">
        <v>44620</v>
      </c>
      <c r="AD722" s="60">
        <v>0</v>
      </c>
      <c r="AG722" s="60">
        <v>0</v>
      </c>
      <c r="AJ722" s="60">
        <v>0</v>
      </c>
      <c r="AQ722" s="60" t="s">
        <v>2236</v>
      </c>
      <c r="AR722" s="61">
        <v>44606</v>
      </c>
      <c r="AS722" s="60">
        <v>6001993046</v>
      </c>
      <c r="AT722" s="61">
        <v>44607</v>
      </c>
      <c r="AU722" s="60" t="s">
        <v>2312</v>
      </c>
      <c r="AV722" s="61">
        <v>44613</v>
      </c>
      <c r="AW722" s="91">
        <v>44620</v>
      </c>
      <c r="AX722" s="91">
        <v>44640</v>
      </c>
      <c r="AY722" s="107">
        <v>262000</v>
      </c>
      <c r="AZ722" s="107">
        <f>ROUNDDOWN(AY722+(AY722*MASTER!$A$2/100),0)</f>
        <v>288200</v>
      </c>
      <c r="BC722" s="64">
        <v>0</v>
      </c>
      <c r="BG722" s="64">
        <v>0</v>
      </c>
      <c r="BK722" s="64">
        <v>0</v>
      </c>
      <c r="BS722" s="64">
        <v>0</v>
      </c>
      <c r="BV722" s="65">
        <v>288200</v>
      </c>
      <c r="BW722" s="65">
        <v>0</v>
      </c>
      <c r="BX722" s="65">
        <v>44593</v>
      </c>
      <c r="BY722" s="65">
        <v>288200</v>
      </c>
      <c r="BZ722" s="81">
        <v>100</v>
      </c>
    </row>
    <row r="723" spans="1:78" x14ac:dyDescent="0.15">
      <c r="A723" s="60">
        <v>1</v>
      </c>
      <c r="B723" s="61">
        <v>44608</v>
      </c>
      <c r="C723" s="61">
        <v>44613</v>
      </c>
      <c r="F723" s="61" t="s">
        <v>309</v>
      </c>
      <c r="H723" s="61" t="s">
        <v>309</v>
      </c>
      <c r="J723" s="60">
        <v>2</v>
      </c>
      <c r="L723" s="60">
        <v>0</v>
      </c>
      <c r="M723" s="61">
        <v>44593</v>
      </c>
      <c r="O723" s="62" t="s">
        <v>331</v>
      </c>
      <c r="P723" s="60" t="s">
        <v>260</v>
      </c>
      <c r="Q723" s="62" t="s">
        <v>141</v>
      </c>
      <c r="R723" s="62" t="s">
        <v>2364</v>
      </c>
      <c r="S723" s="63" t="s">
        <v>417</v>
      </c>
      <c r="T723" s="63" t="s">
        <v>2074</v>
      </c>
      <c r="U723" s="64">
        <v>66000</v>
      </c>
      <c r="V723" s="64">
        <v>72600</v>
      </c>
      <c r="W723" s="64">
        <v>66000</v>
      </c>
      <c r="X723" s="64">
        <v>72600</v>
      </c>
      <c r="Y723" s="64">
        <v>0</v>
      </c>
      <c r="Z723" s="64">
        <v>0</v>
      </c>
      <c r="AA723" s="61">
        <v>44593</v>
      </c>
      <c r="AB723" s="61">
        <v>44620</v>
      </c>
      <c r="AD723" s="60">
        <v>0</v>
      </c>
      <c r="AG723" s="60">
        <v>0</v>
      </c>
      <c r="AJ723" s="60">
        <v>0</v>
      </c>
      <c r="AQ723" s="60" t="s">
        <v>2237</v>
      </c>
      <c r="AR723" s="61">
        <v>44606</v>
      </c>
      <c r="AS723" s="60">
        <v>6001993046</v>
      </c>
      <c r="AT723" s="61">
        <v>44607</v>
      </c>
      <c r="AU723" s="60" t="s">
        <v>2312</v>
      </c>
      <c r="AV723" s="61">
        <v>44613</v>
      </c>
      <c r="AW723" s="91">
        <v>44620</v>
      </c>
      <c r="AX723" s="91">
        <v>44640</v>
      </c>
      <c r="AY723" s="99">
        <v>63360</v>
      </c>
      <c r="AZ723" s="99">
        <f>ROUNDDOWN(AY723+(AY723*MASTER!$A$2/100),0)</f>
        <v>69696</v>
      </c>
      <c r="BC723" s="64">
        <v>0</v>
      </c>
      <c r="BG723" s="64">
        <v>0</v>
      </c>
      <c r="BK723" s="64">
        <v>0</v>
      </c>
      <c r="BS723" s="64">
        <v>0</v>
      </c>
      <c r="BV723" s="65">
        <v>72600</v>
      </c>
      <c r="BW723" s="65">
        <v>0</v>
      </c>
      <c r="BX723" s="65">
        <v>44593</v>
      </c>
      <c r="BY723" s="65">
        <v>72600</v>
      </c>
      <c r="BZ723" s="81">
        <v>100</v>
      </c>
    </row>
    <row r="724" spans="1:78" x14ac:dyDescent="0.15">
      <c r="A724" s="60">
        <v>1</v>
      </c>
      <c r="B724" s="61">
        <v>44608</v>
      </c>
      <c r="C724" s="61">
        <v>44613</v>
      </c>
      <c r="F724" s="61" t="s">
        <v>309</v>
      </c>
      <c r="G724" s="61">
        <v>44606</v>
      </c>
      <c r="H724" s="61" t="s">
        <v>309</v>
      </c>
      <c r="J724" s="60">
        <v>2</v>
      </c>
      <c r="L724" s="60">
        <v>0</v>
      </c>
      <c r="M724" s="61">
        <v>44594</v>
      </c>
      <c r="O724" s="62" t="s">
        <v>331</v>
      </c>
      <c r="P724" s="60" t="s">
        <v>6</v>
      </c>
      <c r="Q724" s="62" t="s">
        <v>141</v>
      </c>
      <c r="R724" s="62" t="s">
        <v>2271</v>
      </c>
      <c r="S724" s="63" t="s">
        <v>1019</v>
      </c>
      <c r="T724" s="63" t="s">
        <v>364</v>
      </c>
      <c r="U724" s="64">
        <v>35000</v>
      </c>
      <c r="V724" s="64">
        <v>38500</v>
      </c>
      <c r="W724" s="64">
        <v>35000</v>
      </c>
      <c r="X724" s="64">
        <v>38500</v>
      </c>
      <c r="Z724" s="64">
        <v>0</v>
      </c>
      <c r="AA724" s="61">
        <v>44602</v>
      </c>
      <c r="AB724" s="61">
        <v>44602</v>
      </c>
      <c r="AD724" s="60">
        <v>0</v>
      </c>
      <c r="AG724" s="60">
        <v>0</v>
      </c>
      <c r="AJ724" s="60">
        <v>0</v>
      </c>
      <c r="AN724" s="60" t="s">
        <v>309</v>
      </c>
      <c r="AQ724" s="60" t="s">
        <v>2300</v>
      </c>
      <c r="AR724" s="61">
        <v>44607</v>
      </c>
      <c r="AS724" s="60">
        <v>6001993820</v>
      </c>
      <c r="AT724" s="61">
        <v>44607</v>
      </c>
      <c r="AU724" s="60" t="s">
        <v>2317</v>
      </c>
      <c r="AV724" s="61">
        <v>44613</v>
      </c>
      <c r="AW724" s="91">
        <v>44620</v>
      </c>
      <c r="AX724" s="91">
        <v>44640</v>
      </c>
      <c r="AY724" s="99">
        <v>33600</v>
      </c>
      <c r="AZ724" s="99">
        <f>ROUNDDOWN(AY724+(AY724*MASTER!$A$2/100),0)</f>
        <v>36960</v>
      </c>
      <c r="BA724" s="99" t="s">
        <v>317</v>
      </c>
      <c r="BB724" s="64">
        <v>33000</v>
      </c>
      <c r="BC724" s="64">
        <v>36300</v>
      </c>
      <c r="BD724" s="60" t="s">
        <v>2044</v>
      </c>
      <c r="BG724" s="64">
        <v>0</v>
      </c>
      <c r="BK724" s="64">
        <v>0</v>
      </c>
      <c r="BS724" s="64">
        <v>0</v>
      </c>
      <c r="BV724" s="65">
        <v>38500</v>
      </c>
      <c r="BW724" s="65">
        <v>36300</v>
      </c>
      <c r="BX724" s="65">
        <v>44594</v>
      </c>
      <c r="BY724" s="65">
        <v>2200</v>
      </c>
      <c r="BZ724" s="81">
        <v>5.7142857142857144</v>
      </c>
    </row>
    <row r="725" spans="1:78" x14ac:dyDescent="0.15">
      <c r="A725" s="60">
        <v>2</v>
      </c>
      <c r="B725" s="61">
        <v>44607</v>
      </c>
      <c r="C725" s="61">
        <v>44606</v>
      </c>
      <c r="D725" s="61">
        <v>44635</v>
      </c>
      <c r="E725" s="61">
        <v>44618</v>
      </c>
      <c r="F725" s="61">
        <v>44613</v>
      </c>
      <c r="G725" s="61">
        <v>44606</v>
      </c>
      <c r="H725" s="61">
        <v>44609</v>
      </c>
      <c r="I725" s="60" t="s">
        <v>511</v>
      </c>
      <c r="J725" s="60">
        <v>1</v>
      </c>
      <c r="L725" s="60">
        <v>0</v>
      </c>
      <c r="M725" s="61">
        <v>44594</v>
      </c>
      <c r="O725" s="62" t="s">
        <v>331</v>
      </c>
      <c r="P725" s="60" t="s">
        <v>26</v>
      </c>
      <c r="Q725" s="62" t="s">
        <v>141</v>
      </c>
      <c r="R725" s="62" t="s">
        <v>2297</v>
      </c>
      <c r="S725" s="63" t="s">
        <v>1062</v>
      </c>
      <c r="T725" s="63" t="s">
        <v>1001</v>
      </c>
      <c r="U725" s="64">
        <v>56000</v>
      </c>
      <c r="V725" s="64">
        <v>61600</v>
      </c>
      <c r="W725" s="64">
        <v>47000</v>
      </c>
      <c r="X725" s="64">
        <v>51700</v>
      </c>
      <c r="Y725" s="64">
        <v>9000</v>
      </c>
      <c r="Z725" s="64">
        <v>9900</v>
      </c>
      <c r="AA725" s="61">
        <v>44605</v>
      </c>
      <c r="AB725" s="61">
        <v>44606</v>
      </c>
      <c r="AC725" s="61">
        <v>44606</v>
      </c>
      <c r="AD725" s="60">
        <v>0</v>
      </c>
      <c r="AG725" s="60">
        <v>0</v>
      </c>
      <c r="AJ725" s="60">
        <v>0</v>
      </c>
      <c r="AN725" s="60" t="s">
        <v>309</v>
      </c>
      <c r="AQ725" s="60" t="s">
        <v>2179</v>
      </c>
      <c r="AR725" s="61">
        <v>44596</v>
      </c>
      <c r="AS725" s="60">
        <v>6001990064</v>
      </c>
      <c r="AT725" s="61">
        <v>44599</v>
      </c>
      <c r="AU725" s="60" t="s">
        <v>2207</v>
      </c>
      <c r="AV725" s="61">
        <v>44606</v>
      </c>
      <c r="AW725" s="91">
        <v>44620</v>
      </c>
      <c r="AX725" s="91">
        <v>44640</v>
      </c>
      <c r="AY725" s="99">
        <v>53760</v>
      </c>
      <c r="AZ725" s="99">
        <f>ROUNDDOWN(AY725+(AY725*MASTER!$A$2/100),0)</f>
        <v>59136</v>
      </c>
      <c r="BA725" s="60" t="s">
        <v>318</v>
      </c>
      <c r="BB725" s="64">
        <v>21000</v>
      </c>
      <c r="BC725" s="64">
        <v>23100</v>
      </c>
      <c r="BD725" s="60" t="s">
        <v>2044</v>
      </c>
      <c r="BG725" s="64">
        <v>0</v>
      </c>
      <c r="BI725" s="60" t="s">
        <v>748</v>
      </c>
      <c r="BJ725" s="64">
        <v>5850</v>
      </c>
      <c r="BK725" s="64">
        <v>6435</v>
      </c>
      <c r="BL725" s="60" t="s">
        <v>2044</v>
      </c>
      <c r="BS725" s="64">
        <v>0</v>
      </c>
      <c r="BV725" s="65">
        <v>51700</v>
      </c>
      <c r="BW725" s="65">
        <v>29535</v>
      </c>
      <c r="BX725" s="65">
        <v>44594</v>
      </c>
      <c r="BY725" s="65">
        <v>22165</v>
      </c>
      <c r="BZ725" s="81">
        <v>42.87234042553191</v>
      </c>
    </row>
    <row r="726" spans="1:78" x14ac:dyDescent="0.15">
      <c r="A726" s="60">
        <v>2</v>
      </c>
      <c r="B726" s="61">
        <v>44637</v>
      </c>
      <c r="C726" s="61">
        <v>44651</v>
      </c>
      <c r="D726" s="61">
        <v>44651</v>
      </c>
      <c r="E726" s="61">
        <v>44651</v>
      </c>
      <c r="F726" s="61">
        <v>44650</v>
      </c>
      <c r="G726" s="61">
        <v>44644</v>
      </c>
      <c r="H726" s="61">
        <v>44646</v>
      </c>
      <c r="I726" s="60" t="s">
        <v>511</v>
      </c>
      <c r="J726" s="60">
        <v>1</v>
      </c>
      <c r="L726" s="60">
        <v>0</v>
      </c>
      <c r="M726" s="61">
        <v>44594</v>
      </c>
      <c r="O726" s="62" t="s">
        <v>331</v>
      </c>
      <c r="P726" s="60" t="s">
        <v>26</v>
      </c>
      <c r="Q726" s="62" t="s">
        <v>141</v>
      </c>
      <c r="R726" s="62" t="s">
        <v>2668</v>
      </c>
      <c r="S726" s="63" t="s">
        <v>1228</v>
      </c>
      <c r="T726" s="63" t="s">
        <v>2669</v>
      </c>
      <c r="U726" s="64">
        <v>136000</v>
      </c>
      <c r="V726" s="64">
        <v>149600</v>
      </c>
      <c r="W726" s="64">
        <v>83000</v>
      </c>
      <c r="X726" s="64">
        <v>91300</v>
      </c>
      <c r="Y726" s="64">
        <v>53000</v>
      </c>
      <c r="Z726" s="64">
        <v>58300</v>
      </c>
      <c r="AA726" s="61">
        <v>44642</v>
      </c>
      <c r="AB726" s="61">
        <v>44643</v>
      </c>
      <c r="AC726" s="61">
        <v>44643</v>
      </c>
      <c r="AD726" s="60">
        <v>0</v>
      </c>
      <c r="AG726" s="60">
        <v>0</v>
      </c>
      <c r="AJ726" s="60">
        <v>0</v>
      </c>
      <c r="AN726" s="60" t="s">
        <v>309</v>
      </c>
      <c r="AQ726" s="60" t="s">
        <v>2180</v>
      </c>
      <c r="AR726" s="61">
        <v>44596</v>
      </c>
      <c r="AS726" s="60">
        <v>6001990064</v>
      </c>
      <c r="AT726" s="61">
        <v>44599</v>
      </c>
      <c r="AU726" s="60" t="s">
        <v>2207</v>
      </c>
      <c r="AV726" s="61">
        <v>44651</v>
      </c>
      <c r="AW726" s="91">
        <v>44651</v>
      </c>
      <c r="AX726" s="91">
        <v>44671</v>
      </c>
      <c r="AY726" s="99">
        <v>130560</v>
      </c>
      <c r="AZ726" s="99">
        <f>ROUNDDOWN(AY726+(AY726*MASTER!$A$2/100),0)</f>
        <v>143616</v>
      </c>
      <c r="BA726" s="60" t="s">
        <v>765</v>
      </c>
      <c r="BC726" s="64">
        <v>0</v>
      </c>
      <c r="BG726" s="64">
        <v>0</v>
      </c>
      <c r="BI726" s="60" t="s">
        <v>1519</v>
      </c>
      <c r="BK726" s="64">
        <v>0</v>
      </c>
      <c r="BS726" s="64">
        <v>0</v>
      </c>
      <c r="BV726" s="65">
        <v>91300</v>
      </c>
      <c r="BW726" s="65">
        <v>0</v>
      </c>
      <c r="BX726" s="65">
        <v>44594</v>
      </c>
      <c r="BY726" s="65">
        <v>91300</v>
      </c>
      <c r="BZ726" s="81">
        <v>100</v>
      </c>
    </row>
    <row r="727" spans="1:78" x14ac:dyDescent="0.15">
      <c r="A727" s="60">
        <v>2</v>
      </c>
      <c r="B727" s="61">
        <v>44608</v>
      </c>
      <c r="C727" s="61">
        <v>44608</v>
      </c>
      <c r="D727" s="61">
        <v>44658</v>
      </c>
      <c r="E727" s="61">
        <v>44637</v>
      </c>
      <c r="F727" s="61">
        <v>44615</v>
      </c>
      <c r="G727" s="61">
        <v>44608</v>
      </c>
      <c r="H727" s="61">
        <v>44611</v>
      </c>
      <c r="I727" s="60" t="s">
        <v>612</v>
      </c>
      <c r="J727" s="60">
        <v>1</v>
      </c>
      <c r="L727" s="60">
        <v>0</v>
      </c>
      <c r="M727" s="61">
        <v>44594</v>
      </c>
      <c r="O727" s="62" t="s">
        <v>331</v>
      </c>
      <c r="P727" s="60" t="s">
        <v>26</v>
      </c>
      <c r="Q727" s="62" t="s">
        <v>141</v>
      </c>
      <c r="R727" s="62" t="s">
        <v>2340</v>
      </c>
      <c r="S727" s="63" t="s">
        <v>1021</v>
      </c>
      <c r="T727" s="63" t="s">
        <v>2341</v>
      </c>
      <c r="U727" s="64">
        <v>252500</v>
      </c>
      <c r="V727" s="64">
        <v>277750</v>
      </c>
      <c r="W727" s="64">
        <v>110000</v>
      </c>
      <c r="X727" s="64">
        <v>121000</v>
      </c>
      <c r="Y727" s="64">
        <v>142500</v>
      </c>
      <c r="Z727" s="64">
        <v>156750</v>
      </c>
      <c r="AA727" s="61">
        <v>44607</v>
      </c>
      <c r="AB727" s="61">
        <v>44608</v>
      </c>
      <c r="AC727" s="61">
        <v>44608</v>
      </c>
      <c r="AD727" s="60">
        <v>0</v>
      </c>
      <c r="AG727" s="60">
        <v>0</v>
      </c>
      <c r="AJ727" s="60">
        <v>0</v>
      </c>
      <c r="AM727" s="60" t="s">
        <v>273</v>
      </c>
      <c r="AN727" s="60" t="s">
        <v>2342</v>
      </c>
      <c r="AQ727" s="60" t="s">
        <v>2264</v>
      </c>
      <c r="AR727" s="61">
        <v>44606</v>
      </c>
      <c r="AS727" s="60">
        <v>6001993157</v>
      </c>
      <c r="AT727" s="61">
        <v>44607</v>
      </c>
      <c r="AU727" s="60" t="s">
        <v>2316</v>
      </c>
      <c r="AV727" s="61">
        <v>44608</v>
      </c>
      <c r="AW727" s="91">
        <v>44620</v>
      </c>
      <c r="AX727" s="91">
        <v>44640</v>
      </c>
      <c r="AY727" s="99">
        <v>242400</v>
      </c>
      <c r="AZ727" s="99">
        <f>ROUNDDOWN(AY727+(AY727*MASTER!$A$2/100),0)</f>
        <v>266640</v>
      </c>
      <c r="BA727" s="60" t="s">
        <v>317</v>
      </c>
      <c r="BB727" s="64">
        <v>35000</v>
      </c>
      <c r="BC727" s="64">
        <v>38500</v>
      </c>
      <c r="BD727" s="60" t="s">
        <v>2044</v>
      </c>
      <c r="BG727" s="64">
        <v>0</v>
      </c>
      <c r="BI727" s="60" t="s">
        <v>748</v>
      </c>
      <c r="BJ727" s="64">
        <v>92625</v>
      </c>
      <c r="BK727" s="64">
        <v>101887.5</v>
      </c>
      <c r="BL727" s="60" t="s">
        <v>2044</v>
      </c>
      <c r="BS727" s="64">
        <v>0</v>
      </c>
      <c r="BV727" s="65">
        <v>121000</v>
      </c>
      <c r="BW727" s="65">
        <v>140387.5</v>
      </c>
      <c r="BX727" s="65">
        <v>44594</v>
      </c>
      <c r="BY727" s="65">
        <v>-19387.5</v>
      </c>
      <c r="BZ727" s="81">
        <v>-16.022727272727273</v>
      </c>
    </row>
    <row r="728" spans="1:78" x14ac:dyDescent="0.15">
      <c r="A728" s="60">
        <v>2</v>
      </c>
      <c r="B728" s="61">
        <v>44614</v>
      </c>
      <c r="C728" s="61">
        <v>44615</v>
      </c>
      <c r="D728" s="61">
        <v>44633</v>
      </c>
      <c r="E728" s="61">
        <v>44622</v>
      </c>
      <c r="F728" s="61" t="s">
        <v>309</v>
      </c>
      <c r="G728" s="61">
        <v>44621</v>
      </c>
      <c r="H728" s="61" t="s">
        <v>309</v>
      </c>
      <c r="I728" s="60" t="s">
        <v>511</v>
      </c>
      <c r="J728" s="60">
        <v>2</v>
      </c>
      <c r="L728" s="60">
        <v>0</v>
      </c>
      <c r="M728" s="61">
        <v>44594</v>
      </c>
      <c r="O728" s="62" t="s">
        <v>331</v>
      </c>
      <c r="P728" s="60" t="s">
        <v>26</v>
      </c>
      <c r="Q728" s="62" t="s">
        <v>141</v>
      </c>
      <c r="R728" s="62" t="s">
        <v>2346</v>
      </c>
      <c r="S728" s="63" t="s">
        <v>1732</v>
      </c>
      <c r="T728" s="63" t="s">
        <v>2347</v>
      </c>
      <c r="U728" s="64">
        <v>47000</v>
      </c>
      <c r="V728" s="64">
        <v>51700</v>
      </c>
      <c r="W728" s="64">
        <v>47000</v>
      </c>
      <c r="X728" s="64">
        <v>51700</v>
      </c>
      <c r="Z728" s="64">
        <v>0</v>
      </c>
      <c r="AA728" s="61">
        <v>44620</v>
      </c>
      <c r="AB728" s="61">
        <v>44620</v>
      </c>
      <c r="AD728" s="60">
        <v>0</v>
      </c>
      <c r="AG728" s="60">
        <v>0</v>
      </c>
      <c r="AJ728" s="60">
        <v>0</v>
      </c>
      <c r="AM728" s="60" t="s">
        <v>273</v>
      </c>
      <c r="AN728" s="60" t="s">
        <v>2348</v>
      </c>
      <c r="AQ728" s="60" t="s">
        <v>2352</v>
      </c>
      <c r="AR728" s="61">
        <v>44610</v>
      </c>
      <c r="AS728" s="60">
        <v>6001995916</v>
      </c>
      <c r="AT728" s="61">
        <v>44613</v>
      </c>
      <c r="AU728" s="60" t="s">
        <v>2448</v>
      </c>
      <c r="AV728" s="61">
        <v>44615</v>
      </c>
      <c r="AW728" s="91">
        <v>44620</v>
      </c>
      <c r="AX728" s="91">
        <v>44640</v>
      </c>
      <c r="AY728" s="99">
        <v>45120</v>
      </c>
      <c r="AZ728" s="99">
        <f>ROUNDDOWN(AY728+(AY728*MASTER!$A$2/100),0)</f>
        <v>49632</v>
      </c>
      <c r="BA728" s="60" t="s">
        <v>314</v>
      </c>
      <c r="BB728" s="64">
        <v>31000</v>
      </c>
      <c r="BC728" s="64">
        <v>34100</v>
      </c>
      <c r="BD728" s="60" t="s">
        <v>2044</v>
      </c>
      <c r="BG728" s="64">
        <v>0</v>
      </c>
      <c r="BK728" s="64">
        <v>0</v>
      </c>
      <c r="BS728" s="64">
        <v>0</v>
      </c>
      <c r="BV728" s="65">
        <v>51700</v>
      </c>
      <c r="BW728" s="65">
        <v>34100</v>
      </c>
      <c r="BX728" s="65">
        <v>44594</v>
      </c>
      <c r="BY728" s="65">
        <v>17600</v>
      </c>
      <c r="BZ728" s="81">
        <v>34.042553191489361</v>
      </c>
    </row>
    <row r="729" spans="1:78" x14ac:dyDescent="0.15">
      <c r="A729" s="60">
        <v>2</v>
      </c>
      <c r="B729" s="61">
        <v>44610</v>
      </c>
      <c r="C729" s="61">
        <v>44618</v>
      </c>
      <c r="D729" s="61" t="s">
        <v>764</v>
      </c>
      <c r="E729" s="61">
        <v>44637</v>
      </c>
      <c r="F729" s="61">
        <v>44625</v>
      </c>
      <c r="G729" s="61">
        <v>44622</v>
      </c>
      <c r="H729" s="61">
        <v>44621</v>
      </c>
      <c r="I729" s="60" t="s">
        <v>612</v>
      </c>
      <c r="J729" s="60">
        <v>1</v>
      </c>
      <c r="L729" s="60">
        <v>0</v>
      </c>
      <c r="M729" s="61">
        <v>44594</v>
      </c>
      <c r="O729" s="62" t="s">
        <v>331</v>
      </c>
      <c r="P729" s="60" t="s">
        <v>26</v>
      </c>
      <c r="Q729" s="62" t="s">
        <v>141</v>
      </c>
      <c r="R729" s="62" t="s">
        <v>2419</v>
      </c>
      <c r="S729" s="63" t="s">
        <v>986</v>
      </c>
      <c r="T729" s="63" t="s">
        <v>2420</v>
      </c>
      <c r="U729" s="64">
        <v>23900</v>
      </c>
      <c r="V729" s="64">
        <v>26290</v>
      </c>
      <c r="W729" s="64">
        <v>14700</v>
      </c>
      <c r="X729" s="64">
        <v>16170</v>
      </c>
      <c r="Y729" s="64">
        <v>9200</v>
      </c>
      <c r="Z729" s="64">
        <v>10120</v>
      </c>
      <c r="AA729" s="61">
        <v>44617</v>
      </c>
      <c r="AB729" s="61">
        <v>44618</v>
      </c>
      <c r="AC729" s="61">
        <v>44618</v>
      </c>
      <c r="AD729" s="60">
        <v>0</v>
      </c>
      <c r="AG729" s="60">
        <v>0</v>
      </c>
      <c r="AJ729" s="60">
        <v>0</v>
      </c>
      <c r="AM729" s="60" t="s">
        <v>273</v>
      </c>
      <c r="AN729" s="60">
        <v>6726</v>
      </c>
      <c r="AQ729" s="60" t="s">
        <v>2320</v>
      </c>
      <c r="AR729" s="61">
        <v>44608</v>
      </c>
      <c r="AS729" s="60">
        <v>6001994482</v>
      </c>
      <c r="AT729" s="61">
        <v>44609</v>
      </c>
      <c r="AU729" s="60" t="s">
        <v>2354</v>
      </c>
      <c r="AV729" s="61">
        <v>44618</v>
      </c>
      <c r="AW729" s="91">
        <v>44620</v>
      </c>
      <c r="AX729" s="91">
        <v>44640</v>
      </c>
      <c r="AY729" s="99">
        <v>22944</v>
      </c>
      <c r="AZ729" s="99">
        <f>ROUNDDOWN(AY729+(AY729*MASTER!$A$2/100),0)</f>
        <v>25238</v>
      </c>
      <c r="BA729" s="60" t="s">
        <v>765</v>
      </c>
      <c r="BC729" s="64">
        <v>0</v>
      </c>
      <c r="BG729" s="64">
        <v>0</v>
      </c>
      <c r="BI729" s="60" t="s">
        <v>748</v>
      </c>
      <c r="BJ729" s="64">
        <v>5980</v>
      </c>
      <c r="BK729" s="64">
        <v>6578</v>
      </c>
      <c r="BL729" s="60" t="s">
        <v>2044</v>
      </c>
      <c r="BS729" s="64">
        <v>0</v>
      </c>
      <c r="BV729" s="65">
        <v>16170</v>
      </c>
      <c r="BW729" s="65">
        <v>6578</v>
      </c>
      <c r="BX729" s="65">
        <v>44594</v>
      </c>
      <c r="BY729" s="65">
        <v>9592</v>
      </c>
      <c r="BZ729" s="81">
        <v>59.319727891156461</v>
      </c>
    </row>
    <row r="730" spans="1:78" x14ac:dyDescent="0.15">
      <c r="A730" s="60">
        <v>2</v>
      </c>
      <c r="B730" s="61">
        <v>44621</v>
      </c>
      <c r="C730" s="61">
        <v>44627</v>
      </c>
      <c r="D730" s="61">
        <v>44658</v>
      </c>
      <c r="E730" s="61">
        <v>44635</v>
      </c>
      <c r="F730" s="61">
        <v>44634</v>
      </c>
      <c r="G730" s="61">
        <v>44628</v>
      </c>
      <c r="H730" s="61">
        <v>44630</v>
      </c>
      <c r="I730" s="60" t="s">
        <v>511</v>
      </c>
      <c r="J730" s="60">
        <v>1</v>
      </c>
      <c r="L730" s="60">
        <v>0</v>
      </c>
      <c r="M730" s="61">
        <v>44594</v>
      </c>
      <c r="O730" s="62" t="s">
        <v>331</v>
      </c>
      <c r="P730" s="60" t="s">
        <v>26</v>
      </c>
      <c r="Q730" s="62" t="s">
        <v>141</v>
      </c>
      <c r="R730" s="62" t="s">
        <v>2526</v>
      </c>
      <c r="S730" s="63" t="s">
        <v>1315</v>
      </c>
      <c r="T730" s="63" t="s">
        <v>498</v>
      </c>
      <c r="U730" s="64">
        <v>50000</v>
      </c>
      <c r="V730" s="64">
        <v>55000</v>
      </c>
      <c r="W730" s="64">
        <v>47000</v>
      </c>
      <c r="X730" s="64">
        <v>51700</v>
      </c>
      <c r="Y730" s="64">
        <v>3000</v>
      </c>
      <c r="Z730" s="64">
        <v>3300</v>
      </c>
      <c r="AA730" s="61">
        <v>44626</v>
      </c>
      <c r="AB730" s="61">
        <v>44627</v>
      </c>
      <c r="AC730" s="61">
        <v>44627</v>
      </c>
      <c r="AD730" s="60">
        <v>0</v>
      </c>
      <c r="AG730" s="60">
        <v>0</v>
      </c>
      <c r="AJ730" s="60">
        <v>0</v>
      </c>
      <c r="AM730" s="60" t="s">
        <v>273</v>
      </c>
      <c r="AN730" s="60" t="s">
        <v>2527</v>
      </c>
      <c r="AQ730" s="60" t="s">
        <v>2469</v>
      </c>
      <c r="AR730" s="61">
        <v>44616</v>
      </c>
      <c r="AS730" s="60">
        <v>6001997505</v>
      </c>
      <c r="AT730" s="61">
        <v>44616</v>
      </c>
      <c r="AU730" s="60" t="s">
        <v>2476</v>
      </c>
      <c r="AV730" s="61">
        <v>44627</v>
      </c>
      <c r="AW730" s="91">
        <v>44651</v>
      </c>
      <c r="AX730" s="91">
        <v>44671</v>
      </c>
      <c r="AY730" s="99">
        <v>48000</v>
      </c>
      <c r="AZ730" s="99">
        <f>ROUNDDOWN(AY730+(AY730*MASTER!$A$2/100),0)</f>
        <v>52800</v>
      </c>
      <c r="BA730" s="60" t="s">
        <v>314</v>
      </c>
      <c r="BB730" s="64">
        <v>25000</v>
      </c>
      <c r="BC730" s="64">
        <v>27500</v>
      </c>
      <c r="BD730" s="60" t="s">
        <v>2107</v>
      </c>
      <c r="BG730" s="64">
        <v>0</v>
      </c>
      <c r="BI730" s="60" t="s">
        <v>748</v>
      </c>
      <c r="BJ730" s="64">
        <v>1950</v>
      </c>
      <c r="BK730" s="64">
        <v>2145</v>
      </c>
      <c r="BL730" s="60" t="s">
        <v>2107</v>
      </c>
      <c r="BS730" s="64">
        <v>0</v>
      </c>
      <c r="BV730" s="65">
        <v>51700</v>
      </c>
      <c r="BW730" s="65">
        <v>29645</v>
      </c>
      <c r="BX730" s="65">
        <v>44594</v>
      </c>
      <c r="BY730" s="65">
        <v>22055</v>
      </c>
      <c r="BZ730" s="81">
        <v>42.659574468085104</v>
      </c>
    </row>
    <row r="731" spans="1:78" x14ac:dyDescent="0.15">
      <c r="A731" s="60">
        <v>2</v>
      </c>
      <c r="B731" s="61">
        <v>44644</v>
      </c>
      <c r="C731" s="61">
        <v>44651</v>
      </c>
      <c r="D731" s="61">
        <v>44658</v>
      </c>
      <c r="E731" s="61">
        <v>44659</v>
      </c>
      <c r="F731" s="61">
        <v>44658</v>
      </c>
      <c r="G731" s="61">
        <v>44651</v>
      </c>
      <c r="H731" s="61">
        <v>44654</v>
      </c>
      <c r="I731" s="60" t="s">
        <v>511</v>
      </c>
      <c r="J731" s="60">
        <v>1</v>
      </c>
      <c r="L731" s="60">
        <v>0</v>
      </c>
      <c r="M731" s="61">
        <v>44594</v>
      </c>
      <c r="O731" s="62" t="s">
        <v>331</v>
      </c>
      <c r="P731" s="60" t="s">
        <v>26</v>
      </c>
      <c r="Q731" s="62" t="s">
        <v>141</v>
      </c>
      <c r="R731" s="62" t="s">
        <v>2509</v>
      </c>
      <c r="S731" s="63" t="s">
        <v>1028</v>
      </c>
      <c r="T731" s="63" t="s">
        <v>2510</v>
      </c>
      <c r="U731" s="64">
        <v>50000</v>
      </c>
      <c r="V731" s="64">
        <v>55000</v>
      </c>
      <c r="W731" s="64">
        <v>47000</v>
      </c>
      <c r="X731" s="64">
        <v>51700</v>
      </c>
      <c r="Y731" s="64">
        <v>3000</v>
      </c>
      <c r="Z731" s="64">
        <v>3300</v>
      </c>
      <c r="AA731" s="61">
        <v>44649</v>
      </c>
      <c r="AB731" s="61">
        <v>44651</v>
      </c>
      <c r="AC731" s="61">
        <v>44651</v>
      </c>
      <c r="AD731" s="60">
        <v>0</v>
      </c>
      <c r="AG731" s="60">
        <v>0</v>
      </c>
      <c r="AJ731" s="60">
        <v>0</v>
      </c>
      <c r="AM731" s="60" t="s">
        <v>273</v>
      </c>
      <c r="AN731" s="60" t="s">
        <v>2511</v>
      </c>
      <c r="AQ731" s="60" t="s">
        <v>2560</v>
      </c>
      <c r="AR731" s="61">
        <v>44623</v>
      </c>
      <c r="AS731" s="60">
        <v>6001999819</v>
      </c>
      <c r="AT731" s="61">
        <v>44624</v>
      </c>
      <c r="AU731" s="60" t="s">
        <v>2593</v>
      </c>
      <c r="AV731" s="61">
        <v>44651</v>
      </c>
      <c r="AW731" s="91">
        <v>44651</v>
      </c>
      <c r="AX731" s="91">
        <v>44671</v>
      </c>
      <c r="AY731" s="99">
        <v>48000</v>
      </c>
      <c r="AZ731" s="99">
        <f>ROUNDDOWN(AY731+(AY731*MASTER!$A$2/100),0)</f>
        <v>52800</v>
      </c>
      <c r="BA731" s="60" t="s">
        <v>317</v>
      </c>
      <c r="BB731" s="64">
        <v>33000</v>
      </c>
      <c r="BC731" s="64">
        <v>36300</v>
      </c>
      <c r="BD731" s="60" t="s">
        <v>2107</v>
      </c>
      <c r="BG731" s="64">
        <v>0</v>
      </c>
      <c r="BI731" s="60" t="s">
        <v>748</v>
      </c>
      <c r="BJ731" s="64">
        <v>1950</v>
      </c>
      <c r="BK731" s="64">
        <v>2145</v>
      </c>
      <c r="BL731" s="60" t="s">
        <v>2107</v>
      </c>
      <c r="BS731" s="64">
        <v>0</v>
      </c>
      <c r="BV731" s="65">
        <v>51700</v>
      </c>
      <c r="BW731" s="65">
        <v>38445</v>
      </c>
      <c r="BX731" s="65">
        <v>44594</v>
      </c>
      <c r="BY731" s="65">
        <v>13255</v>
      </c>
      <c r="BZ731" s="81">
        <v>25.638297872340427</v>
      </c>
    </row>
    <row r="732" spans="1:78" x14ac:dyDescent="0.15">
      <c r="A732" s="60">
        <v>2</v>
      </c>
      <c r="B732" s="61">
        <v>44637</v>
      </c>
      <c r="C732" s="61">
        <v>44643</v>
      </c>
      <c r="D732" s="61">
        <v>44651</v>
      </c>
      <c r="E732" s="61">
        <v>44651</v>
      </c>
      <c r="F732" s="61">
        <v>44650</v>
      </c>
      <c r="G732" s="61">
        <v>44643</v>
      </c>
      <c r="H732" s="61">
        <v>44646</v>
      </c>
      <c r="I732" s="60" t="s">
        <v>511</v>
      </c>
      <c r="J732" s="60">
        <v>1</v>
      </c>
      <c r="K732" s="61">
        <v>44600</v>
      </c>
      <c r="L732" s="60" t="s">
        <v>529</v>
      </c>
      <c r="M732" s="61">
        <v>44594</v>
      </c>
      <c r="O732" s="62" t="s">
        <v>331</v>
      </c>
      <c r="P732" s="60" t="s">
        <v>26</v>
      </c>
      <c r="Q732" s="62" t="s">
        <v>141</v>
      </c>
      <c r="R732" s="62" t="s">
        <v>2203</v>
      </c>
      <c r="S732" s="63" t="s">
        <v>1156</v>
      </c>
      <c r="T732" s="63" t="s">
        <v>2204</v>
      </c>
      <c r="U732" s="64">
        <v>59000</v>
      </c>
      <c r="V732" s="64">
        <v>64900</v>
      </c>
      <c r="W732" s="64">
        <v>47000</v>
      </c>
      <c r="X732" s="64">
        <v>51700</v>
      </c>
      <c r="Y732" s="64">
        <v>12000</v>
      </c>
      <c r="Z732" s="64">
        <v>13200</v>
      </c>
      <c r="AA732" s="61">
        <v>44641</v>
      </c>
      <c r="AB732" s="61">
        <v>44643</v>
      </c>
      <c r="AC732" s="61">
        <v>44643</v>
      </c>
      <c r="AD732" s="60">
        <v>0</v>
      </c>
      <c r="AG732" s="60">
        <v>0</v>
      </c>
      <c r="AJ732" s="60">
        <v>0</v>
      </c>
      <c r="AM732" s="60" t="s">
        <v>273</v>
      </c>
      <c r="AN732" s="60" t="s">
        <v>2205</v>
      </c>
      <c r="AQ732" s="60" t="s">
        <v>2812</v>
      </c>
      <c r="AR732" s="61">
        <v>44623</v>
      </c>
      <c r="AS732" s="60">
        <v>6001999819</v>
      </c>
      <c r="AT732" s="61">
        <v>44624</v>
      </c>
      <c r="AU732" s="60" t="s">
        <v>2593</v>
      </c>
      <c r="AV732" s="61">
        <v>44643</v>
      </c>
      <c r="AW732" s="91">
        <v>44651</v>
      </c>
      <c r="AX732" s="91">
        <v>44671</v>
      </c>
      <c r="AY732" s="99">
        <v>56640</v>
      </c>
      <c r="AZ732" s="99">
        <f>ROUNDDOWN(AY732+(AY732*MASTER!$A$2/100),0)</f>
        <v>62304</v>
      </c>
      <c r="BA732" s="60" t="s">
        <v>765</v>
      </c>
      <c r="BC732" s="64">
        <v>0</v>
      </c>
      <c r="BG732" s="64">
        <v>0</v>
      </c>
      <c r="BI732" s="60" t="s">
        <v>267</v>
      </c>
      <c r="BJ732" s="64">
        <v>7800</v>
      </c>
      <c r="BK732" s="64">
        <v>8580</v>
      </c>
      <c r="BL732" s="60" t="s">
        <v>2154</v>
      </c>
      <c r="BS732" s="64">
        <v>0</v>
      </c>
      <c r="BV732" s="65">
        <v>51700</v>
      </c>
      <c r="BW732" s="65">
        <v>8580</v>
      </c>
      <c r="BX732" s="65">
        <v>0</v>
      </c>
      <c r="BY732" s="65">
        <v>44600</v>
      </c>
      <c r="BZ732" s="81">
        <v>83.40425531914893</v>
      </c>
    </row>
    <row r="733" spans="1:78" x14ac:dyDescent="0.15">
      <c r="A733" s="60">
        <v>2</v>
      </c>
      <c r="B733" s="61">
        <v>44608</v>
      </c>
      <c r="C733" s="61">
        <v>44613</v>
      </c>
      <c r="D733" s="61">
        <v>44635</v>
      </c>
      <c r="E733" s="61">
        <v>44622</v>
      </c>
      <c r="F733" s="61">
        <v>44610</v>
      </c>
      <c r="G733" s="61">
        <v>44606</v>
      </c>
      <c r="H733" s="61">
        <v>44606</v>
      </c>
      <c r="I733" s="60" t="s">
        <v>612</v>
      </c>
      <c r="J733" s="60">
        <v>1</v>
      </c>
      <c r="L733" s="60">
        <v>0</v>
      </c>
      <c r="M733" s="61">
        <v>44594</v>
      </c>
      <c r="O733" s="62" t="s">
        <v>331</v>
      </c>
      <c r="P733" s="60" t="s">
        <v>26</v>
      </c>
      <c r="Q733" s="62" t="s">
        <v>141</v>
      </c>
      <c r="R733" s="62" t="s">
        <v>2103</v>
      </c>
      <c r="S733" s="63" t="s">
        <v>2105</v>
      </c>
      <c r="T733" s="63" t="s">
        <v>485</v>
      </c>
      <c r="U733" s="64">
        <v>95000</v>
      </c>
      <c r="V733" s="64">
        <v>104500</v>
      </c>
      <c r="W733" s="64">
        <v>80000</v>
      </c>
      <c r="X733" s="64">
        <v>88000</v>
      </c>
      <c r="Y733" s="64">
        <v>15000</v>
      </c>
      <c r="Z733" s="64">
        <v>16500</v>
      </c>
      <c r="AA733" s="61">
        <v>44599</v>
      </c>
      <c r="AB733" s="61">
        <v>44603</v>
      </c>
      <c r="AC733" s="61">
        <v>44603</v>
      </c>
      <c r="AD733" s="60">
        <v>0</v>
      </c>
      <c r="AG733" s="60">
        <v>0</v>
      </c>
      <c r="AJ733" s="60">
        <v>0</v>
      </c>
      <c r="AQ733" s="60" t="s">
        <v>2302</v>
      </c>
      <c r="AR733" s="61">
        <v>44607</v>
      </c>
      <c r="AS733" s="60">
        <v>6001993820</v>
      </c>
      <c r="AT733" s="61">
        <v>44607</v>
      </c>
      <c r="AU733" s="60" t="s">
        <v>2317</v>
      </c>
      <c r="AV733" s="61">
        <v>44613</v>
      </c>
      <c r="AW733" s="91">
        <v>44620</v>
      </c>
      <c r="AX733" s="91">
        <v>44640</v>
      </c>
      <c r="AY733" s="99">
        <v>91200</v>
      </c>
      <c r="AZ733" s="99">
        <f>ROUNDDOWN(AY733+(AY733*MASTER!$A$2/100),0)</f>
        <v>100320</v>
      </c>
      <c r="BA733" s="60" t="s">
        <v>319</v>
      </c>
      <c r="BB733" s="64">
        <v>25000</v>
      </c>
      <c r="BC733" s="64">
        <v>27500</v>
      </c>
      <c r="BD733" s="60" t="s">
        <v>2044</v>
      </c>
      <c r="BG733" s="64">
        <v>0</v>
      </c>
      <c r="BI733" s="60" t="s">
        <v>748</v>
      </c>
      <c r="BJ733" s="64">
        <v>9750</v>
      </c>
      <c r="BK733" s="64">
        <v>10725</v>
      </c>
      <c r="BL733" s="60" t="s">
        <v>2044</v>
      </c>
      <c r="BS733" s="64">
        <v>0</v>
      </c>
      <c r="BV733" s="65">
        <v>88000</v>
      </c>
      <c r="BW733" s="65">
        <v>38225</v>
      </c>
      <c r="BX733" s="65">
        <v>44594</v>
      </c>
      <c r="BY733" s="65">
        <v>49775</v>
      </c>
      <c r="BZ733" s="81">
        <v>56.562500000000007</v>
      </c>
    </row>
    <row r="734" spans="1:78" x14ac:dyDescent="0.15">
      <c r="A734" s="60">
        <v>2</v>
      </c>
      <c r="B734" s="61">
        <v>44608</v>
      </c>
      <c r="C734" s="61">
        <v>44615</v>
      </c>
      <c r="D734" s="61">
        <v>44624</v>
      </c>
      <c r="E734" s="61">
        <v>44643</v>
      </c>
      <c r="F734" s="61">
        <v>44622</v>
      </c>
      <c r="G734" s="61">
        <v>44621</v>
      </c>
      <c r="H734" s="61">
        <v>44618</v>
      </c>
      <c r="I734" s="60" t="s">
        <v>612</v>
      </c>
      <c r="J734" s="60">
        <v>1</v>
      </c>
      <c r="L734" s="60">
        <v>0</v>
      </c>
      <c r="M734" s="61">
        <v>44594</v>
      </c>
      <c r="O734" s="62" t="s">
        <v>331</v>
      </c>
      <c r="P734" s="60" t="s">
        <v>26</v>
      </c>
      <c r="Q734" s="62" t="s">
        <v>141</v>
      </c>
      <c r="R734" s="62" t="s">
        <v>2248</v>
      </c>
      <c r="S734" s="63" t="s">
        <v>2249</v>
      </c>
      <c r="T734" s="63" t="s">
        <v>485</v>
      </c>
      <c r="U734" s="64">
        <v>95000</v>
      </c>
      <c r="V734" s="64">
        <v>104500</v>
      </c>
      <c r="W734" s="64">
        <v>80000</v>
      </c>
      <c r="X734" s="64">
        <v>88000</v>
      </c>
      <c r="Y734" s="64">
        <v>15000</v>
      </c>
      <c r="Z734" s="64">
        <v>16500</v>
      </c>
      <c r="AA734" s="61">
        <v>44614</v>
      </c>
      <c r="AB734" s="61">
        <v>44615</v>
      </c>
      <c r="AC734" s="61">
        <v>44615</v>
      </c>
      <c r="AD734" s="60">
        <v>0</v>
      </c>
      <c r="AG734" s="60">
        <v>0</v>
      </c>
      <c r="AJ734" s="60">
        <v>0</v>
      </c>
      <c r="AQ734" s="60" t="s">
        <v>2219</v>
      </c>
      <c r="AR734" s="61">
        <v>44606</v>
      </c>
      <c r="AS734" s="60">
        <v>6001993021</v>
      </c>
      <c r="AT734" s="61">
        <v>44607</v>
      </c>
      <c r="AU734" s="60" t="s">
        <v>2313</v>
      </c>
      <c r="AV734" s="61">
        <v>44615</v>
      </c>
      <c r="AW734" s="91">
        <v>44620</v>
      </c>
      <c r="AX734" s="91">
        <v>44640</v>
      </c>
      <c r="AY734" s="99">
        <v>91200</v>
      </c>
      <c r="AZ734" s="99">
        <f>ROUNDDOWN(AY734+(AY734*MASTER!$A$2/100),0)</f>
        <v>100320</v>
      </c>
      <c r="BA734" s="60" t="s">
        <v>317</v>
      </c>
      <c r="BB734" s="64">
        <v>46000</v>
      </c>
      <c r="BC734" s="64">
        <v>50600</v>
      </c>
      <c r="BD734" s="60" t="s">
        <v>2044</v>
      </c>
      <c r="BG734" s="64">
        <v>0</v>
      </c>
      <c r="BI734" s="60" t="s">
        <v>748</v>
      </c>
      <c r="BJ734" s="64">
        <v>9750</v>
      </c>
      <c r="BK734" s="64">
        <v>10725</v>
      </c>
      <c r="BL734" s="60" t="s">
        <v>2044</v>
      </c>
      <c r="BS734" s="64">
        <v>0</v>
      </c>
      <c r="BV734" s="65">
        <v>88000</v>
      </c>
      <c r="BW734" s="65">
        <v>61325</v>
      </c>
      <c r="BX734" s="65">
        <v>44594</v>
      </c>
      <c r="BY734" s="65">
        <v>26675</v>
      </c>
      <c r="BZ734" s="81">
        <v>30.312499999999996</v>
      </c>
    </row>
    <row r="735" spans="1:78" x14ac:dyDescent="0.15">
      <c r="A735" s="60">
        <v>2</v>
      </c>
      <c r="B735" s="61">
        <v>44608</v>
      </c>
      <c r="C735" s="61">
        <v>44615</v>
      </c>
      <c r="D735" s="61">
        <v>44633</v>
      </c>
      <c r="E735" s="61">
        <v>44699</v>
      </c>
      <c r="F735" s="61">
        <v>44622</v>
      </c>
      <c r="G735" s="61">
        <v>44616</v>
      </c>
      <c r="H735" s="61">
        <v>44618</v>
      </c>
      <c r="I735" s="60" t="s">
        <v>511</v>
      </c>
      <c r="J735" s="60">
        <v>1</v>
      </c>
      <c r="L735" s="60">
        <v>0</v>
      </c>
      <c r="M735" s="61">
        <v>44594</v>
      </c>
      <c r="O735" s="62" t="s">
        <v>331</v>
      </c>
      <c r="P735" s="60" t="s">
        <v>26</v>
      </c>
      <c r="Q735" s="62" t="s">
        <v>141</v>
      </c>
      <c r="R735" s="62" t="s">
        <v>2367</v>
      </c>
      <c r="S735" s="63" t="s">
        <v>2368</v>
      </c>
      <c r="T735" s="63" t="s">
        <v>2108</v>
      </c>
      <c r="U735" s="64">
        <v>244850</v>
      </c>
      <c r="V735" s="64">
        <v>269335</v>
      </c>
      <c r="W735" s="64">
        <v>164850</v>
      </c>
      <c r="X735" s="64">
        <v>181335</v>
      </c>
      <c r="Y735" s="64">
        <v>80000</v>
      </c>
      <c r="Z735" s="64">
        <v>88000</v>
      </c>
      <c r="AA735" s="61">
        <v>44613</v>
      </c>
      <c r="AB735" s="61">
        <v>44615</v>
      </c>
      <c r="AC735" s="61">
        <v>44615</v>
      </c>
      <c r="AD735" s="60">
        <v>0</v>
      </c>
      <c r="AG735" s="60">
        <v>0</v>
      </c>
      <c r="AJ735" s="60">
        <v>0</v>
      </c>
      <c r="AQ735" s="60" t="s">
        <v>2301</v>
      </c>
      <c r="AR735" s="61">
        <v>44607</v>
      </c>
      <c r="AS735" s="60">
        <v>6001993820</v>
      </c>
      <c r="AT735" s="61">
        <v>44607</v>
      </c>
      <c r="AU735" s="60" t="s">
        <v>2317</v>
      </c>
      <c r="AV735" s="61">
        <v>44615</v>
      </c>
      <c r="AW735" s="91">
        <v>44620</v>
      </c>
      <c r="AX735" s="91">
        <v>44640</v>
      </c>
      <c r="AY735" s="107">
        <v>244850</v>
      </c>
      <c r="AZ735" s="107">
        <f>ROUNDDOWN(AY735+(AY735*MASTER!$A$2/100),0)</f>
        <v>269335</v>
      </c>
      <c r="BA735" s="60" t="s">
        <v>314</v>
      </c>
      <c r="BB735" s="64">
        <v>67000</v>
      </c>
      <c r="BC735" s="64">
        <v>73700</v>
      </c>
      <c r="BD735" s="60" t="s">
        <v>2044</v>
      </c>
      <c r="BG735" s="64">
        <v>0</v>
      </c>
      <c r="BI735" s="60" t="s">
        <v>748</v>
      </c>
      <c r="BJ735" s="64">
        <v>52000</v>
      </c>
      <c r="BK735" s="64">
        <v>57200</v>
      </c>
      <c r="BL735" s="60" t="s">
        <v>2044</v>
      </c>
      <c r="BS735" s="64">
        <v>0</v>
      </c>
      <c r="BV735" s="65">
        <v>181335</v>
      </c>
      <c r="BW735" s="65">
        <v>130900</v>
      </c>
      <c r="BX735" s="65">
        <v>44594</v>
      </c>
      <c r="BY735" s="65">
        <v>50435</v>
      </c>
      <c r="BZ735" s="81">
        <v>27.813163481953289</v>
      </c>
    </row>
    <row r="736" spans="1:78" x14ac:dyDescent="0.15">
      <c r="A736" s="60">
        <v>2</v>
      </c>
      <c r="B736" s="61">
        <v>44608</v>
      </c>
      <c r="C736" s="61">
        <v>44620</v>
      </c>
      <c r="D736" s="61">
        <v>44633</v>
      </c>
      <c r="E736" s="61">
        <v>44643</v>
      </c>
      <c r="F736" s="61">
        <v>44624</v>
      </c>
      <c r="G736" s="61">
        <v>44621</v>
      </c>
      <c r="H736" s="61">
        <v>44620</v>
      </c>
      <c r="I736" s="60" t="s">
        <v>612</v>
      </c>
      <c r="J736" s="60">
        <v>1</v>
      </c>
      <c r="L736" s="60">
        <v>0</v>
      </c>
      <c r="M736" s="61">
        <v>44594</v>
      </c>
      <c r="O736" s="62" t="s">
        <v>331</v>
      </c>
      <c r="P736" s="60" t="s">
        <v>26</v>
      </c>
      <c r="Q736" s="62" t="s">
        <v>141</v>
      </c>
      <c r="R736" s="62" t="s">
        <v>2327</v>
      </c>
      <c r="S736" s="63" t="s">
        <v>513</v>
      </c>
      <c r="T736" s="63" t="s">
        <v>1653</v>
      </c>
      <c r="U736" s="64">
        <v>175300</v>
      </c>
      <c r="V736" s="64">
        <v>192830</v>
      </c>
      <c r="W736" s="64">
        <v>144300</v>
      </c>
      <c r="X736" s="64">
        <v>158730</v>
      </c>
      <c r="Y736" s="64">
        <v>31000</v>
      </c>
      <c r="Z736" s="64">
        <v>34100</v>
      </c>
      <c r="AA736" s="61">
        <v>44616</v>
      </c>
      <c r="AB736" s="61">
        <v>44617</v>
      </c>
      <c r="AC736" s="61">
        <v>44617</v>
      </c>
      <c r="AD736" s="60">
        <v>0</v>
      </c>
      <c r="AG736" s="60">
        <v>0</v>
      </c>
      <c r="AJ736" s="60">
        <v>0</v>
      </c>
      <c r="AQ736" s="60" t="s">
        <v>2221</v>
      </c>
      <c r="AR736" s="61">
        <v>44606</v>
      </c>
      <c r="AS736" s="60">
        <v>6001993025</v>
      </c>
      <c r="AT736" s="61">
        <v>44607</v>
      </c>
      <c r="AU736" s="60" t="s">
        <v>2310</v>
      </c>
      <c r="AV736" s="61">
        <v>44620</v>
      </c>
      <c r="AW736" s="91">
        <v>44620</v>
      </c>
      <c r="AX736" s="91">
        <v>44640</v>
      </c>
      <c r="AY736" s="107">
        <v>175300</v>
      </c>
      <c r="AZ736" s="107">
        <f>ROUNDDOWN(AY736+(AY736*MASTER!$A$2/100),0)</f>
        <v>192830</v>
      </c>
      <c r="BA736" s="60" t="s">
        <v>314</v>
      </c>
      <c r="BB736" s="64">
        <v>51000</v>
      </c>
      <c r="BC736" s="64">
        <v>56100</v>
      </c>
      <c r="BD736" s="60" t="s">
        <v>2044</v>
      </c>
      <c r="BG736" s="64">
        <v>0</v>
      </c>
      <c r="BI736" s="60" t="s">
        <v>748</v>
      </c>
      <c r="BJ736" s="64">
        <v>9750</v>
      </c>
      <c r="BK736" s="64">
        <v>10725</v>
      </c>
      <c r="BL736" s="60" t="s">
        <v>2044</v>
      </c>
      <c r="BS736" s="64">
        <v>0</v>
      </c>
      <c r="BV736" s="65">
        <v>158730</v>
      </c>
      <c r="BW736" s="65">
        <v>66825</v>
      </c>
      <c r="BX736" s="65">
        <v>44594</v>
      </c>
      <c r="BY736" s="65">
        <v>91905</v>
      </c>
      <c r="BZ736" s="81">
        <v>57.900207900207903</v>
      </c>
    </row>
    <row r="737" spans="1:78" x14ac:dyDescent="0.15">
      <c r="A737" s="60">
        <v>2</v>
      </c>
      <c r="B737" s="61">
        <v>44608</v>
      </c>
      <c r="C737" s="61">
        <v>44620</v>
      </c>
      <c r="D737" s="61">
        <v>44633</v>
      </c>
      <c r="E737" s="61">
        <v>44643</v>
      </c>
      <c r="F737" s="61">
        <v>44624</v>
      </c>
      <c r="G737" s="61">
        <v>44621</v>
      </c>
      <c r="H737" s="61">
        <v>44620</v>
      </c>
      <c r="I737" s="60" t="s">
        <v>612</v>
      </c>
      <c r="J737" s="60">
        <v>1</v>
      </c>
      <c r="L737" s="60">
        <v>0</v>
      </c>
      <c r="M737" s="61">
        <v>44594</v>
      </c>
      <c r="O737" s="62" t="s">
        <v>331</v>
      </c>
      <c r="P737" s="60" t="s">
        <v>26</v>
      </c>
      <c r="Q737" s="62" t="s">
        <v>141</v>
      </c>
      <c r="R737" s="62" t="s">
        <v>2328</v>
      </c>
      <c r="S737" s="63" t="s">
        <v>2329</v>
      </c>
      <c r="T737" s="63" t="s">
        <v>1653</v>
      </c>
      <c r="U737" s="64">
        <v>175300</v>
      </c>
      <c r="V737" s="64">
        <v>192830</v>
      </c>
      <c r="W737" s="64">
        <v>144300</v>
      </c>
      <c r="X737" s="64">
        <v>158730</v>
      </c>
      <c r="Y737" s="64">
        <v>31000</v>
      </c>
      <c r="Z737" s="64">
        <v>34100</v>
      </c>
      <c r="AA737" s="61">
        <v>44616</v>
      </c>
      <c r="AB737" s="61">
        <v>44617</v>
      </c>
      <c r="AC737" s="61">
        <v>44617</v>
      </c>
      <c r="AD737" s="60">
        <v>0</v>
      </c>
      <c r="AG737" s="60">
        <v>0</v>
      </c>
      <c r="AJ737" s="60">
        <v>0</v>
      </c>
      <c r="AQ737" s="60" t="s">
        <v>2221</v>
      </c>
      <c r="AR737" s="61">
        <v>44606</v>
      </c>
      <c r="AS737" s="60">
        <v>6001993025</v>
      </c>
      <c r="AT737" s="61">
        <v>44607</v>
      </c>
      <c r="AU737" s="60" t="s">
        <v>2310</v>
      </c>
      <c r="AV737" s="61">
        <v>44620</v>
      </c>
      <c r="AW737" s="91">
        <v>44620</v>
      </c>
      <c r="AX737" s="91">
        <v>44640</v>
      </c>
      <c r="AY737" s="107">
        <v>175300</v>
      </c>
      <c r="AZ737" s="107">
        <f>ROUNDDOWN(AY737+(AY737*MASTER!$A$2/100),0)</f>
        <v>192830</v>
      </c>
      <c r="BA737" s="60" t="s">
        <v>314</v>
      </c>
      <c r="BB737" s="64">
        <v>46000</v>
      </c>
      <c r="BC737" s="64">
        <v>50600</v>
      </c>
      <c r="BD737" s="60" t="s">
        <v>2044</v>
      </c>
      <c r="BG737" s="64">
        <v>0</v>
      </c>
      <c r="BI737" s="60" t="s">
        <v>748</v>
      </c>
      <c r="BJ737" s="64">
        <v>9750</v>
      </c>
      <c r="BK737" s="64">
        <v>10725</v>
      </c>
      <c r="BL737" s="60" t="s">
        <v>2044</v>
      </c>
      <c r="BS737" s="64">
        <v>0</v>
      </c>
      <c r="BV737" s="65">
        <v>158730</v>
      </c>
      <c r="BW737" s="65">
        <v>61325</v>
      </c>
      <c r="BX737" s="65">
        <v>44594</v>
      </c>
      <c r="BY737" s="65">
        <v>97405</v>
      </c>
      <c r="BZ737" s="81">
        <v>61.365211365211373</v>
      </c>
    </row>
    <row r="738" spans="1:78" x14ac:dyDescent="0.15">
      <c r="A738" s="60">
        <v>2</v>
      </c>
      <c r="B738" s="61">
        <v>44608</v>
      </c>
      <c r="C738" s="61">
        <v>44620</v>
      </c>
      <c r="D738" s="61">
        <v>44633</v>
      </c>
      <c r="E738" s="61">
        <v>44699</v>
      </c>
      <c r="F738" s="61">
        <v>44621</v>
      </c>
      <c r="G738" s="61">
        <v>44616</v>
      </c>
      <c r="H738" s="61">
        <v>44617</v>
      </c>
      <c r="I738" s="60" t="s">
        <v>511</v>
      </c>
      <c r="J738" s="60">
        <v>1</v>
      </c>
      <c r="L738" s="60">
        <v>0</v>
      </c>
      <c r="M738" s="61">
        <v>44594</v>
      </c>
      <c r="O738" s="62" t="s">
        <v>331</v>
      </c>
      <c r="P738" s="60" t="s">
        <v>26</v>
      </c>
      <c r="Q738" s="62" t="s">
        <v>141</v>
      </c>
      <c r="R738" s="62" t="s">
        <v>2330</v>
      </c>
      <c r="S738" s="63" t="s">
        <v>2331</v>
      </c>
      <c r="T738" s="63" t="s">
        <v>1653</v>
      </c>
      <c r="U738" s="64">
        <v>175300</v>
      </c>
      <c r="V738" s="64">
        <v>192830</v>
      </c>
      <c r="W738" s="64">
        <v>144300</v>
      </c>
      <c r="X738" s="64">
        <v>158730</v>
      </c>
      <c r="Y738" s="64">
        <v>31000</v>
      </c>
      <c r="Z738" s="64">
        <v>34100</v>
      </c>
      <c r="AA738" s="61">
        <v>44613</v>
      </c>
      <c r="AB738" s="61">
        <v>44614</v>
      </c>
      <c r="AC738" s="61">
        <v>44614</v>
      </c>
      <c r="AD738" s="60">
        <v>0</v>
      </c>
      <c r="AG738" s="60">
        <v>0</v>
      </c>
      <c r="AJ738" s="60">
        <v>0</v>
      </c>
      <c r="AQ738" s="60" t="s">
        <v>2221</v>
      </c>
      <c r="AR738" s="61">
        <v>44606</v>
      </c>
      <c r="AS738" s="60">
        <v>6001993025</v>
      </c>
      <c r="AT738" s="61">
        <v>44607</v>
      </c>
      <c r="AU738" s="60" t="s">
        <v>2310</v>
      </c>
      <c r="AV738" s="61">
        <v>44620</v>
      </c>
      <c r="AW738" s="91">
        <v>44620</v>
      </c>
      <c r="AX738" s="91">
        <v>44640</v>
      </c>
      <c r="AY738" s="107">
        <v>175300</v>
      </c>
      <c r="AZ738" s="107">
        <f>ROUNDDOWN(AY738+(AY738*MASTER!$A$2/100),0)</f>
        <v>192830</v>
      </c>
      <c r="BA738" s="60" t="s">
        <v>314</v>
      </c>
      <c r="BB738" s="64">
        <v>52000</v>
      </c>
      <c r="BC738" s="64">
        <v>57200</v>
      </c>
      <c r="BD738" s="60" t="s">
        <v>2044</v>
      </c>
      <c r="BG738" s="64">
        <v>0</v>
      </c>
      <c r="BI738" s="60" t="s">
        <v>748</v>
      </c>
      <c r="BJ738" s="64">
        <v>9750</v>
      </c>
      <c r="BK738" s="64">
        <v>10725</v>
      </c>
      <c r="BL738" s="60" t="s">
        <v>2044</v>
      </c>
      <c r="BS738" s="64">
        <v>0</v>
      </c>
      <c r="BV738" s="65">
        <v>158730</v>
      </c>
      <c r="BW738" s="65">
        <v>67925</v>
      </c>
      <c r="BX738" s="65">
        <v>44594</v>
      </c>
      <c r="BY738" s="65">
        <v>90805</v>
      </c>
      <c r="BZ738" s="81">
        <v>57.207207207207212</v>
      </c>
    </row>
    <row r="739" spans="1:78" x14ac:dyDescent="0.15">
      <c r="A739" s="60">
        <v>2</v>
      </c>
      <c r="B739" s="61">
        <v>44608</v>
      </c>
      <c r="C739" s="61">
        <v>44620</v>
      </c>
      <c r="D739" s="61">
        <v>44633</v>
      </c>
      <c r="E739" s="61">
        <v>44643</v>
      </c>
      <c r="F739" s="61">
        <v>44624</v>
      </c>
      <c r="G739" s="61">
        <v>44621</v>
      </c>
      <c r="H739" s="61">
        <v>44620</v>
      </c>
      <c r="I739" s="60" t="s">
        <v>612</v>
      </c>
      <c r="J739" s="60">
        <v>1</v>
      </c>
      <c r="L739" s="60">
        <v>0</v>
      </c>
      <c r="M739" s="61">
        <v>44594</v>
      </c>
      <c r="O739" s="62" t="s">
        <v>331</v>
      </c>
      <c r="P739" s="60" t="s">
        <v>26</v>
      </c>
      <c r="Q739" s="62" t="s">
        <v>141</v>
      </c>
      <c r="R739" s="62" t="s">
        <v>2332</v>
      </c>
      <c r="S739" s="63" t="s">
        <v>2333</v>
      </c>
      <c r="T739" s="63" t="s">
        <v>2100</v>
      </c>
      <c r="U739" s="64">
        <v>168800</v>
      </c>
      <c r="V739" s="64">
        <v>185680</v>
      </c>
      <c r="W739" s="64">
        <v>137800</v>
      </c>
      <c r="X739" s="64">
        <v>151580</v>
      </c>
      <c r="Y739" s="64">
        <v>31000</v>
      </c>
      <c r="Z739" s="64">
        <v>34100</v>
      </c>
      <c r="AA739" s="61">
        <v>44616</v>
      </c>
      <c r="AB739" s="61">
        <v>44617</v>
      </c>
      <c r="AC739" s="61">
        <v>44617</v>
      </c>
      <c r="AD739" s="60">
        <v>0</v>
      </c>
      <c r="AG739" s="60">
        <v>0</v>
      </c>
      <c r="AJ739" s="60">
        <v>0</v>
      </c>
      <c r="AQ739" s="60" t="s">
        <v>2218</v>
      </c>
      <c r="AR739" s="61">
        <v>44606</v>
      </c>
      <c r="AS739" s="60">
        <v>6001993021</v>
      </c>
      <c r="AT739" s="61">
        <v>44607</v>
      </c>
      <c r="AU739" s="60" t="s">
        <v>2313</v>
      </c>
      <c r="AV739" s="61">
        <v>44620</v>
      </c>
      <c r="AW739" s="91">
        <v>44620</v>
      </c>
      <c r="AX739" s="91">
        <v>44640</v>
      </c>
      <c r="AY739" s="107">
        <v>168800</v>
      </c>
      <c r="AZ739" s="107">
        <f>ROUNDDOWN(AY739+(AY739*MASTER!$A$2/100),0)</f>
        <v>185680</v>
      </c>
      <c r="BA739" s="60" t="s">
        <v>314</v>
      </c>
      <c r="BB739" s="64">
        <v>42000</v>
      </c>
      <c r="BC739" s="64">
        <v>46200</v>
      </c>
      <c r="BD739" s="60" t="s">
        <v>2044</v>
      </c>
      <c r="BG739" s="64">
        <v>0</v>
      </c>
      <c r="BI739" s="60" t="s">
        <v>748</v>
      </c>
      <c r="BJ739" s="64">
        <v>9750</v>
      </c>
      <c r="BK739" s="64">
        <v>10725</v>
      </c>
      <c r="BL739" s="60" t="s">
        <v>2044</v>
      </c>
      <c r="BS739" s="64">
        <v>0</v>
      </c>
      <c r="BV739" s="65">
        <v>151580</v>
      </c>
      <c r="BW739" s="65">
        <v>56925</v>
      </c>
      <c r="BX739" s="65">
        <v>44594</v>
      </c>
      <c r="BY739" s="65">
        <v>94655</v>
      </c>
      <c r="BZ739" s="81">
        <v>62.445573294629895</v>
      </c>
    </row>
    <row r="740" spans="1:78" x14ac:dyDescent="0.15">
      <c r="A740" s="60">
        <v>2</v>
      </c>
      <c r="B740" s="61">
        <v>44608</v>
      </c>
      <c r="C740" s="61">
        <v>44620</v>
      </c>
      <c r="D740" s="61">
        <v>44633</v>
      </c>
      <c r="E740" s="61">
        <v>44643</v>
      </c>
      <c r="F740" s="61">
        <v>44618</v>
      </c>
      <c r="G740" s="61">
        <v>44613</v>
      </c>
      <c r="H740" s="61">
        <v>44614</v>
      </c>
      <c r="I740" s="60" t="s">
        <v>612</v>
      </c>
      <c r="J740" s="60">
        <v>1</v>
      </c>
      <c r="L740" s="60">
        <v>0</v>
      </c>
      <c r="M740" s="61">
        <v>44594</v>
      </c>
      <c r="O740" s="62" t="s">
        <v>331</v>
      </c>
      <c r="P740" s="60" t="s">
        <v>26</v>
      </c>
      <c r="Q740" s="62" t="s">
        <v>141</v>
      </c>
      <c r="R740" s="62" t="s">
        <v>2369</v>
      </c>
      <c r="S740" s="169" t="s">
        <v>2370</v>
      </c>
      <c r="T740" s="63" t="s">
        <v>2100</v>
      </c>
      <c r="U740" s="64">
        <v>168800</v>
      </c>
      <c r="V740" s="64">
        <v>185680</v>
      </c>
      <c r="W740" s="64">
        <v>137800</v>
      </c>
      <c r="X740" s="64">
        <v>151580</v>
      </c>
      <c r="Y740" s="64">
        <v>31000</v>
      </c>
      <c r="Z740" s="64">
        <v>34100</v>
      </c>
      <c r="AA740" s="61">
        <v>44610</v>
      </c>
      <c r="AB740" s="61">
        <v>44611</v>
      </c>
      <c r="AC740" s="61">
        <v>44611</v>
      </c>
      <c r="AD740" s="60">
        <v>0</v>
      </c>
      <c r="AG740" s="60">
        <v>0</v>
      </c>
      <c r="AJ740" s="60">
        <v>0</v>
      </c>
      <c r="AQ740" s="60" t="s">
        <v>2218</v>
      </c>
      <c r="AR740" s="61">
        <v>44606</v>
      </c>
      <c r="AS740" s="60">
        <v>6001993021</v>
      </c>
      <c r="AT740" s="61">
        <v>44607</v>
      </c>
      <c r="AU740" s="60" t="s">
        <v>2313</v>
      </c>
      <c r="AV740" s="61">
        <v>44620</v>
      </c>
      <c r="AW740" s="91">
        <v>44620</v>
      </c>
      <c r="AX740" s="91">
        <v>44640</v>
      </c>
      <c r="AY740" s="107">
        <v>168800</v>
      </c>
      <c r="AZ740" s="107">
        <f>ROUNDDOWN(AY740+(AY740*MASTER!$A$2/100),0)</f>
        <v>185680</v>
      </c>
      <c r="BA740" s="60" t="s">
        <v>314</v>
      </c>
      <c r="BB740" s="64">
        <v>48000</v>
      </c>
      <c r="BC740" s="64">
        <v>52800</v>
      </c>
      <c r="BD740" s="60" t="s">
        <v>2044</v>
      </c>
      <c r="BG740" s="64">
        <v>0</v>
      </c>
      <c r="BI740" s="60" t="s">
        <v>748</v>
      </c>
      <c r="BJ740" s="64">
        <v>9750</v>
      </c>
      <c r="BK740" s="64">
        <v>10725</v>
      </c>
      <c r="BL740" s="60" t="s">
        <v>2044</v>
      </c>
      <c r="BS740" s="64">
        <v>0</v>
      </c>
      <c r="BV740" s="65">
        <v>151580</v>
      </c>
      <c r="BW740" s="65">
        <v>63525</v>
      </c>
      <c r="BX740" s="65">
        <v>44594</v>
      </c>
      <c r="BY740" s="65">
        <v>88055</v>
      </c>
      <c r="BZ740" s="81">
        <v>58.09143686502177</v>
      </c>
    </row>
    <row r="741" spans="1:78" x14ac:dyDescent="0.15">
      <c r="A741" s="60">
        <v>2</v>
      </c>
      <c r="B741" s="61">
        <v>44608</v>
      </c>
      <c r="C741" s="61">
        <v>44620</v>
      </c>
      <c r="D741" s="61">
        <v>44624</v>
      </c>
      <c r="E741" s="61">
        <v>44643</v>
      </c>
      <c r="F741" s="61">
        <v>44621</v>
      </c>
      <c r="G741" s="61">
        <v>44614</v>
      </c>
      <c r="H741" s="61">
        <v>44617</v>
      </c>
      <c r="I741" s="60" t="s">
        <v>612</v>
      </c>
      <c r="J741" s="60">
        <v>1</v>
      </c>
      <c r="L741" s="60">
        <v>0</v>
      </c>
      <c r="M741" s="61">
        <v>44594</v>
      </c>
      <c r="O741" s="62" t="s">
        <v>331</v>
      </c>
      <c r="P741" s="60" t="s">
        <v>26</v>
      </c>
      <c r="Q741" s="62" t="s">
        <v>141</v>
      </c>
      <c r="R741" s="62" t="s">
        <v>2307</v>
      </c>
      <c r="S741" s="169" t="s">
        <v>2308</v>
      </c>
      <c r="T741" s="63" t="s">
        <v>2100</v>
      </c>
      <c r="U741" s="64">
        <v>168800</v>
      </c>
      <c r="V741" s="64">
        <v>185680</v>
      </c>
      <c r="W741" s="64">
        <v>137800</v>
      </c>
      <c r="X741" s="64">
        <v>151580</v>
      </c>
      <c r="Y741" s="64">
        <v>31000</v>
      </c>
      <c r="Z741" s="64">
        <v>34100</v>
      </c>
      <c r="AA741" s="61">
        <v>44613</v>
      </c>
      <c r="AB741" s="61">
        <v>44614</v>
      </c>
      <c r="AC741" s="61">
        <v>44614</v>
      </c>
      <c r="AD741" s="60">
        <v>0</v>
      </c>
      <c r="AG741" s="60">
        <v>0</v>
      </c>
      <c r="AJ741" s="60">
        <v>0</v>
      </c>
      <c r="AQ741" s="60" t="s">
        <v>2220</v>
      </c>
      <c r="AR741" s="61">
        <v>44606</v>
      </c>
      <c r="AS741" s="60">
        <v>6001993025</v>
      </c>
      <c r="AT741" s="61">
        <v>44607</v>
      </c>
      <c r="AU741" s="60" t="s">
        <v>2310</v>
      </c>
      <c r="AV741" s="61">
        <v>44620</v>
      </c>
      <c r="AW741" s="91">
        <v>44620</v>
      </c>
      <c r="AX741" s="91">
        <v>44640</v>
      </c>
      <c r="AY741" s="107">
        <v>168800</v>
      </c>
      <c r="AZ741" s="107">
        <f>ROUNDDOWN(AY741+(AY741*MASTER!$A$2/100),0)</f>
        <v>185680</v>
      </c>
      <c r="BA741" s="60" t="s">
        <v>317</v>
      </c>
      <c r="BB741" s="64">
        <v>42000</v>
      </c>
      <c r="BC741" s="64">
        <v>46200</v>
      </c>
      <c r="BD741" s="60" t="s">
        <v>2044</v>
      </c>
      <c r="BG741" s="64">
        <v>0</v>
      </c>
      <c r="BI741" s="60" t="s">
        <v>748</v>
      </c>
      <c r="BJ741" s="64">
        <v>9750</v>
      </c>
      <c r="BK741" s="64">
        <v>10725</v>
      </c>
      <c r="BL741" s="60" t="s">
        <v>2044</v>
      </c>
      <c r="BS741" s="64">
        <v>0</v>
      </c>
      <c r="BV741" s="65">
        <v>151580</v>
      </c>
      <c r="BW741" s="65">
        <v>56925</v>
      </c>
      <c r="BX741" s="65">
        <v>44594</v>
      </c>
      <c r="BY741" s="65">
        <v>94655</v>
      </c>
      <c r="BZ741" s="81">
        <v>62.445573294629895</v>
      </c>
    </row>
    <row r="742" spans="1:78" x14ac:dyDescent="0.15">
      <c r="A742" s="60">
        <v>2</v>
      </c>
      <c r="B742" s="61">
        <v>44608</v>
      </c>
      <c r="C742" s="61">
        <v>44614</v>
      </c>
      <c r="D742" s="61">
        <v>44624</v>
      </c>
      <c r="E742" s="61">
        <v>44643</v>
      </c>
      <c r="F742" s="61">
        <v>44621</v>
      </c>
      <c r="G742" s="61">
        <v>44614</v>
      </c>
      <c r="H742" s="61">
        <v>44617</v>
      </c>
      <c r="I742" s="60" t="s">
        <v>612</v>
      </c>
      <c r="J742" s="60">
        <v>1</v>
      </c>
      <c r="L742" s="60">
        <v>0</v>
      </c>
      <c r="M742" s="61">
        <v>44594</v>
      </c>
      <c r="O742" s="62" t="s">
        <v>331</v>
      </c>
      <c r="P742" s="60" t="s">
        <v>26</v>
      </c>
      <c r="Q742" s="62" t="s">
        <v>141</v>
      </c>
      <c r="R742" s="62" t="s">
        <v>2309</v>
      </c>
      <c r="S742" s="169" t="s">
        <v>2101</v>
      </c>
      <c r="T742" s="63" t="s">
        <v>2100</v>
      </c>
      <c r="U742" s="64">
        <v>168800</v>
      </c>
      <c r="V742" s="64">
        <v>185680</v>
      </c>
      <c r="W742" s="64">
        <v>137800</v>
      </c>
      <c r="X742" s="64">
        <v>151580</v>
      </c>
      <c r="Y742" s="64">
        <v>31000</v>
      </c>
      <c r="Z742" s="64">
        <v>34100</v>
      </c>
      <c r="AA742" s="61">
        <v>44613</v>
      </c>
      <c r="AB742" s="61">
        <v>44614</v>
      </c>
      <c r="AC742" s="61">
        <v>44614</v>
      </c>
      <c r="AD742" s="60">
        <v>0</v>
      </c>
      <c r="AG742" s="60">
        <v>0</v>
      </c>
      <c r="AJ742" s="60">
        <v>0</v>
      </c>
      <c r="AQ742" s="60" t="s">
        <v>2220</v>
      </c>
      <c r="AR742" s="61">
        <v>44606</v>
      </c>
      <c r="AS742" s="60">
        <v>6001993025</v>
      </c>
      <c r="AT742" s="61">
        <v>44607</v>
      </c>
      <c r="AU742" s="60" t="s">
        <v>2310</v>
      </c>
      <c r="AV742" s="61">
        <v>44614</v>
      </c>
      <c r="AW742" s="91">
        <v>44620</v>
      </c>
      <c r="AX742" s="91">
        <v>44640</v>
      </c>
      <c r="AY742" s="107">
        <v>168800</v>
      </c>
      <c r="AZ742" s="107">
        <f>ROUNDDOWN(AY742+(AY742*MASTER!$A$2/100),0)</f>
        <v>185680</v>
      </c>
      <c r="BA742" s="60" t="s">
        <v>317</v>
      </c>
      <c r="BB742" s="64">
        <v>42000</v>
      </c>
      <c r="BC742" s="64">
        <v>46200</v>
      </c>
      <c r="BD742" s="60" t="s">
        <v>2044</v>
      </c>
      <c r="BG742" s="64">
        <v>0</v>
      </c>
      <c r="BI742" s="60" t="s">
        <v>748</v>
      </c>
      <c r="BJ742" s="64">
        <v>9750</v>
      </c>
      <c r="BK742" s="64">
        <v>10725</v>
      </c>
      <c r="BL742" s="60" t="s">
        <v>2044</v>
      </c>
      <c r="BS742" s="64">
        <v>0</v>
      </c>
      <c r="BV742" s="65">
        <v>151580</v>
      </c>
      <c r="BW742" s="65">
        <v>56925</v>
      </c>
      <c r="BX742" s="65">
        <v>44594</v>
      </c>
      <c r="BY742" s="65">
        <v>94655</v>
      </c>
      <c r="BZ742" s="81">
        <v>62.445573294629895</v>
      </c>
    </row>
    <row r="743" spans="1:78" x14ac:dyDescent="0.15">
      <c r="A743" s="60">
        <v>2</v>
      </c>
      <c r="B743" s="61">
        <v>44608</v>
      </c>
      <c r="C743" s="61">
        <v>44611</v>
      </c>
      <c r="D743" s="61">
        <v>44624</v>
      </c>
      <c r="E743" s="61">
        <v>44643</v>
      </c>
      <c r="F743" s="61">
        <v>44618</v>
      </c>
      <c r="G743" s="61">
        <v>44613</v>
      </c>
      <c r="H743" s="61">
        <v>44614</v>
      </c>
      <c r="I743" s="60" t="s">
        <v>612</v>
      </c>
      <c r="J743" s="60">
        <v>1</v>
      </c>
      <c r="L743" s="60">
        <v>0</v>
      </c>
      <c r="M743" s="61">
        <v>44594</v>
      </c>
      <c r="O743" s="62" t="s">
        <v>331</v>
      </c>
      <c r="P743" s="60" t="s">
        <v>26</v>
      </c>
      <c r="Q743" s="62" t="s">
        <v>141</v>
      </c>
      <c r="R743" s="62" t="s">
        <v>2306</v>
      </c>
      <c r="S743" s="169" t="s">
        <v>2102</v>
      </c>
      <c r="T743" s="63" t="s">
        <v>2100</v>
      </c>
      <c r="U743" s="64">
        <v>168800</v>
      </c>
      <c r="V743" s="64">
        <v>185680</v>
      </c>
      <c r="W743" s="64">
        <v>137800</v>
      </c>
      <c r="X743" s="64">
        <v>151580</v>
      </c>
      <c r="Y743" s="64">
        <v>31000</v>
      </c>
      <c r="Z743" s="64">
        <v>34100</v>
      </c>
      <c r="AA743" s="61">
        <v>44610</v>
      </c>
      <c r="AB743" s="61">
        <v>44611</v>
      </c>
      <c r="AC743" s="61">
        <v>44611</v>
      </c>
      <c r="AD743" s="60">
        <v>0</v>
      </c>
      <c r="AG743" s="60">
        <v>0</v>
      </c>
      <c r="AJ743" s="60">
        <v>0</v>
      </c>
      <c r="AQ743" s="60" t="s">
        <v>2220</v>
      </c>
      <c r="AR743" s="61">
        <v>44606</v>
      </c>
      <c r="AS743" s="60">
        <v>6001993025</v>
      </c>
      <c r="AT743" s="61">
        <v>44607</v>
      </c>
      <c r="AU743" s="60" t="s">
        <v>2310</v>
      </c>
      <c r="AV743" s="61">
        <v>44611</v>
      </c>
      <c r="AW743" s="91">
        <v>44620</v>
      </c>
      <c r="AX743" s="91">
        <v>44640</v>
      </c>
      <c r="AY743" s="107">
        <v>168800</v>
      </c>
      <c r="AZ743" s="107">
        <f>ROUNDDOWN(AY743+(AY743*MASTER!$A$2/100),0)</f>
        <v>185680</v>
      </c>
      <c r="BA743" s="60" t="s">
        <v>317</v>
      </c>
      <c r="BB743" s="64">
        <v>40000</v>
      </c>
      <c r="BC743" s="64">
        <v>44000</v>
      </c>
      <c r="BD743" s="60" t="s">
        <v>2044</v>
      </c>
      <c r="BG743" s="64">
        <v>0</v>
      </c>
      <c r="BI743" s="60" t="s">
        <v>748</v>
      </c>
      <c r="BJ743" s="64">
        <v>9750</v>
      </c>
      <c r="BK743" s="64">
        <v>10725</v>
      </c>
      <c r="BL743" s="60" t="s">
        <v>2044</v>
      </c>
      <c r="BS743" s="64">
        <v>0</v>
      </c>
      <c r="BV743" s="65">
        <v>151580</v>
      </c>
      <c r="BW743" s="65">
        <v>54725</v>
      </c>
      <c r="BX743" s="65">
        <v>44594</v>
      </c>
      <c r="BY743" s="65">
        <v>96855</v>
      </c>
      <c r="BZ743" s="81">
        <v>63.89695210449927</v>
      </c>
    </row>
    <row r="744" spans="1:78" x14ac:dyDescent="0.15">
      <c r="A744" s="60">
        <v>2</v>
      </c>
      <c r="B744" s="61">
        <v>44608</v>
      </c>
      <c r="C744" s="61">
        <v>44620</v>
      </c>
      <c r="D744" s="61">
        <v>44621</v>
      </c>
      <c r="E744" s="61">
        <v>44643</v>
      </c>
      <c r="F744" s="61">
        <v>44621</v>
      </c>
      <c r="G744" s="61">
        <v>44613</v>
      </c>
      <c r="H744" s="61">
        <v>44617</v>
      </c>
      <c r="I744" s="60" t="s">
        <v>612</v>
      </c>
      <c r="J744" s="60">
        <v>1</v>
      </c>
      <c r="L744" s="60">
        <v>0</v>
      </c>
      <c r="M744" s="61">
        <v>44594</v>
      </c>
      <c r="O744" s="62" t="s">
        <v>331</v>
      </c>
      <c r="P744" s="60" t="s">
        <v>26</v>
      </c>
      <c r="Q744" s="62" t="s">
        <v>141</v>
      </c>
      <c r="R744" s="62" t="s">
        <v>2365</v>
      </c>
      <c r="S744" s="169" t="s">
        <v>2366</v>
      </c>
      <c r="T744" s="63" t="s">
        <v>2100</v>
      </c>
      <c r="U744" s="64">
        <v>168800</v>
      </c>
      <c r="V744" s="64">
        <v>185680</v>
      </c>
      <c r="W744" s="64">
        <v>137800</v>
      </c>
      <c r="X744" s="64">
        <v>151580</v>
      </c>
      <c r="Y744" s="64">
        <v>31000</v>
      </c>
      <c r="Z744" s="64">
        <v>34100</v>
      </c>
      <c r="AA744" s="61">
        <v>44613</v>
      </c>
      <c r="AB744" s="61">
        <v>44614</v>
      </c>
      <c r="AC744" s="61">
        <v>44614</v>
      </c>
      <c r="AD744" s="60">
        <v>0</v>
      </c>
      <c r="AG744" s="60">
        <v>0</v>
      </c>
      <c r="AJ744" s="60">
        <v>0</v>
      </c>
      <c r="AQ744" s="60" t="s">
        <v>2220</v>
      </c>
      <c r="AR744" s="61">
        <v>44606</v>
      </c>
      <c r="AS744" s="60">
        <v>6001993025</v>
      </c>
      <c r="AT744" s="61">
        <v>44607</v>
      </c>
      <c r="AU744" s="60" t="s">
        <v>2310</v>
      </c>
      <c r="AV744" s="61">
        <v>44620</v>
      </c>
      <c r="AW744" s="91">
        <v>44620</v>
      </c>
      <c r="AX744" s="91">
        <v>44640</v>
      </c>
      <c r="AY744" s="107">
        <v>168800</v>
      </c>
      <c r="AZ744" s="107">
        <f>ROUNDDOWN(AY744+(AY744*MASTER!$A$2/100),0)</f>
        <v>185680</v>
      </c>
      <c r="BA744" s="60" t="s">
        <v>765</v>
      </c>
      <c r="BC744" s="64">
        <v>0</v>
      </c>
      <c r="BG744" s="64">
        <v>0</v>
      </c>
      <c r="BI744" s="60" t="s">
        <v>748</v>
      </c>
      <c r="BJ744" s="64">
        <v>9750</v>
      </c>
      <c r="BK744" s="64">
        <v>10725</v>
      </c>
      <c r="BL744" s="60" t="s">
        <v>2044</v>
      </c>
      <c r="BS744" s="64">
        <v>0</v>
      </c>
      <c r="BV744" s="65">
        <v>151580</v>
      </c>
      <c r="BW744" s="65">
        <v>10725</v>
      </c>
      <c r="BX744" s="65">
        <v>44594</v>
      </c>
      <c r="BY744" s="65">
        <v>140855</v>
      </c>
      <c r="BZ744" s="81">
        <v>92.924528301886795</v>
      </c>
    </row>
    <row r="745" spans="1:78" x14ac:dyDescent="0.15">
      <c r="A745" s="60">
        <v>2</v>
      </c>
      <c r="B745" s="61">
        <v>44623</v>
      </c>
      <c r="C745" s="61">
        <v>44651</v>
      </c>
      <c r="D745" s="61">
        <v>44658</v>
      </c>
      <c r="E745" s="61">
        <v>44699</v>
      </c>
      <c r="F745" s="61">
        <v>44635</v>
      </c>
      <c r="G745" s="61">
        <v>44638</v>
      </c>
      <c r="H745" s="61">
        <v>44631</v>
      </c>
      <c r="I745" s="60" t="s">
        <v>511</v>
      </c>
      <c r="J745" s="60">
        <v>1</v>
      </c>
      <c r="L745" s="60">
        <v>0</v>
      </c>
      <c r="M745" s="61">
        <v>44594</v>
      </c>
      <c r="O745" s="62" t="s">
        <v>331</v>
      </c>
      <c r="P745" s="60" t="s">
        <v>26</v>
      </c>
      <c r="Q745" s="62" t="s">
        <v>141</v>
      </c>
      <c r="R745" s="62" t="s">
        <v>2580</v>
      </c>
      <c r="S745" s="63" t="s">
        <v>2581</v>
      </c>
      <c r="T745" s="63" t="s">
        <v>1685</v>
      </c>
      <c r="U745" s="64">
        <v>95000</v>
      </c>
      <c r="V745" s="64">
        <v>104500</v>
      </c>
      <c r="W745" s="64">
        <v>80000</v>
      </c>
      <c r="X745" s="64">
        <v>88000</v>
      </c>
      <c r="Y745" s="64">
        <v>15000</v>
      </c>
      <c r="Z745" s="64">
        <v>16500</v>
      </c>
      <c r="AA745" s="61">
        <v>44627</v>
      </c>
      <c r="AB745" s="61">
        <v>44628</v>
      </c>
      <c r="AC745" s="61">
        <v>44628</v>
      </c>
      <c r="AD745" s="60">
        <v>0</v>
      </c>
      <c r="AG745" s="60">
        <v>0</v>
      </c>
      <c r="AJ745" s="60">
        <v>0</v>
      </c>
      <c r="AQ745" s="60" t="s">
        <v>2213</v>
      </c>
      <c r="AR745" s="61">
        <v>44606</v>
      </c>
      <c r="AS745" s="60">
        <v>6001993021</v>
      </c>
      <c r="AT745" s="61">
        <v>44607</v>
      </c>
      <c r="AU745" s="60" t="s">
        <v>2313</v>
      </c>
      <c r="AV745" s="61">
        <v>44651</v>
      </c>
      <c r="AW745" s="91">
        <v>44651</v>
      </c>
      <c r="AX745" s="91">
        <v>44671</v>
      </c>
      <c r="AY745" s="99">
        <v>91200</v>
      </c>
      <c r="AZ745" s="99">
        <f>ROUNDDOWN(AY745+(AY745*MASTER!$A$2/100),0)</f>
        <v>100320</v>
      </c>
      <c r="BA745" s="60" t="s">
        <v>317</v>
      </c>
      <c r="BB745" s="64">
        <v>33000</v>
      </c>
      <c r="BC745" s="64">
        <v>36300</v>
      </c>
      <c r="BD745" s="60" t="s">
        <v>2107</v>
      </c>
      <c r="BG745" s="64">
        <v>0</v>
      </c>
      <c r="BI745" s="60" t="s">
        <v>748</v>
      </c>
      <c r="BJ745" s="64">
        <v>9750</v>
      </c>
      <c r="BK745" s="64">
        <v>10725</v>
      </c>
      <c r="BL745" s="60" t="s">
        <v>2107</v>
      </c>
      <c r="BS745" s="64">
        <v>0</v>
      </c>
      <c r="BV745" s="65">
        <v>88000</v>
      </c>
      <c r="BW745" s="65">
        <v>47025</v>
      </c>
      <c r="BX745" s="65">
        <v>44594</v>
      </c>
      <c r="BY745" s="65">
        <v>40975</v>
      </c>
      <c r="BZ745" s="81">
        <v>46.5625</v>
      </c>
    </row>
    <row r="746" spans="1:78" x14ac:dyDescent="0.15">
      <c r="A746" s="60">
        <v>2</v>
      </c>
      <c r="B746" s="61">
        <v>44623</v>
      </c>
      <c r="C746" s="61">
        <v>44651</v>
      </c>
      <c r="D746" s="61">
        <v>44655</v>
      </c>
      <c r="E746" s="61">
        <v>44635</v>
      </c>
      <c r="F746" s="61">
        <v>44636</v>
      </c>
      <c r="G746" s="61">
        <v>44629</v>
      </c>
      <c r="H746" s="61">
        <v>44632</v>
      </c>
      <c r="I746" s="60" t="s">
        <v>511</v>
      </c>
      <c r="J746" s="60">
        <v>1</v>
      </c>
      <c r="L746" s="60">
        <v>0</v>
      </c>
      <c r="M746" s="61">
        <v>44594</v>
      </c>
      <c r="O746" s="62" t="s">
        <v>331</v>
      </c>
      <c r="P746" s="60" t="s">
        <v>26</v>
      </c>
      <c r="Q746" s="62" t="s">
        <v>141</v>
      </c>
      <c r="R746" s="62" t="s">
        <v>2588</v>
      </c>
      <c r="S746" s="170" t="s">
        <v>2589</v>
      </c>
      <c r="T746" s="63" t="s">
        <v>1653</v>
      </c>
      <c r="U746" s="64">
        <v>175300</v>
      </c>
      <c r="V746" s="64">
        <v>192830</v>
      </c>
      <c r="W746" s="64">
        <v>144300</v>
      </c>
      <c r="X746" s="64">
        <v>158730</v>
      </c>
      <c r="Y746" s="64">
        <v>31000</v>
      </c>
      <c r="Z746" s="64">
        <v>34100</v>
      </c>
      <c r="AA746" s="61">
        <v>44628</v>
      </c>
      <c r="AB746" s="61">
        <v>44629</v>
      </c>
      <c r="AC746" s="61">
        <v>44629</v>
      </c>
      <c r="AD746" s="60">
        <v>0</v>
      </c>
      <c r="AG746" s="60">
        <v>0</v>
      </c>
      <c r="AJ746" s="60">
        <v>0</v>
      </c>
      <c r="AQ746" s="60" t="s">
        <v>2217</v>
      </c>
      <c r="AR746" s="61">
        <v>44606</v>
      </c>
      <c r="AS746" s="60">
        <v>6001993021</v>
      </c>
      <c r="AT746" s="61">
        <v>44607</v>
      </c>
      <c r="AU746" s="60" t="s">
        <v>2313</v>
      </c>
      <c r="AV746" s="61">
        <v>44651</v>
      </c>
      <c r="AW746" s="91">
        <v>44651</v>
      </c>
      <c r="AX746" s="91">
        <v>44671</v>
      </c>
      <c r="AY746" s="107">
        <v>175300</v>
      </c>
      <c r="AZ746" s="107">
        <f>ROUNDDOWN(AY746+(AY746*MASTER!$A$2/100),0)</f>
        <v>192830</v>
      </c>
      <c r="BA746" s="60" t="s">
        <v>582</v>
      </c>
      <c r="BB746" s="64">
        <v>62000</v>
      </c>
      <c r="BC746" s="64">
        <v>68200</v>
      </c>
      <c r="BD746" s="60" t="s">
        <v>2107</v>
      </c>
      <c r="BG746" s="64">
        <v>0</v>
      </c>
      <c r="BI746" s="60" t="s">
        <v>748</v>
      </c>
      <c r="BJ746" s="64">
        <v>9750</v>
      </c>
      <c r="BK746" s="64">
        <v>10725</v>
      </c>
      <c r="BL746" s="60" t="s">
        <v>2107</v>
      </c>
      <c r="BS746" s="64">
        <v>0</v>
      </c>
      <c r="BV746" s="65">
        <v>158730</v>
      </c>
      <c r="BW746" s="65">
        <v>78925</v>
      </c>
      <c r="BX746" s="65">
        <v>44594</v>
      </c>
      <c r="BY746" s="65">
        <v>79805</v>
      </c>
      <c r="BZ746" s="81">
        <v>50.277200277200272</v>
      </c>
    </row>
    <row r="747" spans="1:78" x14ac:dyDescent="0.15">
      <c r="A747" s="60">
        <v>2</v>
      </c>
      <c r="B747" s="61">
        <v>44629</v>
      </c>
      <c r="C747" s="61">
        <v>44651</v>
      </c>
      <c r="D747" s="61">
        <v>44658</v>
      </c>
      <c r="E747" s="61">
        <v>44699</v>
      </c>
      <c r="F747" s="61">
        <v>44643</v>
      </c>
      <c r="G747" s="61">
        <v>44636</v>
      </c>
      <c r="H747" s="61">
        <v>44639</v>
      </c>
      <c r="I747" s="60" t="s">
        <v>511</v>
      </c>
      <c r="J747" s="60">
        <v>1</v>
      </c>
      <c r="L747" s="60">
        <v>0</v>
      </c>
      <c r="M747" s="61">
        <v>44594</v>
      </c>
      <c r="O747" s="62" t="s">
        <v>331</v>
      </c>
      <c r="P747" s="60" t="s">
        <v>26</v>
      </c>
      <c r="Q747" s="62" t="s">
        <v>141</v>
      </c>
      <c r="R747" s="62" t="s">
        <v>2637</v>
      </c>
      <c r="S747" s="170" t="s">
        <v>3384</v>
      </c>
      <c r="T747" s="63" t="s">
        <v>1653</v>
      </c>
      <c r="U747" s="64">
        <v>175300</v>
      </c>
      <c r="V747" s="64">
        <v>192830</v>
      </c>
      <c r="W747" s="64">
        <v>144300</v>
      </c>
      <c r="X747" s="64">
        <v>158730</v>
      </c>
      <c r="Y747" s="64">
        <v>31000</v>
      </c>
      <c r="Z747" s="64">
        <v>34100</v>
      </c>
      <c r="AA747" s="61">
        <v>44635</v>
      </c>
      <c r="AB747" s="61">
        <v>44636</v>
      </c>
      <c r="AC747" s="61">
        <v>44636</v>
      </c>
      <c r="AD747" s="60">
        <v>0</v>
      </c>
      <c r="AG747" s="60">
        <v>0</v>
      </c>
      <c r="AJ747" s="60">
        <v>0</v>
      </c>
      <c r="AQ747" s="60" t="s">
        <v>2216</v>
      </c>
      <c r="AR747" s="61">
        <v>44606</v>
      </c>
      <c r="AS747" s="60">
        <v>6001993021</v>
      </c>
      <c r="AT747" s="61">
        <v>44607</v>
      </c>
      <c r="AU747" s="60" t="s">
        <v>2313</v>
      </c>
      <c r="AV747" s="61">
        <v>44651</v>
      </c>
      <c r="AW747" s="91">
        <v>44651</v>
      </c>
      <c r="AX747" s="91">
        <v>44671</v>
      </c>
      <c r="AY747" s="107">
        <v>175300</v>
      </c>
      <c r="AZ747" s="107">
        <f>ROUNDDOWN(AY747+(AY747*MASTER!$A$2/100),0)</f>
        <v>192830</v>
      </c>
      <c r="BA747" s="60" t="s">
        <v>317</v>
      </c>
      <c r="BB747" s="64">
        <v>45000</v>
      </c>
      <c r="BC747" s="64">
        <v>49500</v>
      </c>
      <c r="BD747" s="60" t="s">
        <v>2107</v>
      </c>
      <c r="BG747" s="64">
        <v>0</v>
      </c>
      <c r="BI747" s="60" t="s">
        <v>748</v>
      </c>
      <c r="BJ747" s="64">
        <v>9750</v>
      </c>
      <c r="BK747" s="64">
        <v>10725</v>
      </c>
      <c r="BL747" s="60" t="s">
        <v>2107</v>
      </c>
      <c r="BS747" s="64">
        <v>0</v>
      </c>
      <c r="BV747" s="65">
        <v>158730</v>
      </c>
      <c r="BW747" s="65">
        <v>60225</v>
      </c>
      <c r="BX747" s="65">
        <v>44594</v>
      </c>
      <c r="BY747" s="65">
        <v>98505</v>
      </c>
      <c r="BZ747" s="81">
        <v>62.058212058212057</v>
      </c>
    </row>
    <row r="748" spans="1:78" x14ac:dyDescent="0.15">
      <c r="A748" s="60">
        <v>2</v>
      </c>
      <c r="B748" s="61">
        <v>44636</v>
      </c>
      <c r="C748" s="61">
        <v>44651</v>
      </c>
      <c r="D748" s="61">
        <v>44658</v>
      </c>
      <c r="E748" s="61">
        <v>44699</v>
      </c>
      <c r="F748" s="61">
        <v>44642</v>
      </c>
      <c r="G748" s="61">
        <v>44634</v>
      </c>
      <c r="H748" s="61">
        <v>44638</v>
      </c>
      <c r="I748" s="60" t="s">
        <v>511</v>
      </c>
      <c r="J748" s="60">
        <v>1</v>
      </c>
      <c r="L748" s="60">
        <v>0</v>
      </c>
      <c r="M748" s="61">
        <v>44594</v>
      </c>
      <c r="O748" s="62" t="s">
        <v>331</v>
      </c>
      <c r="P748" s="60" t="s">
        <v>26</v>
      </c>
      <c r="Q748" s="62" t="s">
        <v>141</v>
      </c>
      <c r="R748" s="62" t="s">
        <v>2808</v>
      </c>
      <c r="S748" s="170" t="s">
        <v>2809</v>
      </c>
      <c r="T748" s="63" t="s">
        <v>1653</v>
      </c>
      <c r="U748" s="64">
        <v>175300</v>
      </c>
      <c r="V748" s="64">
        <v>192830</v>
      </c>
      <c r="W748" s="64">
        <v>144300</v>
      </c>
      <c r="X748" s="64">
        <v>158730</v>
      </c>
      <c r="Y748" s="64">
        <v>31000</v>
      </c>
      <c r="Z748" s="64">
        <v>34100</v>
      </c>
      <c r="AA748" s="61">
        <v>44634</v>
      </c>
      <c r="AB748" s="61">
        <v>44635</v>
      </c>
      <c r="AC748" s="61">
        <v>44635</v>
      </c>
      <c r="AD748" s="60">
        <v>0</v>
      </c>
      <c r="AG748" s="60">
        <v>0</v>
      </c>
      <c r="AJ748" s="60">
        <v>0</v>
      </c>
      <c r="AQ748" s="60" t="s">
        <v>2216</v>
      </c>
      <c r="AR748" s="61">
        <v>44606</v>
      </c>
      <c r="AS748" s="60">
        <v>6001993021</v>
      </c>
      <c r="AT748" s="61">
        <v>44607</v>
      </c>
      <c r="AU748" s="60" t="s">
        <v>2313</v>
      </c>
      <c r="AV748" s="61">
        <v>44651</v>
      </c>
      <c r="AW748" s="91">
        <v>44651</v>
      </c>
      <c r="AX748" s="91">
        <v>44671</v>
      </c>
      <c r="AY748" s="107">
        <v>175300</v>
      </c>
      <c r="AZ748" s="107">
        <f>ROUNDDOWN(AY748+(AY748*MASTER!$A$2/100),0)</f>
        <v>192830</v>
      </c>
      <c r="BA748" s="60" t="s">
        <v>317</v>
      </c>
      <c r="BB748" s="64">
        <v>39000</v>
      </c>
      <c r="BC748" s="64">
        <v>42900</v>
      </c>
      <c r="BD748" s="60" t="s">
        <v>2107</v>
      </c>
      <c r="BG748" s="64">
        <v>0</v>
      </c>
      <c r="BI748" s="60" t="s">
        <v>748</v>
      </c>
      <c r="BJ748" s="64">
        <v>9750</v>
      </c>
      <c r="BK748" s="64">
        <v>10725</v>
      </c>
      <c r="BL748" s="60" t="s">
        <v>2107</v>
      </c>
      <c r="BS748" s="64">
        <v>0</v>
      </c>
      <c r="BV748" s="65">
        <v>158730</v>
      </c>
      <c r="BW748" s="65">
        <v>53625</v>
      </c>
      <c r="BX748" s="65">
        <v>44594</v>
      </c>
      <c r="BY748" s="65">
        <v>105105</v>
      </c>
      <c r="BZ748" s="81">
        <v>66.21621621621621</v>
      </c>
    </row>
    <row r="749" spans="1:78" x14ac:dyDescent="0.15">
      <c r="A749" s="60">
        <v>2</v>
      </c>
      <c r="B749" s="61">
        <v>44629</v>
      </c>
      <c r="C749" s="61">
        <v>44651</v>
      </c>
      <c r="D749" s="61">
        <v>44658</v>
      </c>
      <c r="E749" s="61">
        <v>44699</v>
      </c>
      <c r="F749" s="61">
        <v>44643</v>
      </c>
      <c r="G749" s="61">
        <v>44636</v>
      </c>
      <c r="H749" s="61">
        <v>44639</v>
      </c>
      <c r="I749" s="60" t="s">
        <v>511</v>
      </c>
      <c r="J749" s="60">
        <v>1</v>
      </c>
      <c r="L749" s="60">
        <v>0</v>
      </c>
      <c r="M749" s="61">
        <v>44594</v>
      </c>
      <c r="O749" s="62" t="s">
        <v>331</v>
      </c>
      <c r="P749" s="60" t="s">
        <v>26</v>
      </c>
      <c r="Q749" s="62" t="s">
        <v>141</v>
      </c>
      <c r="R749" s="62" t="s">
        <v>2638</v>
      </c>
      <c r="S749" s="170" t="s">
        <v>3383</v>
      </c>
      <c r="T749" s="63" t="s">
        <v>1653</v>
      </c>
      <c r="U749" s="64">
        <v>175300</v>
      </c>
      <c r="V749" s="64">
        <v>192830</v>
      </c>
      <c r="W749" s="64">
        <v>144300</v>
      </c>
      <c r="X749" s="64">
        <v>158730</v>
      </c>
      <c r="Y749" s="64">
        <v>31000</v>
      </c>
      <c r="Z749" s="64">
        <v>34100</v>
      </c>
      <c r="AA749" s="61">
        <v>44635</v>
      </c>
      <c r="AB749" s="61">
        <v>44636</v>
      </c>
      <c r="AC749" s="61">
        <v>44636</v>
      </c>
      <c r="AD749" s="60">
        <v>0</v>
      </c>
      <c r="AG749" s="60">
        <v>0</v>
      </c>
      <c r="AJ749" s="60">
        <v>0</v>
      </c>
      <c r="AQ749" s="60" t="s">
        <v>2216</v>
      </c>
      <c r="AR749" s="61">
        <v>44606</v>
      </c>
      <c r="AS749" s="60">
        <v>6001993021</v>
      </c>
      <c r="AT749" s="61">
        <v>44607</v>
      </c>
      <c r="AU749" s="60" t="s">
        <v>2313</v>
      </c>
      <c r="AV749" s="61">
        <v>44651</v>
      </c>
      <c r="AW749" s="91">
        <v>44651</v>
      </c>
      <c r="AX749" s="91">
        <v>44671</v>
      </c>
      <c r="AY749" s="107">
        <v>175300</v>
      </c>
      <c r="AZ749" s="107">
        <f>ROUNDDOWN(AY749+(AY749*MASTER!$A$2/100),0)</f>
        <v>192830</v>
      </c>
      <c r="BA749" s="60" t="s">
        <v>317</v>
      </c>
      <c r="BB749" s="64">
        <v>41000</v>
      </c>
      <c r="BC749" s="64">
        <v>45100</v>
      </c>
      <c r="BD749" s="60" t="s">
        <v>2107</v>
      </c>
      <c r="BG749" s="64">
        <v>0</v>
      </c>
      <c r="BI749" s="60" t="s">
        <v>748</v>
      </c>
      <c r="BJ749" s="64">
        <v>9750</v>
      </c>
      <c r="BK749" s="64">
        <v>10725</v>
      </c>
      <c r="BL749" s="60" t="s">
        <v>2107</v>
      </c>
      <c r="BS749" s="64">
        <v>0</v>
      </c>
      <c r="BV749" s="65">
        <v>158730</v>
      </c>
      <c r="BW749" s="65">
        <v>55825</v>
      </c>
      <c r="BX749" s="65">
        <v>44594</v>
      </c>
      <c r="BY749" s="65">
        <v>102905</v>
      </c>
      <c r="BZ749" s="81">
        <v>64.830214830214828</v>
      </c>
    </row>
    <row r="750" spans="1:78" x14ac:dyDescent="0.15">
      <c r="A750" s="60">
        <v>2</v>
      </c>
      <c r="B750" s="61">
        <v>44630</v>
      </c>
      <c r="C750" s="61">
        <v>44651</v>
      </c>
      <c r="D750" s="61">
        <v>44664</v>
      </c>
      <c r="E750" s="61">
        <v>44651</v>
      </c>
      <c r="F750" s="61">
        <v>44643</v>
      </c>
      <c r="G750" s="61">
        <v>44636</v>
      </c>
      <c r="H750" s="61">
        <v>44639</v>
      </c>
      <c r="I750" s="60" t="s">
        <v>511</v>
      </c>
      <c r="J750" s="60">
        <v>1</v>
      </c>
      <c r="L750" s="60">
        <v>0</v>
      </c>
      <c r="M750" s="61">
        <v>44594</v>
      </c>
      <c r="O750" s="62" t="s">
        <v>331</v>
      </c>
      <c r="P750" s="60" t="s">
        <v>26</v>
      </c>
      <c r="Q750" s="62" t="s">
        <v>141</v>
      </c>
      <c r="R750" s="62" t="s">
        <v>2716</v>
      </c>
      <c r="S750" s="170" t="s">
        <v>2717</v>
      </c>
      <c r="T750" s="63" t="s">
        <v>2100</v>
      </c>
      <c r="U750" s="64">
        <v>168800</v>
      </c>
      <c r="V750" s="64">
        <v>185680</v>
      </c>
      <c r="W750" s="64">
        <v>137800</v>
      </c>
      <c r="X750" s="64">
        <v>151580</v>
      </c>
      <c r="Y750" s="64">
        <v>31000</v>
      </c>
      <c r="Z750" s="64">
        <v>34100</v>
      </c>
      <c r="AA750" s="61">
        <v>44635</v>
      </c>
      <c r="AB750" s="61">
        <v>44636</v>
      </c>
      <c r="AC750" s="61">
        <v>44636</v>
      </c>
      <c r="AD750" s="60">
        <v>0</v>
      </c>
      <c r="AG750" s="60">
        <v>0</v>
      </c>
      <c r="AJ750" s="60">
        <v>0</v>
      </c>
      <c r="AQ750" s="60" t="s">
        <v>2214</v>
      </c>
      <c r="AR750" s="61">
        <v>44606</v>
      </c>
      <c r="AS750" s="60">
        <v>6001993021</v>
      </c>
      <c r="AT750" s="61">
        <v>44607</v>
      </c>
      <c r="AU750" s="60" t="s">
        <v>2313</v>
      </c>
      <c r="AV750" s="61">
        <v>44651</v>
      </c>
      <c r="AW750" s="91">
        <v>44651</v>
      </c>
      <c r="AX750" s="91">
        <v>44671</v>
      </c>
      <c r="AY750" s="107">
        <v>168800</v>
      </c>
      <c r="AZ750" s="107">
        <f>ROUNDDOWN(AY750+(AY750*MASTER!$A$2/100),0)</f>
        <v>185680</v>
      </c>
      <c r="BA750" s="60" t="s">
        <v>319</v>
      </c>
      <c r="BB750" s="64">
        <v>39000</v>
      </c>
      <c r="BC750" s="64">
        <v>42900</v>
      </c>
      <c r="BD750" s="60" t="s">
        <v>2107</v>
      </c>
      <c r="BG750" s="64">
        <v>0</v>
      </c>
      <c r="BI750" s="60" t="s">
        <v>748</v>
      </c>
      <c r="BJ750" s="64">
        <v>9750</v>
      </c>
      <c r="BK750" s="64">
        <v>10725</v>
      </c>
      <c r="BL750" s="60" t="s">
        <v>2107</v>
      </c>
      <c r="BS750" s="64">
        <v>0</v>
      </c>
      <c r="BV750" s="65">
        <v>151580</v>
      </c>
      <c r="BW750" s="65">
        <v>53625</v>
      </c>
      <c r="BX750" s="65">
        <v>44594</v>
      </c>
      <c r="BY750" s="65">
        <v>97955</v>
      </c>
      <c r="BZ750" s="81">
        <v>64.622641509433961</v>
      </c>
    </row>
    <row r="751" spans="1:78" x14ac:dyDescent="0.15">
      <c r="A751" s="60">
        <v>2</v>
      </c>
      <c r="B751" s="61">
        <v>44630</v>
      </c>
      <c r="C751" s="61">
        <v>44651</v>
      </c>
      <c r="D751" s="61">
        <v>44664</v>
      </c>
      <c r="E751" s="61">
        <v>44651</v>
      </c>
      <c r="F751" s="61">
        <v>44643</v>
      </c>
      <c r="G751" s="61">
        <v>44636</v>
      </c>
      <c r="H751" s="61">
        <v>44639</v>
      </c>
      <c r="I751" s="60" t="s">
        <v>511</v>
      </c>
      <c r="J751" s="60">
        <v>1</v>
      </c>
      <c r="L751" s="60">
        <v>0</v>
      </c>
      <c r="M751" s="61">
        <v>44594</v>
      </c>
      <c r="O751" s="62" t="s">
        <v>331</v>
      </c>
      <c r="P751" s="60" t="s">
        <v>26</v>
      </c>
      <c r="Q751" s="62" t="s">
        <v>141</v>
      </c>
      <c r="R751" s="62" t="s">
        <v>2718</v>
      </c>
      <c r="S751" s="170" t="s">
        <v>2719</v>
      </c>
      <c r="T751" s="63" t="s">
        <v>2100</v>
      </c>
      <c r="U751" s="64">
        <v>168800</v>
      </c>
      <c r="V751" s="64">
        <v>185680</v>
      </c>
      <c r="W751" s="64">
        <v>137800</v>
      </c>
      <c r="X751" s="64">
        <v>151580</v>
      </c>
      <c r="Y751" s="64">
        <v>31000</v>
      </c>
      <c r="Z751" s="64">
        <v>34100</v>
      </c>
      <c r="AA751" s="61">
        <v>44635</v>
      </c>
      <c r="AB751" s="61">
        <v>44636</v>
      </c>
      <c r="AC751" s="61">
        <v>44636</v>
      </c>
      <c r="AD751" s="60">
        <v>0</v>
      </c>
      <c r="AG751" s="60">
        <v>0</v>
      </c>
      <c r="AJ751" s="60">
        <v>0</v>
      </c>
      <c r="AQ751" s="60" t="s">
        <v>2214</v>
      </c>
      <c r="AR751" s="61">
        <v>44606</v>
      </c>
      <c r="AS751" s="60">
        <v>6001993021</v>
      </c>
      <c r="AT751" s="61">
        <v>44607</v>
      </c>
      <c r="AU751" s="60" t="s">
        <v>2313</v>
      </c>
      <c r="AV751" s="61">
        <v>44651</v>
      </c>
      <c r="AW751" s="91">
        <v>44651</v>
      </c>
      <c r="AX751" s="91">
        <v>44671</v>
      </c>
      <c r="AY751" s="107">
        <v>168800</v>
      </c>
      <c r="AZ751" s="107">
        <f>ROUNDDOWN(AY751+(AY751*MASTER!$A$2/100),0)</f>
        <v>185680</v>
      </c>
      <c r="BA751" s="60" t="s">
        <v>319</v>
      </c>
      <c r="BB751" s="64">
        <v>44000</v>
      </c>
      <c r="BC751" s="64">
        <v>48400</v>
      </c>
      <c r="BD751" s="60" t="s">
        <v>2107</v>
      </c>
      <c r="BG751" s="64">
        <v>0</v>
      </c>
      <c r="BI751" s="60" t="s">
        <v>748</v>
      </c>
      <c r="BJ751" s="64">
        <v>9750</v>
      </c>
      <c r="BK751" s="64">
        <v>10725</v>
      </c>
      <c r="BL751" s="60" t="s">
        <v>2107</v>
      </c>
      <c r="BS751" s="64">
        <v>0</v>
      </c>
      <c r="BV751" s="65">
        <v>151580</v>
      </c>
      <c r="BW751" s="65">
        <v>59125</v>
      </c>
      <c r="BX751" s="65">
        <v>44594</v>
      </c>
      <c r="BY751" s="65">
        <v>92455</v>
      </c>
      <c r="BZ751" s="81">
        <v>60.99419448476052</v>
      </c>
    </row>
    <row r="752" spans="1:78" x14ac:dyDescent="0.15">
      <c r="A752" s="60">
        <v>2</v>
      </c>
      <c r="B752" s="61">
        <v>44623</v>
      </c>
      <c r="C752" s="61">
        <v>44651</v>
      </c>
      <c r="D752" s="61">
        <v>44659</v>
      </c>
      <c r="E752" s="61">
        <v>44635</v>
      </c>
      <c r="F752" s="61">
        <v>44636</v>
      </c>
      <c r="G752" s="61">
        <v>44629</v>
      </c>
      <c r="H752" s="61">
        <v>44632</v>
      </c>
      <c r="I752" s="60" t="s">
        <v>511</v>
      </c>
      <c r="J752" s="60">
        <v>1</v>
      </c>
      <c r="L752" s="60">
        <v>0</v>
      </c>
      <c r="M752" s="61">
        <v>44594</v>
      </c>
      <c r="O752" s="62" t="s">
        <v>331</v>
      </c>
      <c r="P752" s="60" t="s">
        <v>26</v>
      </c>
      <c r="Q752" s="62" t="s">
        <v>141</v>
      </c>
      <c r="R752" s="62" t="s">
        <v>2155</v>
      </c>
      <c r="S752" s="170" t="s">
        <v>2156</v>
      </c>
      <c r="T752" s="63" t="s">
        <v>2106</v>
      </c>
      <c r="U752" s="64">
        <v>259000</v>
      </c>
      <c r="V752" s="64">
        <v>284900</v>
      </c>
      <c r="W752" s="64">
        <v>213000</v>
      </c>
      <c r="X752" s="64">
        <v>234300</v>
      </c>
      <c r="Y752" s="64">
        <v>46000</v>
      </c>
      <c r="Z752" s="64">
        <v>50600</v>
      </c>
      <c r="AA752" s="61">
        <v>44628</v>
      </c>
      <c r="AB752" s="61">
        <v>44629</v>
      </c>
      <c r="AC752" s="61">
        <v>44629</v>
      </c>
      <c r="AD752" s="60">
        <v>0</v>
      </c>
      <c r="AG752" s="60">
        <v>0</v>
      </c>
      <c r="AJ752" s="60">
        <v>0</v>
      </c>
      <c r="AQ752" s="60" t="s">
        <v>2215</v>
      </c>
      <c r="AR752" s="61">
        <v>44606</v>
      </c>
      <c r="AS752" s="60">
        <v>6001993021</v>
      </c>
      <c r="AT752" s="61">
        <v>44607</v>
      </c>
      <c r="AU752" s="60" t="s">
        <v>2313</v>
      </c>
      <c r="AV752" s="61">
        <v>44651</v>
      </c>
      <c r="AW752" s="91">
        <v>44651</v>
      </c>
      <c r="AX752" s="91">
        <v>44671</v>
      </c>
      <c r="AY752" s="107">
        <v>259000</v>
      </c>
      <c r="AZ752" s="107">
        <f>ROUNDDOWN(AY752+(AY752*MASTER!$A$2/100),0)</f>
        <v>284900</v>
      </c>
      <c r="BA752" s="60" t="s">
        <v>318</v>
      </c>
      <c r="BB752" s="64">
        <v>57000</v>
      </c>
      <c r="BC752" s="64">
        <v>62700</v>
      </c>
      <c r="BD752" s="60" t="s">
        <v>2107</v>
      </c>
      <c r="BG752" s="64">
        <v>0</v>
      </c>
      <c r="BI752" s="60" t="s">
        <v>748</v>
      </c>
      <c r="BJ752" s="64">
        <v>19500</v>
      </c>
      <c r="BK752" s="64">
        <v>21450</v>
      </c>
      <c r="BL752" s="60" t="s">
        <v>2107</v>
      </c>
      <c r="BS752" s="64">
        <v>0</v>
      </c>
      <c r="BV752" s="65">
        <v>234300</v>
      </c>
      <c r="BW752" s="65">
        <v>84150</v>
      </c>
      <c r="BX752" s="65">
        <v>44594</v>
      </c>
      <c r="BY752" s="65">
        <v>150150</v>
      </c>
      <c r="BZ752" s="81">
        <v>64.08450704225352</v>
      </c>
    </row>
    <row r="753" spans="1:82" x14ac:dyDescent="0.15">
      <c r="A753" s="60">
        <v>2</v>
      </c>
      <c r="B753" s="61">
        <v>44630</v>
      </c>
      <c r="C753" s="61">
        <v>44651</v>
      </c>
      <c r="D753" s="61">
        <v>44664</v>
      </c>
      <c r="E753" s="61">
        <v>44651</v>
      </c>
      <c r="F753" s="61">
        <v>44650</v>
      </c>
      <c r="G753" s="61">
        <v>44644</v>
      </c>
      <c r="H753" s="61">
        <v>44646</v>
      </c>
      <c r="I753" s="60" t="s">
        <v>511</v>
      </c>
      <c r="J753" s="60">
        <v>1</v>
      </c>
      <c r="L753" s="60">
        <v>0</v>
      </c>
      <c r="M753" s="61">
        <v>44594</v>
      </c>
      <c r="O753" s="62" t="s">
        <v>331</v>
      </c>
      <c r="P753" s="60" t="s">
        <v>26</v>
      </c>
      <c r="Q753" s="62" t="s">
        <v>141</v>
      </c>
      <c r="R753" s="62" t="s">
        <v>2720</v>
      </c>
      <c r="S753" s="170" t="s">
        <v>2721</v>
      </c>
      <c r="T753" s="63" t="s">
        <v>2106</v>
      </c>
      <c r="U753" s="64">
        <v>259000</v>
      </c>
      <c r="V753" s="64">
        <v>284900</v>
      </c>
      <c r="W753" s="64">
        <v>213000</v>
      </c>
      <c r="X753" s="64">
        <v>234300</v>
      </c>
      <c r="Y753" s="64">
        <v>46000</v>
      </c>
      <c r="Z753" s="64">
        <v>50600</v>
      </c>
      <c r="AA753" s="61">
        <v>44642</v>
      </c>
      <c r="AB753" s="61">
        <v>44643</v>
      </c>
      <c r="AC753" s="61">
        <v>44643</v>
      </c>
      <c r="AD753" s="60">
        <v>0</v>
      </c>
      <c r="AG753" s="60">
        <v>0</v>
      </c>
      <c r="AJ753" s="60">
        <v>0</v>
      </c>
      <c r="AQ753" s="60" t="s">
        <v>2215</v>
      </c>
      <c r="AR753" s="61">
        <v>44606</v>
      </c>
      <c r="AS753" s="60">
        <v>6001993021</v>
      </c>
      <c r="AT753" s="61">
        <v>44607</v>
      </c>
      <c r="AU753" s="60" t="s">
        <v>2313</v>
      </c>
      <c r="AV753" s="61">
        <v>44651</v>
      </c>
      <c r="AW753" s="91">
        <v>44651</v>
      </c>
      <c r="AX753" s="91">
        <v>44671</v>
      </c>
      <c r="AY753" s="107">
        <v>259000</v>
      </c>
      <c r="AZ753" s="107">
        <f>ROUNDDOWN(AY753+(AY753*MASTER!$A$2/100),0)</f>
        <v>284900</v>
      </c>
      <c r="BA753" s="60" t="s">
        <v>319</v>
      </c>
      <c r="BB753" s="64">
        <v>68000</v>
      </c>
      <c r="BC753" s="64">
        <v>74800</v>
      </c>
      <c r="BD753" s="60" t="s">
        <v>2107</v>
      </c>
      <c r="BG753" s="64">
        <v>0</v>
      </c>
      <c r="BI753" s="60" t="s">
        <v>748</v>
      </c>
      <c r="BJ753" s="64">
        <v>19500</v>
      </c>
      <c r="BK753" s="64">
        <v>21450</v>
      </c>
      <c r="BL753" s="60" t="s">
        <v>2107</v>
      </c>
      <c r="BS753" s="64">
        <v>0</v>
      </c>
      <c r="BV753" s="65">
        <v>234300</v>
      </c>
      <c r="BW753" s="65">
        <v>96250</v>
      </c>
      <c r="BX753" s="65">
        <v>44594</v>
      </c>
      <c r="BY753" s="65">
        <v>138050</v>
      </c>
      <c r="BZ753" s="81">
        <v>58.920187793427225</v>
      </c>
    </row>
    <row r="754" spans="1:82" x14ac:dyDescent="0.15">
      <c r="A754" s="60">
        <v>1</v>
      </c>
      <c r="C754" s="61" t="s">
        <v>309</v>
      </c>
      <c r="F754" s="61" t="s">
        <v>309</v>
      </c>
      <c r="H754" s="61" t="s">
        <v>309</v>
      </c>
      <c r="J754" s="60">
        <v>4</v>
      </c>
      <c r="L754" s="60">
        <v>0</v>
      </c>
      <c r="M754" s="61">
        <v>44595</v>
      </c>
      <c r="O754" s="62" t="s">
        <v>335</v>
      </c>
      <c r="P754" s="60" t="s">
        <v>430</v>
      </c>
      <c r="Q754" s="62" t="s">
        <v>2057</v>
      </c>
      <c r="R754" s="62" t="s">
        <v>2151</v>
      </c>
      <c r="S754" s="63" t="s">
        <v>602</v>
      </c>
      <c r="T754" s="63" t="s">
        <v>2152</v>
      </c>
      <c r="U754" s="64">
        <v>0</v>
      </c>
      <c r="V754" s="64">
        <v>0</v>
      </c>
      <c r="W754" s="64">
        <v>0</v>
      </c>
      <c r="X754" s="64">
        <v>0</v>
      </c>
      <c r="Y754" s="64">
        <v>0</v>
      </c>
      <c r="Z754" s="64">
        <v>0</v>
      </c>
      <c r="AA754" s="61">
        <v>44588</v>
      </c>
      <c r="AB754" s="61">
        <v>44589</v>
      </c>
      <c r="AD754" s="60">
        <v>0</v>
      </c>
      <c r="AG754" s="60">
        <v>0</v>
      </c>
      <c r="AJ754" s="60">
        <v>0</v>
      </c>
      <c r="AN754" s="60" t="s">
        <v>309</v>
      </c>
      <c r="AY754" s="99">
        <f>ROUNDDOWN((0.96*U754),0)</f>
        <v>0</v>
      </c>
      <c r="AZ754" s="99">
        <f>ROUNDDOWN(AY754+(AY754*MASTER!$A$2/100),0)</f>
        <v>0</v>
      </c>
      <c r="BA754" s="60" t="s">
        <v>901</v>
      </c>
      <c r="BB754" s="64">
        <v>58000</v>
      </c>
      <c r="BC754" s="64">
        <v>63800</v>
      </c>
      <c r="BD754" s="60" t="s">
        <v>1469</v>
      </c>
      <c r="BG754" s="64">
        <v>0</v>
      </c>
      <c r="BK754" s="64">
        <v>0</v>
      </c>
      <c r="BS754" s="64">
        <v>0</v>
      </c>
      <c r="BV754" s="65">
        <v>0</v>
      </c>
      <c r="BW754" s="65">
        <v>63800</v>
      </c>
      <c r="BX754" s="65">
        <v>44595</v>
      </c>
      <c r="BY754" s="65">
        <v>-63800</v>
      </c>
      <c r="BZ754" s="81" t="s">
        <v>309</v>
      </c>
    </row>
    <row r="755" spans="1:82" x14ac:dyDescent="0.15">
      <c r="A755" s="60">
        <v>2</v>
      </c>
      <c r="B755" s="61">
        <v>44665</v>
      </c>
      <c r="C755" s="61">
        <v>44679</v>
      </c>
      <c r="D755" s="61">
        <v>44687</v>
      </c>
      <c r="F755" s="61">
        <v>44684</v>
      </c>
      <c r="H755" s="61">
        <v>44680</v>
      </c>
      <c r="I755" s="60" t="s">
        <v>774</v>
      </c>
      <c r="J755" s="60">
        <v>2</v>
      </c>
      <c r="L755" s="60">
        <v>0</v>
      </c>
      <c r="M755" s="61">
        <v>44595</v>
      </c>
      <c r="O755" s="62" t="s">
        <v>331</v>
      </c>
      <c r="P755" s="60" t="s">
        <v>77</v>
      </c>
      <c r="Q755" s="62" t="s">
        <v>141</v>
      </c>
      <c r="R755" s="62" t="s">
        <v>2153</v>
      </c>
      <c r="S755" s="63" t="s">
        <v>1860</v>
      </c>
      <c r="T755" s="63" t="s">
        <v>346</v>
      </c>
      <c r="U755" s="64">
        <v>65000</v>
      </c>
      <c r="V755" s="64">
        <v>71500</v>
      </c>
      <c r="W755" s="64">
        <v>65000</v>
      </c>
      <c r="X755" s="64">
        <v>71500</v>
      </c>
      <c r="Y755" s="64">
        <v>0</v>
      </c>
      <c r="Z755" s="64">
        <v>0</v>
      </c>
      <c r="AA755" s="61">
        <v>44676</v>
      </c>
      <c r="AB755" s="61">
        <v>44677</v>
      </c>
      <c r="AC755" s="61">
        <v>44677</v>
      </c>
      <c r="AD755" s="60">
        <v>0</v>
      </c>
      <c r="AG755" s="60">
        <v>0</v>
      </c>
      <c r="AJ755" s="60">
        <v>0</v>
      </c>
      <c r="AQ755" s="60" t="s">
        <v>2228</v>
      </c>
      <c r="AR755" s="61">
        <v>44606</v>
      </c>
      <c r="AS755" s="60">
        <v>6001993031</v>
      </c>
      <c r="AT755" s="61">
        <v>44607</v>
      </c>
      <c r="AU755" s="60" t="s">
        <v>2314</v>
      </c>
      <c r="AV755" s="61">
        <v>44679</v>
      </c>
      <c r="AW755" s="91">
        <v>44681</v>
      </c>
      <c r="AX755" s="91">
        <v>44701</v>
      </c>
      <c r="AY755" s="107">
        <v>65000</v>
      </c>
      <c r="AZ755" s="107">
        <f>ROUNDDOWN(AY755+(AY755*MASTER!$A$2/100),0)</f>
        <v>71500</v>
      </c>
      <c r="BA755" s="60" t="s">
        <v>765</v>
      </c>
      <c r="BC755" s="64">
        <v>0</v>
      </c>
      <c r="BG755" s="64">
        <v>0</v>
      </c>
      <c r="BK755" s="64">
        <v>0</v>
      </c>
      <c r="BS755" s="64">
        <v>0</v>
      </c>
      <c r="BV755" s="65">
        <v>71500</v>
      </c>
      <c r="BW755" s="65">
        <v>0</v>
      </c>
      <c r="BX755" s="65">
        <v>44595</v>
      </c>
      <c r="BY755" s="65">
        <v>71500</v>
      </c>
      <c r="BZ755" s="81">
        <v>100</v>
      </c>
    </row>
    <row r="756" spans="1:82" x14ac:dyDescent="0.15">
      <c r="A756" s="60">
        <v>1</v>
      </c>
      <c r="B756" s="61">
        <v>44600</v>
      </c>
      <c r="C756" s="61">
        <v>44614</v>
      </c>
      <c r="F756" s="61" t="s">
        <v>309</v>
      </c>
      <c r="H756" s="61" t="s">
        <v>309</v>
      </c>
      <c r="J756" s="60">
        <v>2</v>
      </c>
      <c r="L756" s="60">
        <v>0</v>
      </c>
      <c r="M756" s="61">
        <v>44595</v>
      </c>
      <c r="O756" s="62" t="s">
        <v>331</v>
      </c>
      <c r="P756" s="60" t="s">
        <v>77</v>
      </c>
      <c r="Q756" s="62" t="s">
        <v>141</v>
      </c>
      <c r="R756" s="62" t="s">
        <v>2157</v>
      </c>
      <c r="S756" s="63" t="s">
        <v>489</v>
      </c>
      <c r="T756" s="63" t="s">
        <v>490</v>
      </c>
      <c r="U756" s="64">
        <v>9880</v>
      </c>
      <c r="V756" s="64">
        <v>10868</v>
      </c>
      <c r="W756" s="64">
        <v>9880</v>
      </c>
      <c r="X756" s="64">
        <v>10868</v>
      </c>
      <c r="Y756" s="64">
        <v>0</v>
      </c>
      <c r="Z756" s="64">
        <v>0</v>
      </c>
      <c r="AD756" s="60">
        <v>0</v>
      </c>
      <c r="AG756" s="60">
        <v>0</v>
      </c>
      <c r="AJ756" s="60">
        <v>0</v>
      </c>
      <c r="AQ756" s="60" t="s">
        <v>2443</v>
      </c>
      <c r="AR756" s="61">
        <v>44595</v>
      </c>
      <c r="AS756" s="60">
        <v>6001989422</v>
      </c>
      <c r="AT756" s="61">
        <v>44599</v>
      </c>
      <c r="AU756" s="60" t="s">
        <v>2198</v>
      </c>
      <c r="AV756" s="61">
        <v>44614</v>
      </c>
      <c r="AW756" s="91">
        <v>44620</v>
      </c>
      <c r="AX756" s="91">
        <v>44640</v>
      </c>
      <c r="AY756" s="107">
        <v>9880</v>
      </c>
      <c r="AZ756" s="107">
        <f>ROUNDDOWN(AY756+(AY756*MASTER!$A$2/100),0)</f>
        <v>10868</v>
      </c>
      <c r="BC756" s="64">
        <v>0</v>
      </c>
      <c r="BG756" s="64">
        <v>0</v>
      </c>
      <c r="BK756" s="64">
        <v>0</v>
      </c>
      <c r="BS756" s="64">
        <v>0</v>
      </c>
      <c r="BV756" s="65">
        <v>10868</v>
      </c>
      <c r="BW756" s="65">
        <v>0</v>
      </c>
      <c r="BX756" s="65">
        <v>44595</v>
      </c>
      <c r="BY756" s="65">
        <v>10868</v>
      </c>
      <c r="BZ756" s="81">
        <v>100</v>
      </c>
    </row>
    <row r="757" spans="1:82" x14ac:dyDescent="0.15">
      <c r="A757" s="60">
        <v>1</v>
      </c>
      <c r="B757" s="61">
        <v>44600</v>
      </c>
      <c r="C757" s="61">
        <v>44608</v>
      </c>
      <c r="F757" s="61" t="s">
        <v>309</v>
      </c>
      <c r="H757" s="61" t="s">
        <v>309</v>
      </c>
      <c r="J757" s="60">
        <v>2</v>
      </c>
      <c r="L757" s="60">
        <v>0</v>
      </c>
      <c r="M757" s="61">
        <v>44595</v>
      </c>
      <c r="O757" s="62" t="s">
        <v>331</v>
      </c>
      <c r="P757" s="60" t="s">
        <v>77</v>
      </c>
      <c r="Q757" s="62" t="s">
        <v>141</v>
      </c>
      <c r="R757" s="62" t="s">
        <v>2158</v>
      </c>
      <c r="S757" s="63" t="s">
        <v>489</v>
      </c>
      <c r="T757" s="63" t="s">
        <v>490</v>
      </c>
      <c r="U757" s="64">
        <v>9880</v>
      </c>
      <c r="V757" s="64">
        <v>10868</v>
      </c>
      <c r="W757" s="64">
        <v>9880</v>
      </c>
      <c r="X757" s="64">
        <v>10868</v>
      </c>
      <c r="Z757" s="64">
        <v>0</v>
      </c>
      <c r="AD757" s="60">
        <v>0</v>
      </c>
      <c r="AG757" s="60">
        <v>0</v>
      </c>
      <c r="AJ757" s="60">
        <v>0</v>
      </c>
      <c r="AQ757" s="60" t="s">
        <v>2444</v>
      </c>
      <c r="AR757" s="61">
        <v>44595</v>
      </c>
      <c r="AS757" s="60">
        <v>6001989421</v>
      </c>
      <c r="AT757" s="61">
        <v>44599</v>
      </c>
      <c r="AU757" s="60" t="s">
        <v>2197</v>
      </c>
      <c r="AV757" s="61">
        <v>44608</v>
      </c>
      <c r="AW757" s="91">
        <v>44620</v>
      </c>
      <c r="AX757" s="91">
        <v>44640</v>
      </c>
      <c r="AY757" s="107">
        <v>9880</v>
      </c>
      <c r="AZ757" s="107">
        <f>ROUNDDOWN(AY757+(AY757*MASTER!$A$2/100),0)</f>
        <v>10868</v>
      </c>
      <c r="BC757" s="64">
        <v>0</v>
      </c>
      <c r="BG757" s="64">
        <v>0</v>
      </c>
      <c r="BK757" s="64">
        <v>0</v>
      </c>
      <c r="BS757" s="64">
        <v>0</v>
      </c>
      <c r="BV757" s="65">
        <v>10868</v>
      </c>
      <c r="BW757" s="65">
        <v>0</v>
      </c>
      <c r="BX757" s="65">
        <v>44595</v>
      </c>
      <c r="BY757" s="65">
        <v>10868</v>
      </c>
      <c r="BZ757" s="81">
        <v>100</v>
      </c>
    </row>
    <row r="758" spans="1:82" x14ac:dyDescent="0.15">
      <c r="A758" s="60">
        <v>1</v>
      </c>
      <c r="B758" s="61">
        <v>44600</v>
      </c>
      <c r="C758" s="61">
        <v>44608</v>
      </c>
      <c r="F758" s="61" t="s">
        <v>309</v>
      </c>
      <c r="H758" s="61" t="s">
        <v>309</v>
      </c>
      <c r="J758" s="60">
        <v>2</v>
      </c>
      <c r="L758" s="60">
        <v>0</v>
      </c>
      <c r="M758" s="61">
        <v>44595</v>
      </c>
      <c r="O758" s="62" t="s">
        <v>331</v>
      </c>
      <c r="P758" s="60" t="s">
        <v>77</v>
      </c>
      <c r="Q758" s="62" t="s">
        <v>141</v>
      </c>
      <c r="R758" s="62" t="s">
        <v>2159</v>
      </c>
      <c r="S758" s="63" t="s">
        <v>489</v>
      </c>
      <c r="T758" s="63" t="s">
        <v>490</v>
      </c>
      <c r="U758" s="64">
        <v>9880</v>
      </c>
      <c r="V758" s="64">
        <v>10868</v>
      </c>
      <c r="W758" s="64">
        <v>9880</v>
      </c>
      <c r="X758" s="64">
        <v>10868</v>
      </c>
      <c r="Z758" s="64">
        <v>0</v>
      </c>
      <c r="AD758" s="60">
        <v>0</v>
      </c>
      <c r="AG758" s="60">
        <v>0</v>
      </c>
      <c r="AJ758" s="60">
        <v>0</v>
      </c>
      <c r="AQ758" s="60" t="s">
        <v>1892</v>
      </c>
      <c r="AR758" s="61">
        <v>44595</v>
      </c>
      <c r="AS758" s="60">
        <v>6001989420</v>
      </c>
      <c r="AT758" s="61">
        <v>44599</v>
      </c>
      <c r="AU758" s="60" t="s">
        <v>2196</v>
      </c>
      <c r="AV758" s="61">
        <v>44608</v>
      </c>
      <c r="AW758" s="91">
        <v>44620</v>
      </c>
      <c r="AX758" s="91">
        <v>44640</v>
      </c>
      <c r="AY758" s="107">
        <v>9880</v>
      </c>
      <c r="AZ758" s="107">
        <f>ROUNDDOWN(AY758+(AY758*MASTER!$A$2/100),0)</f>
        <v>10868</v>
      </c>
      <c r="BC758" s="64">
        <v>0</v>
      </c>
      <c r="BG758" s="64">
        <v>0</v>
      </c>
      <c r="BK758" s="64">
        <v>0</v>
      </c>
      <c r="BS758" s="64">
        <v>0</v>
      </c>
      <c r="BV758" s="65">
        <v>10868</v>
      </c>
      <c r="BW758" s="65">
        <v>0</v>
      </c>
      <c r="BX758" s="65">
        <v>44595</v>
      </c>
      <c r="BY758" s="65">
        <v>10868</v>
      </c>
      <c r="BZ758" s="81">
        <v>100</v>
      </c>
    </row>
    <row r="759" spans="1:82" x14ac:dyDescent="0.15">
      <c r="A759" s="60">
        <v>2</v>
      </c>
      <c r="C759" s="61" t="s">
        <v>309</v>
      </c>
      <c r="F759" s="61" t="s">
        <v>309</v>
      </c>
      <c r="H759" s="61" t="s">
        <v>309</v>
      </c>
      <c r="J759" s="60">
        <v>4</v>
      </c>
      <c r="L759" s="60">
        <v>0</v>
      </c>
      <c r="M759" s="61">
        <v>44595</v>
      </c>
      <c r="O759" s="62" t="s">
        <v>331</v>
      </c>
      <c r="P759" s="60" t="s">
        <v>77</v>
      </c>
      <c r="Q759" s="62" t="s">
        <v>141</v>
      </c>
      <c r="R759" s="62" t="s">
        <v>2160</v>
      </c>
      <c r="S759" s="63" t="s">
        <v>354</v>
      </c>
      <c r="T759" s="63" t="s">
        <v>2246</v>
      </c>
      <c r="U759" s="64">
        <v>0</v>
      </c>
      <c r="V759" s="64">
        <v>0</v>
      </c>
      <c r="W759" s="64">
        <v>0</v>
      </c>
      <c r="X759" s="64">
        <v>0</v>
      </c>
      <c r="Y759" s="64">
        <v>0</v>
      </c>
      <c r="Z759" s="64">
        <v>0</v>
      </c>
      <c r="AA759" s="61">
        <v>44562</v>
      </c>
      <c r="AB759" s="61">
        <v>44592</v>
      </c>
      <c r="AD759" s="60">
        <v>0</v>
      </c>
      <c r="AG759" s="60">
        <v>0</v>
      </c>
      <c r="AJ759" s="60">
        <v>0</v>
      </c>
      <c r="AN759" s="60" t="s">
        <v>309</v>
      </c>
      <c r="AY759" s="99">
        <v>0</v>
      </c>
      <c r="AZ759" s="99">
        <f>ROUNDDOWN(AY759+(AY759*MASTER!$A$2/100),0)</f>
        <v>0</v>
      </c>
      <c r="BA759" s="60" t="s">
        <v>321</v>
      </c>
      <c r="BB759" s="64">
        <v>329134</v>
      </c>
      <c r="BC759" s="64">
        <v>362047.4</v>
      </c>
      <c r="BD759" s="60" t="s">
        <v>1614</v>
      </c>
      <c r="BG759" s="64">
        <v>0</v>
      </c>
      <c r="BK759" s="64">
        <v>0</v>
      </c>
      <c r="BS759" s="64">
        <v>0</v>
      </c>
      <c r="BV759" s="65">
        <v>0</v>
      </c>
      <c r="BW759" s="65">
        <v>362047.4</v>
      </c>
      <c r="BX759" s="65">
        <v>44595</v>
      </c>
      <c r="BY759" s="65">
        <v>-362047.4</v>
      </c>
      <c r="BZ759" s="81" t="s">
        <v>309</v>
      </c>
    </row>
    <row r="760" spans="1:82" x14ac:dyDescent="0.15">
      <c r="A760" s="60">
        <v>2</v>
      </c>
      <c r="C760" s="61" t="s">
        <v>309</v>
      </c>
      <c r="F760" s="61" t="s">
        <v>309</v>
      </c>
      <c r="H760" s="61" t="s">
        <v>309</v>
      </c>
      <c r="J760" s="60">
        <v>4</v>
      </c>
      <c r="L760" s="60">
        <v>0</v>
      </c>
      <c r="M760" s="61">
        <v>44595</v>
      </c>
      <c r="O760" s="62" t="s">
        <v>331</v>
      </c>
      <c r="P760" s="60" t="s">
        <v>77</v>
      </c>
      <c r="Q760" s="62" t="s">
        <v>141</v>
      </c>
      <c r="R760" s="62" t="s">
        <v>2244</v>
      </c>
      <c r="S760" s="63" t="s">
        <v>354</v>
      </c>
      <c r="T760" s="63" t="s">
        <v>2245</v>
      </c>
      <c r="U760" s="64">
        <v>0</v>
      </c>
      <c r="V760" s="64">
        <v>0</v>
      </c>
      <c r="W760" s="64">
        <v>0</v>
      </c>
      <c r="X760" s="64">
        <v>0</v>
      </c>
      <c r="Y760" s="64">
        <v>0</v>
      </c>
      <c r="Z760" s="64">
        <v>0</v>
      </c>
      <c r="AA760" s="61">
        <v>44562</v>
      </c>
      <c r="AB760" s="61">
        <v>44592</v>
      </c>
      <c r="AD760" s="60">
        <v>0</v>
      </c>
      <c r="AG760" s="60">
        <v>0</v>
      </c>
      <c r="AJ760" s="60">
        <v>0</v>
      </c>
      <c r="AN760" s="60" t="s">
        <v>309</v>
      </c>
      <c r="AY760" s="99">
        <v>0</v>
      </c>
      <c r="AZ760" s="99">
        <f>ROUNDDOWN(AY760+(AY760*MASTER!$A$2/100),0)</f>
        <v>0</v>
      </c>
      <c r="BA760" s="60" t="s">
        <v>272</v>
      </c>
      <c r="BB760" s="64">
        <v>328973</v>
      </c>
      <c r="BC760" s="64">
        <v>361870.3</v>
      </c>
      <c r="BD760" s="60" t="s">
        <v>1614</v>
      </c>
      <c r="BG760" s="64">
        <v>0</v>
      </c>
      <c r="BK760" s="64">
        <v>0</v>
      </c>
      <c r="BS760" s="64">
        <v>0</v>
      </c>
      <c r="BV760" s="65">
        <v>0</v>
      </c>
      <c r="BW760" s="65">
        <v>361870.3</v>
      </c>
      <c r="BX760" s="65">
        <v>44595</v>
      </c>
      <c r="BY760" s="65">
        <v>-361870.3</v>
      </c>
      <c r="BZ760" s="81" t="s">
        <v>309</v>
      </c>
    </row>
    <row r="761" spans="1:82" x14ac:dyDescent="0.15">
      <c r="A761" s="60">
        <v>2</v>
      </c>
      <c r="B761" s="61">
        <v>44617</v>
      </c>
      <c r="C761" s="61">
        <v>44617</v>
      </c>
      <c r="D761" s="61" t="s">
        <v>764</v>
      </c>
      <c r="E761" s="61">
        <v>44637</v>
      </c>
      <c r="F761" s="61">
        <v>44604</v>
      </c>
      <c r="G761" s="61">
        <v>44598</v>
      </c>
      <c r="H761" s="61">
        <v>44600</v>
      </c>
      <c r="I761" s="60" t="s">
        <v>612</v>
      </c>
      <c r="J761" s="60">
        <v>1</v>
      </c>
      <c r="L761" s="60">
        <v>0</v>
      </c>
      <c r="M761" s="61">
        <v>44596</v>
      </c>
      <c r="O761" s="62" t="s">
        <v>331</v>
      </c>
      <c r="P761" s="60" t="s">
        <v>26</v>
      </c>
      <c r="Q761" s="62" t="s">
        <v>141</v>
      </c>
      <c r="R761" s="62" t="s">
        <v>2463</v>
      </c>
      <c r="S761" s="63" t="s">
        <v>707</v>
      </c>
      <c r="T761" s="63" t="s">
        <v>1675</v>
      </c>
      <c r="U761" s="64">
        <v>23900</v>
      </c>
      <c r="V761" s="64">
        <v>26290</v>
      </c>
      <c r="W761" s="64">
        <v>14700</v>
      </c>
      <c r="X761" s="64">
        <v>16170</v>
      </c>
      <c r="Y761" s="64">
        <v>9200</v>
      </c>
      <c r="Z761" s="64">
        <v>10120</v>
      </c>
      <c r="AA761" s="61">
        <v>44595</v>
      </c>
      <c r="AB761" s="61">
        <v>44597</v>
      </c>
      <c r="AC761" s="61">
        <v>44597</v>
      </c>
      <c r="AD761" s="60">
        <v>0</v>
      </c>
      <c r="AG761" s="60">
        <v>0</v>
      </c>
      <c r="AJ761" s="60">
        <v>0</v>
      </c>
      <c r="AM761" s="60" t="s">
        <v>273</v>
      </c>
      <c r="AN761" s="60" t="s">
        <v>2464</v>
      </c>
      <c r="AQ761" s="60" t="s">
        <v>2471</v>
      </c>
      <c r="AR761" s="61">
        <v>44614</v>
      </c>
      <c r="AS761" s="60">
        <v>6001997208</v>
      </c>
      <c r="AT761" s="61">
        <v>44616</v>
      </c>
      <c r="AU761" s="60" t="s">
        <v>2480</v>
      </c>
      <c r="AV761" s="61">
        <v>44617</v>
      </c>
      <c r="AW761" s="91">
        <v>44620</v>
      </c>
      <c r="AX761" s="91">
        <v>44640</v>
      </c>
      <c r="AY761" s="99">
        <v>22944</v>
      </c>
      <c r="AZ761" s="99">
        <f>ROUNDDOWN(AY761+(AY761*MASTER!$A$2/100),0)</f>
        <v>25238</v>
      </c>
      <c r="BA761" s="60" t="s">
        <v>765</v>
      </c>
      <c r="BC761" s="64">
        <v>0</v>
      </c>
      <c r="BG761" s="64">
        <v>0</v>
      </c>
      <c r="BI761" s="60" t="s">
        <v>748</v>
      </c>
      <c r="BJ761" s="64">
        <v>5980</v>
      </c>
      <c r="BK761" s="64">
        <v>6578</v>
      </c>
      <c r="BL761" s="60" t="s">
        <v>2044</v>
      </c>
      <c r="BS761" s="64">
        <v>0</v>
      </c>
      <c r="BV761" s="65">
        <v>16170</v>
      </c>
      <c r="BW761" s="65">
        <v>6578</v>
      </c>
      <c r="BX761" s="65">
        <v>44596</v>
      </c>
      <c r="BY761" s="65">
        <v>9592</v>
      </c>
      <c r="BZ761" s="81">
        <v>59.319727891156461</v>
      </c>
    </row>
    <row r="762" spans="1:82" x14ac:dyDescent="0.15">
      <c r="A762" s="60">
        <v>2</v>
      </c>
      <c r="B762" s="61">
        <v>44608</v>
      </c>
      <c r="C762" s="61">
        <v>44611</v>
      </c>
      <c r="D762" s="61">
        <v>44634</v>
      </c>
      <c r="F762" s="61" t="s">
        <v>309</v>
      </c>
      <c r="H762" s="61" t="s">
        <v>309</v>
      </c>
      <c r="J762" s="60">
        <v>2</v>
      </c>
      <c r="L762" s="60">
        <v>0</v>
      </c>
      <c r="M762" s="61">
        <v>44596</v>
      </c>
      <c r="O762" s="62" t="s">
        <v>331</v>
      </c>
      <c r="P762" s="60" t="s">
        <v>77</v>
      </c>
      <c r="Q762" s="62" t="s">
        <v>141</v>
      </c>
      <c r="R762" s="62" t="s">
        <v>2384</v>
      </c>
      <c r="S762" s="63" t="s">
        <v>1021</v>
      </c>
      <c r="T762" s="63" t="s">
        <v>1953</v>
      </c>
      <c r="U762" s="64">
        <v>65000</v>
      </c>
      <c r="V762" s="64">
        <v>71500</v>
      </c>
      <c r="W762" s="64">
        <v>65000</v>
      </c>
      <c r="X762" s="64">
        <v>71500</v>
      </c>
      <c r="Y762" s="64">
        <v>0</v>
      </c>
      <c r="Z762" s="64">
        <v>0</v>
      </c>
      <c r="AA762" s="61">
        <v>44610</v>
      </c>
      <c r="AB762" s="61">
        <v>44611</v>
      </c>
      <c r="AD762" s="60">
        <v>0</v>
      </c>
      <c r="AG762" s="60">
        <v>0</v>
      </c>
      <c r="AJ762" s="60">
        <v>0</v>
      </c>
      <c r="AQ762" s="60" t="s">
        <v>2231</v>
      </c>
      <c r="AR762" s="61">
        <v>44606</v>
      </c>
      <c r="AS762" s="60">
        <v>6001993041</v>
      </c>
      <c r="AT762" s="61">
        <v>44607</v>
      </c>
      <c r="AU762" s="60" t="s">
        <v>2311</v>
      </c>
      <c r="AV762" s="61">
        <v>44611</v>
      </c>
      <c r="AW762" s="91">
        <v>44620</v>
      </c>
      <c r="AX762" s="91">
        <v>44640</v>
      </c>
      <c r="AY762" s="107">
        <v>65000</v>
      </c>
      <c r="AZ762" s="107">
        <f>ROUNDDOWN(AY762+(AY762*MASTER!$A$2/100),0)</f>
        <v>71500</v>
      </c>
      <c r="BC762" s="64">
        <v>0</v>
      </c>
      <c r="BG762" s="64">
        <v>0</v>
      </c>
      <c r="BK762" s="64">
        <v>0</v>
      </c>
      <c r="BS762" s="64">
        <v>0</v>
      </c>
      <c r="BV762" s="65">
        <v>71500</v>
      </c>
      <c r="BW762" s="65">
        <v>0</v>
      </c>
      <c r="BX762" s="65">
        <v>44596</v>
      </c>
      <c r="BY762" s="65">
        <v>71500</v>
      </c>
      <c r="BZ762" s="81">
        <v>100</v>
      </c>
    </row>
    <row r="763" spans="1:82" x14ac:dyDescent="0.15">
      <c r="A763" s="60">
        <v>2</v>
      </c>
      <c r="B763" s="61">
        <v>44608</v>
      </c>
      <c r="C763" s="61">
        <v>44611</v>
      </c>
      <c r="D763" s="61">
        <v>44634</v>
      </c>
      <c r="F763" s="61" t="s">
        <v>309</v>
      </c>
      <c r="H763" s="61" t="s">
        <v>309</v>
      </c>
      <c r="J763" s="60">
        <v>2</v>
      </c>
      <c r="K763" s="61">
        <v>44599</v>
      </c>
      <c r="L763" s="60">
        <v>1</v>
      </c>
      <c r="M763" s="61">
        <v>44596</v>
      </c>
      <c r="O763" s="62" t="s">
        <v>331</v>
      </c>
      <c r="P763" s="60" t="s">
        <v>77</v>
      </c>
      <c r="Q763" s="62" t="s">
        <v>141</v>
      </c>
      <c r="R763" s="62" t="s">
        <v>2162</v>
      </c>
      <c r="S763" s="63" t="s">
        <v>1021</v>
      </c>
      <c r="T763" s="63" t="s">
        <v>346</v>
      </c>
      <c r="U763" s="64">
        <v>65000</v>
      </c>
      <c r="V763" s="64">
        <v>71500</v>
      </c>
      <c r="W763" s="64">
        <v>65000</v>
      </c>
      <c r="X763" s="64">
        <v>71500</v>
      </c>
      <c r="Y763" s="64">
        <v>0</v>
      </c>
      <c r="Z763" s="64">
        <v>0</v>
      </c>
      <c r="AA763" s="61" t="s">
        <v>2044</v>
      </c>
      <c r="AD763" s="60">
        <v>0</v>
      </c>
      <c r="AG763" s="60">
        <v>0</v>
      </c>
      <c r="AJ763" s="60">
        <v>0</v>
      </c>
      <c r="AQ763" s="60" t="s">
        <v>2232</v>
      </c>
      <c r="AR763" s="61">
        <v>44606</v>
      </c>
      <c r="AS763" s="60">
        <v>6001993041</v>
      </c>
      <c r="AT763" s="61">
        <v>44607</v>
      </c>
      <c r="AU763" s="60" t="s">
        <v>2311</v>
      </c>
      <c r="AV763" s="61">
        <v>44611</v>
      </c>
      <c r="AW763" s="91">
        <v>44620</v>
      </c>
      <c r="AX763" s="91">
        <v>44640</v>
      </c>
      <c r="AY763" s="107">
        <v>65000</v>
      </c>
      <c r="AZ763" s="107">
        <f>ROUNDDOWN(AY763+(AY763*MASTER!$A$2/100),0)</f>
        <v>71500</v>
      </c>
      <c r="BC763" s="64">
        <v>0</v>
      </c>
      <c r="BG763" s="64">
        <v>0</v>
      </c>
      <c r="BK763" s="64">
        <v>0</v>
      </c>
      <c r="BS763" s="64">
        <v>0</v>
      </c>
      <c r="BV763" s="65">
        <v>71500</v>
      </c>
      <c r="BW763" s="65">
        <v>0</v>
      </c>
      <c r="BX763" s="65">
        <v>0</v>
      </c>
      <c r="BY763" s="65">
        <v>44599</v>
      </c>
      <c r="BZ763" s="81">
        <v>100</v>
      </c>
      <c r="CD763" s="63" t="s">
        <v>2194</v>
      </c>
    </row>
    <row r="764" spans="1:82" x14ac:dyDescent="0.15">
      <c r="A764" s="60">
        <v>2</v>
      </c>
      <c r="B764" s="61">
        <v>44608</v>
      </c>
      <c r="C764" s="61">
        <v>44608</v>
      </c>
      <c r="D764" s="61">
        <v>44627</v>
      </c>
      <c r="F764" s="61" t="s">
        <v>309</v>
      </c>
      <c r="H764" s="61" t="s">
        <v>309</v>
      </c>
      <c r="J764" s="60">
        <v>2</v>
      </c>
      <c r="L764" s="60">
        <v>0</v>
      </c>
      <c r="M764" s="61">
        <v>44596</v>
      </c>
      <c r="O764" s="62" t="s">
        <v>331</v>
      </c>
      <c r="P764" s="60" t="s">
        <v>77</v>
      </c>
      <c r="Q764" s="62" t="s">
        <v>141</v>
      </c>
      <c r="R764" s="62" t="s">
        <v>2407</v>
      </c>
      <c r="S764" s="63" t="s">
        <v>557</v>
      </c>
      <c r="T764" s="63" t="s">
        <v>1953</v>
      </c>
      <c r="U764" s="64">
        <v>65000</v>
      </c>
      <c r="V764" s="64">
        <v>71500</v>
      </c>
      <c r="W764" s="64">
        <v>65000</v>
      </c>
      <c r="X764" s="64">
        <v>71500</v>
      </c>
      <c r="Y764" s="64">
        <v>0</v>
      </c>
      <c r="Z764" s="64">
        <v>0</v>
      </c>
      <c r="AA764" s="61">
        <v>44607</v>
      </c>
      <c r="AB764" s="61">
        <v>44608</v>
      </c>
      <c r="AD764" s="60">
        <v>0</v>
      </c>
      <c r="AG764" s="60">
        <v>0</v>
      </c>
      <c r="AJ764" s="60">
        <v>0</v>
      </c>
      <c r="AQ764" s="60" t="s">
        <v>2231</v>
      </c>
      <c r="AR764" s="61">
        <v>44606</v>
      </c>
      <c r="AS764" s="60">
        <v>6001993041</v>
      </c>
      <c r="AT764" s="61">
        <v>44607</v>
      </c>
      <c r="AU764" s="60" t="s">
        <v>2311</v>
      </c>
      <c r="AV764" s="61">
        <v>44608</v>
      </c>
      <c r="AW764" s="91">
        <v>44620</v>
      </c>
      <c r="AX764" s="91">
        <v>44640</v>
      </c>
      <c r="AY764" s="107">
        <v>65000</v>
      </c>
      <c r="AZ764" s="107">
        <f>ROUNDDOWN(AY764+(AY764*MASTER!$A$2/100),0)</f>
        <v>71500</v>
      </c>
      <c r="BC764" s="64">
        <v>0</v>
      </c>
      <c r="BG764" s="64">
        <v>0</v>
      </c>
      <c r="BK764" s="64">
        <v>0</v>
      </c>
      <c r="BS764" s="64">
        <v>0</v>
      </c>
      <c r="BV764" s="65">
        <v>71500</v>
      </c>
      <c r="BW764" s="65">
        <v>0</v>
      </c>
      <c r="BX764" s="65">
        <v>44596</v>
      </c>
      <c r="BY764" s="65">
        <v>71500</v>
      </c>
      <c r="BZ764" s="81">
        <v>100</v>
      </c>
    </row>
    <row r="765" spans="1:82" x14ac:dyDescent="0.15">
      <c r="A765" s="60">
        <v>2</v>
      </c>
      <c r="B765" s="61">
        <v>44608</v>
      </c>
      <c r="C765" s="61">
        <v>44608</v>
      </c>
      <c r="D765" s="61">
        <v>44627</v>
      </c>
      <c r="F765" s="61" t="s">
        <v>309</v>
      </c>
      <c r="H765" s="61" t="s">
        <v>309</v>
      </c>
      <c r="J765" s="60">
        <v>2</v>
      </c>
      <c r="L765" s="60">
        <v>0</v>
      </c>
      <c r="M765" s="61">
        <v>44596</v>
      </c>
      <c r="O765" s="62" t="s">
        <v>331</v>
      </c>
      <c r="P765" s="60" t="s">
        <v>77</v>
      </c>
      <c r="Q765" s="62" t="s">
        <v>141</v>
      </c>
      <c r="R765" s="62" t="s">
        <v>2408</v>
      </c>
      <c r="S765" s="63" t="s">
        <v>557</v>
      </c>
      <c r="T765" s="63" t="s">
        <v>346</v>
      </c>
      <c r="U765" s="64">
        <v>65000</v>
      </c>
      <c r="V765" s="64">
        <v>71500</v>
      </c>
      <c r="W765" s="64">
        <v>65000</v>
      </c>
      <c r="X765" s="64">
        <v>71500</v>
      </c>
      <c r="Y765" s="64">
        <v>0</v>
      </c>
      <c r="Z765" s="64">
        <v>0</v>
      </c>
      <c r="AA765" s="61">
        <v>44607</v>
      </c>
      <c r="AB765" s="61">
        <v>44608</v>
      </c>
      <c r="AD765" s="60">
        <v>0</v>
      </c>
      <c r="AG765" s="60">
        <v>0</v>
      </c>
      <c r="AJ765" s="60">
        <v>0</v>
      </c>
      <c r="AQ765" s="60" t="s">
        <v>2234</v>
      </c>
      <c r="AR765" s="61">
        <v>44606</v>
      </c>
      <c r="AS765" s="60">
        <v>6001993041</v>
      </c>
      <c r="AT765" s="61">
        <v>44607</v>
      </c>
      <c r="AU765" s="60" t="s">
        <v>2311</v>
      </c>
      <c r="AV765" s="61">
        <v>44608</v>
      </c>
      <c r="AW765" s="91">
        <v>44620</v>
      </c>
      <c r="AX765" s="91">
        <v>44640</v>
      </c>
      <c r="AY765" s="107">
        <v>65000</v>
      </c>
      <c r="AZ765" s="107">
        <f>ROUNDDOWN(AY765+(AY765*MASTER!$A$2/100),0)</f>
        <v>71500</v>
      </c>
      <c r="BC765" s="64">
        <v>0</v>
      </c>
      <c r="BG765" s="64">
        <v>0</v>
      </c>
      <c r="BK765" s="64">
        <v>0</v>
      </c>
      <c r="BS765" s="64">
        <v>0</v>
      </c>
      <c r="BV765" s="65">
        <v>71500</v>
      </c>
      <c r="BW765" s="65">
        <v>0</v>
      </c>
      <c r="BX765" s="65">
        <v>44596</v>
      </c>
      <c r="BY765" s="65">
        <v>71500</v>
      </c>
      <c r="BZ765" s="81">
        <v>100</v>
      </c>
    </row>
    <row r="766" spans="1:82" x14ac:dyDescent="0.15">
      <c r="A766" s="60">
        <v>2</v>
      </c>
      <c r="B766" s="61">
        <v>44608</v>
      </c>
      <c r="C766" s="61">
        <v>44611</v>
      </c>
      <c r="D766" s="61">
        <v>44627</v>
      </c>
      <c r="F766" s="61" t="s">
        <v>309</v>
      </c>
      <c r="H766" s="61" t="s">
        <v>309</v>
      </c>
      <c r="J766" s="60">
        <v>2</v>
      </c>
      <c r="L766" s="60">
        <v>0</v>
      </c>
      <c r="M766" s="61">
        <v>44596</v>
      </c>
      <c r="O766" s="62" t="s">
        <v>331</v>
      </c>
      <c r="P766" s="60" t="s">
        <v>77</v>
      </c>
      <c r="Q766" s="62" t="s">
        <v>141</v>
      </c>
      <c r="R766" s="62" t="s">
        <v>2409</v>
      </c>
      <c r="S766" s="63" t="s">
        <v>714</v>
      </c>
      <c r="T766" s="63" t="s">
        <v>1953</v>
      </c>
      <c r="U766" s="64">
        <v>65000</v>
      </c>
      <c r="V766" s="64">
        <v>71500</v>
      </c>
      <c r="W766" s="64">
        <v>65000</v>
      </c>
      <c r="X766" s="64">
        <v>71500</v>
      </c>
      <c r="Y766" s="64">
        <v>0</v>
      </c>
      <c r="Z766" s="64">
        <v>0</v>
      </c>
      <c r="AA766" s="61">
        <v>44613</v>
      </c>
      <c r="AB766" s="61">
        <v>44614</v>
      </c>
      <c r="AD766" s="60">
        <v>0</v>
      </c>
      <c r="AG766" s="60">
        <v>0</v>
      </c>
      <c r="AJ766" s="60">
        <v>0</v>
      </c>
      <c r="AQ766" s="60" t="s">
        <v>2231</v>
      </c>
      <c r="AR766" s="61">
        <v>44606</v>
      </c>
      <c r="AS766" s="60">
        <v>6001993041</v>
      </c>
      <c r="AT766" s="61">
        <v>44607</v>
      </c>
      <c r="AU766" s="60" t="s">
        <v>2311</v>
      </c>
      <c r="AV766" s="61">
        <v>44611</v>
      </c>
      <c r="AW766" s="91">
        <v>44620</v>
      </c>
      <c r="AX766" s="91">
        <v>44640</v>
      </c>
      <c r="AY766" s="107">
        <v>65000</v>
      </c>
      <c r="AZ766" s="107">
        <f>ROUNDDOWN(AY766+(AY766*MASTER!$A$2/100),0)</f>
        <v>71500</v>
      </c>
      <c r="BC766" s="64">
        <v>0</v>
      </c>
      <c r="BG766" s="64">
        <v>0</v>
      </c>
      <c r="BK766" s="64">
        <v>0</v>
      </c>
      <c r="BS766" s="64">
        <v>0</v>
      </c>
      <c r="BV766" s="65">
        <v>71500</v>
      </c>
      <c r="BW766" s="65">
        <v>0</v>
      </c>
      <c r="BX766" s="65">
        <v>44596</v>
      </c>
      <c r="BY766" s="65">
        <v>71500</v>
      </c>
      <c r="BZ766" s="81">
        <v>100</v>
      </c>
    </row>
    <row r="767" spans="1:82" x14ac:dyDescent="0.15">
      <c r="A767" s="60">
        <v>2</v>
      </c>
      <c r="B767" s="61">
        <v>44608</v>
      </c>
      <c r="C767" s="61">
        <v>44611</v>
      </c>
      <c r="D767" s="61">
        <v>44627</v>
      </c>
      <c r="F767" s="61" t="s">
        <v>309</v>
      </c>
      <c r="H767" s="61" t="s">
        <v>309</v>
      </c>
      <c r="J767" s="60">
        <v>2</v>
      </c>
      <c r="L767" s="60">
        <v>0</v>
      </c>
      <c r="M767" s="61">
        <v>44596</v>
      </c>
      <c r="O767" s="62" t="s">
        <v>331</v>
      </c>
      <c r="P767" s="60" t="s">
        <v>77</v>
      </c>
      <c r="Q767" s="62" t="s">
        <v>141</v>
      </c>
      <c r="R767" s="62" t="s">
        <v>2410</v>
      </c>
      <c r="S767" s="63" t="s">
        <v>714</v>
      </c>
      <c r="T767" s="63" t="s">
        <v>346</v>
      </c>
      <c r="U767" s="64">
        <v>65000</v>
      </c>
      <c r="V767" s="64">
        <v>71500</v>
      </c>
      <c r="W767" s="64">
        <v>65000</v>
      </c>
      <c r="X767" s="64">
        <v>71500</v>
      </c>
      <c r="Y767" s="64">
        <v>0</v>
      </c>
      <c r="Z767" s="64">
        <v>0</v>
      </c>
      <c r="AA767" s="61">
        <v>44613</v>
      </c>
      <c r="AB767" s="61">
        <v>44614</v>
      </c>
      <c r="AD767" s="60">
        <v>0</v>
      </c>
      <c r="AG767" s="60">
        <v>0</v>
      </c>
      <c r="AJ767" s="60">
        <v>0</v>
      </c>
      <c r="AQ767" s="60" t="s">
        <v>2234</v>
      </c>
      <c r="AR767" s="61">
        <v>44606</v>
      </c>
      <c r="AS767" s="60">
        <v>6001993041</v>
      </c>
      <c r="AT767" s="61">
        <v>44607</v>
      </c>
      <c r="AU767" s="60" t="s">
        <v>2311</v>
      </c>
      <c r="AV767" s="61">
        <v>44611</v>
      </c>
      <c r="AW767" s="91">
        <v>44620</v>
      </c>
      <c r="AX767" s="91">
        <v>44640</v>
      </c>
      <c r="AY767" s="107">
        <v>65000</v>
      </c>
      <c r="AZ767" s="107">
        <f>ROUNDDOWN(AY767+(AY767*MASTER!$A$2/100),0)</f>
        <v>71500</v>
      </c>
      <c r="BC767" s="64">
        <v>0</v>
      </c>
      <c r="BG767" s="64">
        <v>0</v>
      </c>
      <c r="BK767" s="64">
        <v>0</v>
      </c>
      <c r="BS767" s="64">
        <v>0</v>
      </c>
      <c r="BV767" s="65">
        <v>71500</v>
      </c>
      <c r="BW767" s="65">
        <v>0</v>
      </c>
      <c r="BX767" s="65">
        <v>44596</v>
      </c>
      <c r="BY767" s="65">
        <v>71500</v>
      </c>
      <c r="BZ767" s="81">
        <v>100</v>
      </c>
    </row>
    <row r="768" spans="1:82" x14ac:dyDescent="0.15">
      <c r="A768" s="60">
        <v>1</v>
      </c>
      <c r="C768" s="61" t="s">
        <v>309</v>
      </c>
      <c r="F768" s="61" t="s">
        <v>309</v>
      </c>
      <c r="H768" s="61" t="s">
        <v>309</v>
      </c>
      <c r="J768" s="60">
        <v>4</v>
      </c>
      <c r="L768" s="60">
        <v>0</v>
      </c>
      <c r="M768" s="61">
        <v>44596</v>
      </c>
      <c r="O768" s="62" t="s">
        <v>331</v>
      </c>
      <c r="P768" s="60" t="s">
        <v>263</v>
      </c>
      <c r="Q768" s="62" t="s">
        <v>141</v>
      </c>
      <c r="R768" s="62" t="s">
        <v>2411</v>
      </c>
      <c r="S768" s="63" t="s">
        <v>1068</v>
      </c>
      <c r="T768" s="63" t="s">
        <v>2412</v>
      </c>
      <c r="U768" s="64">
        <v>0</v>
      </c>
      <c r="V768" s="64">
        <v>0</v>
      </c>
      <c r="W768" s="64">
        <v>0</v>
      </c>
      <c r="X768" s="64">
        <v>0</v>
      </c>
      <c r="Y768" s="64">
        <v>0</v>
      </c>
      <c r="Z768" s="64">
        <v>0</v>
      </c>
      <c r="AA768" s="61">
        <v>44597</v>
      </c>
      <c r="AB768" s="61">
        <v>44601</v>
      </c>
      <c r="AD768" s="60">
        <v>0</v>
      </c>
      <c r="AG768" s="60">
        <v>0</v>
      </c>
      <c r="AJ768" s="60">
        <v>0</v>
      </c>
      <c r="AN768" s="60" t="s">
        <v>309</v>
      </c>
      <c r="AY768" s="99">
        <v>0</v>
      </c>
      <c r="AZ768" s="99">
        <f>ROUNDDOWN(AY768+(AY768*MASTER!$A$2/100),0)</f>
        <v>0</v>
      </c>
      <c r="BA768" s="60" t="s">
        <v>582</v>
      </c>
      <c r="BB768" s="64">
        <v>628500</v>
      </c>
      <c r="BC768" s="64">
        <v>691350</v>
      </c>
      <c r="BD768" s="60" t="s">
        <v>2044</v>
      </c>
      <c r="BG768" s="64">
        <v>0</v>
      </c>
      <c r="BK768" s="64">
        <v>0</v>
      </c>
      <c r="BS768" s="64">
        <v>0</v>
      </c>
      <c r="BV768" s="65">
        <v>0</v>
      </c>
      <c r="BW768" s="65">
        <v>691350</v>
      </c>
      <c r="BX768" s="65">
        <v>44596</v>
      </c>
      <c r="BY768" s="65">
        <v>-691350</v>
      </c>
      <c r="BZ768" s="81" t="s">
        <v>309</v>
      </c>
    </row>
    <row r="769" spans="1:82" x14ac:dyDescent="0.15">
      <c r="A769" s="60">
        <v>2</v>
      </c>
      <c r="C769" s="61" t="s">
        <v>309</v>
      </c>
      <c r="F769" s="61" t="s">
        <v>309</v>
      </c>
      <c r="H769" s="61" t="s">
        <v>309</v>
      </c>
      <c r="J769" s="60">
        <v>4</v>
      </c>
      <c r="L769" s="60">
        <v>0</v>
      </c>
      <c r="M769" s="61">
        <v>44596</v>
      </c>
      <c r="O769" s="62" t="s">
        <v>331</v>
      </c>
      <c r="P769" s="60" t="s">
        <v>263</v>
      </c>
      <c r="Q769" s="62" t="s">
        <v>141</v>
      </c>
      <c r="R769" s="62" t="s">
        <v>2182</v>
      </c>
      <c r="S769" s="63" t="s">
        <v>354</v>
      </c>
      <c r="T769" s="63" t="s">
        <v>2183</v>
      </c>
      <c r="U769" s="64">
        <v>0</v>
      </c>
      <c r="V769" s="64">
        <v>0</v>
      </c>
      <c r="W769" s="64">
        <v>0</v>
      </c>
      <c r="X769" s="64">
        <v>0</v>
      </c>
      <c r="Y769" s="64">
        <v>0</v>
      </c>
      <c r="Z769" s="64">
        <v>0</v>
      </c>
      <c r="AA769" s="61">
        <v>44562</v>
      </c>
      <c r="AB769" s="61">
        <v>44592</v>
      </c>
      <c r="AD769" s="60">
        <v>0</v>
      </c>
      <c r="AG769" s="60">
        <v>0</v>
      </c>
      <c r="AJ769" s="60">
        <v>0</v>
      </c>
      <c r="AN769" s="60" t="s">
        <v>309</v>
      </c>
      <c r="AY769" s="99">
        <v>0</v>
      </c>
      <c r="AZ769" s="99">
        <f>ROUNDDOWN(AY769+(AY769*MASTER!$A$2/100),0)</f>
        <v>0</v>
      </c>
      <c r="BA769" s="60" t="s">
        <v>14</v>
      </c>
      <c r="BB769" s="64">
        <v>495010</v>
      </c>
      <c r="BC769" s="64">
        <v>544511</v>
      </c>
      <c r="BD769" s="60" t="s">
        <v>1614</v>
      </c>
      <c r="BG769" s="64">
        <v>0</v>
      </c>
      <c r="BK769" s="64">
        <v>0</v>
      </c>
      <c r="BS769" s="64">
        <v>0</v>
      </c>
      <c r="BV769" s="65">
        <v>0</v>
      </c>
      <c r="BW769" s="65">
        <v>544511</v>
      </c>
      <c r="BX769" s="65">
        <v>44596</v>
      </c>
      <c r="BY769" s="65">
        <v>-544511</v>
      </c>
      <c r="BZ769" s="81" t="s">
        <v>309</v>
      </c>
    </row>
    <row r="770" spans="1:82" x14ac:dyDescent="0.15">
      <c r="A770" s="60">
        <v>2</v>
      </c>
      <c r="C770" s="61" t="s">
        <v>309</v>
      </c>
      <c r="F770" s="61" t="s">
        <v>309</v>
      </c>
      <c r="H770" s="61" t="s">
        <v>309</v>
      </c>
      <c r="J770" s="60">
        <v>4</v>
      </c>
      <c r="L770" s="60">
        <v>0</v>
      </c>
      <c r="M770" s="61">
        <v>44599</v>
      </c>
      <c r="O770" s="62" t="s">
        <v>331</v>
      </c>
      <c r="P770" s="60" t="s">
        <v>263</v>
      </c>
      <c r="Q770" s="62" t="s">
        <v>141</v>
      </c>
      <c r="R770" s="62" t="s">
        <v>2186</v>
      </c>
      <c r="S770" s="63" t="s">
        <v>2187</v>
      </c>
      <c r="T770" s="63" t="s">
        <v>2188</v>
      </c>
      <c r="U770" s="64">
        <v>0</v>
      </c>
      <c r="V770" s="64">
        <v>0</v>
      </c>
      <c r="W770" s="64">
        <v>0</v>
      </c>
      <c r="X770" s="64">
        <v>0</v>
      </c>
      <c r="Y770" s="64">
        <v>0</v>
      </c>
      <c r="Z770" s="64">
        <v>0</v>
      </c>
      <c r="AA770" s="61">
        <v>44579</v>
      </c>
      <c r="AB770" s="61">
        <v>44579</v>
      </c>
      <c r="AD770" s="60">
        <v>0</v>
      </c>
      <c r="AG770" s="60">
        <v>0</v>
      </c>
      <c r="AJ770" s="60">
        <v>0</v>
      </c>
      <c r="AN770" s="60" t="s">
        <v>309</v>
      </c>
      <c r="AY770" s="99">
        <f>ROUNDDOWN((0.96*U770),0)</f>
        <v>0</v>
      </c>
      <c r="AZ770" s="99">
        <f>ROUNDDOWN(AY770+(AY770*MASTER!$A$2/100),0)</f>
        <v>0</v>
      </c>
      <c r="BA770" s="60" t="s">
        <v>317</v>
      </c>
      <c r="BB770" s="64">
        <v>44000</v>
      </c>
      <c r="BC770" s="64">
        <v>48400</v>
      </c>
      <c r="BD770" s="60" t="s">
        <v>1614</v>
      </c>
      <c r="BG770" s="64">
        <v>0</v>
      </c>
      <c r="BK770" s="64">
        <v>0</v>
      </c>
      <c r="BS770" s="64">
        <v>0</v>
      </c>
      <c r="BV770" s="65">
        <v>0</v>
      </c>
      <c r="BW770" s="65">
        <v>48400</v>
      </c>
      <c r="BX770" s="65">
        <v>44599</v>
      </c>
      <c r="BY770" s="65">
        <v>-48400</v>
      </c>
      <c r="BZ770" s="81" t="s">
        <v>309</v>
      </c>
    </row>
    <row r="771" spans="1:82" x14ac:dyDescent="0.15">
      <c r="A771" s="60">
        <v>2</v>
      </c>
      <c r="C771" s="61" t="s">
        <v>309</v>
      </c>
      <c r="F771" s="61" t="s">
        <v>309</v>
      </c>
      <c r="H771" s="61" t="s">
        <v>309</v>
      </c>
      <c r="J771" s="60">
        <v>4</v>
      </c>
      <c r="L771" s="60">
        <v>0</v>
      </c>
      <c r="M771" s="61">
        <v>44599</v>
      </c>
      <c r="O771" s="62" t="s">
        <v>335</v>
      </c>
      <c r="P771" s="60" t="s">
        <v>430</v>
      </c>
      <c r="Q771" s="62" t="s">
        <v>2057</v>
      </c>
      <c r="R771" s="62" t="s">
        <v>2185</v>
      </c>
      <c r="S771" s="63" t="s">
        <v>602</v>
      </c>
      <c r="T771" s="63" t="s">
        <v>2152</v>
      </c>
      <c r="U771" s="64">
        <v>0</v>
      </c>
      <c r="V771" s="64">
        <v>0</v>
      </c>
      <c r="W771" s="64">
        <v>0</v>
      </c>
      <c r="X771" s="64">
        <v>0</v>
      </c>
      <c r="Y771" s="64">
        <v>0</v>
      </c>
      <c r="Z771" s="64">
        <v>0</v>
      </c>
      <c r="AA771" s="61">
        <v>44585</v>
      </c>
      <c r="AB771" s="61">
        <v>44586</v>
      </c>
      <c r="AD771" s="60">
        <v>0</v>
      </c>
      <c r="AG771" s="60">
        <v>0</v>
      </c>
      <c r="AJ771" s="60">
        <v>0</v>
      </c>
      <c r="AN771" s="60" t="s">
        <v>309</v>
      </c>
      <c r="AY771" s="99">
        <f>ROUNDDOWN((0.96*U771),0)</f>
        <v>0</v>
      </c>
      <c r="AZ771" s="99">
        <f>ROUNDDOWN(AY771+(AY771*MASTER!$A$2/100),0)</f>
        <v>0</v>
      </c>
      <c r="BA771" s="60" t="s">
        <v>538</v>
      </c>
      <c r="BB771" s="64">
        <v>84000</v>
      </c>
      <c r="BC771" s="64">
        <v>92400</v>
      </c>
      <c r="BD771" s="60" t="s">
        <v>1469</v>
      </c>
      <c r="BG771" s="64">
        <v>0</v>
      </c>
      <c r="BK771" s="64">
        <v>0</v>
      </c>
      <c r="BS771" s="64">
        <v>0</v>
      </c>
      <c r="BV771" s="65">
        <v>0</v>
      </c>
      <c r="BW771" s="65">
        <v>92400</v>
      </c>
      <c r="BX771" s="65">
        <v>44599</v>
      </c>
      <c r="BY771" s="65">
        <v>-92400</v>
      </c>
      <c r="BZ771" s="81" t="s">
        <v>309</v>
      </c>
    </row>
    <row r="772" spans="1:82" x14ac:dyDescent="0.15">
      <c r="A772" s="60">
        <v>2</v>
      </c>
      <c r="B772" s="61">
        <v>44634</v>
      </c>
      <c r="C772" s="61">
        <v>44634</v>
      </c>
      <c r="D772" s="61">
        <v>44659</v>
      </c>
      <c r="E772" s="61">
        <v>44636</v>
      </c>
      <c r="F772" s="61">
        <v>44637</v>
      </c>
      <c r="G772" s="61">
        <v>44631</v>
      </c>
      <c r="H772" s="61">
        <v>44633</v>
      </c>
      <c r="I772" s="60" t="s">
        <v>511</v>
      </c>
      <c r="J772" s="60">
        <v>1</v>
      </c>
      <c r="L772" s="60">
        <v>0</v>
      </c>
      <c r="M772" s="61">
        <v>44599</v>
      </c>
      <c r="O772" s="62" t="s">
        <v>331</v>
      </c>
      <c r="P772" s="60" t="s">
        <v>26</v>
      </c>
      <c r="Q772" s="62" t="s">
        <v>141</v>
      </c>
      <c r="R772" s="62" t="s">
        <v>2693</v>
      </c>
      <c r="S772" s="63" t="s">
        <v>830</v>
      </c>
      <c r="T772" s="63" t="s">
        <v>621</v>
      </c>
      <c r="U772" s="64">
        <v>59000</v>
      </c>
      <c r="V772" s="64">
        <v>64900</v>
      </c>
      <c r="W772" s="64">
        <v>47000</v>
      </c>
      <c r="X772" s="64">
        <v>51700</v>
      </c>
      <c r="Y772" s="64">
        <v>12000</v>
      </c>
      <c r="Z772" s="64">
        <v>13200</v>
      </c>
      <c r="AA772" s="61">
        <v>44629</v>
      </c>
      <c r="AB772" s="61">
        <v>44630</v>
      </c>
      <c r="AC772" s="61">
        <v>44630</v>
      </c>
      <c r="AD772" s="60">
        <v>0</v>
      </c>
      <c r="AG772" s="60">
        <v>0</v>
      </c>
      <c r="AJ772" s="60">
        <v>0</v>
      </c>
      <c r="AM772" s="60" t="s">
        <v>273</v>
      </c>
      <c r="AN772" s="60" t="s">
        <v>2694</v>
      </c>
      <c r="AQ772" s="60" t="s">
        <v>2695</v>
      </c>
      <c r="AR772" s="61">
        <v>44631</v>
      </c>
      <c r="AS772" s="60">
        <v>6002003324</v>
      </c>
      <c r="AT772" s="61">
        <v>44631</v>
      </c>
      <c r="AU772" s="60" t="s">
        <v>2710</v>
      </c>
      <c r="AV772" s="61">
        <v>44634</v>
      </c>
      <c r="AW772" s="91">
        <v>44651</v>
      </c>
      <c r="AX772" s="91">
        <v>44671</v>
      </c>
      <c r="AY772" s="99">
        <v>56640</v>
      </c>
      <c r="AZ772" s="99">
        <f>ROUNDDOWN(AY772+(AY772*MASTER!$A$2/100),0)</f>
        <v>62304</v>
      </c>
      <c r="BA772" s="60" t="s">
        <v>318</v>
      </c>
      <c r="BB772" s="64">
        <v>36000</v>
      </c>
      <c r="BC772" s="64">
        <v>39600</v>
      </c>
      <c r="BD772" s="60" t="s">
        <v>2107</v>
      </c>
      <c r="BG772" s="64">
        <v>0</v>
      </c>
      <c r="BI772" s="60" t="s">
        <v>748</v>
      </c>
      <c r="BJ772" s="64">
        <v>7800</v>
      </c>
      <c r="BK772" s="64">
        <v>8580</v>
      </c>
      <c r="BL772" s="60" t="s">
        <v>2107</v>
      </c>
      <c r="BS772" s="64">
        <v>0</v>
      </c>
      <c r="BV772" s="65">
        <v>51700</v>
      </c>
      <c r="BW772" s="65">
        <v>48180</v>
      </c>
      <c r="BX772" s="65">
        <v>44599</v>
      </c>
      <c r="BY772" s="65">
        <v>3520</v>
      </c>
      <c r="BZ772" s="81">
        <v>6.8085106382978724</v>
      </c>
    </row>
    <row r="773" spans="1:82" x14ac:dyDescent="0.15">
      <c r="A773" s="60">
        <v>2</v>
      </c>
      <c r="B773" s="61">
        <v>44608</v>
      </c>
      <c r="C773" s="61">
        <v>44608</v>
      </c>
      <c r="D773" s="61">
        <v>44627</v>
      </c>
      <c r="F773" s="61">
        <v>44608</v>
      </c>
      <c r="H773" s="61">
        <v>44604</v>
      </c>
      <c r="J773" s="60">
        <v>2</v>
      </c>
      <c r="L773" s="60">
        <v>0</v>
      </c>
      <c r="M773" s="61">
        <v>44599</v>
      </c>
      <c r="O773" s="62" t="s">
        <v>331</v>
      </c>
      <c r="P773" s="60" t="s">
        <v>77</v>
      </c>
      <c r="Q773" s="62" t="s">
        <v>141</v>
      </c>
      <c r="R773" s="62" t="s">
        <v>2193</v>
      </c>
      <c r="S773" s="63" t="s">
        <v>1071</v>
      </c>
      <c r="T773" s="63" t="s">
        <v>346</v>
      </c>
      <c r="U773" s="64">
        <v>65000</v>
      </c>
      <c r="V773" s="64">
        <v>71500</v>
      </c>
      <c r="W773" s="64">
        <v>65000</v>
      </c>
      <c r="X773" s="64">
        <v>71500</v>
      </c>
      <c r="Y773" s="64">
        <v>0</v>
      </c>
      <c r="Z773" s="64">
        <v>0</v>
      </c>
      <c r="AA773" s="61">
        <v>44600</v>
      </c>
      <c r="AB773" s="61">
        <v>44601</v>
      </c>
      <c r="AC773" s="61">
        <v>44601</v>
      </c>
      <c r="AD773" s="60">
        <v>0</v>
      </c>
      <c r="AG773" s="60">
        <v>0</v>
      </c>
      <c r="AJ773" s="60">
        <v>0</v>
      </c>
      <c r="AQ773" s="60" t="s">
        <v>2233</v>
      </c>
      <c r="AR773" s="61">
        <v>44606</v>
      </c>
      <c r="AS773" s="60">
        <v>6001993041</v>
      </c>
      <c r="AT773" s="61">
        <v>44607</v>
      </c>
      <c r="AU773" s="60" t="s">
        <v>2311</v>
      </c>
      <c r="AV773" s="61">
        <v>44608</v>
      </c>
      <c r="AW773" s="91">
        <v>44620</v>
      </c>
      <c r="AX773" s="91">
        <v>44640</v>
      </c>
      <c r="AY773" s="107">
        <v>65000</v>
      </c>
      <c r="AZ773" s="107">
        <f>ROUNDDOWN(AY773+(AY773*MASTER!$A$2/100),0)</f>
        <v>71500</v>
      </c>
      <c r="BC773" s="64">
        <v>0</v>
      </c>
      <c r="BG773" s="64">
        <v>0</v>
      </c>
      <c r="BK773" s="64">
        <v>0</v>
      </c>
      <c r="BS773" s="64">
        <v>0</v>
      </c>
      <c r="BV773" s="65">
        <v>71500</v>
      </c>
      <c r="BW773" s="65">
        <v>0</v>
      </c>
      <c r="BX773" s="65">
        <v>44599</v>
      </c>
      <c r="BY773" s="65">
        <v>71500</v>
      </c>
      <c r="BZ773" s="81">
        <v>100</v>
      </c>
      <c r="CD773" s="63" t="s">
        <v>2385</v>
      </c>
    </row>
    <row r="774" spans="1:82" x14ac:dyDescent="0.15">
      <c r="A774" s="60">
        <v>2</v>
      </c>
      <c r="B774" s="61">
        <v>44608</v>
      </c>
      <c r="C774" s="61">
        <v>44611</v>
      </c>
      <c r="D774" s="61">
        <v>44634</v>
      </c>
      <c r="F774" s="61" t="s">
        <v>309</v>
      </c>
      <c r="H774" s="61" t="s">
        <v>309</v>
      </c>
      <c r="J774" s="60">
        <v>2</v>
      </c>
      <c r="L774" s="60">
        <v>0</v>
      </c>
      <c r="M774" s="61">
        <v>44599</v>
      </c>
      <c r="O774" s="62" t="s">
        <v>331</v>
      </c>
      <c r="P774" s="60" t="s">
        <v>77</v>
      </c>
      <c r="Q774" s="62" t="s">
        <v>141</v>
      </c>
      <c r="R774" s="62" t="s">
        <v>2195</v>
      </c>
      <c r="S774" s="63" t="s">
        <v>1021</v>
      </c>
      <c r="T774" s="63" t="s">
        <v>346</v>
      </c>
      <c r="U774" s="64">
        <v>65000</v>
      </c>
      <c r="V774" s="64">
        <v>71500</v>
      </c>
      <c r="W774" s="64">
        <v>65000</v>
      </c>
      <c r="X774" s="64">
        <v>71500</v>
      </c>
      <c r="Y774" s="64">
        <v>0</v>
      </c>
      <c r="Z774" s="64">
        <v>0</v>
      </c>
      <c r="AA774" s="61" t="s">
        <v>2044</v>
      </c>
      <c r="AD774" s="60">
        <v>0</v>
      </c>
      <c r="AG774" s="60">
        <v>0</v>
      </c>
      <c r="AJ774" s="60">
        <v>0</v>
      </c>
      <c r="AQ774" s="60" t="s">
        <v>2232</v>
      </c>
      <c r="AR774" s="61">
        <v>44606</v>
      </c>
      <c r="AS774" s="60">
        <v>6001993041</v>
      </c>
      <c r="AT774" s="61">
        <v>44607</v>
      </c>
      <c r="AU774" s="60" t="s">
        <v>2311</v>
      </c>
      <c r="AV774" s="61">
        <v>44611</v>
      </c>
      <c r="AW774" s="91">
        <v>44620</v>
      </c>
      <c r="AX774" s="91">
        <v>44640</v>
      </c>
      <c r="AY774" s="107">
        <v>65000</v>
      </c>
      <c r="AZ774" s="107">
        <f>ROUNDDOWN(AY774+(AY774*MASTER!$A$2/100),0)</f>
        <v>71500</v>
      </c>
      <c r="BC774" s="64">
        <v>0</v>
      </c>
      <c r="BG774" s="64">
        <v>0</v>
      </c>
      <c r="BK774" s="64">
        <v>0</v>
      </c>
      <c r="BS774" s="64">
        <v>0</v>
      </c>
      <c r="BV774" s="65">
        <v>71500</v>
      </c>
      <c r="BW774" s="65">
        <v>0</v>
      </c>
      <c r="BX774" s="65">
        <v>44599</v>
      </c>
      <c r="BY774" s="65">
        <v>71500</v>
      </c>
      <c r="BZ774" s="81">
        <v>100</v>
      </c>
    </row>
    <row r="775" spans="1:82" x14ac:dyDescent="0.15">
      <c r="A775" s="60">
        <v>2</v>
      </c>
      <c r="B775" s="61">
        <v>44608</v>
      </c>
      <c r="C775" s="61">
        <v>44610</v>
      </c>
      <c r="D775" s="61">
        <v>44634</v>
      </c>
      <c r="F775" s="61" t="s">
        <v>309</v>
      </c>
      <c r="H775" s="61" t="s">
        <v>309</v>
      </c>
      <c r="J775" s="60">
        <v>2</v>
      </c>
      <c r="L775" s="60">
        <v>0</v>
      </c>
      <c r="M775" s="61">
        <v>44599</v>
      </c>
      <c r="O775" s="62" t="s">
        <v>331</v>
      </c>
      <c r="P775" s="60" t="s">
        <v>77</v>
      </c>
      <c r="Q775" s="62" t="s">
        <v>141</v>
      </c>
      <c r="R775" s="62" t="s">
        <v>2386</v>
      </c>
      <c r="S775" s="63" t="s">
        <v>1026</v>
      </c>
      <c r="T775" s="63" t="s">
        <v>1953</v>
      </c>
      <c r="U775" s="64">
        <v>65000</v>
      </c>
      <c r="V775" s="64">
        <v>71500</v>
      </c>
      <c r="W775" s="64">
        <v>65000</v>
      </c>
      <c r="X775" s="64">
        <v>71500</v>
      </c>
      <c r="Y775" s="64">
        <v>0</v>
      </c>
      <c r="Z775" s="64">
        <v>0</v>
      </c>
      <c r="AA775" s="61" t="s">
        <v>2044</v>
      </c>
      <c r="AD775" s="60">
        <v>0</v>
      </c>
      <c r="AG775" s="60">
        <v>0</v>
      </c>
      <c r="AJ775" s="60">
        <v>0</v>
      </c>
      <c r="AQ775" s="60" t="s">
        <v>2231</v>
      </c>
      <c r="AR775" s="61">
        <v>44606</v>
      </c>
      <c r="AS775" s="60">
        <v>6001993041</v>
      </c>
      <c r="AT775" s="61">
        <v>44607</v>
      </c>
      <c r="AU775" s="60" t="s">
        <v>2311</v>
      </c>
      <c r="AV775" s="61">
        <v>44610</v>
      </c>
      <c r="AW775" s="91">
        <v>44620</v>
      </c>
      <c r="AX775" s="91">
        <v>44640</v>
      </c>
      <c r="AY775" s="107">
        <v>65000</v>
      </c>
      <c r="AZ775" s="107">
        <f>ROUNDDOWN(AY775+(AY775*MASTER!$A$2/100),0)</f>
        <v>71500</v>
      </c>
      <c r="BC775" s="64">
        <v>0</v>
      </c>
      <c r="BG775" s="64">
        <v>0</v>
      </c>
      <c r="BK775" s="64">
        <v>0</v>
      </c>
      <c r="BS775" s="64">
        <v>0</v>
      </c>
      <c r="BV775" s="65">
        <v>71500</v>
      </c>
      <c r="BW775" s="65">
        <v>0</v>
      </c>
      <c r="BX775" s="65">
        <v>44599</v>
      </c>
      <c r="BY775" s="65">
        <v>71500</v>
      </c>
      <c r="BZ775" s="81">
        <v>100</v>
      </c>
    </row>
    <row r="776" spans="1:82" x14ac:dyDescent="0.15">
      <c r="A776" s="60">
        <v>2</v>
      </c>
      <c r="B776" s="61">
        <v>44608</v>
      </c>
      <c r="C776" s="61">
        <v>44610</v>
      </c>
      <c r="D776" s="61">
        <v>44634</v>
      </c>
      <c r="F776" s="61" t="s">
        <v>309</v>
      </c>
      <c r="H776" s="61" t="s">
        <v>309</v>
      </c>
      <c r="J776" s="60">
        <v>2</v>
      </c>
      <c r="L776" s="60">
        <v>0</v>
      </c>
      <c r="M776" s="61">
        <v>44599</v>
      </c>
      <c r="O776" s="62" t="s">
        <v>331</v>
      </c>
      <c r="P776" s="60" t="s">
        <v>77</v>
      </c>
      <c r="Q776" s="62" t="s">
        <v>141</v>
      </c>
      <c r="R776" s="62" t="s">
        <v>2387</v>
      </c>
      <c r="S776" s="63" t="s">
        <v>1026</v>
      </c>
      <c r="T776" s="63" t="s">
        <v>346</v>
      </c>
      <c r="U776" s="64">
        <v>65000</v>
      </c>
      <c r="V776" s="64">
        <v>71500</v>
      </c>
      <c r="W776" s="64">
        <v>65000</v>
      </c>
      <c r="X776" s="64">
        <v>71500</v>
      </c>
      <c r="Y776" s="64">
        <v>0</v>
      </c>
      <c r="Z776" s="64">
        <v>0</v>
      </c>
      <c r="AA776" s="61" t="s">
        <v>2044</v>
      </c>
      <c r="AD776" s="60">
        <v>0</v>
      </c>
      <c r="AG776" s="60">
        <v>0</v>
      </c>
      <c r="AJ776" s="60">
        <v>0</v>
      </c>
      <c r="AQ776" s="60" t="s">
        <v>2234</v>
      </c>
      <c r="AR776" s="61">
        <v>44606</v>
      </c>
      <c r="AS776" s="60">
        <v>6001993041</v>
      </c>
      <c r="AT776" s="61">
        <v>44607</v>
      </c>
      <c r="AU776" s="60" t="s">
        <v>2311</v>
      </c>
      <c r="AV776" s="61">
        <v>44610</v>
      </c>
      <c r="AW776" s="91">
        <v>44620</v>
      </c>
      <c r="AX776" s="91">
        <v>44640</v>
      </c>
      <c r="AY776" s="107">
        <v>65000</v>
      </c>
      <c r="AZ776" s="107">
        <f>ROUNDDOWN(AY776+(AY776*MASTER!$A$2/100),0)</f>
        <v>71500</v>
      </c>
      <c r="BC776" s="64">
        <v>0</v>
      </c>
      <c r="BG776" s="64">
        <v>0</v>
      </c>
      <c r="BK776" s="64">
        <v>0</v>
      </c>
      <c r="BS776" s="64">
        <v>0</v>
      </c>
      <c r="BV776" s="65">
        <v>71500</v>
      </c>
      <c r="BW776" s="65">
        <v>0</v>
      </c>
      <c r="BX776" s="65">
        <v>44599</v>
      </c>
      <c r="BY776" s="65">
        <v>71500</v>
      </c>
      <c r="BZ776" s="81">
        <v>100</v>
      </c>
    </row>
    <row r="777" spans="1:82" x14ac:dyDescent="0.15">
      <c r="A777" s="60">
        <v>2</v>
      </c>
      <c r="C777" s="61" t="s">
        <v>309</v>
      </c>
      <c r="D777" s="61">
        <v>44600</v>
      </c>
      <c r="E777" s="61">
        <v>44600</v>
      </c>
      <c r="F777" s="61" t="s">
        <v>309</v>
      </c>
      <c r="G777" s="61">
        <v>44600</v>
      </c>
      <c r="H777" s="61" t="s">
        <v>309</v>
      </c>
      <c r="I777" s="60" t="s">
        <v>494</v>
      </c>
      <c r="J777" s="60">
        <v>4</v>
      </c>
      <c r="L777" s="60">
        <v>0</v>
      </c>
      <c r="M777" s="61">
        <v>44600</v>
      </c>
      <c r="O777" s="62" t="s">
        <v>331</v>
      </c>
      <c r="P777" s="60" t="s">
        <v>6</v>
      </c>
      <c r="Q777" s="62" t="s">
        <v>141</v>
      </c>
      <c r="R777" s="62" t="s">
        <v>2247</v>
      </c>
      <c r="S777" s="63" t="s">
        <v>1819</v>
      </c>
      <c r="T777" s="63" t="s">
        <v>972</v>
      </c>
      <c r="U777" s="64">
        <v>0</v>
      </c>
      <c r="V777" s="64">
        <v>0</v>
      </c>
      <c r="W777" s="64">
        <v>0</v>
      </c>
      <c r="X777" s="64">
        <v>0</v>
      </c>
      <c r="Z777" s="64">
        <v>0</v>
      </c>
      <c r="AA777" s="61">
        <v>44599</v>
      </c>
      <c r="AB777" s="61">
        <v>44599</v>
      </c>
      <c r="AD777" s="60">
        <v>0</v>
      </c>
      <c r="AG777" s="60">
        <v>0</v>
      </c>
      <c r="AJ777" s="60">
        <v>0</v>
      </c>
      <c r="AN777" s="60" t="s">
        <v>309</v>
      </c>
      <c r="AY777" s="99">
        <v>0</v>
      </c>
      <c r="AZ777" s="99">
        <f>ROUNDDOWN(AY777+(AY777*MASTER!$A$2/100),0)</f>
        <v>0</v>
      </c>
      <c r="BA777" s="60" t="s">
        <v>613</v>
      </c>
      <c r="BB777" s="64">
        <v>32000</v>
      </c>
      <c r="BC777" s="64">
        <v>35200</v>
      </c>
      <c r="BD777" s="60" t="s">
        <v>2044</v>
      </c>
      <c r="BG777" s="64">
        <v>0</v>
      </c>
      <c r="BK777" s="64">
        <v>0</v>
      </c>
      <c r="BS777" s="64">
        <v>0</v>
      </c>
      <c r="BV777" s="65">
        <v>0</v>
      </c>
      <c r="BW777" s="65">
        <v>35200</v>
      </c>
      <c r="BX777" s="65">
        <v>44600</v>
      </c>
      <c r="BY777" s="65">
        <v>-35200</v>
      </c>
      <c r="BZ777" s="81" t="s">
        <v>309</v>
      </c>
    </row>
    <row r="778" spans="1:82" x14ac:dyDescent="0.15">
      <c r="A778" s="60">
        <v>1</v>
      </c>
      <c r="B778" s="61">
        <v>44657</v>
      </c>
      <c r="C778" s="61">
        <v>44678</v>
      </c>
      <c r="F778" s="61" t="s">
        <v>309</v>
      </c>
      <c r="H778" s="61" t="s">
        <v>309</v>
      </c>
      <c r="J778" s="60">
        <v>3</v>
      </c>
      <c r="L778" s="60">
        <v>0</v>
      </c>
      <c r="M778" s="61">
        <v>44600</v>
      </c>
      <c r="O778" s="62" t="s">
        <v>331</v>
      </c>
      <c r="P778" s="60" t="s">
        <v>6</v>
      </c>
      <c r="Q778" s="62" t="s">
        <v>141</v>
      </c>
      <c r="R778" s="62" t="s">
        <v>2543</v>
      </c>
      <c r="S778" s="63" t="s">
        <v>1163</v>
      </c>
      <c r="T778" s="63" t="s">
        <v>463</v>
      </c>
      <c r="U778" s="64">
        <v>9000</v>
      </c>
      <c r="V778" s="64">
        <v>9900</v>
      </c>
      <c r="W778" s="64">
        <v>0</v>
      </c>
      <c r="X778" s="64">
        <v>0</v>
      </c>
      <c r="Y778" s="64">
        <v>9000</v>
      </c>
      <c r="Z778" s="64">
        <v>9900</v>
      </c>
      <c r="AD778" s="60">
        <v>0</v>
      </c>
      <c r="AG778" s="60">
        <v>0</v>
      </c>
      <c r="AJ778" s="60">
        <v>0</v>
      </c>
      <c r="AN778" s="60" t="s">
        <v>309</v>
      </c>
      <c r="AQ778" s="60" t="s">
        <v>2573</v>
      </c>
      <c r="AR778" s="61">
        <v>44623</v>
      </c>
      <c r="AS778" s="60">
        <v>6001999819</v>
      </c>
      <c r="AT778" s="61">
        <v>44624</v>
      </c>
      <c r="AU778" s="60" t="s">
        <v>2593</v>
      </c>
      <c r="AV778" s="61">
        <v>44678</v>
      </c>
      <c r="AW778" s="91">
        <v>44681</v>
      </c>
      <c r="AX778" s="91">
        <v>44701</v>
      </c>
      <c r="AY778" s="99">
        <v>8640</v>
      </c>
      <c r="AZ778" s="99">
        <f>ROUNDDOWN(AY778+(AY778*MASTER!$A$2/100),0)</f>
        <v>9504</v>
      </c>
      <c r="BC778" s="64">
        <v>0</v>
      </c>
      <c r="BG778" s="64">
        <v>0</v>
      </c>
      <c r="BK778" s="64">
        <v>0</v>
      </c>
      <c r="BS778" s="64">
        <v>0</v>
      </c>
      <c r="BV778" s="65">
        <v>0</v>
      </c>
      <c r="BW778" s="65">
        <v>0</v>
      </c>
      <c r="BX778" s="65">
        <v>44600</v>
      </c>
      <c r="BY778" s="65">
        <v>0</v>
      </c>
      <c r="BZ778" s="81" t="s">
        <v>309</v>
      </c>
    </row>
    <row r="779" spans="1:82" x14ac:dyDescent="0.15">
      <c r="A779" s="60">
        <v>2</v>
      </c>
      <c r="B779" s="61">
        <v>44665</v>
      </c>
      <c r="C779" s="61">
        <v>44679</v>
      </c>
      <c r="D779" s="61">
        <v>44687</v>
      </c>
      <c r="F779" s="61">
        <v>44688</v>
      </c>
      <c r="H779" s="61">
        <v>44684</v>
      </c>
      <c r="I779" s="60" t="s">
        <v>774</v>
      </c>
      <c r="J779" s="60">
        <v>2</v>
      </c>
      <c r="L779" s="60">
        <v>0</v>
      </c>
      <c r="M779" s="61">
        <v>44601</v>
      </c>
      <c r="N779" s="62"/>
      <c r="O779" s="60">
        <v>18</v>
      </c>
      <c r="P779" s="62" t="s">
        <v>77</v>
      </c>
      <c r="Q779" s="62" t="s">
        <v>141</v>
      </c>
      <c r="R779" s="62" t="s">
        <v>2209</v>
      </c>
      <c r="S779" s="63" t="s">
        <v>3177</v>
      </c>
      <c r="T779" s="63" t="s">
        <v>346</v>
      </c>
      <c r="U779" s="64">
        <v>65000</v>
      </c>
      <c r="V779" s="64">
        <v>71500</v>
      </c>
      <c r="W779" s="64">
        <v>65000</v>
      </c>
      <c r="X779" s="64">
        <v>71500</v>
      </c>
      <c r="Y779" s="64">
        <v>0</v>
      </c>
      <c r="Z779" s="64">
        <v>0</v>
      </c>
      <c r="AA779" s="61">
        <v>44680</v>
      </c>
      <c r="AB779" s="61">
        <v>44681</v>
      </c>
      <c r="AC779" s="61">
        <v>44681</v>
      </c>
      <c r="AD779" s="60">
        <v>0</v>
      </c>
      <c r="AG779" s="60">
        <v>0</v>
      </c>
      <c r="AJ779" s="60">
        <v>0</v>
      </c>
      <c r="AQ779" s="60" t="s">
        <v>2303</v>
      </c>
      <c r="AR779" s="61">
        <v>44607</v>
      </c>
      <c r="AS779" s="60">
        <v>6001993820</v>
      </c>
      <c r="AT779" s="61">
        <v>44607</v>
      </c>
      <c r="AU779" s="60" t="s">
        <v>2317</v>
      </c>
      <c r="AV779" s="61">
        <v>44679</v>
      </c>
      <c r="AW779" s="91">
        <v>44681</v>
      </c>
      <c r="AX779" s="91">
        <v>44701</v>
      </c>
      <c r="AY779" s="107">
        <v>65000</v>
      </c>
      <c r="AZ779" s="107">
        <f>ROUNDDOWN(AY779+(AY779*MASTER!$A$2/100),0)</f>
        <v>71500</v>
      </c>
      <c r="BA779" s="60" t="s">
        <v>765</v>
      </c>
      <c r="BC779" s="64">
        <v>0</v>
      </c>
      <c r="BG779" s="64">
        <v>0</v>
      </c>
      <c r="BK779" s="64">
        <v>0</v>
      </c>
      <c r="BS779" s="64">
        <v>0</v>
      </c>
      <c r="BV779" s="65">
        <v>71500</v>
      </c>
      <c r="BW779" s="65">
        <v>0</v>
      </c>
      <c r="BX779" s="65">
        <v>44601</v>
      </c>
      <c r="BY779" s="65">
        <v>71500</v>
      </c>
      <c r="BZ779" s="81">
        <v>100</v>
      </c>
      <c r="CD779" s="63" t="s">
        <v>3326</v>
      </c>
    </row>
    <row r="780" spans="1:82" x14ac:dyDescent="0.15">
      <c r="A780" s="60">
        <v>2</v>
      </c>
      <c r="B780" s="61">
        <v>44665</v>
      </c>
      <c r="C780" s="61">
        <v>44679</v>
      </c>
      <c r="D780" s="61">
        <v>44690</v>
      </c>
      <c r="F780" s="61">
        <v>44685</v>
      </c>
      <c r="H780" s="61">
        <v>44681</v>
      </c>
      <c r="J780" s="60">
        <v>2</v>
      </c>
      <c r="L780" s="60">
        <v>0</v>
      </c>
      <c r="M780" s="61">
        <v>44601</v>
      </c>
      <c r="N780" s="62"/>
      <c r="O780" s="60">
        <v>18</v>
      </c>
      <c r="P780" s="62" t="s">
        <v>77</v>
      </c>
      <c r="Q780" s="62" t="s">
        <v>141</v>
      </c>
      <c r="R780" s="62" t="s">
        <v>3126</v>
      </c>
      <c r="S780" s="63" t="s">
        <v>1485</v>
      </c>
      <c r="T780" s="63" t="s">
        <v>346</v>
      </c>
      <c r="U780" s="64">
        <v>65000</v>
      </c>
      <c r="V780" s="64">
        <v>71500</v>
      </c>
      <c r="W780" s="64">
        <v>65000</v>
      </c>
      <c r="X780" s="64">
        <v>71500</v>
      </c>
      <c r="Y780" s="64">
        <v>0</v>
      </c>
      <c r="Z780" s="64">
        <v>0</v>
      </c>
      <c r="AA780" s="61">
        <v>44677</v>
      </c>
      <c r="AB780" s="61">
        <v>44678</v>
      </c>
      <c r="AC780" s="61">
        <v>44678</v>
      </c>
      <c r="AD780" s="60">
        <v>0</v>
      </c>
      <c r="AG780" s="60">
        <v>0</v>
      </c>
      <c r="AJ780" s="60">
        <v>0</v>
      </c>
      <c r="AQ780" s="60" t="s">
        <v>2303</v>
      </c>
      <c r="AR780" s="61">
        <v>44607</v>
      </c>
      <c r="AS780" s="60">
        <v>6001993820</v>
      </c>
      <c r="AT780" s="61">
        <v>44607</v>
      </c>
      <c r="AU780" s="60" t="s">
        <v>2317</v>
      </c>
      <c r="AV780" s="61">
        <v>44679</v>
      </c>
      <c r="AW780" s="91">
        <v>44681</v>
      </c>
      <c r="AX780" s="91">
        <v>44701</v>
      </c>
      <c r="AY780" s="107">
        <v>65000</v>
      </c>
      <c r="AZ780" s="107">
        <f>ROUNDDOWN(AY780+(AY780*MASTER!$A$2/100),0)</f>
        <v>71500</v>
      </c>
      <c r="BC780" s="64">
        <v>0</v>
      </c>
      <c r="BG780" s="64">
        <v>0</v>
      </c>
      <c r="BK780" s="64">
        <v>0</v>
      </c>
      <c r="BS780" s="64">
        <v>0</v>
      </c>
      <c r="BV780" s="65">
        <v>71500</v>
      </c>
      <c r="BW780" s="65">
        <v>0</v>
      </c>
      <c r="BX780" s="65">
        <v>44601</v>
      </c>
      <c r="BY780" s="65">
        <v>71500</v>
      </c>
      <c r="BZ780" s="81">
        <v>100</v>
      </c>
    </row>
    <row r="781" spans="1:82" x14ac:dyDescent="0.15">
      <c r="A781" s="60">
        <v>2</v>
      </c>
      <c r="B781" s="61">
        <v>44665</v>
      </c>
      <c r="C781" s="61">
        <v>44679</v>
      </c>
      <c r="D781" s="61">
        <v>44690</v>
      </c>
      <c r="F781" s="61">
        <v>44684</v>
      </c>
      <c r="H781" s="61">
        <v>44680</v>
      </c>
      <c r="J781" s="60">
        <v>2</v>
      </c>
      <c r="L781" s="60">
        <v>0</v>
      </c>
      <c r="M781" s="61">
        <v>44601</v>
      </c>
      <c r="N781" s="62"/>
      <c r="O781" s="60">
        <v>18</v>
      </c>
      <c r="P781" s="62" t="s">
        <v>77</v>
      </c>
      <c r="Q781" s="62" t="s">
        <v>141</v>
      </c>
      <c r="R781" s="62" t="s">
        <v>3127</v>
      </c>
      <c r="S781" s="63" t="s">
        <v>1829</v>
      </c>
      <c r="T781" s="63" t="s">
        <v>346</v>
      </c>
      <c r="U781" s="64">
        <v>65000</v>
      </c>
      <c r="V781" s="64">
        <v>71500</v>
      </c>
      <c r="W781" s="64">
        <v>65000</v>
      </c>
      <c r="X781" s="64">
        <v>71500</v>
      </c>
      <c r="Y781" s="64">
        <v>0</v>
      </c>
      <c r="Z781" s="64">
        <v>0</v>
      </c>
      <c r="AA781" s="61">
        <v>44676</v>
      </c>
      <c r="AB781" s="61">
        <v>44677</v>
      </c>
      <c r="AC781" s="61">
        <v>44677</v>
      </c>
      <c r="AD781" s="60">
        <v>0</v>
      </c>
      <c r="AG781" s="60">
        <v>0</v>
      </c>
      <c r="AJ781" s="60">
        <v>0</v>
      </c>
      <c r="AQ781" s="60" t="s">
        <v>2303</v>
      </c>
      <c r="AR781" s="61">
        <v>44607</v>
      </c>
      <c r="AS781" s="60">
        <v>6001993820</v>
      </c>
      <c r="AT781" s="61">
        <v>44607</v>
      </c>
      <c r="AU781" s="60" t="s">
        <v>2317</v>
      </c>
      <c r="AV781" s="61">
        <v>44679</v>
      </c>
      <c r="AW781" s="91">
        <v>44681</v>
      </c>
      <c r="AX781" s="91">
        <v>44701</v>
      </c>
      <c r="AY781" s="107">
        <v>65000</v>
      </c>
      <c r="AZ781" s="107">
        <f>ROUNDDOWN(AY781+(AY781*MASTER!$A$2/100),0)</f>
        <v>71500</v>
      </c>
      <c r="BC781" s="64">
        <v>0</v>
      </c>
      <c r="BG781" s="64">
        <v>0</v>
      </c>
      <c r="BK781" s="64">
        <v>0</v>
      </c>
      <c r="BS781" s="64">
        <v>0</v>
      </c>
      <c r="BV781" s="65">
        <v>71500</v>
      </c>
      <c r="BW781" s="65">
        <v>0</v>
      </c>
      <c r="BX781" s="65">
        <v>44601</v>
      </c>
      <c r="BY781" s="65">
        <v>71500</v>
      </c>
      <c r="BZ781" s="81">
        <v>100</v>
      </c>
    </row>
    <row r="782" spans="1:82" x14ac:dyDescent="0.15">
      <c r="A782" s="60">
        <v>2</v>
      </c>
      <c r="B782" s="61">
        <v>44665</v>
      </c>
      <c r="C782" s="61">
        <v>44679</v>
      </c>
      <c r="D782" s="61">
        <v>44690</v>
      </c>
      <c r="F782" s="61">
        <v>44688</v>
      </c>
      <c r="H782" s="61">
        <v>44684</v>
      </c>
      <c r="J782" s="60">
        <v>2</v>
      </c>
      <c r="L782" s="60">
        <v>0</v>
      </c>
      <c r="M782" s="61">
        <v>44601</v>
      </c>
      <c r="N782" s="62"/>
      <c r="O782" s="60">
        <v>18</v>
      </c>
      <c r="P782" s="62" t="s">
        <v>77</v>
      </c>
      <c r="Q782" s="62" t="s">
        <v>141</v>
      </c>
      <c r="R782" s="62" t="s">
        <v>3128</v>
      </c>
      <c r="S782" s="63" t="s">
        <v>2290</v>
      </c>
      <c r="T782" s="63" t="s">
        <v>346</v>
      </c>
      <c r="U782" s="64">
        <v>65000</v>
      </c>
      <c r="V782" s="64">
        <v>71500</v>
      </c>
      <c r="W782" s="64">
        <v>65000</v>
      </c>
      <c r="X782" s="64">
        <v>71500</v>
      </c>
      <c r="Y782" s="64">
        <v>0</v>
      </c>
      <c r="Z782" s="64">
        <v>0</v>
      </c>
      <c r="AA782" s="61">
        <v>44680</v>
      </c>
      <c r="AB782" s="61">
        <v>44681</v>
      </c>
      <c r="AC782" s="61">
        <v>44681</v>
      </c>
      <c r="AD782" s="60">
        <v>0</v>
      </c>
      <c r="AG782" s="60">
        <v>0</v>
      </c>
      <c r="AJ782" s="60">
        <v>0</v>
      </c>
      <c r="AQ782" s="60" t="s">
        <v>2303</v>
      </c>
      <c r="AR782" s="61">
        <v>44607</v>
      </c>
      <c r="AS782" s="60">
        <v>6001993820</v>
      </c>
      <c r="AT782" s="61">
        <v>44607</v>
      </c>
      <c r="AU782" s="60" t="s">
        <v>2317</v>
      </c>
      <c r="AV782" s="61">
        <v>44679</v>
      </c>
      <c r="AW782" s="91">
        <v>44681</v>
      </c>
      <c r="AX782" s="91">
        <v>44701</v>
      </c>
      <c r="AY782" s="107">
        <v>65000</v>
      </c>
      <c r="AZ782" s="107">
        <f>ROUNDDOWN(AY782+(AY782*MASTER!$A$2/100),0)</f>
        <v>71500</v>
      </c>
      <c r="BC782" s="64">
        <v>0</v>
      </c>
      <c r="BG782" s="64">
        <v>0</v>
      </c>
      <c r="BK782" s="64">
        <v>0</v>
      </c>
      <c r="BS782" s="64">
        <v>0</v>
      </c>
      <c r="BV782" s="65">
        <v>71500</v>
      </c>
      <c r="BW782" s="65">
        <v>0</v>
      </c>
      <c r="BX782" s="65">
        <v>44601</v>
      </c>
      <c r="BY782" s="65">
        <v>71500</v>
      </c>
      <c r="BZ782" s="81">
        <v>100</v>
      </c>
    </row>
    <row r="783" spans="1:82" x14ac:dyDescent="0.15">
      <c r="A783" s="60">
        <v>2</v>
      </c>
      <c r="B783" s="61">
        <v>44665</v>
      </c>
      <c r="C783" s="61">
        <v>44679</v>
      </c>
      <c r="D783" s="61">
        <v>44690</v>
      </c>
      <c r="F783" s="61">
        <v>44686</v>
      </c>
      <c r="H783" s="61">
        <v>44682</v>
      </c>
      <c r="J783" s="60">
        <v>2</v>
      </c>
      <c r="L783" s="60">
        <v>0</v>
      </c>
      <c r="M783" s="61">
        <v>44601</v>
      </c>
      <c r="N783" s="62"/>
      <c r="O783" s="60">
        <v>18</v>
      </c>
      <c r="P783" s="62" t="s">
        <v>77</v>
      </c>
      <c r="Q783" s="62" t="s">
        <v>141</v>
      </c>
      <c r="R783" s="62" t="s">
        <v>3129</v>
      </c>
      <c r="S783" s="63" t="s">
        <v>1224</v>
      </c>
      <c r="T783" s="63" t="s">
        <v>346</v>
      </c>
      <c r="U783" s="64">
        <v>65000</v>
      </c>
      <c r="V783" s="64">
        <v>71500</v>
      </c>
      <c r="W783" s="64">
        <v>65000</v>
      </c>
      <c r="X783" s="64">
        <v>71500</v>
      </c>
      <c r="Y783" s="64">
        <v>0</v>
      </c>
      <c r="Z783" s="64">
        <v>0</v>
      </c>
      <c r="AA783" s="61">
        <v>44678</v>
      </c>
      <c r="AB783" s="61">
        <v>44679</v>
      </c>
      <c r="AC783" s="61">
        <v>44679</v>
      </c>
      <c r="AD783" s="60">
        <v>0</v>
      </c>
      <c r="AG783" s="60">
        <v>0</v>
      </c>
      <c r="AJ783" s="60">
        <v>0</v>
      </c>
      <c r="AQ783" s="60" t="s">
        <v>2303</v>
      </c>
      <c r="AR783" s="61">
        <v>44607</v>
      </c>
      <c r="AS783" s="60">
        <v>6001993820</v>
      </c>
      <c r="AT783" s="61">
        <v>44607</v>
      </c>
      <c r="AU783" s="60" t="s">
        <v>2317</v>
      </c>
      <c r="AV783" s="61">
        <v>44679</v>
      </c>
      <c r="AW783" s="91">
        <v>44681</v>
      </c>
      <c r="AX783" s="91">
        <v>44701</v>
      </c>
      <c r="AY783" s="107">
        <v>65000</v>
      </c>
      <c r="AZ783" s="107">
        <f>ROUNDDOWN(AY783+(AY783*MASTER!$A$2/100),0)</f>
        <v>71500</v>
      </c>
      <c r="BC783" s="64">
        <v>0</v>
      </c>
      <c r="BG783" s="64">
        <v>0</v>
      </c>
      <c r="BK783" s="64">
        <v>0</v>
      </c>
      <c r="BS783" s="64">
        <v>0</v>
      </c>
      <c r="BV783" s="65">
        <v>71500</v>
      </c>
      <c r="BW783" s="65">
        <v>0</v>
      </c>
      <c r="BX783" s="65">
        <v>44601</v>
      </c>
      <c r="BY783" s="65">
        <v>71500</v>
      </c>
      <c r="BZ783" s="81">
        <v>100</v>
      </c>
    </row>
    <row r="784" spans="1:82" x14ac:dyDescent="0.15">
      <c r="A784" s="60">
        <v>2</v>
      </c>
      <c r="B784" s="61">
        <v>44665</v>
      </c>
      <c r="C784" s="61">
        <v>44679</v>
      </c>
      <c r="D784" s="61">
        <v>44687</v>
      </c>
      <c r="F784" s="61">
        <v>44686</v>
      </c>
      <c r="H784" s="61">
        <v>44682</v>
      </c>
      <c r="I784" s="60" t="s">
        <v>1630</v>
      </c>
      <c r="J784" s="60">
        <v>2</v>
      </c>
      <c r="L784" s="60">
        <v>0</v>
      </c>
      <c r="M784" s="61">
        <v>44601</v>
      </c>
      <c r="N784" s="62"/>
      <c r="O784" s="60">
        <v>18</v>
      </c>
      <c r="P784" s="62" t="s">
        <v>77</v>
      </c>
      <c r="Q784" s="62" t="s">
        <v>141</v>
      </c>
      <c r="R784" s="62" t="s">
        <v>3130</v>
      </c>
      <c r="S784" s="63" t="s">
        <v>3324</v>
      </c>
      <c r="T784" s="63" t="s">
        <v>346</v>
      </c>
      <c r="U784" s="64">
        <v>65000</v>
      </c>
      <c r="V784" s="64">
        <v>71500</v>
      </c>
      <c r="W784" s="64">
        <v>65000</v>
      </c>
      <c r="X784" s="64">
        <v>71500</v>
      </c>
      <c r="Y784" s="64">
        <v>0</v>
      </c>
      <c r="Z784" s="64">
        <v>0</v>
      </c>
      <c r="AA784" s="61">
        <v>44678</v>
      </c>
      <c r="AB784" s="61">
        <v>44679</v>
      </c>
      <c r="AC784" s="61">
        <v>44679</v>
      </c>
      <c r="AD784" s="60">
        <v>0</v>
      </c>
      <c r="AG784" s="60">
        <v>0</v>
      </c>
      <c r="AJ784" s="60">
        <v>0</v>
      </c>
      <c r="AQ784" s="60" t="s">
        <v>2305</v>
      </c>
      <c r="AR784" s="61">
        <v>44607</v>
      </c>
      <c r="AS784" s="60">
        <v>6001993820</v>
      </c>
      <c r="AT784" s="61">
        <v>44607</v>
      </c>
      <c r="AU784" s="60" t="s">
        <v>2317</v>
      </c>
      <c r="AV784" s="61">
        <v>44679</v>
      </c>
      <c r="AW784" s="91">
        <v>44681</v>
      </c>
      <c r="AX784" s="91">
        <v>44701</v>
      </c>
      <c r="AY784" s="107">
        <v>65000</v>
      </c>
      <c r="AZ784" s="107">
        <f>ROUNDDOWN(AY784+(AY784*MASTER!$A$2/100),0)</f>
        <v>71500</v>
      </c>
      <c r="BA784" s="60" t="s">
        <v>107</v>
      </c>
      <c r="BC784" s="64">
        <v>0</v>
      </c>
      <c r="BG784" s="64">
        <v>0</v>
      </c>
      <c r="BK784" s="64">
        <v>0</v>
      </c>
      <c r="BS784" s="64">
        <v>0</v>
      </c>
      <c r="BV784" s="65">
        <v>71500</v>
      </c>
      <c r="BW784" s="65">
        <v>0</v>
      </c>
      <c r="BX784" s="65">
        <v>44601</v>
      </c>
      <c r="BY784" s="65">
        <v>71500</v>
      </c>
      <c r="BZ784" s="81">
        <v>100</v>
      </c>
      <c r="CD784" s="63" t="s">
        <v>3325</v>
      </c>
    </row>
    <row r="785" spans="1:89" x14ac:dyDescent="0.15">
      <c r="A785" s="60">
        <v>2</v>
      </c>
      <c r="B785" s="61">
        <v>44665</v>
      </c>
      <c r="C785" s="61">
        <v>44679</v>
      </c>
      <c r="D785" s="61">
        <v>44687</v>
      </c>
      <c r="F785" s="61">
        <v>44686</v>
      </c>
      <c r="H785" s="61">
        <v>44682</v>
      </c>
      <c r="I785" s="60" t="s">
        <v>774</v>
      </c>
      <c r="J785" s="60">
        <v>2</v>
      </c>
      <c r="L785" s="60">
        <v>0</v>
      </c>
      <c r="M785" s="61">
        <v>44601</v>
      </c>
      <c r="N785" s="62"/>
      <c r="O785" s="60">
        <v>18</v>
      </c>
      <c r="P785" s="62" t="s">
        <v>77</v>
      </c>
      <c r="Q785" s="62" t="s">
        <v>141</v>
      </c>
      <c r="R785" s="62" t="s">
        <v>3131</v>
      </c>
      <c r="S785" s="63" t="s">
        <v>1066</v>
      </c>
      <c r="T785" s="63" t="s">
        <v>346</v>
      </c>
      <c r="U785" s="64">
        <v>65000</v>
      </c>
      <c r="V785" s="64">
        <v>71500</v>
      </c>
      <c r="W785" s="64">
        <v>65000</v>
      </c>
      <c r="X785" s="64">
        <v>71500</v>
      </c>
      <c r="Y785" s="64">
        <v>0</v>
      </c>
      <c r="Z785" s="64">
        <v>0</v>
      </c>
      <c r="AA785" s="61">
        <v>44678</v>
      </c>
      <c r="AB785" s="61">
        <v>44679</v>
      </c>
      <c r="AC785" s="61">
        <v>44679</v>
      </c>
      <c r="AD785" s="60">
        <v>0</v>
      </c>
      <c r="AG785" s="60">
        <v>0</v>
      </c>
      <c r="AJ785" s="60">
        <v>0</v>
      </c>
      <c r="AQ785" s="60" t="s">
        <v>2305</v>
      </c>
      <c r="AR785" s="61">
        <v>44607</v>
      </c>
      <c r="AS785" s="60">
        <v>6001993820</v>
      </c>
      <c r="AT785" s="61">
        <v>44607</v>
      </c>
      <c r="AU785" s="60" t="s">
        <v>2317</v>
      </c>
      <c r="AV785" s="61">
        <v>44679</v>
      </c>
      <c r="AW785" s="91">
        <v>44681</v>
      </c>
      <c r="AX785" s="91">
        <v>44701</v>
      </c>
      <c r="AY785" s="107">
        <v>65000</v>
      </c>
      <c r="AZ785" s="107">
        <f>ROUNDDOWN(AY785+(AY785*MASTER!$A$2/100),0)</f>
        <v>71500</v>
      </c>
      <c r="BA785" s="60" t="s">
        <v>765</v>
      </c>
      <c r="BC785" s="64">
        <v>0</v>
      </c>
      <c r="BG785" s="64">
        <v>0</v>
      </c>
      <c r="BK785" s="64">
        <v>0</v>
      </c>
      <c r="BS785" s="64">
        <v>0</v>
      </c>
      <c r="BV785" s="65">
        <v>71500</v>
      </c>
      <c r="BW785" s="65">
        <v>0</v>
      </c>
      <c r="BX785" s="65">
        <v>44601</v>
      </c>
      <c r="BY785" s="65">
        <v>71500</v>
      </c>
      <c r="BZ785" s="81">
        <v>100</v>
      </c>
    </row>
    <row r="786" spans="1:89" x14ac:dyDescent="0.15">
      <c r="A786" s="60">
        <v>2</v>
      </c>
      <c r="B786" s="61">
        <v>44665</v>
      </c>
      <c r="C786" s="61">
        <v>44679</v>
      </c>
      <c r="D786" s="61">
        <v>44687</v>
      </c>
      <c r="F786" s="61">
        <v>44685</v>
      </c>
      <c r="H786" s="61">
        <v>44681</v>
      </c>
      <c r="I786" s="60" t="s">
        <v>774</v>
      </c>
      <c r="J786" s="60">
        <v>2</v>
      </c>
      <c r="L786" s="60">
        <v>0</v>
      </c>
      <c r="M786" s="61">
        <v>44601</v>
      </c>
      <c r="N786" s="62"/>
      <c r="O786" s="60">
        <v>18</v>
      </c>
      <c r="P786" s="62" t="s">
        <v>77</v>
      </c>
      <c r="Q786" s="62" t="s">
        <v>141</v>
      </c>
      <c r="R786" s="62" t="s">
        <v>3132</v>
      </c>
      <c r="S786" s="63" t="s">
        <v>2105</v>
      </c>
      <c r="T786" s="63" t="s">
        <v>346</v>
      </c>
      <c r="U786" s="64">
        <v>65000</v>
      </c>
      <c r="V786" s="64">
        <v>71500</v>
      </c>
      <c r="W786" s="64">
        <v>65000</v>
      </c>
      <c r="X786" s="64">
        <v>71500</v>
      </c>
      <c r="Y786" s="64">
        <v>0</v>
      </c>
      <c r="Z786" s="64">
        <v>0</v>
      </c>
      <c r="AA786" s="61">
        <v>44677</v>
      </c>
      <c r="AB786" s="61">
        <v>44678</v>
      </c>
      <c r="AC786" s="61">
        <v>44678</v>
      </c>
      <c r="AD786" s="60">
        <v>0</v>
      </c>
      <c r="AG786" s="60">
        <v>0</v>
      </c>
      <c r="AJ786" s="60">
        <v>0</v>
      </c>
      <c r="AQ786" s="60" t="s">
        <v>2305</v>
      </c>
      <c r="AR786" s="61">
        <v>44607</v>
      </c>
      <c r="AS786" s="60">
        <v>6001993820</v>
      </c>
      <c r="AT786" s="61">
        <v>44607</v>
      </c>
      <c r="AU786" s="60" t="s">
        <v>2317</v>
      </c>
      <c r="AV786" s="61">
        <v>44679</v>
      </c>
      <c r="AW786" s="91">
        <v>44681</v>
      </c>
      <c r="AX786" s="91">
        <v>44701</v>
      </c>
      <c r="AY786" s="107">
        <v>65000</v>
      </c>
      <c r="AZ786" s="107">
        <f>ROUNDDOWN(AY786+(AY786*MASTER!$A$2/100),0)</f>
        <v>71500</v>
      </c>
      <c r="BA786" s="60" t="s">
        <v>765</v>
      </c>
      <c r="BC786" s="64">
        <v>0</v>
      </c>
      <c r="BG786" s="64">
        <v>0</v>
      </c>
      <c r="BK786" s="64">
        <v>0</v>
      </c>
      <c r="BS786" s="64">
        <v>0</v>
      </c>
      <c r="BV786" s="65">
        <v>71500</v>
      </c>
      <c r="BW786" s="65">
        <v>0</v>
      </c>
      <c r="BX786" s="65">
        <v>44601</v>
      </c>
      <c r="BY786" s="65">
        <v>71500</v>
      </c>
      <c r="BZ786" s="81">
        <v>100</v>
      </c>
    </row>
    <row r="787" spans="1:89" x14ac:dyDescent="0.15">
      <c r="A787" s="60">
        <v>1</v>
      </c>
      <c r="B787" s="61">
        <v>44665</v>
      </c>
      <c r="C787" s="61">
        <v>44679</v>
      </c>
      <c r="D787" s="61">
        <v>44687</v>
      </c>
      <c r="F787" s="61">
        <v>44687</v>
      </c>
      <c r="H787" s="61">
        <v>44683</v>
      </c>
      <c r="I787" s="60" t="s">
        <v>1630</v>
      </c>
      <c r="J787" s="60">
        <v>2</v>
      </c>
      <c r="L787" s="60">
        <v>0</v>
      </c>
      <c r="M787" s="61">
        <v>44601</v>
      </c>
      <c r="N787" s="62"/>
      <c r="O787" s="60">
        <v>18</v>
      </c>
      <c r="P787" s="62" t="s">
        <v>77</v>
      </c>
      <c r="Q787" s="62" t="s">
        <v>141</v>
      </c>
      <c r="R787" s="62" t="s">
        <v>3133</v>
      </c>
      <c r="S787" s="63" t="s">
        <v>846</v>
      </c>
      <c r="T787" s="63" t="s">
        <v>346</v>
      </c>
      <c r="U787" s="64">
        <v>65000</v>
      </c>
      <c r="V787" s="64">
        <v>71500</v>
      </c>
      <c r="W787" s="64">
        <v>65000</v>
      </c>
      <c r="X787" s="64">
        <v>71500</v>
      </c>
      <c r="Y787" s="64">
        <v>0</v>
      </c>
      <c r="Z787" s="64">
        <v>0</v>
      </c>
      <c r="AA787" s="61">
        <v>44679</v>
      </c>
      <c r="AB787" s="61">
        <v>44680</v>
      </c>
      <c r="AC787" s="61">
        <v>44680</v>
      </c>
      <c r="AD787" s="60">
        <v>0</v>
      </c>
      <c r="AG787" s="60">
        <v>0</v>
      </c>
      <c r="AJ787" s="60">
        <v>0</v>
      </c>
      <c r="AQ787" s="60" t="s">
        <v>2305</v>
      </c>
      <c r="AR787" s="61">
        <v>44607</v>
      </c>
      <c r="AS787" s="60">
        <v>6001993820</v>
      </c>
      <c r="AT787" s="61">
        <v>44607</v>
      </c>
      <c r="AU787" s="60" t="s">
        <v>2317</v>
      </c>
      <c r="AV787" s="61">
        <v>44679</v>
      </c>
      <c r="AW787" s="91">
        <v>44681</v>
      </c>
      <c r="AX787" s="91">
        <v>44701</v>
      </c>
      <c r="AY787" s="107">
        <v>65000</v>
      </c>
      <c r="AZ787" s="107">
        <f>ROUNDDOWN(AY787+(AY787*MASTER!$A$2/100),0)</f>
        <v>71500</v>
      </c>
      <c r="BA787" s="60" t="s">
        <v>107</v>
      </c>
      <c r="BC787" s="64">
        <v>0</v>
      </c>
      <c r="BG787" s="64">
        <v>0</v>
      </c>
      <c r="BK787" s="64">
        <v>0</v>
      </c>
      <c r="BS787" s="64">
        <v>0</v>
      </c>
      <c r="BV787" s="65">
        <v>71500</v>
      </c>
      <c r="BW787" s="65">
        <v>0</v>
      </c>
      <c r="BX787" s="65">
        <v>44601</v>
      </c>
      <c r="BY787" s="65">
        <v>71500</v>
      </c>
      <c r="BZ787" s="81">
        <v>100</v>
      </c>
    </row>
    <row r="788" spans="1:89" x14ac:dyDescent="0.15">
      <c r="A788" s="60">
        <v>2</v>
      </c>
      <c r="B788" s="61">
        <v>44665</v>
      </c>
      <c r="C788" s="61">
        <v>44679</v>
      </c>
      <c r="D788" s="61">
        <v>44687</v>
      </c>
      <c r="F788" s="61">
        <v>44682</v>
      </c>
      <c r="H788" s="61">
        <v>44678</v>
      </c>
      <c r="I788" s="60" t="s">
        <v>1630</v>
      </c>
      <c r="J788" s="60">
        <v>2</v>
      </c>
      <c r="L788" s="60">
        <v>0</v>
      </c>
      <c r="M788" s="61">
        <v>44601</v>
      </c>
      <c r="N788" s="62"/>
      <c r="O788" s="60">
        <v>18</v>
      </c>
      <c r="P788" s="62" t="s">
        <v>77</v>
      </c>
      <c r="Q788" s="62" t="s">
        <v>141</v>
      </c>
      <c r="R788" s="62" t="s">
        <v>3134</v>
      </c>
      <c r="S788" s="63" t="s">
        <v>363</v>
      </c>
      <c r="T788" s="63" t="s">
        <v>346</v>
      </c>
      <c r="U788" s="64">
        <v>65000</v>
      </c>
      <c r="V788" s="64">
        <v>71500</v>
      </c>
      <c r="W788" s="64">
        <v>65000</v>
      </c>
      <c r="X788" s="64">
        <v>71500</v>
      </c>
      <c r="Y788" s="64">
        <v>0</v>
      </c>
      <c r="Z788" s="64">
        <v>0</v>
      </c>
      <c r="AA788" s="61">
        <v>44674</v>
      </c>
      <c r="AB788" s="61">
        <v>44675</v>
      </c>
      <c r="AC788" s="61">
        <v>44675</v>
      </c>
      <c r="AD788" s="60">
        <v>0</v>
      </c>
      <c r="AG788" s="60">
        <v>0</v>
      </c>
      <c r="AJ788" s="60">
        <v>0</v>
      </c>
      <c r="AQ788" s="60" t="s">
        <v>2305</v>
      </c>
      <c r="AR788" s="61">
        <v>44607</v>
      </c>
      <c r="AS788" s="60">
        <v>6001993820</v>
      </c>
      <c r="AT788" s="61">
        <v>44607</v>
      </c>
      <c r="AU788" s="60" t="s">
        <v>2317</v>
      </c>
      <c r="AV788" s="61">
        <v>44679</v>
      </c>
      <c r="AW788" s="91">
        <v>44681</v>
      </c>
      <c r="AX788" s="91">
        <v>44701</v>
      </c>
      <c r="AY788" s="107">
        <v>65000</v>
      </c>
      <c r="AZ788" s="107">
        <f>ROUNDDOWN(AY788+(AY788*MASTER!$A$2/100),0)</f>
        <v>71500</v>
      </c>
      <c r="BA788" s="60" t="s">
        <v>107</v>
      </c>
      <c r="BC788" s="64">
        <v>0</v>
      </c>
      <c r="BG788" s="64">
        <v>0</v>
      </c>
      <c r="BK788" s="64">
        <v>0</v>
      </c>
      <c r="BS788" s="64">
        <v>0</v>
      </c>
      <c r="BV788" s="65">
        <v>71500</v>
      </c>
      <c r="BW788" s="65">
        <v>0</v>
      </c>
      <c r="BX788" s="65">
        <v>44601</v>
      </c>
      <c r="BY788" s="65">
        <v>71500</v>
      </c>
      <c r="BZ788" s="81">
        <v>100</v>
      </c>
    </row>
    <row r="789" spans="1:89" x14ac:dyDescent="0.15">
      <c r="A789" s="60">
        <v>2</v>
      </c>
      <c r="B789" s="61">
        <v>44665</v>
      </c>
      <c r="C789" s="61">
        <v>44679</v>
      </c>
      <c r="D789" s="61">
        <v>44687</v>
      </c>
      <c r="F789" s="61">
        <v>44680</v>
      </c>
      <c r="H789" s="61">
        <v>44676</v>
      </c>
      <c r="I789" s="60" t="s">
        <v>1630</v>
      </c>
      <c r="J789" s="60">
        <v>2</v>
      </c>
      <c r="L789" s="60">
        <v>0</v>
      </c>
      <c r="M789" s="61">
        <v>44601</v>
      </c>
      <c r="N789" s="62"/>
      <c r="O789" s="60">
        <v>18</v>
      </c>
      <c r="P789" s="62" t="s">
        <v>77</v>
      </c>
      <c r="Q789" s="62" t="s">
        <v>141</v>
      </c>
      <c r="R789" s="62" t="s">
        <v>3135</v>
      </c>
      <c r="S789" s="63" t="s">
        <v>1068</v>
      </c>
      <c r="T789" s="63" t="s">
        <v>346</v>
      </c>
      <c r="U789" s="64">
        <v>65000</v>
      </c>
      <c r="V789" s="64">
        <v>71500</v>
      </c>
      <c r="W789" s="64">
        <v>65000</v>
      </c>
      <c r="X789" s="64">
        <v>71500</v>
      </c>
      <c r="Y789" s="64">
        <v>0</v>
      </c>
      <c r="Z789" s="64">
        <v>0</v>
      </c>
      <c r="AA789" s="61">
        <v>44672</v>
      </c>
      <c r="AB789" s="61">
        <v>44673</v>
      </c>
      <c r="AC789" s="61">
        <v>44673</v>
      </c>
      <c r="AD789" s="60">
        <v>0</v>
      </c>
      <c r="AG789" s="60">
        <v>0</v>
      </c>
      <c r="AJ789" s="60">
        <v>0</v>
      </c>
      <c r="AQ789" s="60" t="s">
        <v>2304</v>
      </c>
      <c r="AR789" s="61">
        <v>44607</v>
      </c>
      <c r="AS789" s="60">
        <v>6001993820</v>
      </c>
      <c r="AT789" s="61">
        <v>44607</v>
      </c>
      <c r="AU789" s="60" t="s">
        <v>2317</v>
      </c>
      <c r="AV789" s="61">
        <v>44679</v>
      </c>
      <c r="AW789" s="91">
        <v>44681</v>
      </c>
      <c r="AX789" s="91">
        <v>44701</v>
      </c>
      <c r="AY789" s="107">
        <v>65000</v>
      </c>
      <c r="AZ789" s="107">
        <f>ROUNDDOWN(AY789+(AY789*MASTER!$A$2/100),0)</f>
        <v>71500</v>
      </c>
      <c r="BA789" s="60" t="s">
        <v>107</v>
      </c>
      <c r="BC789" s="64">
        <v>0</v>
      </c>
      <c r="BG789" s="64">
        <v>0</v>
      </c>
      <c r="BK789" s="64">
        <v>0</v>
      </c>
      <c r="BS789" s="64">
        <v>0</v>
      </c>
      <c r="BV789" s="65">
        <v>71500</v>
      </c>
      <c r="BW789" s="65">
        <v>0</v>
      </c>
      <c r="BX789" s="65">
        <v>44601</v>
      </c>
      <c r="BY789" s="65">
        <v>71500</v>
      </c>
      <c r="BZ789" s="81">
        <v>100</v>
      </c>
    </row>
    <row r="790" spans="1:89" x14ac:dyDescent="0.15">
      <c r="A790" s="60">
        <v>2</v>
      </c>
      <c r="B790" s="61">
        <v>44665</v>
      </c>
      <c r="C790" s="61">
        <v>44679</v>
      </c>
      <c r="D790" s="61">
        <v>44687</v>
      </c>
      <c r="F790" s="61">
        <v>44681</v>
      </c>
      <c r="H790" s="61">
        <v>44677</v>
      </c>
      <c r="I790" s="60" t="s">
        <v>774</v>
      </c>
      <c r="J790" s="60">
        <v>2</v>
      </c>
      <c r="L790" s="60">
        <v>0</v>
      </c>
      <c r="M790" s="61">
        <v>44601</v>
      </c>
      <c r="N790" s="62"/>
      <c r="O790" s="60">
        <v>18</v>
      </c>
      <c r="P790" s="62" t="s">
        <v>77</v>
      </c>
      <c r="Q790" s="62" t="s">
        <v>141</v>
      </c>
      <c r="R790" s="62" t="s">
        <v>3136</v>
      </c>
      <c r="S790" s="63" t="s">
        <v>1069</v>
      </c>
      <c r="T790" s="63" t="s">
        <v>346</v>
      </c>
      <c r="U790" s="64">
        <v>65000</v>
      </c>
      <c r="V790" s="64">
        <v>71500</v>
      </c>
      <c r="W790" s="64">
        <v>65000</v>
      </c>
      <c r="X790" s="64">
        <v>71500</v>
      </c>
      <c r="Y790" s="64">
        <v>0</v>
      </c>
      <c r="Z790" s="64">
        <v>0</v>
      </c>
      <c r="AA790" s="61">
        <v>44673</v>
      </c>
      <c r="AB790" s="61">
        <v>44674</v>
      </c>
      <c r="AC790" s="61">
        <v>44674</v>
      </c>
      <c r="AD790" s="60">
        <v>0</v>
      </c>
      <c r="AG790" s="60">
        <v>0</v>
      </c>
      <c r="AJ790" s="60">
        <v>0</v>
      </c>
      <c r="AQ790" s="60" t="s">
        <v>2304</v>
      </c>
      <c r="AR790" s="61">
        <v>44607</v>
      </c>
      <c r="AS790" s="60">
        <v>6001993820</v>
      </c>
      <c r="AT790" s="61">
        <v>44607</v>
      </c>
      <c r="AU790" s="60" t="s">
        <v>2317</v>
      </c>
      <c r="AV790" s="61">
        <v>44679</v>
      </c>
      <c r="AW790" s="91">
        <v>44681</v>
      </c>
      <c r="AX790" s="91">
        <v>44701</v>
      </c>
      <c r="AY790" s="107">
        <v>65000</v>
      </c>
      <c r="AZ790" s="107">
        <f>ROUNDDOWN(AY790+(AY790*MASTER!$A$2/100),0)</f>
        <v>71500</v>
      </c>
      <c r="BA790" s="60" t="s">
        <v>765</v>
      </c>
      <c r="BC790" s="64">
        <v>0</v>
      </c>
      <c r="BG790" s="64">
        <v>0</v>
      </c>
      <c r="BK790" s="64">
        <v>0</v>
      </c>
      <c r="BS790" s="64">
        <v>0</v>
      </c>
      <c r="BV790" s="65">
        <v>71500</v>
      </c>
      <c r="BW790" s="65">
        <v>0</v>
      </c>
      <c r="BX790" s="65">
        <v>44601</v>
      </c>
      <c r="BY790" s="65">
        <v>71500</v>
      </c>
      <c r="BZ790" s="81">
        <v>100</v>
      </c>
    </row>
    <row r="791" spans="1:89" x14ac:dyDescent="0.15">
      <c r="A791" s="60">
        <v>2</v>
      </c>
      <c r="B791" s="61">
        <v>44665</v>
      </c>
      <c r="C791" s="61">
        <v>44679</v>
      </c>
      <c r="D791" s="61">
        <v>44690</v>
      </c>
      <c r="F791" s="61">
        <v>44682</v>
      </c>
      <c r="H791" s="61">
        <v>44678</v>
      </c>
      <c r="J791" s="60">
        <v>2</v>
      </c>
      <c r="L791" s="60">
        <v>0</v>
      </c>
      <c r="M791" s="61">
        <v>44601</v>
      </c>
      <c r="N791" s="62"/>
      <c r="O791" s="60">
        <v>18</v>
      </c>
      <c r="P791" s="62" t="s">
        <v>77</v>
      </c>
      <c r="Q791" s="62" t="s">
        <v>141</v>
      </c>
      <c r="R791" s="62" t="s">
        <v>2633</v>
      </c>
      <c r="S791" s="63" t="s">
        <v>712</v>
      </c>
      <c r="T791" s="63" t="s">
        <v>346</v>
      </c>
      <c r="U791" s="64">
        <v>65000</v>
      </c>
      <c r="V791" s="64">
        <v>71500</v>
      </c>
      <c r="W791" s="64">
        <v>65000</v>
      </c>
      <c r="X791" s="64">
        <v>71500</v>
      </c>
      <c r="Y791" s="64">
        <v>0</v>
      </c>
      <c r="Z791" s="64">
        <v>0</v>
      </c>
      <c r="AA791" s="61">
        <v>44674</v>
      </c>
      <c r="AB791" s="61">
        <v>44675</v>
      </c>
      <c r="AC791" s="61">
        <v>44675</v>
      </c>
      <c r="AD791" s="60">
        <v>0</v>
      </c>
      <c r="AG791" s="60">
        <v>0</v>
      </c>
      <c r="AJ791" s="60">
        <v>0</v>
      </c>
      <c r="AQ791" s="60" t="s">
        <v>2304</v>
      </c>
      <c r="AR791" s="61">
        <v>44607</v>
      </c>
      <c r="AS791" s="60">
        <v>6001993820</v>
      </c>
      <c r="AT791" s="61">
        <v>44607</v>
      </c>
      <c r="AU791" s="60" t="s">
        <v>2317</v>
      </c>
      <c r="AV791" s="61">
        <v>44679</v>
      </c>
      <c r="AW791" s="91">
        <v>44681</v>
      </c>
      <c r="AX791" s="91">
        <v>44701</v>
      </c>
      <c r="AY791" s="107">
        <v>65000</v>
      </c>
      <c r="AZ791" s="107">
        <f>ROUNDDOWN(AY791+(AY791*MASTER!$A$2/100),0)</f>
        <v>71500</v>
      </c>
      <c r="BC791" s="64">
        <v>0</v>
      </c>
      <c r="BG791" s="64">
        <v>0</v>
      </c>
      <c r="BK791" s="64">
        <v>0</v>
      </c>
      <c r="BS791" s="64">
        <v>0</v>
      </c>
      <c r="BV791" s="65">
        <v>71500</v>
      </c>
      <c r="BW791" s="65">
        <v>0</v>
      </c>
      <c r="BX791" s="65">
        <v>44601</v>
      </c>
      <c r="BY791" s="65">
        <v>71500</v>
      </c>
      <c r="BZ791" s="81">
        <v>100</v>
      </c>
    </row>
    <row r="792" spans="1:89" x14ac:dyDescent="0.15">
      <c r="A792" s="60">
        <v>2</v>
      </c>
      <c r="B792" s="61">
        <v>44665</v>
      </c>
      <c r="C792" s="61">
        <v>44679</v>
      </c>
      <c r="D792" s="61">
        <v>44690</v>
      </c>
      <c r="F792" s="61">
        <v>44681</v>
      </c>
      <c r="H792" s="61">
        <v>44677</v>
      </c>
      <c r="J792" s="60">
        <v>2</v>
      </c>
      <c r="L792" s="60">
        <v>0</v>
      </c>
      <c r="M792" s="61">
        <v>44601</v>
      </c>
      <c r="N792" s="62"/>
      <c r="O792" s="60">
        <v>18</v>
      </c>
      <c r="P792" s="62" t="s">
        <v>77</v>
      </c>
      <c r="Q792" s="62" t="s">
        <v>141</v>
      </c>
      <c r="R792" s="62" t="s">
        <v>2632</v>
      </c>
      <c r="S792" s="63" t="s">
        <v>1073</v>
      </c>
      <c r="T792" s="63" t="s">
        <v>346</v>
      </c>
      <c r="U792" s="64">
        <v>65000</v>
      </c>
      <c r="V792" s="64">
        <v>71500</v>
      </c>
      <c r="W792" s="64">
        <v>65000</v>
      </c>
      <c r="X792" s="64">
        <v>71500</v>
      </c>
      <c r="Y792" s="64">
        <v>0</v>
      </c>
      <c r="Z792" s="64">
        <v>0</v>
      </c>
      <c r="AA792" s="61">
        <v>44673</v>
      </c>
      <c r="AB792" s="61">
        <v>44674</v>
      </c>
      <c r="AC792" s="61">
        <v>44674</v>
      </c>
      <c r="AD792" s="60">
        <v>0</v>
      </c>
      <c r="AG792" s="60">
        <v>0</v>
      </c>
      <c r="AJ792" s="60">
        <v>0</v>
      </c>
      <c r="AQ792" s="60" t="s">
        <v>2304</v>
      </c>
      <c r="AR792" s="61">
        <v>44607</v>
      </c>
      <c r="AS792" s="60">
        <v>6001993820</v>
      </c>
      <c r="AT792" s="61">
        <v>44607</v>
      </c>
      <c r="AU792" s="60" t="s">
        <v>2317</v>
      </c>
      <c r="AV792" s="61">
        <v>44679</v>
      </c>
      <c r="AW792" s="91">
        <v>44681</v>
      </c>
      <c r="AX792" s="91">
        <v>44701</v>
      </c>
      <c r="AY792" s="107">
        <v>65000</v>
      </c>
      <c r="AZ792" s="107">
        <f>ROUNDDOWN(AY792+(AY792*MASTER!$A$2/100),0)</f>
        <v>71500</v>
      </c>
      <c r="BC792" s="64">
        <v>0</v>
      </c>
      <c r="BG792" s="64">
        <v>0</v>
      </c>
      <c r="BK792" s="64">
        <v>0</v>
      </c>
      <c r="BS792" s="64">
        <v>0</v>
      </c>
      <c r="BV792" s="65">
        <v>71500</v>
      </c>
      <c r="BW792" s="65">
        <v>0</v>
      </c>
      <c r="BX792" s="65">
        <v>44601</v>
      </c>
      <c r="BY792" s="65">
        <v>71500</v>
      </c>
      <c r="BZ792" s="81">
        <v>100</v>
      </c>
    </row>
    <row r="793" spans="1:89" x14ac:dyDescent="0.15">
      <c r="A793" s="60">
        <v>2</v>
      </c>
      <c r="B793" s="61">
        <v>44665</v>
      </c>
      <c r="C793" s="61">
        <v>44679</v>
      </c>
      <c r="D793" s="61">
        <v>44690</v>
      </c>
      <c r="F793" s="61">
        <v>44680</v>
      </c>
      <c r="H793" s="61">
        <v>44676</v>
      </c>
      <c r="J793" s="60">
        <v>2</v>
      </c>
      <c r="L793" s="60">
        <v>0</v>
      </c>
      <c r="M793" s="61">
        <v>44601</v>
      </c>
      <c r="N793" s="62"/>
      <c r="O793" s="60">
        <v>18</v>
      </c>
      <c r="P793" s="62" t="s">
        <v>77</v>
      </c>
      <c r="Q793" s="62" t="s">
        <v>141</v>
      </c>
      <c r="R793" s="62" t="s">
        <v>2634</v>
      </c>
      <c r="S793" s="63" t="s">
        <v>1166</v>
      </c>
      <c r="T793" s="63" t="s">
        <v>346</v>
      </c>
      <c r="U793" s="64">
        <v>65000</v>
      </c>
      <c r="V793" s="64">
        <v>71500</v>
      </c>
      <c r="W793" s="64">
        <v>65000</v>
      </c>
      <c r="X793" s="64">
        <v>71500</v>
      </c>
      <c r="Y793" s="64">
        <v>0</v>
      </c>
      <c r="Z793" s="64">
        <v>0</v>
      </c>
      <c r="AA793" s="61">
        <v>44672</v>
      </c>
      <c r="AB793" s="61">
        <v>44673</v>
      </c>
      <c r="AC793" s="61">
        <v>44673</v>
      </c>
      <c r="AD793" s="60">
        <v>0</v>
      </c>
      <c r="AG793" s="60">
        <v>0</v>
      </c>
      <c r="AJ793" s="60">
        <v>0</v>
      </c>
      <c r="AQ793" s="60" t="s">
        <v>2304</v>
      </c>
      <c r="AR793" s="61">
        <v>44607</v>
      </c>
      <c r="AS793" s="60">
        <v>6001993820</v>
      </c>
      <c r="AT793" s="61">
        <v>44607</v>
      </c>
      <c r="AU793" s="60" t="s">
        <v>2317</v>
      </c>
      <c r="AV793" s="61">
        <v>44679</v>
      </c>
      <c r="AW793" s="91">
        <v>44681</v>
      </c>
      <c r="AX793" s="91">
        <v>44701</v>
      </c>
      <c r="AY793" s="107">
        <v>65000</v>
      </c>
      <c r="AZ793" s="107">
        <f>ROUNDDOWN(AY793+(AY793*MASTER!$A$2/100),0)</f>
        <v>71500</v>
      </c>
      <c r="BC793" s="64">
        <v>0</v>
      </c>
      <c r="BG793" s="64">
        <v>0</v>
      </c>
      <c r="BK793" s="64">
        <v>0</v>
      </c>
      <c r="BS793" s="64">
        <v>0</v>
      </c>
      <c r="BV793" s="65">
        <v>71500</v>
      </c>
      <c r="BW793" s="65">
        <v>0</v>
      </c>
      <c r="BX793" s="65">
        <v>44601</v>
      </c>
      <c r="BY793" s="65">
        <v>71500</v>
      </c>
      <c r="BZ793" s="81">
        <v>100</v>
      </c>
    </row>
    <row r="794" spans="1:89" s="152" customFormat="1" x14ac:dyDescent="0.15">
      <c r="A794" s="142">
        <v>3</v>
      </c>
      <c r="B794" s="143"/>
      <c r="C794" s="143" t="s">
        <v>309</v>
      </c>
      <c r="D794" s="143"/>
      <c r="E794" s="143"/>
      <c r="F794" s="143" t="s">
        <v>309</v>
      </c>
      <c r="G794" s="143"/>
      <c r="H794" s="143" t="s">
        <v>309</v>
      </c>
      <c r="I794" s="142"/>
      <c r="J794" s="142">
        <v>1</v>
      </c>
      <c r="K794" s="143"/>
      <c r="L794" s="142">
        <v>0</v>
      </c>
      <c r="M794" s="143">
        <v>44601</v>
      </c>
      <c r="N794" s="144"/>
      <c r="O794" s="142">
        <v>18</v>
      </c>
      <c r="P794" s="144" t="s">
        <v>26</v>
      </c>
      <c r="Q794" s="144" t="s">
        <v>141</v>
      </c>
      <c r="R794" s="144" t="s">
        <v>2212</v>
      </c>
      <c r="S794" s="145" t="s">
        <v>2210</v>
      </c>
      <c r="T794" s="145" t="s">
        <v>2211</v>
      </c>
      <c r="U794" s="146">
        <v>59000</v>
      </c>
      <c r="V794" s="146">
        <v>64900</v>
      </c>
      <c r="W794" s="146">
        <v>47000</v>
      </c>
      <c r="X794" s="146">
        <v>51700</v>
      </c>
      <c r="Y794" s="146">
        <v>12000</v>
      </c>
      <c r="Z794" s="146">
        <v>13200</v>
      </c>
      <c r="AA794" s="143"/>
      <c r="AB794" s="143"/>
      <c r="AC794" s="143"/>
      <c r="AD794" s="142">
        <v>0</v>
      </c>
      <c r="AE794" s="142"/>
      <c r="AF794" s="142"/>
      <c r="AG794" s="142">
        <v>0</v>
      </c>
      <c r="AH794" s="142"/>
      <c r="AI794" s="142"/>
      <c r="AJ794" s="142">
        <v>0</v>
      </c>
      <c r="AK794" s="142"/>
      <c r="AL794" s="142"/>
      <c r="AM794" s="142" t="s">
        <v>273</v>
      </c>
      <c r="AN794" s="142" t="s">
        <v>3067</v>
      </c>
      <c r="AO794" s="143"/>
      <c r="AP794" s="142"/>
      <c r="AQ794" s="142"/>
      <c r="AR794" s="143"/>
      <c r="AS794" s="142"/>
      <c r="AT794" s="143"/>
      <c r="AU794" s="142"/>
      <c r="AV794" s="143"/>
      <c r="AW794" s="147"/>
      <c r="AX794" s="147"/>
      <c r="AY794" s="148">
        <v>56640</v>
      </c>
      <c r="AZ794" s="148">
        <f>ROUNDDOWN(AY794+(AY794*MASTER!$A$2/100),0)</f>
        <v>62304</v>
      </c>
      <c r="BA794" s="142"/>
      <c r="BB794" s="146"/>
      <c r="BC794" s="146">
        <v>0</v>
      </c>
      <c r="BD794" s="142"/>
      <c r="BE794" s="142"/>
      <c r="BF794" s="146"/>
      <c r="BG794" s="146">
        <v>0</v>
      </c>
      <c r="BH794" s="142"/>
      <c r="BI794" s="142"/>
      <c r="BJ794" s="146"/>
      <c r="BK794" s="146">
        <v>0</v>
      </c>
      <c r="BL794" s="142"/>
      <c r="BM794" s="146"/>
      <c r="BN794" s="146"/>
      <c r="BO794" s="146"/>
      <c r="BP794" s="146"/>
      <c r="BQ794" s="146"/>
      <c r="BR794" s="146"/>
      <c r="BS794" s="146">
        <v>0</v>
      </c>
      <c r="BT794" s="149"/>
      <c r="BU794" s="149"/>
      <c r="BV794" s="150">
        <v>51700</v>
      </c>
      <c r="BW794" s="150">
        <v>0</v>
      </c>
      <c r="BX794" s="150">
        <v>44601</v>
      </c>
      <c r="BY794" s="150">
        <v>51700</v>
      </c>
      <c r="BZ794" s="151">
        <v>100</v>
      </c>
      <c r="CA794" s="142"/>
      <c r="CB794" s="142"/>
      <c r="CC794" s="142"/>
      <c r="CD794" s="145" t="s">
        <v>3068</v>
      </c>
      <c r="CE794" s="143"/>
      <c r="CF794" s="143"/>
      <c r="CG794" s="143"/>
      <c r="CH794" s="143"/>
      <c r="CI794" s="143"/>
      <c r="CJ794" s="143"/>
      <c r="CK794" s="146"/>
    </row>
    <row r="795" spans="1:89" x14ac:dyDescent="0.15">
      <c r="A795" s="60">
        <v>2</v>
      </c>
      <c r="B795" s="61">
        <v>44617</v>
      </c>
      <c r="C795" s="61">
        <v>44617</v>
      </c>
      <c r="D795" s="61">
        <v>44613</v>
      </c>
      <c r="E795" s="61">
        <v>44613</v>
      </c>
      <c r="F795" s="61" t="s">
        <v>309</v>
      </c>
      <c r="G795" s="61">
        <v>44613</v>
      </c>
      <c r="H795" s="61" t="s">
        <v>309</v>
      </c>
      <c r="I795" s="60" t="s">
        <v>2495</v>
      </c>
      <c r="J795" s="60">
        <v>2</v>
      </c>
      <c r="L795" s="60">
        <v>0</v>
      </c>
      <c r="M795" s="61">
        <v>44606</v>
      </c>
      <c r="O795" s="62" t="s">
        <v>331</v>
      </c>
      <c r="P795" s="60" t="s">
        <v>6</v>
      </c>
      <c r="Q795" s="62" t="s">
        <v>141</v>
      </c>
      <c r="R795" s="62" t="s">
        <v>2446</v>
      </c>
      <c r="S795" s="63" t="s">
        <v>1992</v>
      </c>
      <c r="T795" s="63" t="s">
        <v>364</v>
      </c>
      <c r="U795" s="64">
        <v>51000</v>
      </c>
      <c r="V795" s="64">
        <v>56100</v>
      </c>
      <c r="W795" s="64">
        <v>51000</v>
      </c>
      <c r="X795" s="64">
        <v>56100</v>
      </c>
      <c r="Z795" s="64">
        <v>0</v>
      </c>
      <c r="AA795" s="61">
        <v>44611</v>
      </c>
      <c r="AB795" s="61">
        <v>44611</v>
      </c>
      <c r="AD795" s="60">
        <v>0</v>
      </c>
      <c r="AG795" s="60">
        <v>0</v>
      </c>
      <c r="AJ795" s="60">
        <v>0</v>
      </c>
      <c r="AN795" s="60" t="s">
        <v>309</v>
      </c>
      <c r="AQ795" s="60" t="s">
        <v>2472</v>
      </c>
      <c r="AR795" s="61">
        <v>44614</v>
      </c>
      <c r="AS795" s="60">
        <v>6001997208</v>
      </c>
      <c r="AT795" s="61">
        <v>44616</v>
      </c>
      <c r="AU795" s="60" t="s">
        <v>2480</v>
      </c>
      <c r="AV795" s="61">
        <v>44617</v>
      </c>
      <c r="AW795" s="91">
        <v>44620</v>
      </c>
      <c r="AX795" s="91">
        <v>44640</v>
      </c>
      <c r="AY795" s="99">
        <v>48960</v>
      </c>
      <c r="AZ795" s="99">
        <f>ROUNDDOWN(AY795+(AY795*MASTER!$A$2/100),0)</f>
        <v>53856</v>
      </c>
      <c r="BA795" s="60" t="s">
        <v>674</v>
      </c>
      <c r="BB795" s="64">
        <v>33000</v>
      </c>
      <c r="BC795" s="64">
        <v>36300</v>
      </c>
      <c r="BD795" s="60" t="s">
        <v>2104</v>
      </c>
      <c r="BG795" s="64">
        <v>0</v>
      </c>
      <c r="BK795" s="64">
        <v>0</v>
      </c>
      <c r="BS795" s="64">
        <v>0</v>
      </c>
      <c r="BV795" s="65">
        <v>56100</v>
      </c>
      <c r="BW795" s="65">
        <v>36300</v>
      </c>
      <c r="BX795" s="65">
        <v>44606</v>
      </c>
      <c r="BY795" s="65">
        <v>19800</v>
      </c>
      <c r="BZ795" s="81">
        <v>35.294117647058826</v>
      </c>
    </row>
    <row r="796" spans="1:89" x14ac:dyDescent="0.15">
      <c r="A796" s="60">
        <v>1</v>
      </c>
      <c r="B796" s="61">
        <v>44624</v>
      </c>
      <c r="C796" s="61">
        <v>44624</v>
      </c>
      <c r="F796" s="61" t="s">
        <v>309</v>
      </c>
      <c r="H796" s="61" t="s">
        <v>309</v>
      </c>
      <c r="J796" s="60">
        <v>2</v>
      </c>
      <c r="L796" s="60">
        <v>0</v>
      </c>
      <c r="M796" s="61">
        <v>44606</v>
      </c>
      <c r="O796" s="62" t="s">
        <v>331</v>
      </c>
      <c r="P796" s="60" t="s">
        <v>26</v>
      </c>
      <c r="Q796" s="62" t="s">
        <v>141</v>
      </c>
      <c r="R796" s="62" t="s">
        <v>2606</v>
      </c>
      <c r="S796" s="63" t="s">
        <v>574</v>
      </c>
      <c r="T796" s="63" t="s">
        <v>2607</v>
      </c>
      <c r="U796" s="64">
        <v>35000</v>
      </c>
      <c r="V796" s="64">
        <v>38500</v>
      </c>
      <c r="W796" s="64">
        <v>35000</v>
      </c>
      <c r="X796" s="64">
        <v>38500</v>
      </c>
      <c r="Z796" s="64">
        <v>0</v>
      </c>
      <c r="AA796" s="61">
        <v>44600</v>
      </c>
      <c r="AB796" s="61">
        <v>44600</v>
      </c>
      <c r="AD796" s="60">
        <v>0</v>
      </c>
      <c r="AG796" s="60">
        <v>0</v>
      </c>
      <c r="AJ796" s="60">
        <v>0</v>
      </c>
      <c r="AN796" s="60" t="s">
        <v>309</v>
      </c>
      <c r="AQ796" s="60" t="s">
        <v>1294</v>
      </c>
      <c r="AR796" s="61">
        <v>44617</v>
      </c>
      <c r="AS796" s="60">
        <v>6001997909</v>
      </c>
      <c r="AT796" s="61">
        <v>44621</v>
      </c>
      <c r="AU796" s="60" t="s">
        <v>2528</v>
      </c>
      <c r="AV796" s="61">
        <v>44624</v>
      </c>
      <c r="AW796" s="91">
        <v>44651</v>
      </c>
      <c r="AX796" s="91">
        <v>44671</v>
      </c>
      <c r="AY796" s="107">
        <v>35000</v>
      </c>
      <c r="AZ796" s="107">
        <f>ROUNDDOWN(AY796+(AY796*MASTER!$A$2/100),0)</f>
        <v>38500</v>
      </c>
      <c r="BC796" s="64">
        <v>0</v>
      </c>
      <c r="BG796" s="64">
        <v>0</v>
      </c>
      <c r="BK796" s="64">
        <v>0</v>
      </c>
      <c r="BS796" s="64">
        <v>0</v>
      </c>
      <c r="BV796" s="65">
        <v>38500</v>
      </c>
      <c r="BW796" s="65">
        <v>0</v>
      </c>
      <c r="BX796" s="65">
        <v>44606</v>
      </c>
      <c r="BY796" s="65">
        <v>38500</v>
      </c>
      <c r="BZ796" s="81">
        <v>100</v>
      </c>
    </row>
    <row r="797" spans="1:89" x14ac:dyDescent="0.15">
      <c r="A797" s="60">
        <v>1</v>
      </c>
      <c r="B797" s="61">
        <v>44608</v>
      </c>
      <c r="C797" s="61">
        <v>44613</v>
      </c>
      <c r="F797" s="61" t="s">
        <v>309</v>
      </c>
      <c r="H797" s="61" t="s">
        <v>309</v>
      </c>
      <c r="J797" s="60">
        <v>2</v>
      </c>
      <c r="L797" s="60">
        <v>0</v>
      </c>
      <c r="M797" s="61">
        <v>44606</v>
      </c>
      <c r="O797" s="62" t="s">
        <v>331</v>
      </c>
      <c r="P797" s="60" t="s">
        <v>263</v>
      </c>
      <c r="Q797" s="62" t="s">
        <v>141</v>
      </c>
      <c r="R797" s="62" t="s">
        <v>2261</v>
      </c>
      <c r="S797" s="63" t="s">
        <v>326</v>
      </c>
      <c r="T797" s="63" t="s">
        <v>2260</v>
      </c>
      <c r="U797" s="64">
        <v>6300</v>
      </c>
      <c r="V797" s="64">
        <v>6930</v>
      </c>
      <c r="W797" s="64">
        <v>6300</v>
      </c>
      <c r="X797" s="64">
        <v>6930</v>
      </c>
      <c r="Z797" s="64">
        <v>0</v>
      </c>
      <c r="AD797" s="60">
        <v>0</v>
      </c>
      <c r="AG797" s="60">
        <v>0</v>
      </c>
      <c r="AJ797" s="60">
        <v>0</v>
      </c>
      <c r="AQ797" s="60" t="s">
        <v>2262</v>
      </c>
      <c r="AR797" s="61">
        <v>44606</v>
      </c>
      <c r="AS797" s="60">
        <v>6001993157</v>
      </c>
      <c r="AT797" s="61">
        <v>44607</v>
      </c>
      <c r="AU797" s="60" t="s">
        <v>2316</v>
      </c>
      <c r="AV797" s="61">
        <v>44613</v>
      </c>
      <c r="AW797" s="91">
        <v>44620</v>
      </c>
      <c r="AX797" s="91">
        <v>44640</v>
      </c>
      <c r="AY797" s="107">
        <v>6300</v>
      </c>
      <c r="AZ797" s="107">
        <f>ROUNDDOWN(AY797+(AY797*MASTER!$A$2/100),0)</f>
        <v>6930</v>
      </c>
      <c r="BC797" s="64">
        <v>0</v>
      </c>
      <c r="BG797" s="64">
        <v>0</v>
      </c>
      <c r="BK797" s="64">
        <v>0</v>
      </c>
      <c r="BS797" s="64">
        <v>0</v>
      </c>
      <c r="BV797" s="65">
        <v>6930</v>
      </c>
      <c r="BW797" s="65">
        <v>0</v>
      </c>
      <c r="BX797" s="65">
        <v>44606</v>
      </c>
      <c r="BY797" s="65">
        <v>6930</v>
      </c>
      <c r="BZ797" s="81">
        <v>100</v>
      </c>
    </row>
    <row r="798" spans="1:89" x14ac:dyDescent="0.15">
      <c r="A798" s="60">
        <v>1</v>
      </c>
      <c r="B798" s="61">
        <v>44617</v>
      </c>
      <c r="C798" s="61">
        <v>44617</v>
      </c>
      <c r="D798" s="61">
        <v>44606</v>
      </c>
      <c r="E798" s="61">
        <v>44606</v>
      </c>
      <c r="F798" s="61" t="s">
        <v>309</v>
      </c>
      <c r="G798" s="61">
        <v>44606</v>
      </c>
      <c r="H798" s="61" t="s">
        <v>309</v>
      </c>
      <c r="I798" s="60" t="s">
        <v>766</v>
      </c>
      <c r="J798" s="60">
        <v>2</v>
      </c>
      <c r="L798" s="60">
        <v>0</v>
      </c>
      <c r="M798" s="61">
        <v>44606</v>
      </c>
      <c r="O798" s="62" t="s">
        <v>331</v>
      </c>
      <c r="P798" s="60" t="s">
        <v>6</v>
      </c>
      <c r="Q798" s="62" t="s">
        <v>141</v>
      </c>
      <c r="R798" s="62" t="s">
        <v>2272</v>
      </c>
      <c r="S798" s="63" t="s">
        <v>1233</v>
      </c>
      <c r="T798" s="63" t="s">
        <v>364</v>
      </c>
      <c r="U798" s="64">
        <v>35000</v>
      </c>
      <c r="V798" s="64">
        <v>38500</v>
      </c>
      <c r="W798" s="64">
        <v>35000</v>
      </c>
      <c r="X798" s="64">
        <v>38500</v>
      </c>
      <c r="Z798" s="64">
        <v>0</v>
      </c>
      <c r="AA798" s="61">
        <v>44604</v>
      </c>
      <c r="AB798" s="61">
        <v>44604</v>
      </c>
      <c r="AD798" s="60">
        <v>0</v>
      </c>
      <c r="AG798" s="60">
        <v>0</v>
      </c>
      <c r="AJ798" s="60">
        <v>0</v>
      </c>
      <c r="AN798" s="60" t="s">
        <v>309</v>
      </c>
      <c r="AQ798" s="60" t="s">
        <v>2473</v>
      </c>
      <c r="AR798" s="61">
        <v>44614</v>
      </c>
      <c r="AS798" s="60">
        <v>6001997208</v>
      </c>
      <c r="AT798" s="61">
        <v>44616</v>
      </c>
      <c r="AU798" s="60" t="s">
        <v>2480</v>
      </c>
      <c r="AV798" s="61">
        <v>44617</v>
      </c>
      <c r="AW798" s="91">
        <v>44620</v>
      </c>
      <c r="AX798" s="91">
        <v>44640</v>
      </c>
      <c r="AY798" s="99">
        <v>33600</v>
      </c>
      <c r="AZ798" s="99">
        <f>ROUNDDOWN(AY798+(AY798*MASTER!$A$2/100),0)</f>
        <v>36960</v>
      </c>
      <c r="BA798" s="60" t="s">
        <v>318</v>
      </c>
      <c r="BB798" s="64">
        <v>44000</v>
      </c>
      <c r="BC798" s="64">
        <v>48400</v>
      </c>
      <c r="BD798" s="60" t="s">
        <v>2044</v>
      </c>
      <c r="BG798" s="64">
        <v>0</v>
      </c>
      <c r="BK798" s="64">
        <v>0</v>
      </c>
      <c r="BS798" s="64">
        <v>0</v>
      </c>
      <c r="BV798" s="65">
        <v>38500</v>
      </c>
      <c r="BW798" s="65">
        <v>48400</v>
      </c>
      <c r="BX798" s="65">
        <v>44606</v>
      </c>
      <c r="BY798" s="65">
        <v>-9900</v>
      </c>
      <c r="BZ798" s="81">
        <v>-25.714285714285712</v>
      </c>
    </row>
    <row r="799" spans="1:89" x14ac:dyDescent="0.15">
      <c r="A799" s="60">
        <v>1</v>
      </c>
      <c r="B799" s="61">
        <v>44620</v>
      </c>
      <c r="C799" s="61">
        <v>44620</v>
      </c>
      <c r="F799" s="61" t="s">
        <v>309</v>
      </c>
      <c r="G799" s="61">
        <v>44617</v>
      </c>
      <c r="H799" s="61" t="s">
        <v>309</v>
      </c>
      <c r="J799" s="60">
        <v>2</v>
      </c>
      <c r="L799" s="60">
        <v>0</v>
      </c>
      <c r="M799" s="61">
        <v>44607</v>
      </c>
      <c r="O799" s="62" t="s">
        <v>331</v>
      </c>
      <c r="P799" s="60" t="s">
        <v>6</v>
      </c>
      <c r="Q799" s="62" t="s">
        <v>141</v>
      </c>
      <c r="R799" s="62" t="s">
        <v>2299</v>
      </c>
      <c r="S799" s="63" t="s">
        <v>866</v>
      </c>
      <c r="T799" s="63" t="s">
        <v>364</v>
      </c>
      <c r="U799" s="64">
        <v>40000</v>
      </c>
      <c r="V799" s="64">
        <v>44000</v>
      </c>
      <c r="W799" s="64">
        <v>40000</v>
      </c>
      <c r="X799" s="64">
        <v>44000</v>
      </c>
      <c r="Z799" s="64">
        <v>0</v>
      </c>
      <c r="AA799" s="61">
        <v>44615</v>
      </c>
      <c r="AB799" s="61">
        <v>44615</v>
      </c>
      <c r="AD799" s="60">
        <v>0</v>
      </c>
      <c r="AG799" s="60">
        <v>0</v>
      </c>
      <c r="AJ799" s="60">
        <v>0</v>
      </c>
      <c r="AN799" s="60" t="s">
        <v>309</v>
      </c>
      <c r="AQ799" s="60" t="s">
        <v>2470</v>
      </c>
      <c r="AR799" s="61">
        <v>44616</v>
      </c>
      <c r="AS799" s="60">
        <v>6001997505</v>
      </c>
      <c r="AT799" s="61">
        <v>44616</v>
      </c>
      <c r="AU799" s="60" t="s">
        <v>2476</v>
      </c>
      <c r="AV799" s="61">
        <v>44620</v>
      </c>
      <c r="AW799" s="91">
        <v>44620</v>
      </c>
      <c r="AX799" s="91">
        <v>44640</v>
      </c>
      <c r="AY799" s="99">
        <v>38400</v>
      </c>
      <c r="AZ799" s="99">
        <f>ROUNDDOWN(AY799+(AY799*MASTER!$A$2/100),0)</f>
        <v>42240</v>
      </c>
      <c r="BC799" s="64">
        <v>0</v>
      </c>
      <c r="BG799" s="64">
        <v>0</v>
      </c>
      <c r="BK799" s="64">
        <v>0</v>
      </c>
      <c r="BS799" s="64">
        <v>0</v>
      </c>
      <c r="BV799" s="65">
        <v>44000</v>
      </c>
      <c r="BW799" s="65">
        <v>0</v>
      </c>
      <c r="BX799" s="65">
        <v>44607</v>
      </c>
      <c r="BY799" s="65">
        <v>44000</v>
      </c>
      <c r="BZ799" s="81">
        <v>100</v>
      </c>
    </row>
    <row r="800" spans="1:89" x14ac:dyDescent="0.15">
      <c r="A800" s="60">
        <v>2</v>
      </c>
      <c r="B800" s="61">
        <v>44623</v>
      </c>
      <c r="C800" s="61">
        <v>44627</v>
      </c>
      <c r="D800" s="61">
        <v>44658</v>
      </c>
      <c r="E800" s="61">
        <v>44659</v>
      </c>
      <c r="F800" s="61">
        <v>44634</v>
      </c>
      <c r="G800" s="61">
        <v>44628</v>
      </c>
      <c r="H800" s="61">
        <v>44630</v>
      </c>
      <c r="I800" s="60" t="s">
        <v>612</v>
      </c>
      <c r="J800" s="60">
        <v>1</v>
      </c>
      <c r="L800" s="60">
        <v>0</v>
      </c>
      <c r="M800" s="61">
        <v>44607</v>
      </c>
      <c r="O800" s="62" t="s">
        <v>331</v>
      </c>
      <c r="P800" s="60" t="s">
        <v>26</v>
      </c>
      <c r="Q800" s="62" t="s">
        <v>141</v>
      </c>
      <c r="R800" s="62" t="s">
        <v>2268</v>
      </c>
      <c r="S800" s="63" t="s">
        <v>689</v>
      </c>
      <c r="T800" s="63" t="s">
        <v>2269</v>
      </c>
      <c r="U800" s="64">
        <v>235500</v>
      </c>
      <c r="V800" s="64">
        <v>259050</v>
      </c>
      <c r="W800" s="64">
        <v>118000</v>
      </c>
      <c r="X800" s="64">
        <v>129800</v>
      </c>
      <c r="Y800" s="64">
        <v>117500</v>
      </c>
      <c r="Z800" s="64">
        <v>129250</v>
      </c>
      <c r="AA800" s="61">
        <v>44626</v>
      </c>
      <c r="AB800" s="61">
        <v>44627</v>
      </c>
      <c r="AC800" s="61">
        <v>44627</v>
      </c>
      <c r="AD800" s="60">
        <v>0</v>
      </c>
      <c r="AG800" s="60">
        <v>0</v>
      </c>
      <c r="AJ800" s="60">
        <v>0</v>
      </c>
      <c r="AM800" s="60" t="s">
        <v>273</v>
      </c>
      <c r="AN800" s="60" t="s">
        <v>2270</v>
      </c>
      <c r="AQ800" s="60" t="s">
        <v>2479</v>
      </c>
      <c r="AR800" s="61">
        <v>44617</v>
      </c>
      <c r="AS800" s="60">
        <v>6001997905</v>
      </c>
      <c r="AT800" s="61">
        <v>44621</v>
      </c>
      <c r="AU800" s="60" t="s">
        <v>2530</v>
      </c>
      <c r="AV800" s="61">
        <v>44627</v>
      </c>
      <c r="AW800" s="91">
        <v>44651</v>
      </c>
      <c r="AX800" s="91">
        <v>44671</v>
      </c>
      <c r="AY800" s="99">
        <v>226080</v>
      </c>
      <c r="AZ800" s="99">
        <f>ROUNDDOWN(AY800+(AY800*MASTER!$A$2/100),0)</f>
        <v>248688</v>
      </c>
      <c r="BA800" s="60" t="s">
        <v>317</v>
      </c>
      <c r="BB800" s="64">
        <v>35000</v>
      </c>
      <c r="BC800" s="64">
        <v>38500</v>
      </c>
      <c r="BD800" s="60" t="s">
        <v>2107</v>
      </c>
      <c r="BG800" s="64">
        <v>0</v>
      </c>
      <c r="BI800" s="60" t="s">
        <v>748</v>
      </c>
      <c r="BJ800" s="64">
        <v>76375</v>
      </c>
      <c r="BK800" s="64">
        <v>84012.5</v>
      </c>
      <c r="BL800" s="60" t="s">
        <v>2107</v>
      </c>
      <c r="BS800" s="64">
        <v>0</v>
      </c>
      <c r="BV800" s="65">
        <v>129800</v>
      </c>
      <c r="BW800" s="65">
        <v>122512.5</v>
      </c>
      <c r="BX800" s="65">
        <v>44607</v>
      </c>
      <c r="BY800" s="65">
        <v>7287.5</v>
      </c>
      <c r="BZ800" s="81">
        <v>5.6144067796610173</v>
      </c>
    </row>
    <row r="801" spans="1:89" x14ac:dyDescent="0.15">
      <c r="A801" s="60">
        <v>2</v>
      </c>
      <c r="B801" s="61">
        <v>44634</v>
      </c>
      <c r="C801" s="61">
        <v>44635</v>
      </c>
      <c r="D801" s="61">
        <v>44659</v>
      </c>
      <c r="E801" s="61">
        <v>44636</v>
      </c>
      <c r="F801" s="61">
        <v>44642</v>
      </c>
      <c r="G801" s="61">
        <v>44635</v>
      </c>
      <c r="H801" s="61">
        <v>44638</v>
      </c>
      <c r="I801" s="60" t="s">
        <v>511</v>
      </c>
      <c r="J801" s="60">
        <v>1</v>
      </c>
      <c r="L801" s="60">
        <v>0</v>
      </c>
      <c r="M801" s="61">
        <v>44607</v>
      </c>
      <c r="O801" s="62" t="s">
        <v>331</v>
      </c>
      <c r="P801" s="60" t="s">
        <v>26</v>
      </c>
      <c r="Q801" s="62" t="s">
        <v>141</v>
      </c>
      <c r="R801" s="62" t="s">
        <v>2733</v>
      </c>
      <c r="S801" s="63" t="s">
        <v>2734</v>
      </c>
      <c r="T801" s="63" t="s">
        <v>1208</v>
      </c>
      <c r="U801" s="64">
        <v>182500</v>
      </c>
      <c r="V801" s="64">
        <v>200750</v>
      </c>
      <c r="W801" s="64">
        <v>94000</v>
      </c>
      <c r="X801" s="64">
        <v>103400</v>
      </c>
      <c r="Y801" s="64">
        <v>88500</v>
      </c>
      <c r="Z801" s="64">
        <v>97350</v>
      </c>
      <c r="AA801" s="61">
        <v>44634</v>
      </c>
      <c r="AB801" s="61">
        <v>44635</v>
      </c>
      <c r="AC801" s="61">
        <v>44635</v>
      </c>
      <c r="AD801" s="60">
        <v>0</v>
      </c>
      <c r="AG801" s="60">
        <v>0</v>
      </c>
      <c r="AJ801" s="60">
        <v>0</v>
      </c>
      <c r="AM801" s="60" t="s">
        <v>273</v>
      </c>
      <c r="AN801" s="60" t="s">
        <v>2735</v>
      </c>
      <c r="AQ801" s="60" t="s">
        <v>2648</v>
      </c>
      <c r="AR801" s="61">
        <v>44629</v>
      </c>
      <c r="AS801" s="60">
        <v>6002002319</v>
      </c>
      <c r="AT801" s="61">
        <v>44631</v>
      </c>
      <c r="AU801" s="60" t="s">
        <v>2707</v>
      </c>
      <c r="AV801" s="61">
        <v>44635</v>
      </c>
      <c r="AW801" s="91">
        <v>44651</v>
      </c>
      <c r="AX801" s="91">
        <v>44671</v>
      </c>
      <c r="AY801" s="99">
        <v>175200</v>
      </c>
      <c r="AZ801" s="99">
        <f>ROUNDDOWN(AY801+(AY801*MASTER!$A$2/100),0)</f>
        <v>192720</v>
      </c>
      <c r="BA801" s="60" t="s">
        <v>318</v>
      </c>
      <c r="BB801" s="64">
        <v>29000</v>
      </c>
      <c r="BC801" s="64">
        <v>31900</v>
      </c>
      <c r="BD801" s="60" t="s">
        <v>2107</v>
      </c>
      <c r="BG801" s="64">
        <v>0</v>
      </c>
      <c r="BI801" s="60" t="s">
        <v>748</v>
      </c>
      <c r="BJ801" s="64">
        <v>57525</v>
      </c>
      <c r="BK801" s="64">
        <v>63277.5</v>
      </c>
      <c r="BL801" s="60" t="s">
        <v>2107</v>
      </c>
      <c r="BS801" s="64">
        <v>0</v>
      </c>
      <c r="BV801" s="65">
        <v>103400</v>
      </c>
      <c r="BW801" s="65">
        <v>95177.5</v>
      </c>
      <c r="BX801" s="65">
        <v>44607</v>
      </c>
      <c r="BY801" s="65">
        <v>8222.5</v>
      </c>
      <c r="BZ801" s="81">
        <v>7.9521276595744679</v>
      </c>
    </row>
    <row r="802" spans="1:89" s="152" customFormat="1" x14ac:dyDescent="0.15">
      <c r="A802" s="142">
        <v>3</v>
      </c>
      <c r="B802" s="143"/>
      <c r="C802" s="143" t="s">
        <v>309</v>
      </c>
      <c r="D802" s="143"/>
      <c r="E802" s="143"/>
      <c r="F802" s="143" t="s">
        <v>309</v>
      </c>
      <c r="G802" s="143"/>
      <c r="H802" s="143" t="s">
        <v>309</v>
      </c>
      <c r="I802" s="142"/>
      <c r="J802" s="142">
        <v>2</v>
      </c>
      <c r="K802" s="143"/>
      <c r="L802" s="142">
        <v>0</v>
      </c>
      <c r="M802" s="143">
        <v>44607</v>
      </c>
      <c r="N802" s="143"/>
      <c r="O802" s="144" t="s">
        <v>331</v>
      </c>
      <c r="P802" s="142" t="s">
        <v>6</v>
      </c>
      <c r="Q802" s="144" t="s">
        <v>141</v>
      </c>
      <c r="R802" s="144" t="s">
        <v>2356</v>
      </c>
      <c r="S802" s="145" t="s">
        <v>2357</v>
      </c>
      <c r="T802" s="145" t="s">
        <v>364</v>
      </c>
      <c r="U802" s="146">
        <v>51000</v>
      </c>
      <c r="V802" s="146">
        <v>56100</v>
      </c>
      <c r="W802" s="146">
        <v>51000</v>
      </c>
      <c r="X802" s="146">
        <v>56100</v>
      </c>
      <c r="Y802" s="146"/>
      <c r="Z802" s="146">
        <v>0</v>
      </c>
      <c r="AA802" s="143"/>
      <c r="AB802" s="143"/>
      <c r="AC802" s="143"/>
      <c r="AD802" s="142">
        <v>0</v>
      </c>
      <c r="AE802" s="142"/>
      <c r="AF802" s="142"/>
      <c r="AG802" s="142">
        <v>0</v>
      </c>
      <c r="AH802" s="142"/>
      <c r="AI802" s="142"/>
      <c r="AJ802" s="142">
        <v>0</v>
      </c>
      <c r="AK802" s="142"/>
      <c r="AL802" s="142"/>
      <c r="AM802" s="142"/>
      <c r="AN802" s="142" t="s">
        <v>309</v>
      </c>
      <c r="AO802" s="143"/>
      <c r="AP802" s="142"/>
      <c r="AQ802" s="142"/>
      <c r="AR802" s="143"/>
      <c r="AS802" s="142"/>
      <c r="AT802" s="143"/>
      <c r="AU802" s="142"/>
      <c r="AV802" s="143"/>
      <c r="AW802" s="147"/>
      <c r="AX802" s="147"/>
      <c r="AY802" s="148">
        <v>48960</v>
      </c>
      <c r="AZ802" s="148">
        <f>ROUNDDOWN(AY802+(AY802*MASTER!$A$2/100),0)</f>
        <v>53856</v>
      </c>
      <c r="BA802" s="142"/>
      <c r="BB802" s="146"/>
      <c r="BC802" s="146">
        <v>0</v>
      </c>
      <c r="BD802" s="142"/>
      <c r="BE802" s="142"/>
      <c r="BF802" s="146"/>
      <c r="BG802" s="146">
        <v>0</v>
      </c>
      <c r="BH802" s="142"/>
      <c r="BI802" s="142"/>
      <c r="BJ802" s="146"/>
      <c r="BK802" s="146">
        <v>0</v>
      </c>
      <c r="BL802" s="142"/>
      <c r="BM802" s="146"/>
      <c r="BN802" s="146"/>
      <c r="BO802" s="146"/>
      <c r="BP802" s="146"/>
      <c r="BQ802" s="146"/>
      <c r="BR802" s="146"/>
      <c r="BS802" s="146">
        <v>0</v>
      </c>
      <c r="BT802" s="149"/>
      <c r="BU802" s="149"/>
      <c r="BV802" s="150">
        <v>56100</v>
      </c>
      <c r="BW802" s="150">
        <v>0</v>
      </c>
      <c r="BX802" s="150">
        <v>44607</v>
      </c>
      <c r="BY802" s="150">
        <v>56100</v>
      </c>
      <c r="BZ802" s="151">
        <v>100</v>
      </c>
      <c r="CA802" s="142"/>
      <c r="CB802" s="142"/>
      <c r="CC802" s="142"/>
      <c r="CD802" s="145" t="s">
        <v>2358</v>
      </c>
      <c r="CE802" s="143"/>
      <c r="CF802" s="143"/>
      <c r="CG802" s="143"/>
      <c r="CH802" s="143"/>
      <c r="CI802" s="143"/>
      <c r="CJ802" s="143"/>
      <c r="CK802" s="146"/>
    </row>
    <row r="803" spans="1:89" s="152" customFormat="1" x14ac:dyDescent="0.15">
      <c r="A803" s="142">
        <v>3</v>
      </c>
      <c r="B803" s="143"/>
      <c r="C803" s="143" t="s">
        <v>309</v>
      </c>
      <c r="D803" s="143"/>
      <c r="E803" s="143"/>
      <c r="F803" s="143" t="s">
        <v>309</v>
      </c>
      <c r="G803" s="143"/>
      <c r="H803" s="143" t="s">
        <v>309</v>
      </c>
      <c r="I803" s="142"/>
      <c r="J803" s="142">
        <v>2</v>
      </c>
      <c r="K803" s="143"/>
      <c r="L803" s="142">
        <v>0</v>
      </c>
      <c r="M803" s="143">
        <v>44607</v>
      </c>
      <c r="N803" s="143"/>
      <c r="O803" s="144" t="s">
        <v>331</v>
      </c>
      <c r="P803" s="142" t="s">
        <v>6</v>
      </c>
      <c r="Q803" s="144" t="s">
        <v>141</v>
      </c>
      <c r="R803" s="144" t="s">
        <v>2708</v>
      </c>
      <c r="S803" s="145" t="s">
        <v>1608</v>
      </c>
      <c r="T803" s="145" t="s">
        <v>364</v>
      </c>
      <c r="U803" s="146">
        <v>51000</v>
      </c>
      <c r="V803" s="146">
        <v>56100</v>
      </c>
      <c r="W803" s="146">
        <v>51000</v>
      </c>
      <c r="X803" s="146">
        <v>56100</v>
      </c>
      <c r="Y803" s="146"/>
      <c r="Z803" s="146">
        <v>0</v>
      </c>
      <c r="AA803" s="143"/>
      <c r="AB803" s="143"/>
      <c r="AC803" s="143"/>
      <c r="AD803" s="142">
        <v>0</v>
      </c>
      <c r="AE803" s="142"/>
      <c r="AF803" s="142"/>
      <c r="AG803" s="142">
        <v>0</v>
      </c>
      <c r="AH803" s="142"/>
      <c r="AI803" s="142"/>
      <c r="AJ803" s="142">
        <v>0</v>
      </c>
      <c r="AK803" s="142"/>
      <c r="AL803" s="142"/>
      <c r="AM803" s="142"/>
      <c r="AN803" s="142" t="s">
        <v>309</v>
      </c>
      <c r="AO803" s="143"/>
      <c r="AP803" s="142"/>
      <c r="AQ803" s="142"/>
      <c r="AR803" s="143"/>
      <c r="AS803" s="142"/>
      <c r="AT803" s="143"/>
      <c r="AU803" s="142"/>
      <c r="AV803" s="143"/>
      <c r="AW803" s="147"/>
      <c r="AX803" s="147"/>
      <c r="AY803" s="148">
        <v>48960</v>
      </c>
      <c r="AZ803" s="148">
        <f>ROUNDDOWN(AY803+(AY803*MASTER!$A$2/100),0)</f>
        <v>53856</v>
      </c>
      <c r="BA803" s="142"/>
      <c r="BB803" s="146"/>
      <c r="BC803" s="146">
        <v>0</v>
      </c>
      <c r="BD803" s="142"/>
      <c r="BE803" s="142"/>
      <c r="BF803" s="146"/>
      <c r="BG803" s="146">
        <v>0</v>
      </c>
      <c r="BH803" s="142"/>
      <c r="BI803" s="142"/>
      <c r="BJ803" s="146"/>
      <c r="BK803" s="146">
        <v>0</v>
      </c>
      <c r="BL803" s="142"/>
      <c r="BM803" s="146"/>
      <c r="BN803" s="146"/>
      <c r="BO803" s="146"/>
      <c r="BP803" s="146"/>
      <c r="BQ803" s="146"/>
      <c r="BR803" s="146"/>
      <c r="BS803" s="146">
        <v>0</v>
      </c>
      <c r="BT803" s="149"/>
      <c r="BU803" s="149"/>
      <c r="BV803" s="150">
        <v>56100</v>
      </c>
      <c r="BW803" s="150">
        <v>0</v>
      </c>
      <c r="BX803" s="150">
        <v>44607</v>
      </c>
      <c r="BY803" s="150">
        <v>56100</v>
      </c>
      <c r="BZ803" s="151">
        <v>100</v>
      </c>
      <c r="CA803" s="142"/>
      <c r="CB803" s="142"/>
      <c r="CC803" s="142"/>
      <c r="CD803" s="145" t="s">
        <v>2709</v>
      </c>
      <c r="CE803" s="143"/>
      <c r="CF803" s="143"/>
      <c r="CG803" s="143"/>
      <c r="CH803" s="143"/>
      <c r="CI803" s="143"/>
      <c r="CJ803" s="143"/>
      <c r="CK803" s="146"/>
    </row>
    <row r="804" spans="1:89" x14ac:dyDescent="0.15">
      <c r="A804" s="60">
        <v>1</v>
      </c>
      <c r="B804" s="61">
        <v>44617</v>
      </c>
      <c r="C804" s="61">
        <v>44620</v>
      </c>
      <c r="F804" s="61" t="s">
        <v>309</v>
      </c>
      <c r="G804" s="61">
        <v>44608</v>
      </c>
      <c r="H804" s="61" t="s">
        <v>309</v>
      </c>
      <c r="J804" s="60">
        <v>2</v>
      </c>
      <c r="L804" s="60">
        <v>0</v>
      </c>
      <c r="M804" s="61">
        <v>44608</v>
      </c>
      <c r="O804" s="62" t="s">
        <v>331</v>
      </c>
      <c r="P804" s="60" t="s">
        <v>6</v>
      </c>
      <c r="Q804" s="62" t="s">
        <v>141</v>
      </c>
      <c r="R804" s="62" t="s">
        <v>2324</v>
      </c>
      <c r="S804" s="63" t="s">
        <v>457</v>
      </c>
      <c r="T804" s="63" t="s">
        <v>364</v>
      </c>
      <c r="U804" s="64">
        <v>51000</v>
      </c>
      <c r="V804" s="64">
        <v>56100</v>
      </c>
      <c r="W804" s="64">
        <v>51000</v>
      </c>
      <c r="X804" s="64">
        <v>56100</v>
      </c>
      <c r="Y804" s="64">
        <v>0</v>
      </c>
      <c r="Z804" s="64">
        <v>0</v>
      </c>
      <c r="AA804" s="61">
        <v>44607</v>
      </c>
      <c r="AB804" s="61">
        <v>44607</v>
      </c>
      <c r="AD804" s="60">
        <v>0</v>
      </c>
      <c r="AG804" s="60">
        <v>0</v>
      </c>
      <c r="AJ804" s="60">
        <v>0</v>
      </c>
      <c r="AN804" s="60" t="s">
        <v>309</v>
      </c>
      <c r="AQ804" s="60" t="s">
        <v>2474</v>
      </c>
      <c r="AR804" s="61">
        <v>44614</v>
      </c>
      <c r="AS804" s="60">
        <v>6001997208</v>
      </c>
      <c r="AT804" s="61">
        <v>44616</v>
      </c>
      <c r="AU804" s="60" t="s">
        <v>2480</v>
      </c>
      <c r="AV804" s="61">
        <v>44620</v>
      </c>
      <c r="AW804" s="91">
        <v>44620</v>
      </c>
      <c r="AX804" s="91">
        <v>44640</v>
      </c>
      <c r="AY804" s="99">
        <v>48960</v>
      </c>
      <c r="AZ804" s="99">
        <f>ROUNDDOWN(AY804+(AY804*MASTER!$A$2/100),0)</f>
        <v>53856</v>
      </c>
      <c r="BA804" s="60" t="s">
        <v>107</v>
      </c>
      <c r="BC804" s="64">
        <v>0</v>
      </c>
      <c r="BG804" s="64">
        <v>0</v>
      </c>
      <c r="BK804" s="64">
        <v>0</v>
      </c>
      <c r="BS804" s="64">
        <v>0</v>
      </c>
      <c r="BV804" s="65">
        <v>56100</v>
      </c>
      <c r="BW804" s="65">
        <v>0</v>
      </c>
      <c r="BX804" s="65">
        <v>44608</v>
      </c>
      <c r="BY804" s="65">
        <v>56100</v>
      </c>
      <c r="BZ804" s="81">
        <v>100</v>
      </c>
    </row>
    <row r="805" spans="1:89" s="152" customFormat="1" x14ac:dyDescent="0.15">
      <c r="A805" s="142">
        <v>3</v>
      </c>
      <c r="B805" s="143"/>
      <c r="C805" s="143" t="s">
        <v>309</v>
      </c>
      <c r="D805" s="143"/>
      <c r="E805" s="143"/>
      <c r="F805" s="143" t="s">
        <v>309</v>
      </c>
      <c r="G805" s="143"/>
      <c r="H805" s="143" t="s">
        <v>309</v>
      </c>
      <c r="I805" s="142"/>
      <c r="J805" s="142">
        <v>3</v>
      </c>
      <c r="K805" s="143"/>
      <c r="L805" s="142">
        <v>0</v>
      </c>
      <c r="M805" s="143">
        <v>44608</v>
      </c>
      <c r="N805" s="61"/>
      <c r="O805" s="144" t="s">
        <v>331</v>
      </c>
      <c r="P805" s="142" t="s">
        <v>6</v>
      </c>
      <c r="Q805" s="144" t="s">
        <v>141</v>
      </c>
      <c r="R805" s="144" t="s">
        <v>2931</v>
      </c>
      <c r="S805" s="145" t="s">
        <v>1880</v>
      </c>
      <c r="T805" s="145" t="s">
        <v>385</v>
      </c>
      <c r="U805" s="146">
        <v>15000</v>
      </c>
      <c r="V805" s="146">
        <v>16500</v>
      </c>
      <c r="W805" s="146">
        <v>0</v>
      </c>
      <c r="X805" s="146">
        <v>0</v>
      </c>
      <c r="Y805" s="146">
        <v>15000</v>
      </c>
      <c r="Z805" s="146">
        <v>16500</v>
      </c>
      <c r="AA805" s="143"/>
      <c r="AB805" s="143"/>
      <c r="AC805" s="143"/>
      <c r="AD805" s="142">
        <v>0</v>
      </c>
      <c r="AE805" s="142"/>
      <c r="AF805" s="142"/>
      <c r="AG805" s="142">
        <v>0</v>
      </c>
      <c r="AH805" s="142"/>
      <c r="AI805" s="142"/>
      <c r="AJ805" s="142">
        <v>0</v>
      </c>
      <c r="AK805" s="142"/>
      <c r="AL805" s="142"/>
      <c r="AM805" s="142"/>
      <c r="AN805" s="142" t="s">
        <v>309</v>
      </c>
      <c r="AO805" s="143"/>
      <c r="AP805" s="142"/>
      <c r="AQ805" s="142"/>
      <c r="AR805" s="143"/>
      <c r="AS805" s="142"/>
      <c r="AT805" s="143"/>
      <c r="AU805" s="142"/>
      <c r="AV805" s="143"/>
      <c r="AW805" s="147"/>
      <c r="AX805" s="147"/>
      <c r="AY805" s="148">
        <v>14400</v>
      </c>
      <c r="AZ805" s="148">
        <f>ROUNDDOWN(AY805+(AY805*MASTER!$A$2/100),0)</f>
        <v>15840</v>
      </c>
      <c r="BA805" s="142"/>
      <c r="BB805" s="146"/>
      <c r="BC805" s="146">
        <v>0</v>
      </c>
      <c r="BD805" s="142"/>
      <c r="BE805" s="142"/>
      <c r="BF805" s="146"/>
      <c r="BG805" s="146">
        <v>0</v>
      </c>
      <c r="BH805" s="142"/>
      <c r="BI805" s="142"/>
      <c r="BJ805" s="146"/>
      <c r="BK805" s="146">
        <v>0</v>
      </c>
      <c r="BL805" s="142"/>
      <c r="BM805" s="146"/>
      <c r="BN805" s="146"/>
      <c r="BO805" s="146"/>
      <c r="BP805" s="146"/>
      <c r="BQ805" s="146"/>
      <c r="BR805" s="146"/>
      <c r="BS805" s="146">
        <v>0</v>
      </c>
      <c r="BT805" s="149"/>
      <c r="BU805" s="149"/>
      <c r="BV805" s="150">
        <v>0</v>
      </c>
      <c r="BW805" s="150">
        <v>0</v>
      </c>
      <c r="BX805" s="150">
        <v>44608</v>
      </c>
      <c r="BY805" s="150">
        <v>0</v>
      </c>
      <c r="BZ805" s="151" t="s">
        <v>309</v>
      </c>
      <c r="CA805" s="142"/>
      <c r="CB805" s="142"/>
      <c r="CC805" s="142"/>
      <c r="CD805" s="145" t="s">
        <v>2932</v>
      </c>
      <c r="CE805" s="143"/>
      <c r="CF805" s="143"/>
      <c r="CG805" s="143"/>
      <c r="CH805" s="143"/>
      <c r="CI805" s="143"/>
      <c r="CJ805" s="143"/>
      <c r="CK805" s="146"/>
    </row>
    <row r="806" spans="1:89" x14ac:dyDescent="0.15">
      <c r="A806" s="60">
        <v>1</v>
      </c>
      <c r="C806" s="61" t="s">
        <v>309</v>
      </c>
      <c r="F806" s="61" t="s">
        <v>309</v>
      </c>
      <c r="H806" s="61" t="s">
        <v>309</v>
      </c>
      <c r="J806" s="60">
        <v>3</v>
      </c>
      <c r="L806" s="60">
        <v>0</v>
      </c>
      <c r="M806" s="61">
        <v>44608</v>
      </c>
      <c r="O806" s="62" t="s">
        <v>331</v>
      </c>
      <c r="P806" s="60" t="s">
        <v>6</v>
      </c>
      <c r="Q806" s="62" t="s">
        <v>141</v>
      </c>
      <c r="R806" s="62" t="s">
        <v>2322</v>
      </c>
      <c r="S806" s="63" t="s">
        <v>1061</v>
      </c>
      <c r="T806" s="63" t="s">
        <v>2323</v>
      </c>
      <c r="U806" s="64">
        <v>16000</v>
      </c>
      <c r="V806" s="64">
        <v>17600</v>
      </c>
      <c r="X806" s="64">
        <v>0</v>
      </c>
      <c r="Y806" s="64">
        <v>16000</v>
      </c>
      <c r="Z806" s="64">
        <v>17600</v>
      </c>
      <c r="AD806" s="60">
        <v>0</v>
      </c>
      <c r="AG806" s="60">
        <v>0</v>
      </c>
      <c r="AJ806" s="60">
        <v>0</v>
      </c>
      <c r="AN806" s="60" t="s">
        <v>309</v>
      </c>
      <c r="AY806" s="99">
        <f>ROUNDDOWN((0.96*U806),0)</f>
        <v>15360</v>
      </c>
      <c r="AZ806" s="99">
        <f>ROUNDDOWN(AY806+(AY806*MASTER!$A$2/100),0)</f>
        <v>16896</v>
      </c>
      <c r="BC806" s="64">
        <v>0</v>
      </c>
      <c r="BG806" s="64">
        <v>0</v>
      </c>
      <c r="BK806" s="64">
        <v>0</v>
      </c>
      <c r="BS806" s="64">
        <v>0</v>
      </c>
      <c r="BV806" s="65">
        <v>0</v>
      </c>
      <c r="BW806" s="65">
        <v>0</v>
      </c>
      <c r="BX806" s="65">
        <v>44608</v>
      </c>
      <c r="BY806" s="65">
        <v>0</v>
      </c>
      <c r="BZ806" s="81" t="s">
        <v>309</v>
      </c>
    </row>
    <row r="807" spans="1:89" x14ac:dyDescent="0.15">
      <c r="A807" s="60">
        <v>1</v>
      </c>
      <c r="C807" s="61" t="s">
        <v>309</v>
      </c>
      <c r="F807" s="61" t="s">
        <v>309</v>
      </c>
      <c r="H807" s="61" t="s">
        <v>309</v>
      </c>
      <c r="J807" s="60">
        <v>2</v>
      </c>
      <c r="L807" s="60">
        <v>0</v>
      </c>
      <c r="M807" s="61">
        <v>44609</v>
      </c>
      <c r="O807" s="62" t="s">
        <v>331</v>
      </c>
      <c r="P807" s="60" t="s">
        <v>26</v>
      </c>
      <c r="Q807" s="62" t="s">
        <v>141</v>
      </c>
      <c r="R807" s="62" t="s">
        <v>2421</v>
      </c>
      <c r="S807" s="63" t="s">
        <v>1207</v>
      </c>
      <c r="T807" s="63" t="s">
        <v>656</v>
      </c>
      <c r="U807" s="64">
        <v>49500</v>
      </c>
      <c r="V807" s="64">
        <v>54450</v>
      </c>
      <c r="W807" s="64">
        <v>49500</v>
      </c>
      <c r="X807" s="64">
        <v>54450</v>
      </c>
      <c r="Z807" s="64">
        <v>0</v>
      </c>
      <c r="AD807" s="60">
        <v>0</v>
      </c>
      <c r="AG807" s="60">
        <v>0</v>
      </c>
      <c r="AJ807" s="60">
        <v>0</v>
      </c>
      <c r="AN807" s="60" t="s">
        <v>309</v>
      </c>
      <c r="AY807" s="99">
        <v>47520</v>
      </c>
      <c r="AZ807" s="99">
        <f>ROUNDDOWN(AY807+(AY807*MASTER!$A$2/100),0)</f>
        <v>52272</v>
      </c>
      <c r="BC807" s="64">
        <v>0</v>
      </c>
      <c r="BG807" s="64">
        <v>0</v>
      </c>
      <c r="BK807" s="64">
        <v>0</v>
      </c>
      <c r="BS807" s="64">
        <v>0</v>
      </c>
      <c r="BV807" s="65">
        <v>54450</v>
      </c>
      <c r="BW807" s="65">
        <v>0</v>
      </c>
      <c r="BX807" s="65">
        <v>44609</v>
      </c>
      <c r="BY807" s="65">
        <v>54450</v>
      </c>
      <c r="BZ807" s="81">
        <v>100</v>
      </c>
      <c r="CD807" s="63" t="s">
        <v>2848</v>
      </c>
    </row>
    <row r="808" spans="1:89" x14ac:dyDescent="0.15">
      <c r="A808" s="60">
        <v>2</v>
      </c>
      <c r="B808" s="61">
        <v>44616</v>
      </c>
      <c r="C808" s="61">
        <v>44620</v>
      </c>
      <c r="D808" s="61">
        <v>44627</v>
      </c>
      <c r="F808" s="61" t="s">
        <v>309</v>
      </c>
      <c r="H808" s="61" t="s">
        <v>309</v>
      </c>
      <c r="J808" s="60">
        <v>2</v>
      </c>
      <c r="L808" s="60">
        <v>0</v>
      </c>
      <c r="M808" s="61">
        <v>44609</v>
      </c>
      <c r="O808" s="62" t="s">
        <v>331</v>
      </c>
      <c r="P808" s="60" t="s">
        <v>77</v>
      </c>
      <c r="Q808" s="62" t="s">
        <v>141</v>
      </c>
      <c r="R808" s="62" t="s">
        <v>2344</v>
      </c>
      <c r="S808" s="63" t="s">
        <v>482</v>
      </c>
      <c r="T808" s="63" t="s">
        <v>346</v>
      </c>
      <c r="U808" s="64">
        <v>65000</v>
      </c>
      <c r="V808" s="64">
        <v>71500</v>
      </c>
      <c r="W808" s="64">
        <v>65000</v>
      </c>
      <c r="X808" s="64">
        <v>71500</v>
      </c>
      <c r="Y808" s="64">
        <v>0</v>
      </c>
      <c r="Z808" s="64">
        <v>0</v>
      </c>
      <c r="AA808" s="61">
        <v>44610</v>
      </c>
      <c r="AB808" s="61">
        <v>44611</v>
      </c>
      <c r="AD808" s="60">
        <v>0</v>
      </c>
      <c r="AG808" s="60">
        <v>0</v>
      </c>
      <c r="AJ808" s="60">
        <v>0</v>
      </c>
      <c r="AQ808" s="60" t="s">
        <v>2265</v>
      </c>
      <c r="AR808" s="61">
        <v>44610</v>
      </c>
      <c r="AS808" s="60">
        <v>6001995916</v>
      </c>
      <c r="AT808" s="61">
        <v>44613</v>
      </c>
      <c r="AU808" s="60" t="s">
        <v>2448</v>
      </c>
      <c r="AV808" s="61">
        <v>44620</v>
      </c>
      <c r="AW808" s="91">
        <v>44620</v>
      </c>
      <c r="AX808" s="91">
        <v>44640</v>
      </c>
      <c r="AY808" s="107">
        <v>65000</v>
      </c>
      <c r="AZ808" s="107">
        <f>ROUNDDOWN(AY808+(AY808*MASTER!$A$2/100),0)</f>
        <v>71500</v>
      </c>
      <c r="BC808" s="64">
        <v>0</v>
      </c>
      <c r="BG808" s="64">
        <v>0</v>
      </c>
      <c r="BK808" s="64">
        <v>0</v>
      </c>
      <c r="BS808" s="64">
        <v>0</v>
      </c>
      <c r="BV808" s="65">
        <v>71500</v>
      </c>
      <c r="BW808" s="65">
        <v>0</v>
      </c>
      <c r="BX808" s="65">
        <v>44609</v>
      </c>
      <c r="BY808" s="65">
        <v>71500</v>
      </c>
      <c r="BZ808" s="81">
        <v>100</v>
      </c>
      <c r="CD808" s="63" t="s">
        <v>2345</v>
      </c>
    </row>
    <row r="809" spans="1:89" x14ac:dyDescent="0.15">
      <c r="A809" s="60">
        <v>1</v>
      </c>
      <c r="B809" s="61">
        <v>44630</v>
      </c>
      <c r="C809" s="61">
        <v>44631</v>
      </c>
      <c r="F809" s="61" t="s">
        <v>309</v>
      </c>
      <c r="H809" s="61" t="s">
        <v>309</v>
      </c>
      <c r="J809" s="60">
        <v>2</v>
      </c>
      <c r="L809" s="60">
        <v>0</v>
      </c>
      <c r="M809" s="61">
        <v>44610</v>
      </c>
      <c r="O809" s="62" t="s">
        <v>331</v>
      </c>
      <c r="P809" s="60" t="s">
        <v>26</v>
      </c>
      <c r="Q809" s="62" t="s">
        <v>141</v>
      </c>
      <c r="R809" s="62" t="s">
        <v>2722</v>
      </c>
      <c r="S809" s="63" t="s">
        <v>354</v>
      </c>
      <c r="T809" s="63" t="s">
        <v>2723</v>
      </c>
      <c r="U809" s="64">
        <v>160000</v>
      </c>
      <c r="V809" s="64">
        <v>176000</v>
      </c>
      <c r="W809" s="64">
        <v>160000</v>
      </c>
      <c r="X809" s="64">
        <v>176000</v>
      </c>
      <c r="Z809" s="64">
        <v>0</v>
      </c>
      <c r="AA809" s="61">
        <v>44613</v>
      </c>
      <c r="AB809" s="61">
        <v>44624</v>
      </c>
      <c r="AD809" s="60">
        <v>0</v>
      </c>
      <c r="AG809" s="60">
        <v>0</v>
      </c>
      <c r="AJ809" s="60">
        <v>0</v>
      </c>
      <c r="AN809" s="60" t="s">
        <v>309</v>
      </c>
      <c r="AQ809" s="60" t="s">
        <v>2451</v>
      </c>
      <c r="AR809" s="61">
        <v>44614</v>
      </c>
      <c r="AS809" s="60">
        <v>6001997162</v>
      </c>
      <c r="AT809" s="61">
        <v>44616</v>
      </c>
      <c r="AU809" s="60" t="s">
        <v>2475</v>
      </c>
      <c r="AV809" s="61">
        <v>44631</v>
      </c>
      <c r="AW809" s="91">
        <v>44651</v>
      </c>
      <c r="AX809" s="91">
        <v>44671</v>
      </c>
      <c r="AY809" s="107">
        <v>160000</v>
      </c>
      <c r="AZ809" s="107">
        <v>176000</v>
      </c>
      <c r="BC809" s="64">
        <v>0</v>
      </c>
      <c r="BG809" s="64">
        <v>0</v>
      </c>
      <c r="BK809" s="64">
        <v>0</v>
      </c>
      <c r="BS809" s="64">
        <v>0</v>
      </c>
      <c r="BV809" s="65">
        <v>176000</v>
      </c>
      <c r="BW809" s="65">
        <v>0</v>
      </c>
      <c r="BX809" s="65">
        <v>44610</v>
      </c>
      <c r="BY809" s="65">
        <v>176000</v>
      </c>
      <c r="BZ809" s="81">
        <v>100</v>
      </c>
    </row>
    <row r="810" spans="1:89" x14ac:dyDescent="0.15">
      <c r="A810" s="60">
        <v>1</v>
      </c>
      <c r="B810" s="61">
        <v>44614</v>
      </c>
      <c r="C810" s="61">
        <v>44613</v>
      </c>
      <c r="F810" s="61" t="s">
        <v>309</v>
      </c>
      <c r="H810" s="61" t="s">
        <v>309</v>
      </c>
      <c r="J810" s="60">
        <v>2</v>
      </c>
      <c r="L810" s="60">
        <v>0</v>
      </c>
      <c r="M810" s="61">
        <v>44610</v>
      </c>
      <c r="O810" s="62" t="s">
        <v>331</v>
      </c>
      <c r="P810" s="60" t="s">
        <v>77</v>
      </c>
      <c r="Q810" s="62" t="s">
        <v>141</v>
      </c>
      <c r="R810" s="62" t="s">
        <v>2355</v>
      </c>
      <c r="S810" s="63" t="s">
        <v>326</v>
      </c>
      <c r="T810" s="63" t="s">
        <v>883</v>
      </c>
      <c r="U810" s="64">
        <v>7020</v>
      </c>
      <c r="V810" s="64">
        <v>7722</v>
      </c>
      <c r="W810" s="64">
        <v>7020</v>
      </c>
      <c r="X810" s="64">
        <v>7722</v>
      </c>
      <c r="Y810" s="64">
        <v>0</v>
      </c>
      <c r="Z810" s="64">
        <v>0</v>
      </c>
      <c r="AD810" s="60">
        <v>0</v>
      </c>
      <c r="AG810" s="60">
        <v>0</v>
      </c>
      <c r="AJ810" s="60">
        <v>0</v>
      </c>
      <c r="AQ810" s="60" t="s">
        <v>2450</v>
      </c>
      <c r="AR810" s="61">
        <v>44610</v>
      </c>
      <c r="AS810" s="60">
        <v>6001995684</v>
      </c>
      <c r="AT810" s="61">
        <v>44613</v>
      </c>
      <c r="AU810" s="60" t="s">
        <v>2447</v>
      </c>
      <c r="AV810" s="61">
        <v>44613</v>
      </c>
      <c r="AW810" s="91">
        <v>44620</v>
      </c>
      <c r="AX810" s="91">
        <v>44640</v>
      </c>
      <c r="AY810" s="107">
        <v>7020</v>
      </c>
      <c r="AZ810" s="107">
        <f>ROUNDDOWN(AY810+(AY810*MASTER!$A$2/100),0)</f>
        <v>7722</v>
      </c>
      <c r="BC810" s="64">
        <v>0</v>
      </c>
      <c r="BG810" s="64">
        <v>0</v>
      </c>
      <c r="BK810" s="64">
        <v>0</v>
      </c>
      <c r="BS810" s="64">
        <v>0</v>
      </c>
      <c r="BV810" s="65">
        <v>7722</v>
      </c>
      <c r="BW810" s="65">
        <v>0</v>
      </c>
      <c r="BX810" s="65">
        <v>44610</v>
      </c>
      <c r="BY810" s="65">
        <v>7722</v>
      </c>
      <c r="BZ810" s="81">
        <v>100</v>
      </c>
      <c r="CD810" s="63" t="s">
        <v>2449</v>
      </c>
    </row>
    <row r="811" spans="1:89" x14ac:dyDescent="0.15">
      <c r="A811" s="60">
        <v>2</v>
      </c>
      <c r="B811" s="61">
        <v>44623</v>
      </c>
      <c r="C811" s="61">
        <v>44624</v>
      </c>
      <c r="D811" s="61">
        <v>44617</v>
      </c>
      <c r="E811" s="61">
        <v>44617</v>
      </c>
      <c r="F811" s="61" t="s">
        <v>309</v>
      </c>
      <c r="G811" s="61">
        <v>44617</v>
      </c>
      <c r="H811" s="61" t="s">
        <v>309</v>
      </c>
      <c r="I811" s="60" t="s">
        <v>494</v>
      </c>
      <c r="J811" s="60">
        <v>2</v>
      </c>
      <c r="L811" s="60">
        <v>0</v>
      </c>
      <c r="M811" s="61">
        <v>44613</v>
      </c>
      <c r="O811" s="62" t="s">
        <v>331</v>
      </c>
      <c r="P811" s="60" t="s">
        <v>6</v>
      </c>
      <c r="Q811" s="62" t="s">
        <v>141</v>
      </c>
      <c r="R811" s="62" t="s">
        <v>2491</v>
      </c>
      <c r="S811" s="63" t="s">
        <v>2492</v>
      </c>
      <c r="T811" s="63" t="s">
        <v>364</v>
      </c>
      <c r="U811" s="64">
        <v>51000</v>
      </c>
      <c r="V811" s="64">
        <v>56100</v>
      </c>
      <c r="W811" s="64">
        <v>51000</v>
      </c>
      <c r="X811" s="64">
        <v>56100</v>
      </c>
      <c r="Z811" s="64">
        <v>0</v>
      </c>
      <c r="AA811" s="61">
        <v>44616</v>
      </c>
      <c r="AB811" s="61">
        <v>44616</v>
      </c>
      <c r="AD811" s="60">
        <v>0</v>
      </c>
      <c r="AG811" s="60">
        <v>0</v>
      </c>
      <c r="AJ811" s="60">
        <v>0</v>
      </c>
      <c r="AN811" s="60" t="s">
        <v>309</v>
      </c>
      <c r="AQ811" s="60" t="s">
        <v>2525</v>
      </c>
      <c r="AR811" s="61">
        <v>44621</v>
      </c>
      <c r="AS811" s="60">
        <v>6001998973</v>
      </c>
      <c r="AT811" s="61">
        <v>44623</v>
      </c>
      <c r="AU811" s="60" t="s">
        <v>2574</v>
      </c>
      <c r="AV811" s="61">
        <v>44624</v>
      </c>
      <c r="AW811" s="91">
        <v>44651</v>
      </c>
      <c r="AX811" s="91">
        <v>44671</v>
      </c>
      <c r="AY811" s="99">
        <v>48960</v>
      </c>
      <c r="AZ811" s="99">
        <f>ROUNDDOWN(AY811+(AY811*MASTER!$A$2/100),0)</f>
        <v>53856</v>
      </c>
      <c r="BA811" s="60" t="s">
        <v>317</v>
      </c>
      <c r="BB811" s="64">
        <v>21000</v>
      </c>
      <c r="BC811" s="64">
        <v>23100</v>
      </c>
      <c r="BD811" s="60" t="s">
        <v>2044</v>
      </c>
      <c r="BG811" s="64">
        <v>0</v>
      </c>
      <c r="BK811" s="64">
        <v>0</v>
      </c>
      <c r="BS811" s="64">
        <v>0</v>
      </c>
      <c r="BV811" s="65">
        <v>56100</v>
      </c>
      <c r="BW811" s="65">
        <v>23100</v>
      </c>
      <c r="BX811" s="65">
        <v>44613</v>
      </c>
      <c r="BY811" s="65">
        <v>33000</v>
      </c>
      <c r="BZ811" s="81">
        <v>58.82352941176471</v>
      </c>
    </row>
    <row r="812" spans="1:89" x14ac:dyDescent="0.15">
      <c r="A812" s="60">
        <v>2</v>
      </c>
      <c r="B812" s="61">
        <v>44623</v>
      </c>
      <c r="C812" s="61">
        <v>44624</v>
      </c>
      <c r="D812" s="61">
        <v>44617</v>
      </c>
      <c r="E812" s="61">
        <v>44617</v>
      </c>
      <c r="F812" s="61" t="s">
        <v>309</v>
      </c>
      <c r="G812" s="61">
        <v>44617</v>
      </c>
      <c r="H812" s="61" t="s">
        <v>309</v>
      </c>
      <c r="I812" s="60" t="s">
        <v>766</v>
      </c>
      <c r="J812" s="60">
        <v>2</v>
      </c>
      <c r="L812" s="60">
        <v>0</v>
      </c>
      <c r="M812" s="61">
        <v>44613</v>
      </c>
      <c r="O812" s="62" t="s">
        <v>331</v>
      </c>
      <c r="P812" s="60" t="s">
        <v>6</v>
      </c>
      <c r="Q812" s="62" t="s">
        <v>141</v>
      </c>
      <c r="R812" s="62" t="s">
        <v>2490</v>
      </c>
      <c r="S812" s="63" t="s">
        <v>515</v>
      </c>
      <c r="T812" s="63" t="s">
        <v>364</v>
      </c>
      <c r="U812" s="64">
        <v>35000</v>
      </c>
      <c r="V812" s="64">
        <v>38500</v>
      </c>
      <c r="W812" s="64">
        <v>35000</v>
      </c>
      <c r="X812" s="64">
        <v>38500</v>
      </c>
      <c r="Z812" s="64">
        <v>0</v>
      </c>
      <c r="AA812" s="61">
        <v>44616</v>
      </c>
      <c r="AB812" s="61">
        <v>44616</v>
      </c>
      <c r="AD812" s="60">
        <v>0</v>
      </c>
      <c r="AG812" s="60">
        <v>0</v>
      </c>
      <c r="AJ812" s="60">
        <v>0</v>
      </c>
      <c r="AN812" s="60" t="s">
        <v>309</v>
      </c>
      <c r="AQ812" s="60" t="s">
        <v>2478</v>
      </c>
      <c r="AR812" s="61">
        <v>44617</v>
      </c>
      <c r="AS812" s="60">
        <v>6001997905</v>
      </c>
      <c r="AT812" s="61">
        <v>44621</v>
      </c>
      <c r="AU812" s="60" t="s">
        <v>2530</v>
      </c>
      <c r="AV812" s="61">
        <v>44624</v>
      </c>
      <c r="AW812" s="91">
        <v>44651</v>
      </c>
      <c r="AX812" s="91">
        <v>44671</v>
      </c>
      <c r="AY812" s="99">
        <v>33600</v>
      </c>
      <c r="AZ812" s="99">
        <f>ROUNDDOWN(AY812+(AY812*MASTER!$A$2/100),0)</f>
        <v>36960</v>
      </c>
      <c r="BA812" s="60" t="s">
        <v>582</v>
      </c>
      <c r="BB812" s="64">
        <v>21000</v>
      </c>
      <c r="BC812" s="64">
        <v>23100</v>
      </c>
      <c r="BD812" s="60" t="s">
        <v>2044</v>
      </c>
      <c r="BG812" s="64">
        <v>0</v>
      </c>
      <c r="BK812" s="64">
        <v>0</v>
      </c>
      <c r="BS812" s="64">
        <v>0</v>
      </c>
      <c r="BV812" s="65">
        <v>38500</v>
      </c>
      <c r="BW812" s="65">
        <v>23100</v>
      </c>
      <c r="BX812" s="65">
        <v>44613</v>
      </c>
      <c r="BY812" s="65">
        <v>15400</v>
      </c>
      <c r="BZ812" s="81">
        <v>40</v>
      </c>
    </row>
    <row r="813" spans="1:89" x14ac:dyDescent="0.15">
      <c r="A813" s="60">
        <v>2</v>
      </c>
      <c r="B813" s="61">
        <v>44658</v>
      </c>
      <c r="C813" s="61">
        <v>44679</v>
      </c>
      <c r="D813" s="61">
        <v>44664</v>
      </c>
      <c r="E813" s="61">
        <v>44664</v>
      </c>
      <c r="F813" s="61">
        <v>44671</v>
      </c>
      <c r="G813" s="61">
        <v>44664</v>
      </c>
      <c r="H813" s="61">
        <v>44667</v>
      </c>
      <c r="I813" s="60" t="s">
        <v>511</v>
      </c>
      <c r="J813" s="60">
        <v>2</v>
      </c>
      <c r="L813" s="60">
        <v>0</v>
      </c>
      <c r="M813" s="61">
        <v>44613</v>
      </c>
      <c r="O813" s="62" t="s">
        <v>331</v>
      </c>
      <c r="P813" s="60" t="s">
        <v>26</v>
      </c>
      <c r="Q813" s="62" t="s">
        <v>141</v>
      </c>
      <c r="R813" s="62" t="s">
        <v>2502</v>
      </c>
      <c r="S813" s="63" t="s">
        <v>915</v>
      </c>
      <c r="T813" s="63" t="s">
        <v>656</v>
      </c>
      <c r="U813" s="64">
        <v>49500</v>
      </c>
      <c r="V813" s="64">
        <v>54450</v>
      </c>
      <c r="W813" s="64">
        <v>49500</v>
      </c>
      <c r="X813" s="64">
        <v>54450</v>
      </c>
      <c r="Y813" s="64">
        <v>0</v>
      </c>
      <c r="Z813" s="64">
        <v>0</v>
      </c>
      <c r="AA813" s="61">
        <v>44663</v>
      </c>
      <c r="AB813" s="61">
        <v>44664</v>
      </c>
      <c r="AC813" s="61">
        <v>44664</v>
      </c>
      <c r="AD813" s="60">
        <v>0</v>
      </c>
      <c r="AG813" s="60">
        <v>0</v>
      </c>
      <c r="AJ813" s="60">
        <v>0</v>
      </c>
      <c r="AN813" s="60" t="s">
        <v>309</v>
      </c>
      <c r="AQ813" s="60" t="s">
        <v>3063</v>
      </c>
      <c r="AR813" s="61">
        <v>44620</v>
      </c>
      <c r="AS813" s="60">
        <v>6001998525</v>
      </c>
      <c r="AT813" s="61">
        <v>44621</v>
      </c>
      <c r="AU813" s="60" t="s">
        <v>2529</v>
      </c>
      <c r="AV813" s="61">
        <v>44679</v>
      </c>
      <c r="AW813" s="91">
        <v>44681</v>
      </c>
      <c r="AX813" s="91">
        <v>44701</v>
      </c>
      <c r="AY813" s="99">
        <v>47520</v>
      </c>
      <c r="AZ813" s="99">
        <f>ROUNDDOWN(AY813+(AY813*MASTER!$A$2/100),0)</f>
        <v>52272</v>
      </c>
      <c r="BA813" s="60" t="s">
        <v>582</v>
      </c>
      <c r="BB813" s="64">
        <v>39000</v>
      </c>
      <c r="BC813" s="64">
        <v>42900</v>
      </c>
      <c r="BD813" s="60" t="s">
        <v>643</v>
      </c>
      <c r="BG813" s="64">
        <v>0</v>
      </c>
      <c r="BK813" s="64">
        <v>0</v>
      </c>
      <c r="BS813" s="64">
        <v>0</v>
      </c>
      <c r="BV813" s="65">
        <v>54450</v>
      </c>
      <c r="BW813" s="65">
        <v>42900</v>
      </c>
      <c r="BX813" s="65">
        <v>44613</v>
      </c>
      <c r="BY813" s="65">
        <v>11550</v>
      </c>
      <c r="BZ813" s="81">
        <v>21.212121212121211</v>
      </c>
    </row>
    <row r="814" spans="1:89" s="152" customFormat="1" x14ac:dyDescent="0.15">
      <c r="A814" s="142">
        <v>3</v>
      </c>
      <c r="B814" s="143"/>
      <c r="C814" s="143" t="s">
        <v>309</v>
      </c>
      <c r="D814" s="143"/>
      <c r="E814" s="143"/>
      <c r="F814" s="143" t="s">
        <v>309</v>
      </c>
      <c r="G814" s="143"/>
      <c r="H814" s="143" t="s">
        <v>309</v>
      </c>
      <c r="I814" s="142"/>
      <c r="J814" s="142">
        <v>2</v>
      </c>
      <c r="K814" s="143"/>
      <c r="L814" s="142">
        <v>0</v>
      </c>
      <c r="M814" s="143">
        <v>44613</v>
      </c>
      <c r="N814" s="143"/>
      <c r="O814" s="144" t="s">
        <v>335</v>
      </c>
      <c r="P814" s="142" t="s">
        <v>77</v>
      </c>
      <c r="Q814" s="144" t="s">
        <v>2057</v>
      </c>
      <c r="R814" s="144" t="s">
        <v>2422</v>
      </c>
      <c r="S814" s="145" t="s">
        <v>2308</v>
      </c>
      <c r="T814" s="145" t="s">
        <v>1081</v>
      </c>
      <c r="U814" s="146">
        <v>65000</v>
      </c>
      <c r="V814" s="146">
        <v>71500</v>
      </c>
      <c r="W814" s="146">
        <v>65000</v>
      </c>
      <c r="X814" s="146">
        <v>71500</v>
      </c>
      <c r="Y814" s="146">
        <v>0</v>
      </c>
      <c r="Z814" s="146">
        <v>0</v>
      </c>
      <c r="AA814" s="143" t="s">
        <v>279</v>
      </c>
      <c r="AB814" s="143"/>
      <c r="AC814" s="143"/>
      <c r="AD814" s="142"/>
      <c r="AE814" s="142"/>
      <c r="AF814" s="142"/>
      <c r="AG814" s="142"/>
      <c r="AH814" s="142"/>
      <c r="AI814" s="142"/>
      <c r="AJ814" s="142"/>
      <c r="AK814" s="142"/>
      <c r="AL814" s="142"/>
      <c r="AM814" s="142"/>
      <c r="AN814" s="142"/>
      <c r="AO814" s="143"/>
      <c r="AP814" s="142"/>
      <c r="AQ814" s="142"/>
      <c r="AR814" s="143"/>
      <c r="AS814" s="142"/>
      <c r="AT814" s="143"/>
      <c r="AU814" s="142"/>
      <c r="AV814" s="143"/>
      <c r="AW814" s="147"/>
      <c r="AX814" s="147"/>
      <c r="AY814" s="154">
        <f>U814</f>
        <v>65000</v>
      </c>
      <c r="AZ814" s="154">
        <f>ROUNDDOWN(AY814+(AY814*MASTER!$A$2/100),0)</f>
        <v>71500</v>
      </c>
      <c r="BA814" s="142"/>
      <c r="BB814" s="146"/>
      <c r="BC814" s="146"/>
      <c r="BD814" s="142"/>
      <c r="BE814" s="142"/>
      <c r="BF814" s="146"/>
      <c r="BG814" s="146"/>
      <c r="BH814" s="142"/>
      <c r="BI814" s="142"/>
      <c r="BJ814" s="146"/>
      <c r="BK814" s="146"/>
      <c r="BL814" s="142"/>
      <c r="BM814" s="146"/>
      <c r="BN814" s="146"/>
      <c r="BO814" s="146"/>
      <c r="BP814" s="146"/>
      <c r="BQ814" s="146"/>
      <c r="BR814" s="146"/>
      <c r="BS814" s="146"/>
      <c r="BT814" s="149"/>
      <c r="BU814" s="149"/>
      <c r="BV814" s="150"/>
      <c r="BW814" s="150"/>
      <c r="BX814" s="150"/>
      <c r="BY814" s="150"/>
      <c r="BZ814" s="151"/>
      <c r="CA814" s="142"/>
      <c r="CB814" s="142"/>
      <c r="CC814" s="142"/>
      <c r="CD814" s="145"/>
      <c r="CE814" s="143"/>
      <c r="CF814" s="143"/>
      <c r="CG814" s="143"/>
      <c r="CH814" s="143"/>
      <c r="CI814" s="143"/>
      <c r="CJ814" s="143"/>
      <c r="CK814" s="146"/>
    </row>
    <row r="815" spans="1:89" s="152" customFormat="1" x14ac:dyDescent="0.15">
      <c r="A815" s="142">
        <v>3</v>
      </c>
      <c r="B815" s="143"/>
      <c r="C815" s="143" t="s">
        <v>309</v>
      </c>
      <c r="D815" s="143"/>
      <c r="E815" s="143"/>
      <c r="F815" s="143" t="s">
        <v>309</v>
      </c>
      <c r="G815" s="143"/>
      <c r="H815" s="143" t="s">
        <v>309</v>
      </c>
      <c r="I815" s="142"/>
      <c r="J815" s="142">
        <v>2</v>
      </c>
      <c r="K815" s="143"/>
      <c r="L815" s="142">
        <v>0</v>
      </c>
      <c r="M815" s="143">
        <v>44613</v>
      </c>
      <c r="N815" s="143"/>
      <c r="O815" s="144" t="s">
        <v>335</v>
      </c>
      <c r="P815" s="142" t="s">
        <v>77</v>
      </c>
      <c r="Q815" s="144" t="s">
        <v>2057</v>
      </c>
      <c r="R815" s="144" t="s">
        <v>2425</v>
      </c>
      <c r="S815" s="145" t="s">
        <v>2423</v>
      </c>
      <c r="T815" s="145" t="s">
        <v>1081</v>
      </c>
      <c r="U815" s="146">
        <v>65000</v>
      </c>
      <c r="V815" s="146">
        <v>71500</v>
      </c>
      <c r="W815" s="146">
        <v>65000</v>
      </c>
      <c r="X815" s="146">
        <v>71500</v>
      </c>
      <c r="Y815" s="146">
        <v>0</v>
      </c>
      <c r="Z815" s="146">
        <v>0</v>
      </c>
      <c r="AA815" s="143" t="s">
        <v>279</v>
      </c>
      <c r="AB815" s="143"/>
      <c r="AC815" s="143"/>
      <c r="AD815" s="142"/>
      <c r="AE815" s="142"/>
      <c r="AF815" s="142"/>
      <c r="AG815" s="142"/>
      <c r="AH815" s="142"/>
      <c r="AI815" s="142"/>
      <c r="AJ815" s="142"/>
      <c r="AK815" s="142"/>
      <c r="AL815" s="142"/>
      <c r="AM815" s="142"/>
      <c r="AN815" s="142"/>
      <c r="AO815" s="143"/>
      <c r="AP815" s="142"/>
      <c r="AQ815" s="142"/>
      <c r="AR815" s="143"/>
      <c r="AS815" s="142"/>
      <c r="AT815" s="143"/>
      <c r="AU815" s="142"/>
      <c r="AV815" s="143"/>
      <c r="AW815" s="147"/>
      <c r="AX815" s="147"/>
      <c r="AY815" s="154">
        <f t="shared" ref="AY815:AY826" si="4">U815</f>
        <v>65000</v>
      </c>
      <c r="AZ815" s="154">
        <f>ROUNDDOWN(AY815+(AY815*MASTER!$A$2/100),0)</f>
        <v>71500</v>
      </c>
      <c r="BA815" s="142"/>
      <c r="BB815" s="146"/>
      <c r="BC815" s="146"/>
      <c r="BD815" s="142"/>
      <c r="BE815" s="142"/>
      <c r="BF815" s="146"/>
      <c r="BG815" s="146"/>
      <c r="BH815" s="142"/>
      <c r="BI815" s="142"/>
      <c r="BJ815" s="146"/>
      <c r="BK815" s="146"/>
      <c r="BL815" s="142"/>
      <c r="BM815" s="146"/>
      <c r="BN815" s="146"/>
      <c r="BO815" s="146"/>
      <c r="BP815" s="146"/>
      <c r="BQ815" s="146"/>
      <c r="BR815" s="146"/>
      <c r="BS815" s="146"/>
      <c r="BT815" s="149"/>
      <c r="BU815" s="149"/>
      <c r="BV815" s="150"/>
      <c r="BW815" s="150"/>
      <c r="BX815" s="150"/>
      <c r="BY815" s="150"/>
      <c r="BZ815" s="151"/>
      <c r="CA815" s="142"/>
      <c r="CB815" s="142"/>
      <c r="CC815" s="142"/>
      <c r="CD815" s="145"/>
      <c r="CE815" s="143"/>
      <c r="CF815" s="143"/>
      <c r="CG815" s="143"/>
      <c r="CH815" s="143"/>
      <c r="CI815" s="143"/>
      <c r="CJ815" s="143"/>
      <c r="CK815" s="146"/>
    </row>
    <row r="816" spans="1:89" s="152" customFormat="1" x14ac:dyDescent="0.15">
      <c r="A816" s="142">
        <v>3</v>
      </c>
      <c r="B816" s="143"/>
      <c r="C816" s="143" t="s">
        <v>309</v>
      </c>
      <c r="D816" s="143"/>
      <c r="E816" s="143"/>
      <c r="F816" s="143" t="s">
        <v>309</v>
      </c>
      <c r="G816" s="143"/>
      <c r="H816" s="143" t="s">
        <v>309</v>
      </c>
      <c r="I816" s="142"/>
      <c r="J816" s="142">
        <v>2</v>
      </c>
      <c r="K816" s="143"/>
      <c r="L816" s="142">
        <v>0</v>
      </c>
      <c r="M816" s="143">
        <v>44613</v>
      </c>
      <c r="N816" s="143"/>
      <c r="O816" s="144" t="s">
        <v>335</v>
      </c>
      <c r="P816" s="142" t="s">
        <v>77</v>
      </c>
      <c r="Q816" s="144" t="s">
        <v>2057</v>
      </c>
      <c r="R816" s="144" t="s">
        <v>2426</v>
      </c>
      <c r="S816" s="145" t="s">
        <v>2424</v>
      </c>
      <c r="T816" s="145" t="s">
        <v>1081</v>
      </c>
      <c r="U816" s="146">
        <v>65000</v>
      </c>
      <c r="V816" s="146">
        <v>71500</v>
      </c>
      <c r="W816" s="146">
        <v>65000</v>
      </c>
      <c r="X816" s="146">
        <v>71500</v>
      </c>
      <c r="Y816" s="146">
        <v>0</v>
      </c>
      <c r="Z816" s="146">
        <v>0</v>
      </c>
      <c r="AA816" s="143" t="s">
        <v>279</v>
      </c>
      <c r="AB816" s="143"/>
      <c r="AC816" s="143"/>
      <c r="AD816" s="142"/>
      <c r="AE816" s="142"/>
      <c r="AF816" s="142"/>
      <c r="AG816" s="142"/>
      <c r="AH816" s="142"/>
      <c r="AI816" s="142"/>
      <c r="AJ816" s="142"/>
      <c r="AK816" s="142"/>
      <c r="AL816" s="142"/>
      <c r="AM816" s="142"/>
      <c r="AN816" s="142"/>
      <c r="AO816" s="143"/>
      <c r="AP816" s="142"/>
      <c r="AQ816" s="142"/>
      <c r="AR816" s="143"/>
      <c r="AS816" s="142"/>
      <c r="AT816" s="143"/>
      <c r="AU816" s="142"/>
      <c r="AV816" s="143"/>
      <c r="AW816" s="147"/>
      <c r="AX816" s="147"/>
      <c r="AY816" s="154">
        <f t="shared" si="4"/>
        <v>65000</v>
      </c>
      <c r="AZ816" s="154">
        <f>ROUNDDOWN(AY816+(AY816*MASTER!$A$2/100),0)</f>
        <v>71500</v>
      </c>
      <c r="BA816" s="142"/>
      <c r="BB816" s="146"/>
      <c r="BC816" s="146"/>
      <c r="BD816" s="142"/>
      <c r="BE816" s="142"/>
      <c r="BF816" s="146"/>
      <c r="BG816" s="146"/>
      <c r="BH816" s="142"/>
      <c r="BI816" s="142"/>
      <c r="BJ816" s="146"/>
      <c r="BK816" s="146"/>
      <c r="BL816" s="142"/>
      <c r="BM816" s="146"/>
      <c r="BN816" s="146"/>
      <c r="BO816" s="146"/>
      <c r="BP816" s="146"/>
      <c r="BQ816" s="146"/>
      <c r="BR816" s="146"/>
      <c r="BS816" s="146"/>
      <c r="BT816" s="149"/>
      <c r="BU816" s="149"/>
      <c r="BV816" s="150"/>
      <c r="BW816" s="150"/>
      <c r="BX816" s="150"/>
      <c r="BY816" s="150"/>
      <c r="BZ816" s="151"/>
      <c r="CA816" s="142"/>
      <c r="CB816" s="142"/>
      <c r="CC816" s="142"/>
      <c r="CD816" s="145"/>
      <c r="CE816" s="143"/>
      <c r="CF816" s="143"/>
      <c r="CG816" s="143"/>
      <c r="CH816" s="143"/>
      <c r="CI816" s="143"/>
      <c r="CJ816" s="143"/>
      <c r="CK816" s="146"/>
    </row>
    <row r="817" spans="1:89" s="152" customFormat="1" x14ac:dyDescent="0.15">
      <c r="A817" s="142">
        <v>3</v>
      </c>
      <c r="B817" s="143"/>
      <c r="C817" s="143" t="s">
        <v>309</v>
      </c>
      <c r="D817" s="143"/>
      <c r="E817" s="143"/>
      <c r="F817" s="143" t="s">
        <v>309</v>
      </c>
      <c r="G817" s="143"/>
      <c r="H817" s="143" t="s">
        <v>309</v>
      </c>
      <c r="I817" s="142"/>
      <c r="J817" s="142">
        <v>2</v>
      </c>
      <c r="K817" s="143"/>
      <c r="L817" s="142">
        <v>0</v>
      </c>
      <c r="M817" s="143">
        <v>44613</v>
      </c>
      <c r="N817" s="143"/>
      <c r="O817" s="144" t="s">
        <v>335</v>
      </c>
      <c r="P817" s="142" t="s">
        <v>77</v>
      </c>
      <c r="Q817" s="144" t="s">
        <v>2057</v>
      </c>
      <c r="R817" s="144" t="s">
        <v>2429</v>
      </c>
      <c r="S817" s="145" t="s">
        <v>2427</v>
      </c>
      <c r="T817" s="145" t="s">
        <v>1081</v>
      </c>
      <c r="U817" s="146">
        <v>65000</v>
      </c>
      <c r="V817" s="146">
        <v>71500</v>
      </c>
      <c r="W817" s="146">
        <v>65000</v>
      </c>
      <c r="X817" s="146">
        <v>71500</v>
      </c>
      <c r="Y817" s="146">
        <v>0</v>
      </c>
      <c r="Z817" s="146">
        <v>0</v>
      </c>
      <c r="AA817" s="143" t="s">
        <v>279</v>
      </c>
      <c r="AB817" s="143"/>
      <c r="AC817" s="143"/>
      <c r="AD817" s="142"/>
      <c r="AE817" s="142"/>
      <c r="AF817" s="142"/>
      <c r="AG817" s="142"/>
      <c r="AH817" s="142"/>
      <c r="AI817" s="142"/>
      <c r="AJ817" s="142"/>
      <c r="AK817" s="142"/>
      <c r="AL817" s="142"/>
      <c r="AM817" s="142"/>
      <c r="AN817" s="142"/>
      <c r="AO817" s="143"/>
      <c r="AP817" s="142"/>
      <c r="AQ817" s="142"/>
      <c r="AR817" s="143"/>
      <c r="AS817" s="142"/>
      <c r="AT817" s="143"/>
      <c r="AU817" s="142"/>
      <c r="AV817" s="143"/>
      <c r="AW817" s="147"/>
      <c r="AX817" s="147"/>
      <c r="AY817" s="154">
        <f t="shared" si="4"/>
        <v>65000</v>
      </c>
      <c r="AZ817" s="154">
        <f>ROUNDDOWN(AY817+(AY817*MASTER!$A$2/100),0)</f>
        <v>71500</v>
      </c>
      <c r="BA817" s="142"/>
      <c r="BB817" s="146"/>
      <c r="BC817" s="146"/>
      <c r="BD817" s="142"/>
      <c r="BE817" s="142"/>
      <c r="BF817" s="146"/>
      <c r="BG817" s="146"/>
      <c r="BH817" s="142"/>
      <c r="BI817" s="142"/>
      <c r="BJ817" s="146"/>
      <c r="BK817" s="146"/>
      <c r="BL817" s="142"/>
      <c r="BM817" s="146"/>
      <c r="BN817" s="146"/>
      <c r="BO817" s="146"/>
      <c r="BP817" s="146"/>
      <c r="BQ817" s="146"/>
      <c r="BR817" s="146"/>
      <c r="BS817" s="146"/>
      <c r="BT817" s="149"/>
      <c r="BU817" s="149"/>
      <c r="BV817" s="150"/>
      <c r="BW817" s="150"/>
      <c r="BX817" s="150"/>
      <c r="BY817" s="150"/>
      <c r="BZ817" s="151"/>
      <c r="CA817" s="142"/>
      <c r="CB817" s="142"/>
      <c r="CC817" s="142"/>
      <c r="CD817" s="145"/>
      <c r="CE817" s="143"/>
      <c r="CF817" s="143"/>
      <c r="CG817" s="143"/>
      <c r="CH817" s="143"/>
      <c r="CI817" s="143"/>
      <c r="CJ817" s="143"/>
      <c r="CK817" s="146"/>
    </row>
    <row r="818" spans="1:89" s="152" customFormat="1" x14ac:dyDescent="0.15">
      <c r="A818" s="142">
        <v>3</v>
      </c>
      <c r="B818" s="143"/>
      <c r="C818" s="143" t="s">
        <v>309</v>
      </c>
      <c r="D818" s="143"/>
      <c r="E818" s="143"/>
      <c r="F818" s="143" t="s">
        <v>309</v>
      </c>
      <c r="G818" s="143"/>
      <c r="H818" s="143" t="s">
        <v>309</v>
      </c>
      <c r="I818" s="142"/>
      <c r="J818" s="142">
        <v>2</v>
      </c>
      <c r="K818" s="143"/>
      <c r="L818" s="142">
        <v>0</v>
      </c>
      <c r="M818" s="143">
        <v>44613</v>
      </c>
      <c r="N818" s="143"/>
      <c r="O818" s="144" t="s">
        <v>335</v>
      </c>
      <c r="P818" s="142" t="s">
        <v>77</v>
      </c>
      <c r="Q818" s="144" t="s">
        <v>2057</v>
      </c>
      <c r="R818" s="144" t="s">
        <v>2430</v>
      </c>
      <c r="S818" s="145" t="s">
        <v>454</v>
      </c>
      <c r="T818" s="145" t="s">
        <v>1081</v>
      </c>
      <c r="U818" s="146">
        <v>65000</v>
      </c>
      <c r="V818" s="146">
        <v>71500</v>
      </c>
      <c r="W818" s="146">
        <v>65000</v>
      </c>
      <c r="X818" s="146">
        <v>71500</v>
      </c>
      <c r="Y818" s="146">
        <v>0</v>
      </c>
      <c r="Z818" s="146">
        <v>0</v>
      </c>
      <c r="AA818" s="143" t="s">
        <v>279</v>
      </c>
      <c r="AB818" s="143"/>
      <c r="AC818" s="143"/>
      <c r="AD818" s="142"/>
      <c r="AE818" s="142"/>
      <c r="AF818" s="142"/>
      <c r="AG818" s="142"/>
      <c r="AH818" s="142"/>
      <c r="AI818" s="142"/>
      <c r="AJ818" s="142"/>
      <c r="AK818" s="142"/>
      <c r="AL818" s="142"/>
      <c r="AM818" s="142"/>
      <c r="AN818" s="142"/>
      <c r="AO818" s="143"/>
      <c r="AP818" s="142"/>
      <c r="AQ818" s="142"/>
      <c r="AR818" s="143"/>
      <c r="AS818" s="142"/>
      <c r="AT818" s="143"/>
      <c r="AU818" s="142"/>
      <c r="AV818" s="143"/>
      <c r="AW818" s="147"/>
      <c r="AX818" s="147"/>
      <c r="AY818" s="154">
        <f t="shared" si="4"/>
        <v>65000</v>
      </c>
      <c r="AZ818" s="154">
        <f>ROUNDDOWN(AY818+(AY818*MASTER!$A$2/100),0)</f>
        <v>71500</v>
      </c>
      <c r="BA818" s="142"/>
      <c r="BB818" s="146"/>
      <c r="BC818" s="146"/>
      <c r="BD818" s="142"/>
      <c r="BE818" s="142"/>
      <c r="BF818" s="146"/>
      <c r="BG818" s="146"/>
      <c r="BH818" s="142"/>
      <c r="BI818" s="142"/>
      <c r="BJ818" s="146"/>
      <c r="BK818" s="146"/>
      <c r="BL818" s="142"/>
      <c r="BM818" s="146"/>
      <c r="BN818" s="146"/>
      <c r="BO818" s="146"/>
      <c r="BP818" s="146"/>
      <c r="BQ818" s="146"/>
      <c r="BR818" s="146"/>
      <c r="BS818" s="146"/>
      <c r="BT818" s="149"/>
      <c r="BU818" s="149"/>
      <c r="BV818" s="150"/>
      <c r="BW818" s="150"/>
      <c r="BX818" s="150"/>
      <c r="BY818" s="150"/>
      <c r="BZ818" s="151"/>
      <c r="CA818" s="142"/>
      <c r="CB818" s="142"/>
      <c r="CC818" s="142"/>
      <c r="CD818" s="145"/>
      <c r="CE818" s="143"/>
      <c r="CF818" s="143"/>
      <c r="CG818" s="143"/>
      <c r="CH818" s="143"/>
      <c r="CI818" s="143"/>
      <c r="CJ818" s="143"/>
      <c r="CK818" s="146"/>
    </row>
    <row r="819" spans="1:89" s="152" customFormat="1" x14ac:dyDescent="0.15">
      <c r="A819" s="142">
        <v>3</v>
      </c>
      <c r="B819" s="143"/>
      <c r="C819" s="143" t="s">
        <v>309</v>
      </c>
      <c r="D819" s="143"/>
      <c r="E819" s="143"/>
      <c r="F819" s="143" t="s">
        <v>309</v>
      </c>
      <c r="G819" s="143"/>
      <c r="H819" s="143" t="s">
        <v>309</v>
      </c>
      <c r="I819" s="142"/>
      <c r="J819" s="142">
        <v>2</v>
      </c>
      <c r="K819" s="143"/>
      <c r="L819" s="142">
        <v>0</v>
      </c>
      <c r="M819" s="143">
        <v>44613</v>
      </c>
      <c r="N819" s="143"/>
      <c r="O819" s="144" t="s">
        <v>335</v>
      </c>
      <c r="P819" s="142" t="s">
        <v>77</v>
      </c>
      <c r="Q819" s="144" t="s">
        <v>2057</v>
      </c>
      <c r="R819" s="144" t="s">
        <v>2431</v>
      </c>
      <c r="S819" s="145" t="s">
        <v>2428</v>
      </c>
      <c r="T819" s="145" t="s">
        <v>1081</v>
      </c>
      <c r="U819" s="146">
        <v>65000</v>
      </c>
      <c r="V819" s="146">
        <v>71500</v>
      </c>
      <c r="W819" s="146">
        <v>65000</v>
      </c>
      <c r="X819" s="146">
        <v>71500</v>
      </c>
      <c r="Y819" s="146">
        <v>0</v>
      </c>
      <c r="Z819" s="146">
        <v>0</v>
      </c>
      <c r="AA819" s="143" t="s">
        <v>279</v>
      </c>
      <c r="AB819" s="143"/>
      <c r="AC819" s="143"/>
      <c r="AD819" s="142"/>
      <c r="AE819" s="142"/>
      <c r="AF819" s="142"/>
      <c r="AG819" s="142"/>
      <c r="AH819" s="142"/>
      <c r="AI819" s="142"/>
      <c r="AJ819" s="142"/>
      <c r="AK819" s="142"/>
      <c r="AL819" s="142"/>
      <c r="AM819" s="142"/>
      <c r="AN819" s="142"/>
      <c r="AO819" s="143"/>
      <c r="AP819" s="142"/>
      <c r="AQ819" s="142"/>
      <c r="AR819" s="143"/>
      <c r="AS819" s="142"/>
      <c r="AT819" s="143"/>
      <c r="AU819" s="142"/>
      <c r="AV819" s="143"/>
      <c r="AW819" s="147"/>
      <c r="AX819" s="147"/>
      <c r="AY819" s="154">
        <f t="shared" si="4"/>
        <v>65000</v>
      </c>
      <c r="AZ819" s="154">
        <f>ROUNDDOWN(AY819+(AY819*MASTER!$A$2/100),0)</f>
        <v>71500</v>
      </c>
      <c r="BA819" s="142"/>
      <c r="BB819" s="146"/>
      <c r="BC819" s="146"/>
      <c r="BD819" s="142"/>
      <c r="BE819" s="142"/>
      <c r="BF819" s="146"/>
      <c r="BG819" s="146"/>
      <c r="BH819" s="142"/>
      <c r="BI819" s="142"/>
      <c r="BJ819" s="146"/>
      <c r="BK819" s="146"/>
      <c r="BL819" s="142"/>
      <c r="BM819" s="146"/>
      <c r="BN819" s="146"/>
      <c r="BO819" s="146"/>
      <c r="BP819" s="146"/>
      <c r="BQ819" s="146"/>
      <c r="BR819" s="146"/>
      <c r="BS819" s="146"/>
      <c r="BT819" s="149"/>
      <c r="BU819" s="149"/>
      <c r="BV819" s="150"/>
      <c r="BW819" s="150"/>
      <c r="BX819" s="150"/>
      <c r="BY819" s="150"/>
      <c r="BZ819" s="151"/>
      <c r="CA819" s="142"/>
      <c r="CB819" s="142"/>
      <c r="CC819" s="142"/>
      <c r="CD819" s="145"/>
      <c r="CE819" s="143"/>
      <c r="CF819" s="143"/>
      <c r="CG819" s="143"/>
      <c r="CH819" s="143"/>
      <c r="CI819" s="143"/>
      <c r="CJ819" s="143"/>
      <c r="CK819" s="146"/>
    </row>
    <row r="820" spans="1:89" s="152" customFormat="1" x14ac:dyDescent="0.15">
      <c r="A820" s="142">
        <v>3</v>
      </c>
      <c r="B820" s="143"/>
      <c r="C820" s="143" t="s">
        <v>309</v>
      </c>
      <c r="D820" s="143"/>
      <c r="E820" s="143"/>
      <c r="F820" s="143" t="s">
        <v>309</v>
      </c>
      <c r="G820" s="143"/>
      <c r="H820" s="143" t="s">
        <v>309</v>
      </c>
      <c r="I820" s="142"/>
      <c r="J820" s="142">
        <v>2</v>
      </c>
      <c r="K820" s="143"/>
      <c r="L820" s="142">
        <v>0</v>
      </c>
      <c r="M820" s="143">
        <v>44613</v>
      </c>
      <c r="N820" s="143"/>
      <c r="O820" s="144" t="s">
        <v>335</v>
      </c>
      <c r="P820" s="142" t="s">
        <v>77</v>
      </c>
      <c r="Q820" s="144" t="s">
        <v>2057</v>
      </c>
      <c r="R820" s="144" t="s">
        <v>2434</v>
      </c>
      <c r="S820" s="145" t="s">
        <v>2432</v>
      </c>
      <c r="T820" s="145" t="s">
        <v>1081</v>
      </c>
      <c r="U820" s="146">
        <v>65000</v>
      </c>
      <c r="V820" s="146">
        <v>71500</v>
      </c>
      <c r="W820" s="146">
        <v>65000</v>
      </c>
      <c r="X820" s="146">
        <v>71500</v>
      </c>
      <c r="Y820" s="146">
        <v>0</v>
      </c>
      <c r="Z820" s="146">
        <v>0</v>
      </c>
      <c r="AA820" s="143" t="s">
        <v>279</v>
      </c>
      <c r="AB820" s="143"/>
      <c r="AC820" s="143"/>
      <c r="AD820" s="142"/>
      <c r="AE820" s="142"/>
      <c r="AF820" s="142"/>
      <c r="AG820" s="142"/>
      <c r="AH820" s="142"/>
      <c r="AI820" s="142"/>
      <c r="AJ820" s="142"/>
      <c r="AK820" s="142"/>
      <c r="AL820" s="142"/>
      <c r="AM820" s="142"/>
      <c r="AN820" s="142"/>
      <c r="AO820" s="143"/>
      <c r="AP820" s="142"/>
      <c r="AQ820" s="142"/>
      <c r="AR820" s="143"/>
      <c r="AS820" s="142"/>
      <c r="AT820" s="143"/>
      <c r="AU820" s="142"/>
      <c r="AV820" s="143"/>
      <c r="AW820" s="147"/>
      <c r="AX820" s="147"/>
      <c r="AY820" s="154">
        <f t="shared" si="4"/>
        <v>65000</v>
      </c>
      <c r="AZ820" s="154">
        <f>ROUNDDOWN(AY820+(AY820*MASTER!$A$2/100),0)</f>
        <v>71500</v>
      </c>
      <c r="BA820" s="142"/>
      <c r="BB820" s="146"/>
      <c r="BC820" s="146"/>
      <c r="BD820" s="142"/>
      <c r="BE820" s="142"/>
      <c r="BF820" s="146"/>
      <c r="BG820" s="146"/>
      <c r="BH820" s="142"/>
      <c r="BI820" s="142"/>
      <c r="BJ820" s="146"/>
      <c r="BK820" s="146"/>
      <c r="BL820" s="142"/>
      <c r="BM820" s="146"/>
      <c r="BN820" s="146"/>
      <c r="BO820" s="146"/>
      <c r="BP820" s="146"/>
      <c r="BQ820" s="146"/>
      <c r="BR820" s="146"/>
      <c r="BS820" s="146"/>
      <c r="BT820" s="149"/>
      <c r="BU820" s="149"/>
      <c r="BV820" s="150"/>
      <c r="BW820" s="150"/>
      <c r="BX820" s="150"/>
      <c r="BY820" s="150"/>
      <c r="BZ820" s="151"/>
      <c r="CA820" s="142"/>
      <c r="CB820" s="142"/>
      <c r="CC820" s="142"/>
      <c r="CD820" s="145"/>
      <c r="CE820" s="143"/>
      <c r="CF820" s="143"/>
      <c r="CG820" s="143"/>
      <c r="CH820" s="143"/>
      <c r="CI820" s="143"/>
      <c r="CJ820" s="143"/>
      <c r="CK820" s="146"/>
    </row>
    <row r="821" spans="1:89" s="152" customFormat="1" x14ac:dyDescent="0.15">
      <c r="A821" s="142">
        <v>3</v>
      </c>
      <c r="B821" s="143"/>
      <c r="C821" s="143" t="s">
        <v>309</v>
      </c>
      <c r="D821" s="143"/>
      <c r="E821" s="143"/>
      <c r="F821" s="143" t="s">
        <v>309</v>
      </c>
      <c r="G821" s="143"/>
      <c r="H821" s="143" t="s">
        <v>309</v>
      </c>
      <c r="I821" s="142"/>
      <c r="J821" s="142">
        <v>2</v>
      </c>
      <c r="K821" s="143"/>
      <c r="L821" s="142">
        <v>0</v>
      </c>
      <c r="M821" s="143">
        <v>44613</v>
      </c>
      <c r="N821" s="143"/>
      <c r="O821" s="144" t="s">
        <v>335</v>
      </c>
      <c r="P821" s="142" t="s">
        <v>77</v>
      </c>
      <c r="Q821" s="144" t="s">
        <v>2057</v>
      </c>
      <c r="R821" s="144" t="s">
        <v>2435</v>
      </c>
      <c r="S821" s="145" t="s">
        <v>2433</v>
      </c>
      <c r="T821" s="145" t="s">
        <v>1081</v>
      </c>
      <c r="U821" s="146">
        <v>65000</v>
      </c>
      <c r="V821" s="146">
        <v>71500</v>
      </c>
      <c r="W821" s="146">
        <v>65000</v>
      </c>
      <c r="X821" s="146">
        <v>71500</v>
      </c>
      <c r="Y821" s="146">
        <v>0</v>
      </c>
      <c r="Z821" s="146">
        <v>0</v>
      </c>
      <c r="AA821" s="143" t="s">
        <v>279</v>
      </c>
      <c r="AB821" s="143"/>
      <c r="AC821" s="143"/>
      <c r="AD821" s="142"/>
      <c r="AE821" s="142"/>
      <c r="AF821" s="142"/>
      <c r="AG821" s="142"/>
      <c r="AH821" s="142"/>
      <c r="AI821" s="142"/>
      <c r="AJ821" s="142"/>
      <c r="AK821" s="142"/>
      <c r="AL821" s="142"/>
      <c r="AM821" s="142"/>
      <c r="AN821" s="142"/>
      <c r="AO821" s="143"/>
      <c r="AP821" s="142"/>
      <c r="AQ821" s="142"/>
      <c r="AR821" s="143"/>
      <c r="AS821" s="142"/>
      <c r="AT821" s="143"/>
      <c r="AU821" s="142"/>
      <c r="AV821" s="143"/>
      <c r="AW821" s="147"/>
      <c r="AX821" s="147"/>
      <c r="AY821" s="154">
        <f t="shared" si="4"/>
        <v>65000</v>
      </c>
      <c r="AZ821" s="154">
        <f>ROUNDDOWN(AY821+(AY821*MASTER!$A$2/100),0)</f>
        <v>71500</v>
      </c>
      <c r="BA821" s="142"/>
      <c r="BB821" s="146"/>
      <c r="BC821" s="146"/>
      <c r="BD821" s="142"/>
      <c r="BE821" s="142"/>
      <c r="BF821" s="146"/>
      <c r="BG821" s="146"/>
      <c r="BH821" s="142"/>
      <c r="BI821" s="142"/>
      <c r="BJ821" s="146"/>
      <c r="BK821" s="146"/>
      <c r="BL821" s="142"/>
      <c r="BM821" s="146"/>
      <c r="BN821" s="146"/>
      <c r="BO821" s="146"/>
      <c r="BP821" s="146"/>
      <c r="BQ821" s="146"/>
      <c r="BR821" s="146"/>
      <c r="BS821" s="146"/>
      <c r="BT821" s="149"/>
      <c r="BU821" s="149"/>
      <c r="BV821" s="150"/>
      <c r="BW821" s="150"/>
      <c r="BX821" s="150"/>
      <c r="BY821" s="150"/>
      <c r="BZ821" s="151"/>
      <c r="CA821" s="142"/>
      <c r="CB821" s="142"/>
      <c r="CC821" s="142"/>
      <c r="CD821" s="145"/>
      <c r="CE821" s="143"/>
      <c r="CF821" s="143"/>
      <c r="CG821" s="143"/>
      <c r="CH821" s="143"/>
      <c r="CI821" s="143"/>
      <c r="CJ821" s="143"/>
      <c r="CK821" s="146"/>
    </row>
    <row r="822" spans="1:89" s="152" customFormat="1" x14ac:dyDescent="0.15">
      <c r="A822" s="142">
        <v>3</v>
      </c>
      <c r="B822" s="143"/>
      <c r="C822" s="143" t="s">
        <v>309</v>
      </c>
      <c r="D822" s="143"/>
      <c r="E822" s="143"/>
      <c r="F822" s="143" t="s">
        <v>309</v>
      </c>
      <c r="G822" s="143"/>
      <c r="H822" s="143" t="s">
        <v>309</v>
      </c>
      <c r="I822" s="142"/>
      <c r="J822" s="142">
        <v>2</v>
      </c>
      <c r="K822" s="143"/>
      <c r="L822" s="142">
        <v>0</v>
      </c>
      <c r="M822" s="143">
        <v>44613</v>
      </c>
      <c r="N822" s="143"/>
      <c r="O822" s="144" t="s">
        <v>335</v>
      </c>
      <c r="P822" s="142" t="s">
        <v>77</v>
      </c>
      <c r="Q822" s="144" t="s">
        <v>2057</v>
      </c>
      <c r="R822" s="144" t="s">
        <v>2436</v>
      </c>
      <c r="S822" s="145" t="s">
        <v>2166</v>
      </c>
      <c r="T822" s="145" t="s">
        <v>1081</v>
      </c>
      <c r="U822" s="146">
        <v>65000</v>
      </c>
      <c r="V822" s="146">
        <v>71500</v>
      </c>
      <c r="W822" s="146">
        <v>65000</v>
      </c>
      <c r="X822" s="146">
        <v>71500</v>
      </c>
      <c r="Y822" s="146">
        <v>0</v>
      </c>
      <c r="Z822" s="146">
        <v>0</v>
      </c>
      <c r="AA822" s="143" t="s">
        <v>279</v>
      </c>
      <c r="AB822" s="143"/>
      <c r="AC822" s="143"/>
      <c r="AD822" s="142"/>
      <c r="AE822" s="142"/>
      <c r="AF822" s="142"/>
      <c r="AG822" s="142"/>
      <c r="AH822" s="142"/>
      <c r="AI822" s="142"/>
      <c r="AJ822" s="142"/>
      <c r="AK822" s="142"/>
      <c r="AL822" s="142"/>
      <c r="AM822" s="142"/>
      <c r="AN822" s="142"/>
      <c r="AO822" s="143"/>
      <c r="AP822" s="142"/>
      <c r="AQ822" s="142"/>
      <c r="AR822" s="143"/>
      <c r="AS822" s="142"/>
      <c r="AT822" s="143"/>
      <c r="AU822" s="142"/>
      <c r="AV822" s="143"/>
      <c r="AW822" s="147"/>
      <c r="AX822" s="147"/>
      <c r="AY822" s="154">
        <f t="shared" si="4"/>
        <v>65000</v>
      </c>
      <c r="AZ822" s="154">
        <f>ROUNDDOWN(AY822+(AY822*MASTER!$A$2/100),0)</f>
        <v>71500</v>
      </c>
      <c r="BA822" s="142"/>
      <c r="BB822" s="146"/>
      <c r="BC822" s="146"/>
      <c r="BD822" s="142"/>
      <c r="BE822" s="142"/>
      <c r="BF822" s="146"/>
      <c r="BG822" s="146"/>
      <c r="BH822" s="142"/>
      <c r="BI822" s="142"/>
      <c r="BJ822" s="146"/>
      <c r="BK822" s="146"/>
      <c r="BL822" s="142"/>
      <c r="BM822" s="146"/>
      <c r="BN822" s="146"/>
      <c r="BO822" s="146"/>
      <c r="BP822" s="146"/>
      <c r="BQ822" s="146"/>
      <c r="BR822" s="146"/>
      <c r="BS822" s="146"/>
      <c r="BT822" s="149"/>
      <c r="BU822" s="149"/>
      <c r="BV822" s="150"/>
      <c r="BW822" s="150"/>
      <c r="BX822" s="150"/>
      <c r="BY822" s="150"/>
      <c r="BZ822" s="151"/>
      <c r="CA822" s="142"/>
      <c r="CB822" s="142"/>
      <c r="CC822" s="142"/>
      <c r="CD822" s="145"/>
      <c r="CE822" s="143"/>
      <c r="CF822" s="143"/>
      <c r="CG822" s="143"/>
      <c r="CH822" s="143"/>
      <c r="CI822" s="143"/>
      <c r="CJ822" s="143"/>
      <c r="CK822" s="146"/>
    </row>
    <row r="823" spans="1:89" s="152" customFormat="1" x14ac:dyDescent="0.15">
      <c r="A823" s="142">
        <v>3</v>
      </c>
      <c r="B823" s="143"/>
      <c r="C823" s="143" t="s">
        <v>309</v>
      </c>
      <c r="D823" s="143"/>
      <c r="E823" s="143"/>
      <c r="F823" s="143" t="s">
        <v>309</v>
      </c>
      <c r="G823" s="143"/>
      <c r="H823" s="143" t="s">
        <v>309</v>
      </c>
      <c r="I823" s="142"/>
      <c r="J823" s="142">
        <v>2</v>
      </c>
      <c r="K823" s="143"/>
      <c r="L823" s="142">
        <v>0</v>
      </c>
      <c r="M823" s="143">
        <v>44613</v>
      </c>
      <c r="N823" s="143"/>
      <c r="O823" s="144" t="s">
        <v>335</v>
      </c>
      <c r="P823" s="142" t="s">
        <v>77</v>
      </c>
      <c r="Q823" s="144" t="s">
        <v>2057</v>
      </c>
      <c r="R823" s="144" t="s">
        <v>2437</v>
      </c>
      <c r="S823" s="145" t="s">
        <v>988</v>
      </c>
      <c r="T823" s="145" t="s">
        <v>1081</v>
      </c>
      <c r="U823" s="146">
        <v>65000</v>
      </c>
      <c r="V823" s="146">
        <v>71500</v>
      </c>
      <c r="W823" s="146">
        <v>65000</v>
      </c>
      <c r="X823" s="146">
        <v>71500</v>
      </c>
      <c r="Y823" s="146">
        <v>0</v>
      </c>
      <c r="Z823" s="146">
        <v>0</v>
      </c>
      <c r="AA823" s="143" t="s">
        <v>279</v>
      </c>
      <c r="AB823" s="143"/>
      <c r="AC823" s="143"/>
      <c r="AD823" s="142"/>
      <c r="AE823" s="142"/>
      <c r="AF823" s="142"/>
      <c r="AG823" s="142"/>
      <c r="AH823" s="142"/>
      <c r="AI823" s="142"/>
      <c r="AJ823" s="142"/>
      <c r="AK823" s="142"/>
      <c r="AL823" s="142"/>
      <c r="AM823" s="142"/>
      <c r="AN823" s="142"/>
      <c r="AO823" s="143"/>
      <c r="AP823" s="142"/>
      <c r="AQ823" s="142"/>
      <c r="AR823" s="143"/>
      <c r="AS823" s="142"/>
      <c r="AT823" s="143"/>
      <c r="AU823" s="142"/>
      <c r="AV823" s="143"/>
      <c r="AW823" s="147"/>
      <c r="AX823" s="147"/>
      <c r="AY823" s="154">
        <f t="shared" si="4"/>
        <v>65000</v>
      </c>
      <c r="AZ823" s="154">
        <f>ROUNDDOWN(AY823+(AY823*MASTER!$A$2/100),0)</f>
        <v>71500</v>
      </c>
      <c r="BA823" s="142"/>
      <c r="BB823" s="146"/>
      <c r="BC823" s="146"/>
      <c r="BD823" s="142"/>
      <c r="BE823" s="142"/>
      <c r="BF823" s="146"/>
      <c r="BG823" s="146"/>
      <c r="BH823" s="142"/>
      <c r="BI823" s="142"/>
      <c r="BJ823" s="146"/>
      <c r="BK823" s="146"/>
      <c r="BL823" s="142"/>
      <c r="BM823" s="146"/>
      <c r="BN823" s="146"/>
      <c r="BO823" s="146"/>
      <c r="BP823" s="146"/>
      <c r="BQ823" s="146"/>
      <c r="BR823" s="146"/>
      <c r="BS823" s="146"/>
      <c r="BT823" s="149"/>
      <c r="BU823" s="149"/>
      <c r="BV823" s="150"/>
      <c r="BW823" s="150"/>
      <c r="BX823" s="150"/>
      <c r="BY823" s="150"/>
      <c r="BZ823" s="151"/>
      <c r="CA823" s="142"/>
      <c r="CB823" s="142"/>
      <c r="CC823" s="142"/>
      <c r="CD823" s="145"/>
      <c r="CE823" s="143"/>
      <c r="CF823" s="143"/>
      <c r="CG823" s="143"/>
      <c r="CH823" s="143"/>
      <c r="CI823" s="143"/>
      <c r="CJ823" s="143"/>
      <c r="CK823" s="146"/>
    </row>
    <row r="824" spans="1:89" s="152" customFormat="1" x14ac:dyDescent="0.15">
      <c r="A824" s="142">
        <v>3</v>
      </c>
      <c r="B824" s="143"/>
      <c r="C824" s="143" t="s">
        <v>309</v>
      </c>
      <c r="D824" s="143"/>
      <c r="E824" s="143"/>
      <c r="F824" s="143" t="s">
        <v>309</v>
      </c>
      <c r="G824" s="143"/>
      <c r="H824" s="143" t="s">
        <v>309</v>
      </c>
      <c r="I824" s="142"/>
      <c r="J824" s="142">
        <v>2</v>
      </c>
      <c r="K824" s="143"/>
      <c r="L824" s="142">
        <v>0</v>
      </c>
      <c r="M824" s="143">
        <v>44613</v>
      </c>
      <c r="N824" s="143"/>
      <c r="O824" s="144" t="s">
        <v>335</v>
      </c>
      <c r="P824" s="142" t="s">
        <v>77</v>
      </c>
      <c r="Q824" s="144" t="s">
        <v>2057</v>
      </c>
      <c r="R824" s="144" t="s">
        <v>2438</v>
      </c>
      <c r="S824" s="145" t="s">
        <v>453</v>
      </c>
      <c r="T824" s="145" t="s">
        <v>1081</v>
      </c>
      <c r="U824" s="146">
        <v>65000</v>
      </c>
      <c r="V824" s="146">
        <v>71500</v>
      </c>
      <c r="W824" s="146">
        <v>65000</v>
      </c>
      <c r="X824" s="146">
        <v>71500</v>
      </c>
      <c r="Y824" s="146">
        <v>0</v>
      </c>
      <c r="Z824" s="146">
        <v>0</v>
      </c>
      <c r="AA824" s="143" t="s">
        <v>279</v>
      </c>
      <c r="AB824" s="143"/>
      <c r="AC824" s="143"/>
      <c r="AD824" s="142"/>
      <c r="AE824" s="142"/>
      <c r="AF824" s="142"/>
      <c r="AG824" s="142"/>
      <c r="AH824" s="142"/>
      <c r="AI824" s="142"/>
      <c r="AJ824" s="142"/>
      <c r="AK824" s="142"/>
      <c r="AL824" s="142"/>
      <c r="AM824" s="142"/>
      <c r="AN824" s="142"/>
      <c r="AO824" s="143"/>
      <c r="AP824" s="142"/>
      <c r="AQ824" s="142"/>
      <c r="AR824" s="143"/>
      <c r="AS824" s="142"/>
      <c r="AT824" s="143"/>
      <c r="AU824" s="142"/>
      <c r="AV824" s="143"/>
      <c r="AW824" s="147"/>
      <c r="AX824" s="147"/>
      <c r="AY824" s="154">
        <f t="shared" si="4"/>
        <v>65000</v>
      </c>
      <c r="AZ824" s="154">
        <f>ROUNDDOWN(AY824+(AY824*MASTER!$A$2/100),0)</f>
        <v>71500</v>
      </c>
      <c r="BA824" s="142"/>
      <c r="BB824" s="146"/>
      <c r="BC824" s="146"/>
      <c r="BD824" s="142"/>
      <c r="BE824" s="142"/>
      <c r="BF824" s="146"/>
      <c r="BG824" s="146"/>
      <c r="BH824" s="142"/>
      <c r="BI824" s="142"/>
      <c r="BJ824" s="146"/>
      <c r="BK824" s="146"/>
      <c r="BL824" s="142"/>
      <c r="BM824" s="146"/>
      <c r="BN824" s="146"/>
      <c r="BO824" s="146"/>
      <c r="BP824" s="146"/>
      <c r="BQ824" s="146"/>
      <c r="BR824" s="146"/>
      <c r="BS824" s="146"/>
      <c r="BT824" s="149"/>
      <c r="BU824" s="149"/>
      <c r="BV824" s="150"/>
      <c r="BW824" s="150"/>
      <c r="BX824" s="150"/>
      <c r="BY824" s="150"/>
      <c r="BZ824" s="151"/>
      <c r="CA824" s="142"/>
      <c r="CB824" s="142"/>
      <c r="CC824" s="142"/>
      <c r="CD824" s="145"/>
      <c r="CE824" s="143"/>
      <c r="CF824" s="143"/>
      <c r="CG824" s="143"/>
      <c r="CH824" s="143"/>
      <c r="CI824" s="143"/>
      <c r="CJ824" s="143"/>
      <c r="CK824" s="146"/>
    </row>
    <row r="825" spans="1:89" s="152" customFormat="1" x14ac:dyDescent="0.15">
      <c r="A825" s="142">
        <v>3</v>
      </c>
      <c r="B825" s="143"/>
      <c r="C825" s="143" t="s">
        <v>309</v>
      </c>
      <c r="D825" s="143"/>
      <c r="E825" s="143"/>
      <c r="F825" s="143" t="s">
        <v>309</v>
      </c>
      <c r="G825" s="143"/>
      <c r="H825" s="143" t="s">
        <v>309</v>
      </c>
      <c r="I825" s="142"/>
      <c r="J825" s="142">
        <v>2</v>
      </c>
      <c r="K825" s="143"/>
      <c r="L825" s="142">
        <v>0</v>
      </c>
      <c r="M825" s="143">
        <v>44613</v>
      </c>
      <c r="N825" s="143"/>
      <c r="O825" s="144" t="s">
        <v>335</v>
      </c>
      <c r="P825" s="142" t="s">
        <v>77</v>
      </c>
      <c r="Q825" s="144" t="s">
        <v>2057</v>
      </c>
      <c r="R825" s="144" t="s">
        <v>2441</v>
      </c>
      <c r="S825" s="145" t="s">
        <v>2439</v>
      </c>
      <c r="T825" s="145" t="s">
        <v>1081</v>
      </c>
      <c r="U825" s="146">
        <v>65000</v>
      </c>
      <c r="V825" s="146">
        <v>71500</v>
      </c>
      <c r="W825" s="146">
        <v>65000</v>
      </c>
      <c r="X825" s="146">
        <v>71500</v>
      </c>
      <c r="Y825" s="146">
        <v>0</v>
      </c>
      <c r="Z825" s="146">
        <v>0</v>
      </c>
      <c r="AA825" s="143" t="s">
        <v>279</v>
      </c>
      <c r="AB825" s="143"/>
      <c r="AC825" s="143"/>
      <c r="AD825" s="142"/>
      <c r="AE825" s="142"/>
      <c r="AF825" s="142"/>
      <c r="AG825" s="142"/>
      <c r="AH825" s="142"/>
      <c r="AI825" s="142"/>
      <c r="AJ825" s="142"/>
      <c r="AK825" s="142"/>
      <c r="AL825" s="142"/>
      <c r="AM825" s="142"/>
      <c r="AN825" s="142"/>
      <c r="AO825" s="143"/>
      <c r="AP825" s="142"/>
      <c r="AQ825" s="142"/>
      <c r="AR825" s="143"/>
      <c r="AS825" s="142"/>
      <c r="AT825" s="143"/>
      <c r="AU825" s="142"/>
      <c r="AV825" s="143"/>
      <c r="AW825" s="147"/>
      <c r="AX825" s="147"/>
      <c r="AY825" s="154">
        <f t="shared" si="4"/>
        <v>65000</v>
      </c>
      <c r="AZ825" s="154">
        <f>ROUNDDOWN(AY825+(AY825*MASTER!$A$2/100),0)</f>
        <v>71500</v>
      </c>
      <c r="BA825" s="142"/>
      <c r="BB825" s="146"/>
      <c r="BC825" s="146"/>
      <c r="BD825" s="142"/>
      <c r="BE825" s="142"/>
      <c r="BF825" s="146"/>
      <c r="BG825" s="146"/>
      <c r="BH825" s="142"/>
      <c r="BI825" s="142"/>
      <c r="BJ825" s="146"/>
      <c r="BK825" s="146"/>
      <c r="BL825" s="142"/>
      <c r="BM825" s="146"/>
      <c r="BN825" s="146"/>
      <c r="BO825" s="146"/>
      <c r="BP825" s="146"/>
      <c r="BQ825" s="146"/>
      <c r="BR825" s="146"/>
      <c r="BS825" s="146"/>
      <c r="BT825" s="149"/>
      <c r="BU825" s="149"/>
      <c r="BV825" s="150"/>
      <c r="BW825" s="150"/>
      <c r="BX825" s="150"/>
      <c r="BY825" s="150"/>
      <c r="BZ825" s="151"/>
      <c r="CA825" s="142"/>
      <c r="CB825" s="142"/>
      <c r="CC825" s="142"/>
      <c r="CD825" s="145"/>
      <c r="CE825" s="143"/>
      <c r="CF825" s="143"/>
      <c r="CG825" s="143"/>
      <c r="CH825" s="143"/>
      <c r="CI825" s="143"/>
      <c r="CJ825" s="143"/>
      <c r="CK825" s="146"/>
    </row>
    <row r="826" spans="1:89" s="152" customFormat="1" x14ac:dyDescent="0.15">
      <c r="A826" s="142">
        <v>3</v>
      </c>
      <c r="B826" s="143"/>
      <c r="C826" s="143" t="s">
        <v>309</v>
      </c>
      <c r="D826" s="143"/>
      <c r="E826" s="143"/>
      <c r="F826" s="143" t="s">
        <v>309</v>
      </c>
      <c r="G826" s="143"/>
      <c r="H826" s="143" t="s">
        <v>309</v>
      </c>
      <c r="I826" s="142"/>
      <c r="J826" s="142">
        <v>2</v>
      </c>
      <c r="K826" s="143"/>
      <c r="L826" s="142">
        <v>0</v>
      </c>
      <c r="M826" s="143">
        <v>44613</v>
      </c>
      <c r="N826" s="143"/>
      <c r="O826" s="144" t="s">
        <v>335</v>
      </c>
      <c r="P826" s="142" t="s">
        <v>77</v>
      </c>
      <c r="Q826" s="144" t="s">
        <v>2057</v>
      </c>
      <c r="R826" s="144" t="s">
        <v>2442</v>
      </c>
      <c r="S826" s="145" t="s">
        <v>2440</v>
      </c>
      <c r="T826" s="145" t="s">
        <v>1081</v>
      </c>
      <c r="U826" s="146">
        <v>65000</v>
      </c>
      <c r="V826" s="146">
        <v>71500</v>
      </c>
      <c r="W826" s="146">
        <v>65000</v>
      </c>
      <c r="X826" s="146">
        <v>71500</v>
      </c>
      <c r="Y826" s="146">
        <v>0</v>
      </c>
      <c r="Z826" s="146">
        <v>0</v>
      </c>
      <c r="AA826" s="143" t="s">
        <v>279</v>
      </c>
      <c r="AB826" s="143"/>
      <c r="AC826" s="143"/>
      <c r="AD826" s="142"/>
      <c r="AE826" s="142"/>
      <c r="AF826" s="142"/>
      <c r="AG826" s="142"/>
      <c r="AH826" s="142"/>
      <c r="AI826" s="142"/>
      <c r="AJ826" s="142"/>
      <c r="AK826" s="142"/>
      <c r="AL826" s="142"/>
      <c r="AM826" s="142"/>
      <c r="AN826" s="142"/>
      <c r="AO826" s="143"/>
      <c r="AP826" s="142"/>
      <c r="AQ826" s="142"/>
      <c r="AR826" s="143"/>
      <c r="AS826" s="142"/>
      <c r="AT826" s="143"/>
      <c r="AU826" s="142"/>
      <c r="AV826" s="143"/>
      <c r="AW826" s="147"/>
      <c r="AX826" s="147"/>
      <c r="AY826" s="154">
        <f t="shared" si="4"/>
        <v>65000</v>
      </c>
      <c r="AZ826" s="154">
        <f>ROUNDDOWN(AY826+(AY826*MASTER!$A$2/100),0)</f>
        <v>71500</v>
      </c>
      <c r="BA826" s="142"/>
      <c r="BB826" s="146"/>
      <c r="BC826" s="146"/>
      <c r="BD826" s="142"/>
      <c r="BE826" s="142"/>
      <c r="BF826" s="146"/>
      <c r="BG826" s="146"/>
      <c r="BH826" s="142"/>
      <c r="BI826" s="142"/>
      <c r="BJ826" s="146"/>
      <c r="BK826" s="146"/>
      <c r="BL826" s="142"/>
      <c r="BM826" s="146"/>
      <c r="BN826" s="146"/>
      <c r="BO826" s="146"/>
      <c r="BP826" s="146"/>
      <c r="BQ826" s="146"/>
      <c r="BR826" s="146"/>
      <c r="BS826" s="146"/>
      <c r="BT826" s="149"/>
      <c r="BU826" s="149"/>
      <c r="BV826" s="150"/>
      <c r="BW826" s="150"/>
      <c r="BX826" s="150"/>
      <c r="BY826" s="150"/>
      <c r="BZ826" s="151"/>
      <c r="CA826" s="142"/>
      <c r="CB826" s="142"/>
      <c r="CC826" s="142"/>
      <c r="CD826" s="145"/>
      <c r="CE826" s="143"/>
      <c r="CF826" s="143"/>
      <c r="CG826" s="143"/>
      <c r="CH826" s="143"/>
      <c r="CI826" s="143"/>
      <c r="CJ826" s="143"/>
      <c r="CK826" s="146"/>
    </row>
    <row r="827" spans="1:89" x14ac:dyDescent="0.15">
      <c r="A827" s="60">
        <v>2</v>
      </c>
      <c r="B827" s="61">
        <v>44634</v>
      </c>
      <c r="C827" s="61">
        <v>44636</v>
      </c>
      <c r="D827" s="61" t="s">
        <v>764</v>
      </c>
      <c r="E827" s="61">
        <v>44651</v>
      </c>
      <c r="F827" s="61">
        <v>44643</v>
      </c>
      <c r="G827" s="61">
        <v>44637</v>
      </c>
      <c r="H827" s="61">
        <v>44639</v>
      </c>
      <c r="I827" s="60" t="s">
        <v>511</v>
      </c>
      <c r="J827" s="60">
        <v>1</v>
      </c>
      <c r="L827" s="60">
        <v>0</v>
      </c>
      <c r="M827" s="61">
        <v>44613</v>
      </c>
      <c r="O827" s="62" t="s">
        <v>331</v>
      </c>
      <c r="P827" s="60" t="s">
        <v>26</v>
      </c>
      <c r="Q827" s="62" t="s">
        <v>141</v>
      </c>
      <c r="R827" s="62" t="s">
        <v>2736</v>
      </c>
      <c r="S827" s="63" t="s">
        <v>1163</v>
      </c>
      <c r="T827" s="63" t="s">
        <v>2737</v>
      </c>
      <c r="U827" s="64">
        <v>23900</v>
      </c>
      <c r="V827" s="64">
        <v>26290</v>
      </c>
      <c r="W827" s="64">
        <v>14700</v>
      </c>
      <c r="X827" s="64">
        <v>16170</v>
      </c>
      <c r="Y827" s="64">
        <v>9200</v>
      </c>
      <c r="Z827" s="64">
        <v>10120</v>
      </c>
      <c r="AA827" s="61">
        <v>44635</v>
      </c>
      <c r="AB827" s="61">
        <v>44636</v>
      </c>
      <c r="AC827" s="61">
        <v>44636</v>
      </c>
      <c r="AD827" s="60">
        <v>0</v>
      </c>
      <c r="AG827" s="60">
        <v>0</v>
      </c>
      <c r="AJ827" s="60">
        <v>0</v>
      </c>
      <c r="AM827" s="60" t="s">
        <v>273</v>
      </c>
      <c r="AN827" s="60" t="s">
        <v>2738</v>
      </c>
      <c r="AQ827" s="60" t="s">
        <v>2604</v>
      </c>
      <c r="AR827" s="61">
        <v>44627</v>
      </c>
      <c r="AS827" s="60">
        <v>6002001227</v>
      </c>
      <c r="AT827" s="61">
        <v>44627</v>
      </c>
      <c r="AU827" s="60" t="s">
        <v>2614</v>
      </c>
      <c r="AV827" s="61">
        <v>44636</v>
      </c>
      <c r="AW827" s="91">
        <v>44651</v>
      </c>
      <c r="AX827" s="91">
        <v>44671</v>
      </c>
      <c r="AY827" s="99">
        <v>22944</v>
      </c>
      <c r="AZ827" s="99">
        <f>ROUNDDOWN(AY827+(AY827*MASTER!$A$2/100),0)</f>
        <v>25238</v>
      </c>
      <c r="BA827" s="60" t="s">
        <v>765</v>
      </c>
      <c r="BC827" s="64">
        <v>0</v>
      </c>
      <c r="BG827" s="64">
        <v>0</v>
      </c>
      <c r="BI827" s="60" t="s">
        <v>267</v>
      </c>
      <c r="BJ827" s="64">
        <v>5980</v>
      </c>
      <c r="BK827" s="64">
        <v>6578</v>
      </c>
      <c r="BL827" s="60" t="s">
        <v>2154</v>
      </c>
      <c r="BS827" s="64">
        <v>0</v>
      </c>
      <c r="BV827" s="65">
        <v>16170</v>
      </c>
      <c r="BW827" s="65">
        <v>6578</v>
      </c>
      <c r="BX827" s="65">
        <v>44613</v>
      </c>
      <c r="BY827" s="65">
        <v>9592</v>
      </c>
      <c r="BZ827" s="81">
        <v>59.319727891156461</v>
      </c>
    </row>
    <row r="828" spans="1:89" x14ac:dyDescent="0.15">
      <c r="A828" s="60">
        <v>2</v>
      </c>
      <c r="B828" s="61">
        <v>44637</v>
      </c>
      <c r="C828" s="61">
        <v>44645</v>
      </c>
      <c r="D828" s="61" t="s">
        <v>764</v>
      </c>
      <c r="E828" s="61">
        <v>44659</v>
      </c>
      <c r="F828" s="61">
        <v>44652</v>
      </c>
      <c r="G828" s="61">
        <v>44649</v>
      </c>
      <c r="H828" s="61">
        <v>44648</v>
      </c>
      <c r="I828" s="60" t="s">
        <v>511</v>
      </c>
      <c r="J828" s="60">
        <v>1</v>
      </c>
      <c r="L828" s="60">
        <v>0</v>
      </c>
      <c r="M828" s="61">
        <v>44613</v>
      </c>
      <c r="O828" s="62" t="s">
        <v>331</v>
      </c>
      <c r="P828" s="60" t="s">
        <v>26</v>
      </c>
      <c r="Q828" s="62" t="s">
        <v>141</v>
      </c>
      <c r="R828" s="62" t="s">
        <v>2561</v>
      </c>
      <c r="S828" s="63" t="s">
        <v>880</v>
      </c>
      <c r="T828" s="63" t="s">
        <v>2562</v>
      </c>
      <c r="U828" s="64">
        <v>23900</v>
      </c>
      <c r="V828" s="64">
        <v>26290</v>
      </c>
      <c r="W828" s="64">
        <v>14700</v>
      </c>
      <c r="X828" s="64">
        <v>16170</v>
      </c>
      <c r="Y828" s="64">
        <v>9200</v>
      </c>
      <c r="Z828" s="64">
        <v>10120</v>
      </c>
      <c r="AA828" s="61">
        <v>44644</v>
      </c>
      <c r="AB828" s="61">
        <v>44645</v>
      </c>
      <c r="AC828" s="61">
        <v>44645</v>
      </c>
      <c r="AD828" s="60">
        <v>0</v>
      </c>
      <c r="AG828" s="60">
        <v>0</v>
      </c>
      <c r="AJ828" s="60">
        <v>0</v>
      </c>
      <c r="AM828" s="60" t="s">
        <v>273</v>
      </c>
      <c r="AN828" s="60" t="s">
        <v>2563</v>
      </c>
      <c r="AQ828" s="60" t="s">
        <v>2816</v>
      </c>
      <c r="AR828" s="61">
        <v>44623</v>
      </c>
      <c r="AS828" s="60">
        <v>6001999819</v>
      </c>
      <c r="AT828" s="61">
        <v>44624</v>
      </c>
      <c r="AU828" s="60" t="s">
        <v>2593</v>
      </c>
      <c r="AV828" s="61">
        <v>44645</v>
      </c>
      <c r="AW828" s="91">
        <v>44651</v>
      </c>
      <c r="AX828" s="91">
        <v>44671</v>
      </c>
      <c r="AY828" s="99">
        <v>22944</v>
      </c>
      <c r="AZ828" s="99">
        <f>ROUNDDOWN(AY828+(AY828*MASTER!$A$2/100),0)</f>
        <v>25238</v>
      </c>
      <c r="BA828" s="60" t="s">
        <v>765</v>
      </c>
      <c r="BC828" s="64">
        <v>0</v>
      </c>
      <c r="BG828" s="64">
        <v>0</v>
      </c>
      <c r="BI828" s="60" t="s">
        <v>748</v>
      </c>
      <c r="BJ828" s="64">
        <v>5980</v>
      </c>
      <c r="BK828" s="64">
        <v>6578</v>
      </c>
      <c r="BL828" s="60" t="s">
        <v>2107</v>
      </c>
      <c r="BS828" s="64">
        <v>0</v>
      </c>
      <c r="BV828" s="65">
        <v>16170</v>
      </c>
      <c r="BW828" s="65">
        <v>6578</v>
      </c>
      <c r="BX828" s="65">
        <v>44613</v>
      </c>
      <c r="BY828" s="65">
        <v>9592</v>
      </c>
      <c r="BZ828" s="81">
        <v>59.319727891156461</v>
      </c>
    </row>
    <row r="829" spans="1:89" x14ac:dyDescent="0.15">
      <c r="A829" s="60">
        <v>2</v>
      </c>
      <c r="B829" s="61">
        <v>44644</v>
      </c>
      <c r="C829" s="61">
        <v>44652</v>
      </c>
      <c r="D829" s="61">
        <v>0</v>
      </c>
      <c r="E829" s="61">
        <v>44659</v>
      </c>
      <c r="F829" s="61">
        <v>44652</v>
      </c>
      <c r="G829" s="61">
        <v>44649</v>
      </c>
      <c r="H829" s="61">
        <v>44648</v>
      </c>
      <c r="I829" s="60" t="s">
        <v>511</v>
      </c>
      <c r="J829" s="60">
        <v>1</v>
      </c>
      <c r="L829" s="60">
        <v>0</v>
      </c>
      <c r="M829" s="61">
        <v>44613</v>
      </c>
      <c r="O829" s="62" t="s">
        <v>331</v>
      </c>
      <c r="P829" s="60" t="s">
        <v>26</v>
      </c>
      <c r="Q829" s="62" t="s">
        <v>141</v>
      </c>
      <c r="R829" s="62" t="s">
        <v>2883</v>
      </c>
      <c r="S829" s="63" t="s">
        <v>2295</v>
      </c>
      <c r="T829" s="63" t="s">
        <v>1333</v>
      </c>
      <c r="U829" s="64">
        <v>23900</v>
      </c>
      <c r="V829" s="64">
        <v>26290</v>
      </c>
      <c r="W829" s="64">
        <v>14700</v>
      </c>
      <c r="X829" s="64">
        <v>16170</v>
      </c>
      <c r="Y829" s="64">
        <v>9200</v>
      </c>
      <c r="Z829" s="64">
        <v>10120</v>
      </c>
      <c r="AA829" s="61">
        <v>44644</v>
      </c>
      <c r="AB829" s="61">
        <v>44645</v>
      </c>
      <c r="AC829" s="61">
        <v>44645</v>
      </c>
      <c r="AD829" s="60">
        <v>0</v>
      </c>
      <c r="AG829" s="60">
        <v>0</v>
      </c>
      <c r="AJ829" s="60">
        <v>0</v>
      </c>
      <c r="AM829" s="60" t="s">
        <v>273</v>
      </c>
      <c r="AN829" s="60" t="s">
        <v>2884</v>
      </c>
      <c r="AQ829" s="60" t="s">
        <v>2603</v>
      </c>
      <c r="AR829" s="61">
        <v>44627</v>
      </c>
      <c r="AS829" s="60">
        <v>6002001227</v>
      </c>
      <c r="AT829" s="61">
        <v>44627</v>
      </c>
      <c r="AU829" s="60" t="s">
        <v>2614</v>
      </c>
      <c r="AV829" s="61">
        <v>44652</v>
      </c>
      <c r="AW829" s="91">
        <v>44651</v>
      </c>
      <c r="AX829" s="91">
        <v>44671</v>
      </c>
      <c r="AY829" s="99">
        <v>22944</v>
      </c>
      <c r="AZ829" s="99">
        <f>ROUNDDOWN(AY829+(AY829*MASTER!$A$2/100),0)</f>
        <v>25238</v>
      </c>
      <c r="BA829" s="60" t="s">
        <v>765</v>
      </c>
      <c r="BC829" s="64">
        <v>0</v>
      </c>
      <c r="BG829" s="64">
        <v>0</v>
      </c>
      <c r="BI829" s="60" t="s">
        <v>748</v>
      </c>
      <c r="BJ829" s="64">
        <v>5980</v>
      </c>
      <c r="BK829" s="64">
        <v>6578</v>
      </c>
      <c r="BL829" s="60" t="s">
        <v>2107</v>
      </c>
      <c r="BS829" s="64">
        <v>0</v>
      </c>
      <c r="BV829" s="65">
        <v>16170</v>
      </c>
      <c r="BW829" s="65">
        <v>6578</v>
      </c>
      <c r="BX829" s="65">
        <v>44613</v>
      </c>
      <c r="BY829" s="65">
        <v>9592</v>
      </c>
      <c r="BZ829" s="81">
        <v>59.319727891156461</v>
      </c>
    </row>
    <row r="830" spans="1:89" x14ac:dyDescent="0.15">
      <c r="A830" s="60">
        <v>2</v>
      </c>
      <c r="B830" s="61">
        <v>44673</v>
      </c>
      <c r="C830" s="61">
        <v>44678</v>
      </c>
      <c r="D830" s="61">
        <v>44690</v>
      </c>
      <c r="E830" s="61">
        <v>44681</v>
      </c>
      <c r="F830" s="61">
        <v>44685</v>
      </c>
      <c r="G830" s="61">
        <v>44678</v>
      </c>
      <c r="H830" s="61">
        <v>44681</v>
      </c>
      <c r="I830" s="60" t="s">
        <v>511</v>
      </c>
      <c r="J830" s="60">
        <v>1</v>
      </c>
      <c r="L830" s="60">
        <v>0</v>
      </c>
      <c r="M830" s="61">
        <v>44613</v>
      </c>
      <c r="O830" s="62" t="s">
        <v>331</v>
      </c>
      <c r="P830" s="60" t="s">
        <v>26</v>
      </c>
      <c r="Q830" s="62" t="s">
        <v>141</v>
      </c>
      <c r="R830" s="62" t="s">
        <v>3233</v>
      </c>
      <c r="S830" s="63" t="s">
        <v>1914</v>
      </c>
      <c r="T830" s="63" t="s">
        <v>2460</v>
      </c>
      <c r="U830" s="64">
        <v>60200</v>
      </c>
      <c r="V830" s="64">
        <v>66220</v>
      </c>
      <c r="W830" s="64">
        <v>39000</v>
      </c>
      <c r="X830" s="64">
        <v>42900</v>
      </c>
      <c r="Y830" s="64">
        <v>21200</v>
      </c>
      <c r="Z830" s="64">
        <v>23320</v>
      </c>
      <c r="AA830" s="61">
        <v>44676</v>
      </c>
      <c r="AB830" s="61">
        <v>44678</v>
      </c>
      <c r="AC830" s="61">
        <v>44678</v>
      </c>
      <c r="AD830" s="60">
        <v>0</v>
      </c>
      <c r="AG830" s="60">
        <v>0</v>
      </c>
      <c r="AJ830" s="60">
        <v>0</v>
      </c>
      <c r="AM830" s="60" t="s">
        <v>273</v>
      </c>
      <c r="AN830" s="60" t="s">
        <v>3234</v>
      </c>
      <c r="AQ830" s="60" t="s">
        <v>2955</v>
      </c>
      <c r="AR830" s="61">
        <v>44650</v>
      </c>
      <c r="AS830" s="60">
        <v>6002010499</v>
      </c>
      <c r="AT830" s="61">
        <v>44651</v>
      </c>
      <c r="AU830" s="60" t="s">
        <v>2967</v>
      </c>
      <c r="AV830" s="61">
        <v>44678</v>
      </c>
      <c r="AW830" s="91">
        <v>44681</v>
      </c>
      <c r="AX830" s="91">
        <v>44701</v>
      </c>
      <c r="AY830" s="99">
        <v>57792</v>
      </c>
      <c r="AZ830" s="99">
        <f>ROUNDDOWN(AY830+(AY830*MASTER!$A$2/100),0)</f>
        <v>63571</v>
      </c>
      <c r="BA830" s="60" t="s">
        <v>613</v>
      </c>
      <c r="BB830" s="64">
        <v>28000</v>
      </c>
      <c r="BC830" s="64">
        <v>30800</v>
      </c>
      <c r="BD830" s="60" t="s">
        <v>643</v>
      </c>
      <c r="BG830" s="64">
        <v>0</v>
      </c>
      <c r="BI830" s="60" t="s">
        <v>267</v>
      </c>
      <c r="BJ830" s="64">
        <v>13780</v>
      </c>
      <c r="BK830" s="64">
        <v>15158</v>
      </c>
      <c r="BL830" s="60" t="s">
        <v>2916</v>
      </c>
      <c r="BS830" s="64">
        <v>0</v>
      </c>
      <c r="BV830" s="65">
        <v>42900</v>
      </c>
      <c r="BW830" s="65">
        <v>45958</v>
      </c>
      <c r="BX830" s="65">
        <v>44613</v>
      </c>
      <c r="BY830" s="65">
        <v>-3058</v>
      </c>
      <c r="BZ830" s="81">
        <v>-7.1282051282051286</v>
      </c>
    </row>
    <row r="831" spans="1:89" s="152" customFormat="1" x14ac:dyDescent="0.15">
      <c r="A831" s="142">
        <v>3</v>
      </c>
      <c r="B831" s="143"/>
      <c r="C831" s="143" t="s">
        <v>309</v>
      </c>
      <c r="D831" s="143"/>
      <c r="E831" s="143"/>
      <c r="F831" s="143" t="s">
        <v>309</v>
      </c>
      <c r="G831" s="143"/>
      <c r="H831" s="143" t="s">
        <v>309</v>
      </c>
      <c r="I831" s="142"/>
      <c r="J831" s="142">
        <v>2</v>
      </c>
      <c r="K831" s="143"/>
      <c r="L831" s="142">
        <v>0</v>
      </c>
      <c r="M831" s="143">
        <v>44614</v>
      </c>
      <c r="N831" s="143"/>
      <c r="O831" s="144" t="s">
        <v>331</v>
      </c>
      <c r="P831" s="142" t="s">
        <v>26</v>
      </c>
      <c r="Q831" s="144" t="s">
        <v>141</v>
      </c>
      <c r="R831" s="144" t="s">
        <v>3511</v>
      </c>
      <c r="S831" s="145" t="s">
        <v>647</v>
      </c>
      <c r="T831" s="145" t="s">
        <v>908</v>
      </c>
      <c r="U831" s="146">
        <v>476000</v>
      </c>
      <c r="V831" s="146">
        <v>523600</v>
      </c>
      <c r="W831" s="146">
        <v>476000</v>
      </c>
      <c r="X831" s="146">
        <v>523600</v>
      </c>
      <c r="Y831" s="146"/>
      <c r="Z831" s="146">
        <v>0</v>
      </c>
      <c r="AA831" s="143"/>
      <c r="AB831" s="143"/>
      <c r="AC831" s="143"/>
      <c r="AD831" s="142">
        <v>0</v>
      </c>
      <c r="AE831" s="142"/>
      <c r="AF831" s="142"/>
      <c r="AG831" s="142">
        <v>0</v>
      </c>
      <c r="AH831" s="142"/>
      <c r="AI831" s="142"/>
      <c r="AJ831" s="142">
        <v>0</v>
      </c>
      <c r="AK831" s="142"/>
      <c r="AL831" s="142"/>
      <c r="AM831" s="142" t="s">
        <v>273</v>
      </c>
      <c r="AN831" s="142">
        <v>6740</v>
      </c>
      <c r="AO831" s="143"/>
      <c r="AP831" s="142"/>
      <c r="AQ831" s="142"/>
      <c r="AR831" s="143"/>
      <c r="AS831" s="142"/>
      <c r="AT831" s="143"/>
      <c r="AU831" s="142"/>
      <c r="AV831" s="143"/>
      <c r="AW831" s="147"/>
      <c r="AX831" s="147"/>
      <c r="AY831" s="148">
        <v>456960</v>
      </c>
      <c r="AZ831" s="148">
        <f>ROUNDDOWN(AY831+(AY831*MASTER!$A$2/100),0)</f>
        <v>502656</v>
      </c>
      <c r="BA831" s="142"/>
      <c r="BB831" s="146"/>
      <c r="BC831" s="146">
        <v>0</v>
      </c>
      <c r="BD831" s="142"/>
      <c r="BE831" s="142"/>
      <c r="BF831" s="146"/>
      <c r="BG831" s="146">
        <v>0</v>
      </c>
      <c r="BH831" s="142"/>
      <c r="BI831" s="142"/>
      <c r="BJ831" s="146"/>
      <c r="BK831" s="146">
        <v>0</v>
      </c>
      <c r="BL831" s="142"/>
      <c r="BM831" s="146"/>
      <c r="BN831" s="146"/>
      <c r="BO831" s="146"/>
      <c r="BP831" s="146"/>
      <c r="BQ831" s="146"/>
      <c r="BR831" s="146"/>
      <c r="BS831" s="146">
        <v>0</v>
      </c>
      <c r="BT831" s="149"/>
      <c r="BU831" s="149"/>
      <c r="BV831" s="150">
        <v>523600</v>
      </c>
      <c r="BW831" s="150">
        <v>0</v>
      </c>
      <c r="BX831" s="150">
        <v>44614</v>
      </c>
      <c r="BY831" s="150">
        <v>523600</v>
      </c>
      <c r="BZ831" s="151">
        <v>100</v>
      </c>
      <c r="CA831" s="142"/>
      <c r="CB831" s="142"/>
      <c r="CC831" s="142"/>
      <c r="CD831" s="145" t="s">
        <v>3512</v>
      </c>
      <c r="CE831" s="143"/>
      <c r="CF831" s="143"/>
      <c r="CG831" s="143"/>
      <c r="CH831" s="143"/>
      <c r="CI831" s="143"/>
      <c r="CJ831" s="143"/>
      <c r="CK831" s="146"/>
    </row>
    <row r="832" spans="1:89" x14ac:dyDescent="0.15">
      <c r="A832" s="60">
        <v>2</v>
      </c>
      <c r="B832" s="61">
        <v>44664</v>
      </c>
      <c r="C832" s="61">
        <v>44666</v>
      </c>
      <c r="D832" s="61">
        <v>44659</v>
      </c>
      <c r="E832" s="61">
        <v>44681</v>
      </c>
      <c r="F832" s="61" t="s">
        <v>309</v>
      </c>
      <c r="G832" s="61">
        <v>44659</v>
      </c>
      <c r="H832" s="61" t="s">
        <v>309</v>
      </c>
      <c r="I832" s="60" t="s">
        <v>774</v>
      </c>
      <c r="J832" s="60">
        <v>2</v>
      </c>
      <c r="L832" s="60">
        <v>0</v>
      </c>
      <c r="M832" s="61">
        <v>44614</v>
      </c>
      <c r="O832" s="62" t="s">
        <v>331</v>
      </c>
      <c r="P832" s="60" t="s">
        <v>26</v>
      </c>
      <c r="Q832" s="62" t="s">
        <v>141</v>
      </c>
      <c r="R832" s="62" t="s">
        <v>2705</v>
      </c>
      <c r="S832" s="63" t="s">
        <v>2485</v>
      </c>
      <c r="T832" s="63" t="s">
        <v>908</v>
      </c>
      <c r="U832" s="64">
        <v>425000</v>
      </c>
      <c r="V832" s="64">
        <v>467500</v>
      </c>
      <c r="W832" s="64">
        <v>425000</v>
      </c>
      <c r="X832" s="64">
        <v>467500</v>
      </c>
      <c r="Y832" s="64">
        <v>0</v>
      </c>
      <c r="Z832" s="64">
        <v>0</v>
      </c>
      <c r="AA832" s="61">
        <v>44640</v>
      </c>
      <c r="AB832" s="61">
        <v>44656</v>
      </c>
      <c r="AD832" s="60">
        <v>0</v>
      </c>
      <c r="AG832" s="60">
        <v>0</v>
      </c>
      <c r="AJ832" s="60">
        <v>0</v>
      </c>
      <c r="AM832" s="60" t="s">
        <v>273</v>
      </c>
      <c r="AN832" s="60">
        <v>6741</v>
      </c>
      <c r="AQ832" s="60" t="s">
        <v>2827</v>
      </c>
      <c r="AR832" s="61">
        <v>44631</v>
      </c>
      <c r="AS832" s="60">
        <v>6002003322</v>
      </c>
      <c r="AT832" s="61">
        <v>44631</v>
      </c>
      <c r="AU832" s="60" t="s">
        <v>2711</v>
      </c>
      <c r="AV832" s="61">
        <v>44666</v>
      </c>
      <c r="AW832" s="91">
        <v>44681</v>
      </c>
      <c r="AX832" s="91">
        <v>44701</v>
      </c>
      <c r="AY832" s="99">
        <v>408000</v>
      </c>
      <c r="AZ832" s="99">
        <f>ROUNDDOWN(AY832+(AY832*MASTER!$A$2/100),0)</f>
        <v>448800</v>
      </c>
      <c r="BA832" s="60" t="s">
        <v>317</v>
      </c>
      <c r="BB832" s="64">
        <v>111500</v>
      </c>
      <c r="BC832" s="64">
        <v>122650</v>
      </c>
      <c r="BD832" s="60" t="s">
        <v>643</v>
      </c>
      <c r="BG832" s="64">
        <v>0</v>
      </c>
      <c r="BK832" s="64">
        <v>0</v>
      </c>
      <c r="BS832" s="64">
        <v>0</v>
      </c>
      <c r="BV832" s="65">
        <v>467500</v>
      </c>
      <c r="BW832" s="65">
        <v>122650</v>
      </c>
      <c r="BX832" s="65">
        <v>44614</v>
      </c>
      <c r="BY832" s="65">
        <v>344850</v>
      </c>
      <c r="BZ832" s="81">
        <v>73.764705882352942</v>
      </c>
      <c r="CD832" s="63" t="s">
        <v>2853</v>
      </c>
    </row>
    <row r="833" spans="1:89" s="152" customFormat="1" x14ac:dyDescent="0.15">
      <c r="A833" s="142">
        <v>3</v>
      </c>
      <c r="B833" s="143"/>
      <c r="C833" s="143" t="s">
        <v>309</v>
      </c>
      <c r="D833" s="143"/>
      <c r="E833" s="143"/>
      <c r="F833" s="143" t="s">
        <v>309</v>
      </c>
      <c r="G833" s="143"/>
      <c r="H833" s="143" t="s">
        <v>309</v>
      </c>
      <c r="I833" s="142"/>
      <c r="J833" s="142">
        <v>2</v>
      </c>
      <c r="K833" s="143"/>
      <c r="L833" s="142">
        <v>0</v>
      </c>
      <c r="M833" s="143">
        <v>44616</v>
      </c>
      <c r="N833" s="143"/>
      <c r="O833" s="144" t="s">
        <v>331</v>
      </c>
      <c r="P833" s="142" t="s">
        <v>6</v>
      </c>
      <c r="Q833" s="144" t="s">
        <v>141</v>
      </c>
      <c r="R833" s="144" t="s">
        <v>3163</v>
      </c>
      <c r="S833" s="145" t="s">
        <v>2744</v>
      </c>
      <c r="T833" s="145" t="s">
        <v>2641</v>
      </c>
      <c r="U833" s="146">
        <v>16000</v>
      </c>
      <c r="V833" s="146">
        <v>17600</v>
      </c>
      <c r="W833" s="146">
        <v>16000</v>
      </c>
      <c r="X833" s="146">
        <v>17600</v>
      </c>
      <c r="Y833" s="146">
        <v>0</v>
      </c>
      <c r="Z833" s="146">
        <v>0</v>
      </c>
      <c r="AA833" s="143"/>
      <c r="AB833" s="143"/>
      <c r="AC833" s="143"/>
      <c r="AD833" s="142">
        <v>0</v>
      </c>
      <c r="AE833" s="142"/>
      <c r="AF833" s="142"/>
      <c r="AG833" s="142">
        <v>0</v>
      </c>
      <c r="AH833" s="142"/>
      <c r="AI833" s="142"/>
      <c r="AJ833" s="142">
        <v>0</v>
      </c>
      <c r="AK833" s="142"/>
      <c r="AL833" s="142"/>
      <c r="AM833" s="142"/>
      <c r="AN833" s="142" t="s">
        <v>309</v>
      </c>
      <c r="AO833" s="143"/>
      <c r="AP833" s="142"/>
      <c r="AQ833" s="142"/>
      <c r="AR833" s="143"/>
      <c r="AS833" s="142"/>
      <c r="AT833" s="143"/>
      <c r="AU833" s="142"/>
      <c r="AV833" s="143"/>
      <c r="AW833" s="147"/>
      <c r="AX833" s="147"/>
      <c r="AY833" s="148">
        <v>15360</v>
      </c>
      <c r="AZ833" s="148">
        <f>ROUNDDOWN(AY833+(AY833*MASTER!$A$2/100),0)</f>
        <v>16896</v>
      </c>
      <c r="BA833" s="142"/>
      <c r="BB833" s="146"/>
      <c r="BC833" s="146">
        <v>0</v>
      </c>
      <c r="BD833" s="142"/>
      <c r="BE833" s="142"/>
      <c r="BF833" s="146"/>
      <c r="BG833" s="146">
        <v>0</v>
      </c>
      <c r="BH833" s="142"/>
      <c r="BI833" s="142"/>
      <c r="BJ833" s="146"/>
      <c r="BK833" s="146">
        <v>0</v>
      </c>
      <c r="BL833" s="142"/>
      <c r="BM833" s="146"/>
      <c r="BN833" s="146"/>
      <c r="BO833" s="146"/>
      <c r="BP833" s="146"/>
      <c r="BQ833" s="146"/>
      <c r="BR833" s="146"/>
      <c r="BS833" s="146">
        <v>0</v>
      </c>
      <c r="BT833" s="149"/>
      <c r="BU833" s="149"/>
      <c r="BV833" s="150">
        <v>17600</v>
      </c>
      <c r="BW833" s="150">
        <v>0</v>
      </c>
      <c r="BX833" s="150">
        <v>44616</v>
      </c>
      <c r="BY833" s="150">
        <v>17600</v>
      </c>
      <c r="BZ833" s="151">
        <v>100</v>
      </c>
      <c r="CA833" s="142"/>
      <c r="CB833" s="142"/>
      <c r="CC833" s="142"/>
      <c r="CD833" s="145" t="s">
        <v>3164</v>
      </c>
      <c r="CE833" s="143"/>
      <c r="CF833" s="143"/>
      <c r="CG833" s="143"/>
      <c r="CH833" s="143"/>
      <c r="CI833" s="143"/>
      <c r="CJ833" s="143"/>
      <c r="CK833" s="146"/>
    </row>
    <row r="834" spans="1:89" x14ac:dyDescent="0.15">
      <c r="A834" s="60">
        <v>2</v>
      </c>
      <c r="B834" s="61">
        <v>44637</v>
      </c>
      <c r="C834" s="61">
        <v>44676</v>
      </c>
      <c r="D834" s="61">
        <v>44681</v>
      </c>
      <c r="F834" s="61" t="s">
        <v>309</v>
      </c>
      <c r="G834" s="61">
        <v>44687</v>
      </c>
      <c r="H834" s="61" t="s">
        <v>309</v>
      </c>
      <c r="I834" s="60" t="s">
        <v>774</v>
      </c>
      <c r="J834" s="60">
        <v>1</v>
      </c>
      <c r="K834" s="61">
        <v>44619</v>
      </c>
      <c r="L834" s="60" t="s">
        <v>529</v>
      </c>
      <c r="M834" s="61">
        <v>44616</v>
      </c>
      <c r="O834" s="62" t="s">
        <v>331</v>
      </c>
      <c r="P834" s="60" t="s">
        <v>165</v>
      </c>
      <c r="Q834" s="62" t="s">
        <v>141</v>
      </c>
      <c r="R834" s="62" t="s">
        <v>2484</v>
      </c>
      <c r="S834" s="63" t="s">
        <v>2485</v>
      </c>
      <c r="T834" s="63" t="s">
        <v>2486</v>
      </c>
      <c r="U834" s="64">
        <v>2691935</v>
      </c>
      <c r="V834" s="64">
        <v>2961128.5</v>
      </c>
      <c r="W834" s="64">
        <v>2406935</v>
      </c>
      <c r="X834" s="64">
        <v>2647628.5</v>
      </c>
      <c r="Y834" s="64">
        <v>285000</v>
      </c>
      <c r="Z834" s="64">
        <v>313500</v>
      </c>
      <c r="AA834" s="61">
        <v>44593</v>
      </c>
      <c r="AB834" s="61">
        <v>44649</v>
      </c>
      <c r="AD834" s="60">
        <v>0</v>
      </c>
      <c r="AG834" s="60">
        <v>0</v>
      </c>
      <c r="AJ834" s="60">
        <v>0</v>
      </c>
      <c r="AN834" s="60" t="s">
        <v>309</v>
      </c>
      <c r="AQ834" s="60" t="s">
        <v>2557</v>
      </c>
      <c r="AR834" s="61">
        <v>44623</v>
      </c>
      <c r="AS834" s="60">
        <v>6001999813</v>
      </c>
      <c r="AT834" s="61">
        <v>44625</v>
      </c>
      <c r="AU834" s="60" t="s">
        <v>2597</v>
      </c>
      <c r="AV834" s="61">
        <v>44676</v>
      </c>
      <c r="AW834" s="91">
        <v>44651</v>
      </c>
      <c r="AX834" s="91">
        <v>44671</v>
      </c>
      <c r="AY834" s="99">
        <v>2584258</v>
      </c>
      <c r="AZ834" s="99">
        <v>2842684</v>
      </c>
      <c r="BA834" s="60" t="s">
        <v>317</v>
      </c>
      <c r="BB834" s="64">
        <v>1473670</v>
      </c>
      <c r="BC834" s="64">
        <v>1621037</v>
      </c>
      <c r="BD834" s="60" t="s">
        <v>2107</v>
      </c>
      <c r="BG834" s="64">
        <v>0</v>
      </c>
      <c r="BI834" s="60" t="s">
        <v>748</v>
      </c>
      <c r="BJ834" s="64">
        <v>185250</v>
      </c>
      <c r="BK834" s="64">
        <v>203775</v>
      </c>
      <c r="BL834" s="60" t="s">
        <v>2107</v>
      </c>
      <c r="BS834" s="64">
        <v>0</v>
      </c>
      <c r="BV834" s="65">
        <v>2647628.5</v>
      </c>
      <c r="BW834" s="65">
        <v>1824812</v>
      </c>
      <c r="BX834" s="65">
        <v>0</v>
      </c>
      <c r="BY834" s="65">
        <v>44619</v>
      </c>
      <c r="BZ834" s="81">
        <v>31.077490667591771</v>
      </c>
    </row>
    <row r="835" spans="1:89" x14ac:dyDescent="0.15">
      <c r="A835" s="60">
        <v>1</v>
      </c>
      <c r="B835" s="61">
        <v>44637</v>
      </c>
      <c r="C835" s="61">
        <v>44676</v>
      </c>
      <c r="F835" s="61" t="s">
        <v>309</v>
      </c>
      <c r="G835" s="61">
        <v>44687</v>
      </c>
      <c r="H835" s="61" t="s">
        <v>309</v>
      </c>
      <c r="J835" s="60">
        <v>1</v>
      </c>
      <c r="L835" s="60">
        <v>0</v>
      </c>
      <c r="M835" s="61">
        <v>44616</v>
      </c>
      <c r="O835" s="62" t="s">
        <v>331</v>
      </c>
      <c r="P835" s="60" t="s">
        <v>214</v>
      </c>
      <c r="Q835" s="62" t="s">
        <v>141</v>
      </c>
      <c r="R835" s="62" t="s">
        <v>2556</v>
      </c>
      <c r="S835" s="63" t="s">
        <v>2485</v>
      </c>
      <c r="T835" s="63" t="s">
        <v>2545</v>
      </c>
      <c r="U835" s="64">
        <v>153000</v>
      </c>
      <c r="V835" s="64">
        <v>168300</v>
      </c>
      <c r="W835" s="64">
        <v>18000</v>
      </c>
      <c r="X835" s="64">
        <v>19800</v>
      </c>
      <c r="Y835" s="64">
        <v>135000</v>
      </c>
      <c r="Z835" s="64">
        <v>148500</v>
      </c>
      <c r="AA835" s="61">
        <v>44593</v>
      </c>
      <c r="AB835" s="61">
        <v>44649</v>
      </c>
      <c r="AD835" s="60">
        <v>0</v>
      </c>
      <c r="AG835" s="60">
        <v>0</v>
      </c>
      <c r="AJ835" s="60">
        <v>0</v>
      </c>
      <c r="AN835" s="60" t="s">
        <v>309</v>
      </c>
      <c r="AQ835" s="60" t="s">
        <v>2557</v>
      </c>
      <c r="AR835" s="61">
        <v>44623</v>
      </c>
      <c r="AS835" s="60">
        <v>6001999819</v>
      </c>
      <c r="AT835" s="61">
        <v>44624</v>
      </c>
      <c r="AU835" s="60" t="s">
        <v>2593</v>
      </c>
      <c r="AV835" s="61">
        <v>44676</v>
      </c>
      <c r="AW835" s="91">
        <v>44651</v>
      </c>
      <c r="AX835" s="91">
        <v>44671</v>
      </c>
      <c r="AY835" s="99">
        <v>146880</v>
      </c>
      <c r="AZ835" s="99">
        <f>ROUNDDOWN(AY835+(AY835*MASTER!$A$2/100),0)</f>
        <v>161568</v>
      </c>
      <c r="BC835" s="64">
        <v>0</v>
      </c>
      <c r="BG835" s="64">
        <v>0</v>
      </c>
      <c r="BI835" s="60" t="s">
        <v>748</v>
      </c>
      <c r="BJ835" s="64">
        <v>87750</v>
      </c>
      <c r="BK835" s="64">
        <v>96525</v>
      </c>
      <c r="BL835" s="60" t="s">
        <v>2107</v>
      </c>
      <c r="BS835" s="64">
        <v>0</v>
      </c>
      <c r="BV835" s="65">
        <v>19800</v>
      </c>
      <c r="BW835" s="65">
        <v>96525</v>
      </c>
      <c r="BX835" s="65">
        <v>44616</v>
      </c>
      <c r="BY835" s="65">
        <v>-76725</v>
      </c>
      <c r="BZ835" s="81">
        <v>-387.5</v>
      </c>
    </row>
    <row r="836" spans="1:89" x14ac:dyDescent="0.15">
      <c r="A836" s="60">
        <v>1</v>
      </c>
      <c r="B836" s="61">
        <v>44670</v>
      </c>
      <c r="C836" s="61">
        <v>44676</v>
      </c>
      <c r="F836" s="61" t="s">
        <v>309</v>
      </c>
      <c r="G836" s="61">
        <v>44687</v>
      </c>
      <c r="H836" s="61" t="s">
        <v>309</v>
      </c>
      <c r="J836" s="60">
        <v>2</v>
      </c>
      <c r="L836" s="60">
        <v>0</v>
      </c>
      <c r="M836" s="61">
        <v>44616</v>
      </c>
      <c r="O836" s="62" t="s">
        <v>331</v>
      </c>
      <c r="P836" s="60" t="s">
        <v>38</v>
      </c>
      <c r="Q836" s="62" t="s">
        <v>141</v>
      </c>
      <c r="R836" s="62" t="s">
        <v>2914</v>
      </c>
      <c r="S836" s="63" t="s">
        <v>2485</v>
      </c>
      <c r="T836" s="63" t="s">
        <v>2915</v>
      </c>
      <c r="U836" s="64">
        <v>925500</v>
      </c>
      <c r="V836" s="64">
        <v>1018050</v>
      </c>
      <c r="W836" s="64">
        <v>925500</v>
      </c>
      <c r="X836" s="64">
        <v>1018050</v>
      </c>
      <c r="Y836" s="64">
        <v>0</v>
      </c>
      <c r="Z836" s="64">
        <v>0</v>
      </c>
      <c r="AD836" s="60">
        <v>0</v>
      </c>
      <c r="AG836" s="60">
        <v>0</v>
      </c>
      <c r="AJ836" s="60">
        <v>0</v>
      </c>
      <c r="AN836" s="60" t="s">
        <v>309</v>
      </c>
      <c r="AQ836" s="60" t="s">
        <v>2557</v>
      </c>
      <c r="AR836" s="61">
        <v>44664</v>
      </c>
      <c r="AS836" s="60">
        <v>6002015683</v>
      </c>
      <c r="AT836" s="61">
        <v>44665</v>
      </c>
      <c r="AU836" s="60" t="s">
        <v>3140</v>
      </c>
      <c r="AV836" s="61">
        <v>44676</v>
      </c>
      <c r="AW836" s="91">
        <v>44681</v>
      </c>
      <c r="AX836" s="91">
        <v>44701</v>
      </c>
      <c r="AY836" s="99">
        <v>888480</v>
      </c>
      <c r="AZ836" s="99">
        <f>ROUNDDOWN(AY836+(AY836*MASTER!$A$2/100),0)</f>
        <v>977328</v>
      </c>
      <c r="BA836" s="60" t="s">
        <v>317</v>
      </c>
      <c r="BB836" s="64">
        <v>172760</v>
      </c>
      <c r="BC836" s="64">
        <v>190036</v>
      </c>
      <c r="BD836" s="60" t="s">
        <v>643</v>
      </c>
      <c r="BG836" s="64">
        <v>0</v>
      </c>
      <c r="BK836" s="64">
        <v>0</v>
      </c>
      <c r="BS836" s="64">
        <v>0</v>
      </c>
      <c r="BV836" s="65">
        <v>1018050</v>
      </c>
      <c r="BW836" s="65">
        <v>190036</v>
      </c>
      <c r="BX836" s="65">
        <v>44616</v>
      </c>
      <c r="BY836" s="65">
        <v>828014</v>
      </c>
      <c r="BZ836" s="81">
        <v>81.333333333333329</v>
      </c>
    </row>
    <row r="837" spans="1:89" x14ac:dyDescent="0.15">
      <c r="A837" s="60">
        <v>1</v>
      </c>
      <c r="B837" s="61">
        <v>44637</v>
      </c>
      <c r="C837" s="61">
        <v>44676</v>
      </c>
      <c r="F837" s="61" t="s">
        <v>309</v>
      </c>
      <c r="G837" s="61">
        <v>44687</v>
      </c>
      <c r="H837" s="61" t="s">
        <v>309</v>
      </c>
      <c r="J837" s="60">
        <v>2</v>
      </c>
      <c r="L837" s="60">
        <v>0</v>
      </c>
      <c r="M837" s="61">
        <v>44616</v>
      </c>
      <c r="O837" s="62" t="s">
        <v>331</v>
      </c>
      <c r="P837" s="60" t="s">
        <v>26</v>
      </c>
      <c r="Q837" s="62" t="s">
        <v>141</v>
      </c>
      <c r="R837" s="62" t="s">
        <v>2558</v>
      </c>
      <c r="S837" s="63" t="s">
        <v>2485</v>
      </c>
      <c r="T837" s="63" t="s">
        <v>2489</v>
      </c>
      <c r="U837" s="64">
        <v>169000</v>
      </c>
      <c r="V837" s="64">
        <v>185900</v>
      </c>
      <c r="W837" s="64">
        <v>169000</v>
      </c>
      <c r="X837" s="64">
        <v>185900</v>
      </c>
      <c r="Z837" s="64">
        <v>0</v>
      </c>
      <c r="AD837" s="60">
        <v>0</v>
      </c>
      <c r="AG837" s="60">
        <v>0</v>
      </c>
      <c r="AJ837" s="60">
        <v>0</v>
      </c>
      <c r="AN837" s="60" t="s">
        <v>309</v>
      </c>
      <c r="AQ837" s="60" t="s">
        <v>2557</v>
      </c>
      <c r="AR837" s="61">
        <v>44623</v>
      </c>
      <c r="AS837" s="60">
        <v>6001999819</v>
      </c>
      <c r="AT837" s="61">
        <v>44624</v>
      </c>
      <c r="AU837" s="60" t="s">
        <v>2593</v>
      </c>
      <c r="AV837" s="61">
        <v>44676</v>
      </c>
      <c r="AW837" s="91">
        <v>44651</v>
      </c>
      <c r="AX837" s="91">
        <v>44671</v>
      </c>
      <c r="AY837" s="99">
        <v>162240</v>
      </c>
      <c r="AZ837" s="99">
        <f>ROUNDDOWN(AY837+(AY837*MASTER!$A$2/100),0)</f>
        <v>178464</v>
      </c>
      <c r="BC837" s="64">
        <v>0</v>
      </c>
      <c r="BG837" s="64">
        <v>0</v>
      </c>
      <c r="BK837" s="64">
        <v>0</v>
      </c>
      <c r="BS837" s="64">
        <v>0</v>
      </c>
      <c r="BV837" s="65">
        <v>185900</v>
      </c>
      <c r="BW837" s="65">
        <v>0</v>
      </c>
      <c r="BX837" s="65">
        <v>44616</v>
      </c>
      <c r="BY837" s="65">
        <v>185900</v>
      </c>
      <c r="BZ837" s="81">
        <v>100</v>
      </c>
    </row>
    <row r="838" spans="1:89" x14ac:dyDescent="0.15">
      <c r="A838" s="60">
        <v>1</v>
      </c>
      <c r="B838" s="61">
        <v>44637</v>
      </c>
      <c r="C838" s="61">
        <v>44676</v>
      </c>
      <c r="F838" s="61" t="s">
        <v>309</v>
      </c>
      <c r="G838" s="61">
        <v>44687</v>
      </c>
      <c r="H838" s="61" t="s">
        <v>309</v>
      </c>
      <c r="J838" s="60">
        <v>2</v>
      </c>
      <c r="L838" s="60">
        <v>0</v>
      </c>
      <c r="M838" s="61">
        <v>44616</v>
      </c>
      <c r="O838" s="62" t="s">
        <v>331</v>
      </c>
      <c r="P838" s="60" t="s">
        <v>26</v>
      </c>
      <c r="Q838" s="62" t="s">
        <v>141</v>
      </c>
      <c r="R838" s="62" t="s">
        <v>2559</v>
      </c>
      <c r="S838" s="63" t="s">
        <v>2485</v>
      </c>
      <c r="T838" s="63" t="s">
        <v>2552</v>
      </c>
      <c r="U838" s="64">
        <v>8000</v>
      </c>
      <c r="V838" s="64">
        <v>8800</v>
      </c>
      <c r="W838" s="64">
        <v>8000</v>
      </c>
      <c r="X838" s="64">
        <v>8800</v>
      </c>
      <c r="Y838" s="64">
        <v>0</v>
      </c>
      <c r="Z838" s="64">
        <v>0</v>
      </c>
      <c r="AD838" s="60">
        <v>0</v>
      </c>
      <c r="AG838" s="60">
        <v>0</v>
      </c>
      <c r="AJ838" s="60">
        <v>0</v>
      </c>
      <c r="AN838" s="60" t="s">
        <v>309</v>
      </c>
      <c r="AQ838" s="60" t="s">
        <v>2557</v>
      </c>
      <c r="AR838" s="61">
        <v>44623</v>
      </c>
      <c r="AS838" s="60">
        <v>6001999819</v>
      </c>
      <c r="AT838" s="61">
        <v>44624</v>
      </c>
      <c r="AU838" s="60" t="s">
        <v>2593</v>
      </c>
      <c r="AV838" s="61">
        <v>44676</v>
      </c>
      <c r="AW838" s="91">
        <v>44651</v>
      </c>
      <c r="AX838" s="91">
        <v>44671</v>
      </c>
      <c r="AY838" s="99">
        <v>7680</v>
      </c>
      <c r="AZ838" s="99">
        <f>ROUNDDOWN(AY838+(AY838*MASTER!$A$2/100),0)</f>
        <v>8448</v>
      </c>
      <c r="BC838" s="64">
        <v>0</v>
      </c>
      <c r="BG838" s="64">
        <v>0</v>
      </c>
      <c r="BK838" s="64">
        <v>0</v>
      </c>
      <c r="BS838" s="64">
        <v>0</v>
      </c>
      <c r="BV838" s="65">
        <v>8800</v>
      </c>
      <c r="BW838" s="65">
        <v>0</v>
      </c>
      <c r="BX838" s="65">
        <v>44616</v>
      </c>
      <c r="BY838" s="65">
        <v>8800</v>
      </c>
      <c r="BZ838" s="81">
        <v>100</v>
      </c>
    </row>
    <row r="839" spans="1:89" x14ac:dyDescent="0.15">
      <c r="A839" s="60">
        <v>1</v>
      </c>
      <c r="B839" s="61">
        <v>44637</v>
      </c>
      <c r="C839" s="61">
        <v>44676</v>
      </c>
      <c r="F839" s="61" t="s">
        <v>309</v>
      </c>
      <c r="G839" s="61">
        <v>44676</v>
      </c>
      <c r="H839" s="61" t="s">
        <v>309</v>
      </c>
      <c r="J839" s="60">
        <v>1</v>
      </c>
      <c r="K839" s="61">
        <v>44594</v>
      </c>
      <c r="L839" s="60">
        <v>1</v>
      </c>
      <c r="M839" s="61">
        <v>44616</v>
      </c>
      <c r="O839" s="62" t="s">
        <v>331</v>
      </c>
      <c r="P839" s="60" t="s">
        <v>165</v>
      </c>
      <c r="Q839" s="62" t="s">
        <v>141</v>
      </c>
      <c r="R839" s="62" t="s">
        <v>2487</v>
      </c>
      <c r="S839" s="63" t="s">
        <v>1647</v>
      </c>
      <c r="T839" s="63" t="s">
        <v>2486</v>
      </c>
      <c r="U839" s="64">
        <v>2798060</v>
      </c>
      <c r="V839" s="64">
        <v>3077866</v>
      </c>
      <c r="W839" s="64">
        <v>2513060</v>
      </c>
      <c r="X839" s="64">
        <v>2764366</v>
      </c>
      <c r="Y839" s="64">
        <v>285000</v>
      </c>
      <c r="Z839" s="64">
        <v>313500</v>
      </c>
      <c r="AA839" s="61">
        <v>44629</v>
      </c>
      <c r="AB839" s="61">
        <v>44651</v>
      </c>
      <c r="AD839" s="60">
        <v>0</v>
      </c>
      <c r="AG839" s="60">
        <v>0</v>
      </c>
      <c r="AJ839" s="60">
        <v>0</v>
      </c>
      <c r="AN839" s="60" t="s">
        <v>309</v>
      </c>
      <c r="AQ839" s="60" t="s">
        <v>2538</v>
      </c>
      <c r="AR839" s="61">
        <v>44623</v>
      </c>
      <c r="AS839" s="60">
        <v>6001999812</v>
      </c>
      <c r="AT839" s="61">
        <v>44625</v>
      </c>
      <c r="AU839" s="60" t="s">
        <v>2596</v>
      </c>
      <c r="AV839" s="61">
        <v>44676</v>
      </c>
      <c r="AW839" s="91">
        <v>44651</v>
      </c>
      <c r="AX839" s="91">
        <v>44671</v>
      </c>
      <c r="AY839" s="99">
        <v>2686138</v>
      </c>
      <c r="AZ839" s="99">
        <v>2954752</v>
      </c>
      <c r="BA839" s="60" t="s">
        <v>314</v>
      </c>
      <c r="BB839" s="64">
        <v>1653210</v>
      </c>
      <c r="BC839" s="64">
        <v>1818531</v>
      </c>
      <c r="BD839" s="60" t="s">
        <v>2107</v>
      </c>
      <c r="BG839" s="64">
        <v>0</v>
      </c>
      <c r="BI839" s="60" t="s">
        <v>748</v>
      </c>
      <c r="BJ839" s="64">
        <v>185250</v>
      </c>
      <c r="BK839" s="64">
        <v>203775</v>
      </c>
      <c r="BL839" s="60" t="s">
        <v>2107</v>
      </c>
      <c r="BS839" s="64">
        <v>0</v>
      </c>
      <c r="BV839" s="65">
        <v>2764366</v>
      </c>
      <c r="BW839" s="65">
        <v>2022306</v>
      </c>
      <c r="BX839" s="65">
        <v>0</v>
      </c>
      <c r="BY839" s="65">
        <v>44594</v>
      </c>
      <c r="BZ839" s="81">
        <v>26.843768155157456</v>
      </c>
    </row>
    <row r="840" spans="1:89" x14ac:dyDescent="0.15">
      <c r="A840" s="60">
        <v>1</v>
      </c>
      <c r="B840" s="61">
        <v>44637</v>
      </c>
      <c r="C840" s="61">
        <v>44676</v>
      </c>
      <c r="F840" s="61" t="s">
        <v>309</v>
      </c>
      <c r="G840" s="61">
        <v>44676</v>
      </c>
      <c r="H840" s="61" t="s">
        <v>309</v>
      </c>
      <c r="J840" s="60">
        <v>1</v>
      </c>
      <c r="L840" s="60">
        <v>0</v>
      </c>
      <c r="M840" s="61">
        <v>44616</v>
      </c>
      <c r="O840" s="62" t="s">
        <v>331</v>
      </c>
      <c r="P840" s="60" t="s">
        <v>214</v>
      </c>
      <c r="Q840" s="62" t="s">
        <v>141</v>
      </c>
      <c r="R840" s="62" t="s">
        <v>2553</v>
      </c>
      <c r="S840" s="63" t="s">
        <v>1647</v>
      </c>
      <c r="T840" s="63" t="s">
        <v>2545</v>
      </c>
      <c r="U840" s="64">
        <v>153000</v>
      </c>
      <c r="V840" s="64">
        <v>168300</v>
      </c>
      <c r="W840" s="64">
        <v>18000</v>
      </c>
      <c r="X840" s="64">
        <v>19800</v>
      </c>
      <c r="Y840" s="64">
        <v>135000</v>
      </c>
      <c r="Z840" s="64">
        <v>148500</v>
      </c>
      <c r="AA840" s="61">
        <v>44637</v>
      </c>
      <c r="AB840" s="61">
        <v>44644</v>
      </c>
      <c r="AD840" s="60">
        <v>0</v>
      </c>
      <c r="AG840" s="60">
        <v>0</v>
      </c>
      <c r="AJ840" s="60">
        <v>0</v>
      </c>
      <c r="AN840" s="60" t="s">
        <v>309</v>
      </c>
      <c r="AQ840" s="60" t="s">
        <v>2538</v>
      </c>
      <c r="AR840" s="61">
        <v>44623</v>
      </c>
      <c r="AS840" s="60">
        <v>6001999819</v>
      </c>
      <c r="AT840" s="61">
        <v>44624</v>
      </c>
      <c r="AU840" s="60" t="s">
        <v>2593</v>
      </c>
      <c r="AV840" s="61">
        <v>44676</v>
      </c>
      <c r="AW840" s="91">
        <v>44651</v>
      </c>
      <c r="AX840" s="91">
        <v>44671</v>
      </c>
      <c r="AY840" s="99">
        <v>146880</v>
      </c>
      <c r="AZ840" s="99">
        <f>ROUNDDOWN(AY840+(AY840*MASTER!$A$2/100),0)</f>
        <v>161568</v>
      </c>
      <c r="BC840" s="64">
        <v>0</v>
      </c>
      <c r="BG840" s="64">
        <v>0</v>
      </c>
      <c r="BI840" s="60" t="s">
        <v>748</v>
      </c>
      <c r="BJ840" s="64">
        <v>87750</v>
      </c>
      <c r="BK840" s="64">
        <v>96525</v>
      </c>
      <c r="BL840" s="60" t="s">
        <v>2107</v>
      </c>
      <c r="BS840" s="64">
        <v>0</v>
      </c>
      <c r="BV840" s="65">
        <v>19800</v>
      </c>
      <c r="BW840" s="65">
        <v>96525</v>
      </c>
      <c r="BX840" s="65">
        <v>44616</v>
      </c>
      <c r="BY840" s="65">
        <v>-76725</v>
      </c>
      <c r="BZ840" s="81">
        <v>-387.5</v>
      </c>
    </row>
    <row r="841" spans="1:89" x14ac:dyDescent="0.15">
      <c r="A841" s="60">
        <v>2</v>
      </c>
      <c r="B841" s="61">
        <v>44670</v>
      </c>
      <c r="C841" s="61">
        <v>44676</v>
      </c>
      <c r="F841" s="61" t="s">
        <v>309</v>
      </c>
      <c r="G841" s="61">
        <v>44676</v>
      </c>
      <c r="H841" s="61" t="s">
        <v>309</v>
      </c>
      <c r="I841" s="60" t="s">
        <v>511</v>
      </c>
      <c r="J841" s="60">
        <v>2</v>
      </c>
      <c r="L841" s="60">
        <v>0</v>
      </c>
      <c r="M841" s="61">
        <v>44616</v>
      </c>
      <c r="O841" s="62" t="s">
        <v>331</v>
      </c>
      <c r="P841" s="60" t="s">
        <v>38</v>
      </c>
      <c r="Q841" s="62" t="s">
        <v>141</v>
      </c>
      <c r="R841" s="62" t="s">
        <v>3105</v>
      </c>
      <c r="S841" s="63" t="s">
        <v>1647</v>
      </c>
      <c r="T841" s="63" t="s">
        <v>2915</v>
      </c>
      <c r="U841" s="64">
        <v>1060500</v>
      </c>
      <c r="V841" s="64">
        <v>1166550</v>
      </c>
      <c r="W841" s="64">
        <v>1060500</v>
      </c>
      <c r="X841" s="64">
        <v>1166550</v>
      </c>
      <c r="Y841" s="64">
        <v>0</v>
      </c>
      <c r="Z841" s="64">
        <v>0</v>
      </c>
      <c r="AA841" s="61">
        <v>44673</v>
      </c>
      <c r="AB841" s="61">
        <v>44673</v>
      </c>
      <c r="AD841" s="60">
        <v>0</v>
      </c>
      <c r="AG841" s="60">
        <v>0</v>
      </c>
      <c r="AJ841" s="60">
        <v>0</v>
      </c>
      <c r="AN841" s="60" t="s">
        <v>309</v>
      </c>
      <c r="AQ841" s="60" t="s">
        <v>2538</v>
      </c>
      <c r="AR841" s="61">
        <v>44664</v>
      </c>
      <c r="AS841" s="60">
        <v>6002015683</v>
      </c>
      <c r="AT841" s="61">
        <v>44665</v>
      </c>
      <c r="AU841" s="60" t="s">
        <v>3140</v>
      </c>
      <c r="AV841" s="61">
        <v>44676</v>
      </c>
      <c r="AW841" s="91">
        <v>44681</v>
      </c>
      <c r="AX841" s="91">
        <v>44701</v>
      </c>
      <c r="AY841" s="99">
        <v>1018080</v>
      </c>
      <c r="AZ841" s="99">
        <f>ROUNDDOWN(AY841+(AY841*MASTER!$A$2/100),0)</f>
        <v>1119888</v>
      </c>
      <c r="BA841" s="60" t="s">
        <v>314</v>
      </c>
      <c r="BB841" s="64">
        <v>197960</v>
      </c>
      <c r="BC841" s="64">
        <v>217756</v>
      </c>
      <c r="BD841" s="60" t="s">
        <v>643</v>
      </c>
      <c r="BG841" s="64">
        <v>0</v>
      </c>
      <c r="BK841" s="64">
        <v>0</v>
      </c>
      <c r="BS841" s="64">
        <v>0</v>
      </c>
      <c r="BV841" s="65">
        <v>1166550</v>
      </c>
      <c r="BW841" s="65">
        <v>217756</v>
      </c>
      <c r="BX841" s="65">
        <v>44616</v>
      </c>
      <c r="BY841" s="65">
        <v>948794</v>
      </c>
      <c r="BZ841" s="81">
        <v>81.333333333333329</v>
      </c>
    </row>
    <row r="842" spans="1:89" x14ac:dyDescent="0.15">
      <c r="A842" s="60">
        <v>1</v>
      </c>
      <c r="B842" s="61">
        <v>44637</v>
      </c>
      <c r="C842" s="61">
        <v>44676</v>
      </c>
      <c r="F842" s="61" t="s">
        <v>309</v>
      </c>
      <c r="G842" s="61">
        <v>44676</v>
      </c>
      <c r="H842" s="61" t="s">
        <v>309</v>
      </c>
      <c r="J842" s="60">
        <v>2</v>
      </c>
      <c r="L842" s="60">
        <v>0</v>
      </c>
      <c r="M842" s="61">
        <v>44616</v>
      </c>
      <c r="O842" s="62" t="s">
        <v>331</v>
      </c>
      <c r="P842" s="60" t="s">
        <v>26</v>
      </c>
      <c r="Q842" s="62" t="s">
        <v>141</v>
      </c>
      <c r="R842" s="62" t="s">
        <v>2554</v>
      </c>
      <c r="S842" s="63" t="s">
        <v>1647</v>
      </c>
      <c r="T842" s="63" t="s">
        <v>2489</v>
      </c>
      <c r="U842" s="64">
        <v>169000</v>
      </c>
      <c r="V842" s="64">
        <v>185900</v>
      </c>
      <c r="W842" s="64">
        <v>169000</v>
      </c>
      <c r="X842" s="64">
        <v>185900</v>
      </c>
      <c r="Z842" s="64">
        <v>0</v>
      </c>
      <c r="AD842" s="60">
        <v>0</v>
      </c>
      <c r="AG842" s="60">
        <v>0</v>
      </c>
      <c r="AJ842" s="60">
        <v>0</v>
      </c>
      <c r="AN842" s="60" t="s">
        <v>309</v>
      </c>
      <c r="AQ842" s="60" t="s">
        <v>2538</v>
      </c>
      <c r="AR842" s="61">
        <v>44623</v>
      </c>
      <c r="AS842" s="60">
        <v>6001999819</v>
      </c>
      <c r="AT842" s="61">
        <v>44624</v>
      </c>
      <c r="AU842" s="60" t="s">
        <v>2593</v>
      </c>
      <c r="AV842" s="61">
        <v>44676</v>
      </c>
      <c r="AW842" s="91">
        <v>44651</v>
      </c>
      <c r="AX842" s="91">
        <v>44671</v>
      </c>
      <c r="AY842" s="99">
        <v>162240</v>
      </c>
      <c r="AZ842" s="99">
        <f>ROUNDDOWN(AY842+(AY842*MASTER!$A$2/100),0)</f>
        <v>178464</v>
      </c>
      <c r="BC842" s="64">
        <v>0</v>
      </c>
      <c r="BG842" s="64">
        <v>0</v>
      </c>
      <c r="BK842" s="64">
        <v>0</v>
      </c>
      <c r="BS842" s="64">
        <v>0</v>
      </c>
      <c r="BV842" s="65">
        <v>185900</v>
      </c>
      <c r="BW842" s="65">
        <v>0</v>
      </c>
      <c r="BX842" s="65">
        <v>44616</v>
      </c>
      <c r="BY842" s="65">
        <v>185900</v>
      </c>
      <c r="BZ842" s="81">
        <v>100</v>
      </c>
    </row>
    <row r="843" spans="1:89" x14ac:dyDescent="0.15">
      <c r="A843" s="60">
        <v>1</v>
      </c>
      <c r="B843" s="61">
        <v>44637</v>
      </c>
      <c r="C843" s="61">
        <v>44676</v>
      </c>
      <c r="F843" s="61" t="s">
        <v>309</v>
      </c>
      <c r="G843" s="61">
        <v>44676</v>
      </c>
      <c r="H843" s="61" t="s">
        <v>309</v>
      </c>
      <c r="J843" s="60">
        <v>2</v>
      </c>
      <c r="L843" s="60">
        <v>0</v>
      </c>
      <c r="M843" s="61">
        <v>44616</v>
      </c>
      <c r="O843" s="62" t="s">
        <v>331</v>
      </c>
      <c r="P843" s="60" t="s">
        <v>26</v>
      </c>
      <c r="Q843" s="62" t="s">
        <v>141</v>
      </c>
      <c r="R843" s="62" t="s">
        <v>2555</v>
      </c>
      <c r="S843" s="63" t="s">
        <v>1647</v>
      </c>
      <c r="T843" s="63" t="s">
        <v>2552</v>
      </c>
      <c r="U843" s="64">
        <v>8000</v>
      </c>
      <c r="V843" s="64">
        <v>8800</v>
      </c>
      <c r="W843" s="64">
        <v>8000</v>
      </c>
      <c r="X843" s="64">
        <v>8800</v>
      </c>
      <c r="Y843" s="64">
        <v>0</v>
      </c>
      <c r="Z843" s="64">
        <v>0</v>
      </c>
      <c r="AD843" s="60">
        <v>0</v>
      </c>
      <c r="AG843" s="60">
        <v>0</v>
      </c>
      <c r="AJ843" s="60">
        <v>0</v>
      </c>
      <c r="AN843" s="60" t="s">
        <v>309</v>
      </c>
      <c r="AQ843" s="60" t="s">
        <v>2538</v>
      </c>
      <c r="AR843" s="61">
        <v>44623</v>
      </c>
      <c r="AS843" s="60">
        <v>6001999819</v>
      </c>
      <c r="AT843" s="61">
        <v>44624</v>
      </c>
      <c r="AU843" s="60" t="s">
        <v>2593</v>
      </c>
      <c r="AV843" s="61">
        <v>44676</v>
      </c>
      <c r="AW843" s="91">
        <v>44651</v>
      </c>
      <c r="AX843" s="91">
        <v>44671</v>
      </c>
      <c r="AY843" s="99">
        <v>7680</v>
      </c>
      <c r="AZ843" s="99">
        <f>ROUNDDOWN(AY843+(AY843*MASTER!$A$2/100),0)</f>
        <v>8448</v>
      </c>
      <c r="BC843" s="64">
        <v>0</v>
      </c>
      <c r="BG843" s="64">
        <v>0</v>
      </c>
      <c r="BK843" s="64">
        <v>0</v>
      </c>
      <c r="BS843" s="64">
        <v>0</v>
      </c>
      <c r="BV843" s="65">
        <v>8800</v>
      </c>
      <c r="BW843" s="65">
        <v>0</v>
      </c>
      <c r="BX843" s="65">
        <v>44616</v>
      </c>
      <c r="BY843" s="65">
        <v>8800</v>
      </c>
      <c r="BZ843" s="81">
        <v>100</v>
      </c>
    </row>
    <row r="844" spans="1:89" x14ac:dyDescent="0.15">
      <c r="A844" s="60">
        <v>2</v>
      </c>
      <c r="B844" s="61">
        <v>44644</v>
      </c>
      <c r="C844" s="61">
        <v>44649</v>
      </c>
      <c r="D844" s="61">
        <v>44659</v>
      </c>
      <c r="E844" s="61">
        <v>44651</v>
      </c>
      <c r="F844" s="61">
        <v>44656</v>
      </c>
      <c r="G844" s="61">
        <v>44649</v>
      </c>
      <c r="H844" s="61">
        <v>44652</v>
      </c>
      <c r="I844" s="60" t="s">
        <v>511</v>
      </c>
      <c r="J844" s="60">
        <v>1</v>
      </c>
      <c r="L844" s="60">
        <v>0</v>
      </c>
      <c r="M844" s="61">
        <v>44616</v>
      </c>
      <c r="O844" s="62" t="s">
        <v>331</v>
      </c>
      <c r="P844" s="60" t="s">
        <v>26</v>
      </c>
      <c r="Q844" s="62" t="s">
        <v>141</v>
      </c>
      <c r="R844" s="62" t="s">
        <v>2564</v>
      </c>
      <c r="S844" s="63" t="s">
        <v>1221</v>
      </c>
      <c r="T844" s="63" t="s">
        <v>2565</v>
      </c>
      <c r="U844" s="64">
        <v>145500</v>
      </c>
      <c r="V844" s="64">
        <v>160050</v>
      </c>
      <c r="W844" s="64">
        <v>78000</v>
      </c>
      <c r="X844" s="64">
        <v>85800</v>
      </c>
      <c r="Y844" s="64">
        <v>67500</v>
      </c>
      <c r="Z844" s="64">
        <v>74250</v>
      </c>
      <c r="AA844" s="61">
        <v>44648</v>
      </c>
      <c r="AB844" s="61">
        <v>44649</v>
      </c>
      <c r="AC844" s="61">
        <v>44649</v>
      </c>
      <c r="AD844" s="60">
        <v>0</v>
      </c>
      <c r="AG844" s="60">
        <v>0</v>
      </c>
      <c r="AJ844" s="60">
        <v>0</v>
      </c>
      <c r="AM844" s="60" t="s">
        <v>273</v>
      </c>
      <c r="AN844" s="60" t="s">
        <v>2566</v>
      </c>
      <c r="AQ844" s="60" t="s">
        <v>2830</v>
      </c>
      <c r="AR844" s="61">
        <v>44623</v>
      </c>
      <c r="AS844" s="60">
        <v>6001999819</v>
      </c>
      <c r="AT844" s="61">
        <v>44624</v>
      </c>
      <c r="AU844" s="60" t="s">
        <v>2593</v>
      </c>
      <c r="AV844" s="61">
        <v>44649</v>
      </c>
      <c r="AW844" s="91">
        <v>44651</v>
      </c>
      <c r="AX844" s="91">
        <v>44671</v>
      </c>
      <c r="AY844" s="99">
        <v>139680</v>
      </c>
      <c r="AZ844" s="99">
        <f>ROUNDDOWN(AY844+(AY844*MASTER!$A$2/100),0)</f>
        <v>153648</v>
      </c>
      <c r="BA844" s="60" t="s">
        <v>318</v>
      </c>
      <c r="BB844" s="64">
        <v>48000</v>
      </c>
      <c r="BC844" s="64">
        <v>52800</v>
      </c>
      <c r="BD844" s="60" t="s">
        <v>2107</v>
      </c>
      <c r="BG844" s="64">
        <v>0</v>
      </c>
      <c r="BI844" s="60" t="s">
        <v>748</v>
      </c>
      <c r="BJ844" s="64">
        <v>43875</v>
      </c>
      <c r="BK844" s="64">
        <v>48262.5</v>
      </c>
      <c r="BL844" s="60" t="s">
        <v>2107</v>
      </c>
      <c r="BS844" s="64">
        <v>0</v>
      </c>
      <c r="BV844" s="65">
        <v>85800</v>
      </c>
      <c r="BW844" s="65">
        <v>101062.5</v>
      </c>
      <c r="BX844" s="65">
        <v>44616</v>
      </c>
      <c r="BY844" s="65">
        <v>-15262.5</v>
      </c>
      <c r="BZ844" s="81">
        <v>-17.78846153846154</v>
      </c>
    </row>
    <row r="845" spans="1:89" x14ac:dyDescent="0.15">
      <c r="A845" s="60">
        <v>2</v>
      </c>
      <c r="B845" s="61">
        <v>44644</v>
      </c>
      <c r="C845" s="61">
        <v>44651</v>
      </c>
      <c r="D845" s="61">
        <v>44664</v>
      </c>
      <c r="E845" s="61">
        <v>44658</v>
      </c>
      <c r="F845" s="61">
        <v>44658</v>
      </c>
      <c r="G845" s="61">
        <v>44651</v>
      </c>
      <c r="H845" s="61">
        <v>44654</v>
      </c>
      <c r="I845" s="60" t="s">
        <v>511</v>
      </c>
      <c r="J845" s="60">
        <v>1</v>
      </c>
      <c r="L845" s="60">
        <v>0</v>
      </c>
      <c r="M845" s="61">
        <v>44616</v>
      </c>
      <c r="O845" s="62" t="s">
        <v>331</v>
      </c>
      <c r="P845" s="60" t="s">
        <v>26</v>
      </c>
      <c r="Q845" s="62" t="s">
        <v>141</v>
      </c>
      <c r="R845" s="62" t="s">
        <v>2696</v>
      </c>
      <c r="S845" s="63" t="s">
        <v>842</v>
      </c>
      <c r="T845" s="63" t="s">
        <v>2697</v>
      </c>
      <c r="U845" s="64">
        <v>192700</v>
      </c>
      <c r="V845" s="64">
        <v>211970</v>
      </c>
      <c r="W845" s="64">
        <v>94000</v>
      </c>
      <c r="X845" s="64">
        <v>103400</v>
      </c>
      <c r="Y845" s="64">
        <v>98700</v>
      </c>
      <c r="Z845" s="64">
        <v>108570</v>
      </c>
      <c r="AA845" s="61">
        <v>44650</v>
      </c>
      <c r="AB845" s="61">
        <v>44651</v>
      </c>
      <c r="AC845" s="61">
        <v>44651</v>
      </c>
      <c r="AD845" s="60">
        <v>0</v>
      </c>
      <c r="AG845" s="60">
        <v>0</v>
      </c>
      <c r="AJ845" s="60">
        <v>0</v>
      </c>
      <c r="AM845" s="60" t="s">
        <v>273</v>
      </c>
      <c r="AN845" s="60" t="s">
        <v>2698</v>
      </c>
      <c r="AQ845" s="60" t="s">
        <v>2699</v>
      </c>
      <c r="AR845" s="61">
        <v>44631</v>
      </c>
      <c r="AS845" s="60">
        <v>6002003324</v>
      </c>
      <c r="AT845" s="61">
        <v>44631</v>
      </c>
      <c r="AU845" s="60" t="s">
        <v>2710</v>
      </c>
      <c r="AV845" s="61">
        <v>44651</v>
      </c>
      <c r="AW845" s="91">
        <v>44650</v>
      </c>
      <c r="AX845" s="91">
        <v>44671</v>
      </c>
      <c r="AY845" s="99">
        <v>184992</v>
      </c>
      <c r="AZ845" s="99">
        <f>ROUNDDOWN(AY845+(AY845*MASTER!$A$2/100),0)</f>
        <v>203491</v>
      </c>
      <c r="BA845" s="60" t="s">
        <v>319</v>
      </c>
      <c r="BB845" s="64">
        <v>34000</v>
      </c>
      <c r="BC845" s="64">
        <v>37400</v>
      </c>
      <c r="BD845" s="60" t="s">
        <v>2107</v>
      </c>
      <c r="BG845" s="64">
        <v>0</v>
      </c>
      <c r="BI845" s="60" t="s">
        <v>748</v>
      </c>
      <c r="BJ845" s="64">
        <v>64155</v>
      </c>
      <c r="BK845" s="64">
        <v>70570.5</v>
      </c>
      <c r="BL845" s="60" t="s">
        <v>2107</v>
      </c>
      <c r="BS845" s="64">
        <v>0</v>
      </c>
      <c r="BV845" s="65">
        <v>103400</v>
      </c>
      <c r="BW845" s="65">
        <v>107970.5</v>
      </c>
      <c r="BX845" s="65">
        <v>44616</v>
      </c>
      <c r="BY845" s="65">
        <v>-4570.5</v>
      </c>
      <c r="BZ845" s="81">
        <v>-4.4202127659574462</v>
      </c>
    </row>
    <row r="846" spans="1:89" x14ac:dyDescent="0.15">
      <c r="A846" s="60">
        <v>1</v>
      </c>
      <c r="B846" s="61">
        <v>44627</v>
      </c>
      <c r="C846" s="61">
        <v>44630</v>
      </c>
      <c r="F846" s="61" t="s">
        <v>309</v>
      </c>
      <c r="G846" s="61">
        <v>44621</v>
      </c>
      <c r="H846" s="61" t="s">
        <v>309</v>
      </c>
      <c r="J846" s="60">
        <v>2</v>
      </c>
      <c r="L846" s="60">
        <v>0</v>
      </c>
      <c r="M846" s="61">
        <v>44616</v>
      </c>
      <c r="O846" s="62" t="s">
        <v>331</v>
      </c>
      <c r="P846" s="60" t="s">
        <v>6</v>
      </c>
      <c r="Q846" s="62" t="s">
        <v>141</v>
      </c>
      <c r="R846" s="62" t="s">
        <v>2532</v>
      </c>
      <c r="S846" s="63" t="s">
        <v>1129</v>
      </c>
      <c r="T846" s="63" t="s">
        <v>364</v>
      </c>
      <c r="U846" s="64">
        <v>51000</v>
      </c>
      <c r="V846" s="64">
        <v>56100</v>
      </c>
      <c r="W846" s="64">
        <v>51000</v>
      </c>
      <c r="X846" s="64">
        <v>56100</v>
      </c>
      <c r="Y846" s="64">
        <v>0</v>
      </c>
      <c r="Z846" s="64">
        <v>0</v>
      </c>
      <c r="AA846" s="61">
        <v>44621</v>
      </c>
      <c r="AB846" s="61">
        <v>44621</v>
      </c>
      <c r="AD846" s="60">
        <v>0</v>
      </c>
      <c r="AG846" s="60">
        <v>0</v>
      </c>
      <c r="AJ846" s="60">
        <v>0</v>
      </c>
      <c r="AN846" s="60" t="s">
        <v>309</v>
      </c>
      <c r="AQ846" s="60" t="s">
        <v>2609</v>
      </c>
      <c r="AR846" s="61">
        <v>44623</v>
      </c>
      <c r="AS846" s="60">
        <v>6001999819</v>
      </c>
      <c r="AT846" s="61">
        <v>44624</v>
      </c>
      <c r="AU846" s="60" t="s">
        <v>2593</v>
      </c>
      <c r="AV846" s="61">
        <v>44630</v>
      </c>
      <c r="AW846" s="91">
        <v>44651</v>
      </c>
      <c r="AX846" s="91">
        <v>44671</v>
      </c>
      <c r="AY846" s="99">
        <v>48960</v>
      </c>
      <c r="AZ846" s="99">
        <f>ROUNDDOWN(AY846+(AY846*MASTER!$A$2/100),0)</f>
        <v>53856</v>
      </c>
      <c r="BA846" s="60" t="s">
        <v>317</v>
      </c>
      <c r="BB846" s="64">
        <v>24000</v>
      </c>
      <c r="BC846" s="64">
        <v>26400</v>
      </c>
      <c r="BD846" s="60" t="s">
        <v>2107</v>
      </c>
      <c r="BG846" s="64">
        <v>0</v>
      </c>
      <c r="BK846" s="64">
        <v>0</v>
      </c>
      <c r="BS846" s="64">
        <v>0</v>
      </c>
      <c r="BV846" s="65">
        <v>56100</v>
      </c>
      <c r="BW846" s="65">
        <v>26400</v>
      </c>
      <c r="BX846" s="65">
        <v>44616</v>
      </c>
      <c r="BY846" s="65">
        <v>29700</v>
      </c>
      <c r="BZ846" s="81">
        <v>52.941176470588239</v>
      </c>
    </row>
    <row r="847" spans="1:89" x14ac:dyDescent="0.15">
      <c r="A847" s="60">
        <v>1</v>
      </c>
      <c r="B847" s="61">
        <v>44657</v>
      </c>
      <c r="C847" s="61">
        <v>44679</v>
      </c>
      <c r="F847" s="61" t="s">
        <v>309</v>
      </c>
      <c r="H847" s="61" t="s">
        <v>309</v>
      </c>
      <c r="J847" s="60">
        <v>3</v>
      </c>
      <c r="L847" s="60">
        <v>0</v>
      </c>
      <c r="M847" s="61">
        <v>44616</v>
      </c>
      <c r="O847" s="62" t="s">
        <v>331</v>
      </c>
      <c r="P847" s="60" t="s">
        <v>6</v>
      </c>
      <c r="Q847" s="62" t="s">
        <v>141</v>
      </c>
      <c r="R847" s="62" t="s">
        <v>2548</v>
      </c>
      <c r="S847" s="63" t="s">
        <v>2378</v>
      </c>
      <c r="T847" s="63" t="s">
        <v>463</v>
      </c>
      <c r="U847" s="64">
        <v>9000</v>
      </c>
      <c r="V847" s="64">
        <v>9900</v>
      </c>
      <c r="X847" s="64">
        <v>0</v>
      </c>
      <c r="Y847" s="64">
        <v>9000</v>
      </c>
      <c r="Z847" s="64">
        <v>9900</v>
      </c>
      <c r="AD847" s="60">
        <v>0</v>
      </c>
      <c r="AG847" s="60">
        <v>0</v>
      </c>
      <c r="AJ847" s="60">
        <v>0</v>
      </c>
      <c r="AN847" s="60" t="s">
        <v>309</v>
      </c>
      <c r="AQ847" s="60" t="s">
        <v>2549</v>
      </c>
      <c r="AR847" s="61">
        <v>44623</v>
      </c>
      <c r="AS847" s="60">
        <v>6001999819</v>
      </c>
      <c r="AT847" s="61">
        <v>44624</v>
      </c>
      <c r="AU847" s="60" t="s">
        <v>2593</v>
      </c>
      <c r="AV847" s="61">
        <v>44679</v>
      </c>
      <c r="AW847" s="91">
        <v>44681</v>
      </c>
      <c r="AX847" s="91">
        <v>44701</v>
      </c>
      <c r="AY847" s="99">
        <v>8640</v>
      </c>
      <c r="AZ847" s="99">
        <f>ROUNDDOWN(AY847+(AY847*MASTER!$A$2/100),0)</f>
        <v>9504</v>
      </c>
      <c r="BC847" s="64">
        <v>0</v>
      </c>
      <c r="BG847" s="64">
        <v>0</v>
      </c>
      <c r="BK847" s="64">
        <v>0</v>
      </c>
      <c r="BS847" s="64">
        <v>0</v>
      </c>
      <c r="BV847" s="65">
        <v>0</v>
      </c>
      <c r="BW847" s="65">
        <v>0</v>
      </c>
      <c r="BX847" s="65">
        <v>44616</v>
      </c>
      <c r="BY847" s="65">
        <v>0</v>
      </c>
      <c r="BZ847" s="81" t="s">
        <v>309</v>
      </c>
    </row>
    <row r="848" spans="1:89" x14ac:dyDescent="0.15">
      <c r="A848" s="60">
        <v>1</v>
      </c>
      <c r="B848" s="61">
        <v>44620</v>
      </c>
      <c r="C848" s="61">
        <v>44631</v>
      </c>
      <c r="F848" s="61" t="s">
        <v>309</v>
      </c>
      <c r="H848" s="61" t="s">
        <v>309</v>
      </c>
      <c r="J848" s="60">
        <v>2</v>
      </c>
      <c r="L848" s="60">
        <v>0</v>
      </c>
      <c r="M848" s="61">
        <v>44616</v>
      </c>
      <c r="O848" s="62" t="s">
        <v>331</v>
      </c>
      <c r="P848" s="60" t="s">
        <v>77</v>
      </c>
      <c r="Q848" s="62" t="s">
        <v>141</v>
      </c>
      <c r="R848" s="62" t="s">
        <v>2465</v>
      </c>
      <c r="S848" s="63" t="s">
        <v>489</v>
      </c>
      <c r="T848" s="63" t="s">
        <v>2466</v>
      </c>
      <c r="U848" s="64">
        <v>79040</v>
      </c>
      <c r="V848" s="64">
        <v>86944</v>
      </c>
      <c r="W848" s="64">
        <v>79040</v>
      </c>
      <c r="X848" s="64">
        <v>86944</v>
      </c>
      <c r="Z848" s="64">
        <v>0</v>
      </c>
      <c r="AD848" s="60">
        <v>0</v>
      </c>
      <c r="AG848" s="60">
        <v>0</v>
      </c>
      <c r="AJ848" s="60">
        <v>0</v>
      </c>
      <c r="AQ848" s="60" t="s">
        <v>2468</v>
      </c>
      <c r="AR848" s="61">
        <v>44616</v>
      </c>
      <c r="AS848" s="60">
        <v>6001997505</v>
      </c>
      <c r="AT848" s="61">
        <v>44616</v>
      </c>
      <c r="AU848" s="60" t="s">
        <v>2476</v>
      </c>
      <c r="AV848" s="61">
        <v>44631</v>
      </c>
      <c r="AW848" s="91">
        <v>44620</v>
      </c>
      <c r="AX848" s="91">
        <v>44640</v>
      </c>
      <c r="AY848" s="107">
        <v>79040</v>
      </c>
      <c r="AZ848" s="107">
        <v>86944</v>
      </c>
      <c r="BC848" s="64">
        <v>0</v>
      </c>
      <c r="BG848" s="64">
        <v>0</v>
      </c>
      <c r="BK848" s="64">
        <v>0</v>
      </c>
      <c r="BS848" s="64">
        <v>0</v>
      </c>
      <c r="BV848" s="65">
        <v>86944</v>
      </c>
      <c r="BW848" s="65">
        <v>0</v>
      </c>
      <c r="BX848" s="65">
        <v>44616</v>
      </c>
      <c r="BY848" s="65">
        <v>86944</v>
      </c>
      <c r="BZ848" s="81">
        <v>100</v>
      </c>
    </row>
    <row r="849" spans="1:82" x14ac:dyDescent="0.15">
      <c r="A849" s="60">
        <v>1</v>
      </c>
      <c r="B849" s="61">
        <v>44620</v>
      </c>
      <c r="C849" s="61">
        <v>44631</v>
      </c>
      <c r="F849" s="61" t="s">
        <v>309</v>
      </c>
      <c r="H849" s="61" t="s">
        <v>309</v>
      </c>
      <c r="J849" s="60">
        <v>2</v>
      </c>
      <c r="L849" s="60">
        <v>0</v>
      </c>
      <c r="M849" s="61">
        <v>44616</v>
      </c>
      <c r="O849" s="62" t="s">
        <v>331</v>
      </c>
      <c r="P849" s="60" t="s">
        <v>77</v>
      </c>
      <c r="Q849" s="62" t="s">
        <v>141</v>
      </c>
      <c r="R849" s="62" t="s">
        <v>2467</v>
      </c>
      <c r="S849" s="63" t="s">
        <v>489</v>
      </c>
      <c r="T849" s="63" t="s">
        <v>2038</v>
      </c>
      <c r="U849" s="64">
        <v>14040</v>
      </c>
      <c r="V849" s="64">
        <v>15444</v>
      </c>
      <c r="W849" s="64">
        <v>14040</v>
      </c>
      <c r="X849" s="64">
        <v>15444</v>
      </c>
      <c r="Z849" s="64">
        <v>0</v>
      </c>
      <c r="AD849" s="60">
        <v>0</v>
      </c>
      <c r="AG849" s="60">
        <v>0</v>
      </c>
      <c r="AJ849" s="60">
        <v>0</v>
      </c>
      <c r="AQ849" s="60" t="s">
        <v>2468</v>
      </c>
      <c r="AR849" s="61">
        <v>44616</v>
      </c>
      <c r="AS849" s="60">
        <v>6001997505</v>
      </c>
      <c r="AT849" s="61">
        <v>44616</v>
      </c>
      <c r="AU849" s="60" t="s">
        <v>2476</v>
      </c>
      <c r="AV849" s="61">
        <v>44631</v>
      </c>
      <c r="AW849" s="91">
        <v>44620</v>
      </c>
      <c r="AX849" s="91">
        <v>44640</v>
      </c>
      <c r="AY849" s="107">
        <v>14040</v>
      </c>
      <c r="AZ849" s="107">
        <v>15444</v>
      </c>
      <c r="BC849" s="64">
        <v>0</v>
      </c>
      <c r="BG849" s="64">
        <v>0</v>
      </c>
      <c r="BK849" s="64">
        <v>0</v>
      </c>
      <c r="BS849" s="64">
        <v>0</v>
      </c>
      <c r="BV849" s="65">
        <v>15444</v>
      </c>
      <c r="BW849" s="65">
        <v>0</v>
      </c>
      <c r="BX849" s="65">
        <v>44616</v>
      </c>
      <c r="BY849" s="65">
        <v>15444</v>
      </c>
      <c r="BZ849" s="81">
        <v>100</v>
      </c>
    </row>
    <row r="850" spans="1:82" x14ac:dyDescent="0.15">
      <c r="A850" s="60">
        <v>1</v>
      </c>
      <c r="B850" s="61">
        <v>44622</v>
      </c>
      <c r="C850" s="61">
        <v>44622</v>
      </c>
      <c r="F850" s="61" t="s">
        <v>309</v>
      </c>
      <c r="H850" s="61" t="s">
        <v>309</v>
      </c>
      <c r="J850" s="60">
        <v>2</v>
      </c>
      <c r="L850" s="60">
        <v>0</v>
      </c>
      <c r="M850" s="61">
        <v>44617</v>
      </c>
      <c r="O850" s="62" t="s">
        <v>331</v>
      </c>
      <c r="P850" s="60" t="s">
        <v>77</v>
      </c>
      <c r="Q850" s="62" t="s">
        <v>141</v>
      </c>
      <c r="R850" s="62" t="s">
        <v>2477</v>
      </c>
      <c r="S850" s="63" t="s">
        <v>489</v>
      </c>
      <c r="T850" s="63" t="s">
        <v>2038</v>
      </c>
      <c r="U850" s="64">
        <v>14040</v>
      </c>
      <c r="V850" s="64">
        <v>15444</v>
      </c>
      <c r="W850" s="64">
        <v>14040</v>
      </c>
      <c r="X850" s="64">
        <v>15444</v>
      </c>
      <c r="Y850" s="64">
        <v>0</v>
      </c>
      <c r="Z850" s="64">
        <v>0</v>
      </c>
      <c r="AD850" s="60">
        <v>0</v>
      </c>
      <c r="AG850" s="60">
        <v>0</v>
      </c>
      <c r="AJ850" s="60">
        <v>0</v>
      </c>
      <c r="AQ850" s="60" t="s">
        <v>2503</v>
      </c>
      <c r="AR850" s="61">
        <v>44620</v>
      </c>
      <c r="AS850" s="60">
        <v>6001998525</v>
      </c>
      <c r="AT850" s="61">
        <v>44621</v>
      </c>
      <c r="AU850" s="60" t="s">
        <v>2529</v>
      </c>
      <c r="AV850" s="61">
        <v>44622</v>
      </c>
      <c r="AW850" s="91">
        <v>44651</v>
      </c>
      <c r="AX850" s="91">
        <v>44671</v>
      </c>
      <c r="AY850" s="107">
        <v>14040</v>
      </c>
      <c r="AZ850" s="107">
        <f>ROUNDDOWN(AY850+(AY850*MASTER!$A$2/100),0)</f>
        <v>15444</v>
      </c>
      <c r="BC850" s="64">
        <v>0</v>
      </c>
      <c r="BG850" s="64">
        <v>0</v>
      </c>
      <c r="BK850" s="64">
        <v>0</v>
      </c>
      <c r="BS850" s="64">
        <v>0</v>
      </c>
      <c r="BV850" s="65">
        <v>15444</v>
      </c>
      <c r="BW850" s="65">
        <v>0</v>
      </c>
      <c r="BX850" s="65">
        <v>44617</v>
      </c>
      <c r="BY850" s="65">
        <v>15444</v>
      </c>
      <c r="BZ850" s="81">
        <v>100</v>
      </c>
      <c r="CD850" s="63" t="s">
        <v>2508</v>
      </c>
    </row>
    <row r="851" spans="1:82" x14ac:dyDescent="0.15">
      <c r="A851" s="60">
        <v>2</v>
      </c>
      <c r="B851" s="61">
        <v>44644</v>
      </c>
      <c r="C851" s="61">
        <v>44649</v>
      </c>
      <c r="D851" s="61">
        <v>44659</v>
      </c>
      <c r="E851" s="61">
        <v>44651</v>
      </c>
      <c r="F851" s="61">
        <v>44656</v>
      </c>
      <c r="G851" s="61">
        <v>44649</v>
      </c>
      <c r="H851" s="61">
        <v>44652</v>
      </c>
      <c r="I851" s="60" t="s">
        <v>511</v>
      </c>
      <c r="J851" s="60">
        <v>1</v>
      </c>
      <c r="L851" s="60">
        <v>0</v>
      </c>
      <c r="M851" s="61">
        <v>44617</v>
      </c>
      <c r="O851" s="62" t="s">
        <v>331</v>
      </c>
      <c r="P851" s="60" t="s">
        <v>26</v>
      </c>
      <c r="Q851" s="62" t="s">
        <v>141</v>
      </c>
      <c r="R851" s="62" t="s">
        <v>2567</v>
      </c>
      <c r="S851" s="63" t="s">
        <v>1224</v>
      </c>
      <c r="T851" s="63" t="s">
        <v>2568</v>
      </c>
      <c r="U851" s="64">
        <v>170500</v>
      </c>
      <c r="V851" s="64">
        <v>187550</v>
      </c>
      <c r="W851" s="64">
        <v>78000</v>
      </c>
      <c r="X851" s="64">
        <v>85800</v>
      </c>
      <c r="Y851" s="64">
        <v>92500</v>
      </c>
      <c r="Z851" s="64">
        <v>101750</v>
      </c>
      <c r="AA851" s="61">
        <v>44648</v>
      </c>
      <c r="AB851" s="61">
        <v>44649</v>
      </c>
      <c r="AC851" s="61">
        <v>44649</v>
      </c>
      <c r="AD851" s="60">
        <v>0</v>
      </c>
      <c r="AG851" s="60">
        <v>0</v>
      </c>
      <c r="AJ851" s="60">
        <v>0</v>
      </c>
      <c r="AM851" s="60" t="s">
        <v>273</v>
      </c>
      <c r="AN851" s="60" t="s">
        <v>2569</v>
      </c>
      <c r="AQ851" s="60" t="s">
        <v>2831</v>
      </c>
      <c r="AR851" s="61">
        <v>44623</v>
      </c>
      <c r="AS851" s="60">
        <v>6001999819</v>
      </c>
      <c r="AT851" s="61">
        <v>44624</v>
      </c>
      <c r="AU851" s="60" t="s">
        <v>2593</v>
      </c>
      <c r="AV851" s="61">
        <v>44649</v>
      </c>
      <c r="AW851" s="91">
        <v>44651</v>
      </c>
      <c r="AX851" s="91">
        <v>44671</v>
      </c>
      <c r="AY851" s="99">
        <v>163680</v>
      </c>
      <c r="AZ851" s="99">
        <f>ROUNDDOWN(AY851+(AY851*MASTER!$A$2/100),0)</f>
        <v>180048</v>
      </c>
      <c r="BA851" s="60" t="s">
        <v>318</v>
      </c>
      <c r="BB851" s="64">
        <v>50000</v>
      </c>
      <c r="BC851" s="64">
        <v>55000</v>
      </c>
      <c r="BD851" s="60" t="s">
        <v>2107</v>
      </c>
      <c r="BG851" s="64">
        <v>0</v>
      </c>
      <c r="BI851" s="60" t="s">
        <v>748</v>
      </c>
      <c r="BJ851" s="64">
        <v>60125</v>
      </c>
      <c r="BK851" s="64">
        <v>66137.5</v>
      </c>
      <c r="BL851" s="60" t="s">
        <v>2107</v>
      </c>
      <c r="BS851" s="64">
        <v>0</v>
      </c>
      <c r="BV851" s="65">
        <v>85800</v>
      </c>
      <c r="BW851" s="65">
        <v>121137.5</v>
      </c>
      <c r="BX851" s="65">
        <v>44617</v>
      </c>
      <c r="BY851" s="65">
        <v>-35337.5</v>
      </c>
      <c r="BZ851" s="81">
        <v>-41.185897435897431</v>
      </c>
    </row>
    <row r="852" spans="1:82" x14ac:dyDescent="0.15">
      <c r="A852" s="60">
        <v>2</v>
      </c>
      <c r="B852" s="61">
        <v>44644</v>
      </c>
      <c r="C852" s="61">
        <v>44650</v>
      </c>
      <c r="D852" s="61">
        <v>44659</v>
      </c>
      <c r="E852" s="61">
        <v>44651</v>
      </c>
      <c r="F852" s="61">
        <v>44657</v>
      </c>
      <c r="G852" s="61">
        <v>44640</v>
      </c>
      <c r="H852" s="61">
        <v>44653</v>
      </c>
      <c r="I852" s="60" t="s">
        <v>511</v>
      </c>
      <c r="J852" s="60">
        <v>1</v>
      </c>
      <c r="L852" s="60">
        <v>0</v>
      </c>
      <c r="M852" s="61">
        <v>44617</v>
      </c>
      <c r="O852" s="62" t="s">
        <v>331</v>
      </c>
      <c r="P852" s="60" t="s">
        <v>26</v>
      </c>
      <c r="Q852" s="62" t="s">
        <v>141</v>
      </c>
      <c r="R852" s="62" t="s">
        <v>2570</v>
      </c>
      <c r="S852" s="63" t="s">
        <v>1273</v>
      </c>
      <c r="T852" s="63" t="s">
        <v>2571</v>
      </c>
      <c r="U852" s="64">
        <v>170500</v>
      </c>
      <c r="V852" s="64">
        <v>187550</v>
      </c>
      <c r="W852" s="64">
        <v>78000</v>
      </c>
      <c r="X852" s="64">
        <v>85800</v>
      </c>
      <c r="Y852" s="64">
        <v>92500</v>
      </c>
      <c r="Z852" s="64">
        <v>101750</v>
      </c>
      <c r="AA852" s="61">
        <v>44649</v>
      </c>
      <c r="AB852" s="61">
        <v>44650</v>
      </c>
      <c r="AC852" s="61">
        <v>44650</v>
      </c>
      <c r="AD852" s="60">
        <v>0</v>
      </c>
      <c r="AG852" s="60">
        <v>0</v>
      </c>
      <c r="AJ852" s="60">
        <v>0</v>
      </c>
      <c r="AM852" s="60" t="s">
        <v>273</v>
      </c>
      <c r="AN852" s="60" t="s">
        <v>2572</v>
      </c>
      <c r="AQ852" s="60" t="s">
        <v>2835</v>
      </c>
      <c r="AR852" s="61">
        <v>44623</v>
      </c>
      <c r="AS852" s="60">
        <v>6001999819</v>
      </c>
      <c r="AT852" s="61">
        <v>44624</v>
      </c>
      <c r="AU852" s="60" t="s">
        <v>2593</v>
      </c>
      <c r="AV852" s="61">
        <v>44650</v>
      </c>
      <c r="AW852" s="91">
        <v>44651</v>
      </c>
      <c r="AX852" s="91">
        <v>44671</v>
      </c>
      <c r="AY852" s="99">
        <v>163680</v>
      </c>
      <c r="AZ852" s="99">
        <f>ROUNDDOWN(AY852+(AY852*MASTER!$A$2/100),0)</f>
        <v>180048</v>
      </c>
      <c r="BA852" s="60" t="s">
        <v>318</v>
      </c>
      <c r="BB852" s="64">
        <v>46000</v>
      </c>
      <c r="BC852" s="64">
        <v>50600</v>
      </c>
      <c r="BD852" s="60" t="s">
        <v>2107</v>
      </c>
      <c r="BG852" s="64">
        <v>0</v>
      </c>
      <c r="BI852" s="60" t="s">
        <v>748</v>
      </c>
      <c r="BJ852" s="64">
        <v>60125</v>
      </c>
      <c r="BK852" s="64">
        <v>66137.5</v>
      </c>
      <c r="BL852" s="60" t="s">
        <v>2107</v>
      </c>
      <c r="BS852" s="64">
        <v>0</v>
      </c>
      <c r="BV852" s="65">
        <v>85800</v>
      </c>
      <c r="BW852" s="65">
        <v>116737.5</v>
      </c>
      <c r="BX852" s="65">
        <v>44617</v>
      </c>
      <c r="BY852" s="65">
        <v>-30937.5</v>
      </c>
      <c r="BZ852" s="81">
        <v>-36.057692307692307</v>
      </c>
    </row>
    <row r="853" spans="1:82" x14ac:dyDescent="0.15">
      <c r="A853" s="60">
        <v>2</v>
      </c>
      <c r="B853" s="61">
        <v>44644</v>
      </c>
      <c r="C853" s="61">
        <v>44651</v>
      </c>
      <c r="D853" s="61">
        <v>44659</v>
      </c>
      <c r="E853" s="61">
        <v>44655</v>
      </c>
      <c r="F853" s="61">
        <v>44658</v>
      </c>
      <c r="G853" s="61">
        <v>44651</v>
      </c>
      <c r="H853" s="61">
        <v>44654</v>
      </c>
      <c r="I853" s="60" t="s">
        <v>511</v>
      </c>
      <c r="J853" s="60">
        <v>1</v>
      </c>
      <c r="L853" s="60">
        <v>0</v>
      </c>
      <c r="M853" s="61">
        <v>44617</v>
      </c>
      <c r="O853" s="62" t="s">
        <v>331</v>
      </c>
      <c r="P853" s="60" t="s">
        <v>26</v>
      </c>
      <c r="Q853" s="62" t="s">
        <v>141</v>
      </c>
      <c r="R853" s="62" t="s">
        <v>2590</v>
      </c>
      <c r="S853" s="63" t="s">
        <v>1691</v>
      </c>
      <c r="T853" s="63" t="s">
        <v>2591</v>
      </c>
      <c r="U853" s="64">
        <v>145500</v>
      </c>
      <c r="V853" s="64">
        <v>160050</v>
      </c>
      <c r="W853" s="64">
        <v>78000</v>
      </c>
      <c r="X853" s="64">
        <v>85800</v>
      </c>
      <c r="Y853" s="64">
        <v>67500</v>
      </c>
      <c r="Z853" s="64">
        <v>74250</v>
      </c>
      <c r="AA853" s="61">
        <v>44650</v>
      </c>
      <c r="AB853" s="61">
        <v>44651</v>
      </c>
      <c r="AC853" s="61">
        <v>44651</v>
      </c>
      <c r="AD853" s="60">
        <v>0</v>
      </c>
      <c r="AG853" s="60">
        <v>0</v>
      </c>
      <c r="AJ853" s="60">
        <v>0</v>
      </c>
      <c r="AM853" s="60" t="s">
        <v>273</v>
      </c>
      <c r="AN853" s="60" t="s">
        <v>2592</v>
      </c>
      <c r="AQ853" s="60" t="s">
        <v>2885</v>
      </c>
      <c r="AR853" s="61">
        <v>44624</v>
      </c>
      <c r="AS853" s="60">
        <v>6002000903</v>
      </c>
      <c r="AT853" s="61">
        <v>44625</v>
      </c>
      <c r="AU853" s="60" t="s">
        <v>2598</v>
      </c>
      <c r="AV853" s="61">
        <v>44651</v>
      </c>
      <c r="AW853" s="91">
        <v>44651</v>
      </c>
      <c r="AX853" s="91">
        <v>44671</v>
      </c>
      <c r="AY853" s="99">
        <v>139680</v>
      </c>
      <c r="AZ853" s="99">
        <f>ROUNDDOWN(AY853+(AY853*MASTER!$A$2/100),0)</f>
        <v>153648</v>
      </c>
      <c r="BA853" s="60" t="s">
        <v>318</v>
      </c>
      <c r="BB853" s="64">
        <v>46000</v>
      </c>
      <c r="BC853" s="64">
        <v>50600</v>
      </c>
      <c r="BD853" s="60" t="s">
        <v>2107</v>
      </c>
      <c r="BG853" s="64">
        <v>0</v>
      </c>
      <c r="BI853" s="60" t="s">
        <v>748</v>
      </c>
      <c r="BJ853" s="64">
        <v>43875</v>
      </c>
      <c r="BK853" s="64">
        <v>48262.5</v>
      </c>
      <c r="BL853" s="60" t="s">
        <v>2107</v>
      </c>
      <c r="BS853" s="64">
        <v>0</v>
      </c>
      <c r="BV853" s="65">
        <v>85800</v>
      </c>
      <c r="BW853" s="65">
        <v>98862.5</v>
      </c>
      <c r="BX853" s="65">
        <v>44617</v>
      </c>
      <c r="BY853" s="65">
        <v>-13062.5</v>
      </c>
      <c r="BZ853" s="81">
        <v>-15.224358974358973</v>
      </c>
    </row>
    <row r="854" spans="1:82" x14ac:dyDescent="0.15">
      <c r="A854" s="60">
        <v>2</v>
      </c>
      <c r="B854" s="61">
        <v>44644</v>
      </c>
      <c r="C854" s="61">
        <v>44651</v>
      </c>
      <c r="D854" s="61" t="s">
        <v>764</v>
      </c>
      <c r="E854" s="61">
        <v>44659</v>
      </c>
      <c r="F854" s="61">
        <v>44658</v>
      </c>
      <c r="G854" s="61">
        <v>44651</v>
      </c>
      <c r="H854" s="61">
        <v>44654</v>
      </c>
      <c r="I854" s="60" t="s">
        <v>511</v>
      </c>
      <c r="J854" s="60">
        <v>1</v>
      </c>
      <c r="L854" s="60">
        <v>0</v>
      </c>
      <c r="M854" s="61">
        <v>44617</v>
      </c>
      <c r="O854" s="62" t="s">
        <v>331</v>
      </c>
      <c r="P854" s="60" t="s">
        <v>26</v>
      </c>
      <c r="Q854" s="62" t="s">
        <v>141</v>
      </c>
      <c r="R854" s="62" t="s">
        <v>2690</v>
      </c>
      <c r="S854" s="63" t="s">
        <v>1493</v>
      </c>
      <c r="T854" s="63" t="s">
        <v>1368</v>
      </c>
      <c r="U854" s="64">
        <v>23900</v>
      </c>
      <c r="V854" s="64">
        <v>26290</v>
      </c>
      <c r="W854" s="64">
        <v>14700</v>
      </c>
      <c r="X854" s="64">
        <v>16170</v>
      </c>
      <c r="Y854" s="64">
        <v>9200</v>
      </c>
      <c r="Z854" s="64">
        <v>10120</v>
      </c>
      <c r="AA854" s="61">
        <v>44650</v>
      </c>
      <c r="AB854" s="61">
        <v>44651</v>
      </c>
      <c r="AC854" s="61">
        <v>44651</v>
      </c>
      <c r="AD854" s="60">
        <v>0</v>
      </c>
      <c r="AG854" s="60">
        <v>0</v>
      </c>
      <c r="AJ854" s="60">
        <v>0</v>
      </c>
      <c r="AM854" s="60" t="s">
        <v>273</v>
      </c>
      <c r="AN854" s="60" t="s">
        <v>2691</v>
      </c>
      <c r="AQ854" s="60" t="s">
        <v>2692</v>
      </c>
      <c r="AR854" s="61">
        <v>44631</v>
      </c>
      <c r="AS854" s="60">
        <v>6002003324</v>
      </c>
      <c r="AT854" s="61">
        <v>44631</v>
      </c>
      <c r="AU854" s="60" t="s">
        <v>2710</v>
      </c>
      <c r="AV854" s="61">
        <v>44651</v>
      </c>
      <c r="AW854" s="91">
        <v>44651</v>
      </c>
      <c r="AX854" s="91">
        <v>44671</v>
      </c>
      <c r="AY854" s="99">
        <v>22944</v>
      </c>
      <c r="AZ854" s="99">
        <f>ROUNDDOWN(AY854+(AY854*MASTER!$A$2/100),0)</f>
        <v>25238</v>
      </c>
      <c r="BA854" s="60" t="s">
        <v>765</v>
      </c>
      <c r="BC854" s="64">
        <v>0</v>
      </c>
      <c r="BG854" s="64">
        <v>0</v>
      </c>
      <c r="BI854" s="60" t="s">
        <v>748</v>
      </c>
      <c r="BJ854" s="64">
        <v>5980</v>
      </c>
      <c r="BK854" s="64">
        <v>6578</v>
      </c>
      <c r="BL854" s="60" t="s">
        <v>2107</v>
      </c>
      <c r="BS854" s="64">
        <v>0</v>
      </c>
      <c r="BV854" s="65">
        <v>16170</v>
      </c>
      <c r="BW854" s="65">
        <v>6578</v>
      </c>
      <c r="BX854" s="65">
        <v>44617</v>
      </c>
      <c r="BY854" s="65">
        <v>9592</v>
      </c>
      <c r="BZ854" s="81">
        <v>59.319727891156461</v>
      </c>
    </row>
    <row r="855" spans="1:82" x14ac:dyDescent="0.15">
      <c r="A855" s="60">
        <v>2</v>
      </c>
      <c r="C855" s="61" t="s">
        <v>309</v>
      </c>
      <c r="F855" s="61" t="s">
        <v>309</v>
      </c>
      <c r="H855" s="61" t="s">
        <v>309</v>
      </c>
      <c r="J855" s="60">
        <v>4</v>
      </c>
      <c r="L855" s="60">
        <v>0</v>
      </c>
      <c r="M855" s="61">
        <v>44618</v>
      </c>
      <c r="O855" s="62" t="s">
        <v>331</v>
      </c>
      <c r="P855" s="60" t="s">
        <v>263</v>
      </c>
      <c r="Q855" s="62" t="s">
        <v>141</v>
      </c>
      <c r="R855" s="62" t="s">
        <v>2482</v>
      </c>
      <c r="S855" s="63" t="s">
        <v>354</v>
      </c>
      <c r="T855" s="63" t="s">
        <v>2483</v>
      </c>
      <c r="U855" s="64">
        <v>0</v>
      </c>
      <c r="V855" s="64">
        <v>0</v>
      </c>
      <c r="W855" s="64">
        <v>0</v>
      </c>
      <c r="X855" s="64">
        <v>0</v>
      </c>
      <c r="Y855" s="64">
        <v>0</v>
      </c>
      <c r="Z855" s="64">
        <v>0</v>
      </c>
      <c r="AA855" s="61">
        <v>44593</v>
      </c>
      <c r="AB855" s="61">
        <v>44620</v>
      </c>
      <c r="AD855" s="60">
        <v>0</v>
      </c>
      <c r="AG855" s="60">
        <v>0</v>
      </c>
      <c r="AJ855" s="60">
        <v>0</v>
      </c>
      <c r="AN855" s="60" t="s">
        <v>309</v>
      </c>
      <c r="AY855" s="99">
        <f>ROUNDDOWN((0.96*U855),0)</f>
        <v>0</v>
      </c>
      <c r="AZ855" s="99">
        <f>ROUNDDOWN(AY855+(AY855*MASTER!$A$2/100),0)</f>
        <v>0</v>
      </c>
      <c r="BA855" s="60" t="s">
        <v>318</v>
      </c>
      <c r="BB855" s="64">
        <v>10000</v>
      </c>
      <c r="BC855" s="64">
        <v>11000</v>
      </c>
      <c r="BD855" s="60" t="s">
        <v>2044</v>
      </c>
      <c r="BG855" s="64">
        <v>0</v>
      </c>
      <c r="BK855" s="64">
        <v>0</v>
      </c>
      <c r="BS855" s="64">
        <v>0</v>
      </c>
      <c r="BV855" s="65">
        <v>0</v>
      </c>
      <c r="BW855" s="65">
        <v>11000</v>
      </c>
      <c r="BX855" s="65">
        <v>44618</v>
      </c>
      <c r="BY855" s="65">
        <v>-11000</v>
      </c>
      <c r="BZ855" s="81" t="s">
        <v>309</v>
      </c>
    </row>
    <row r="856" spans="1:82" x14ac:dyDescent="0.15">
      <c r="A856" s="60">
        <v>2</v>
      </c>
      <c r="C856" s="61" t="s">
        <v>309</v>
      </c>
      <c r="F856" s="61" t="s">
        <v>309</v>
      </c>
      <c r="H856" s="61" t="s">
        <v>309</v>
      </c>
      <c r="J856" s="60">
        <v>4</v>
      </c>
      <c r="L856" s="60">
        <v>0</v>
      </c>
      <c r="M856" s="61">
        <v>44620</v>
      </c>
      <c r="O856" s="62" t="s">
        <v>331</v>
      </c>
      <c r="P856" s="60" t="s">
        <v>263</v>
      </c>
      <c r="Q856" s="62" t="s">
        <v>141</v>
      </c>
      <c r="R856" s="62" t="s">
        <v>2493</v>
      </c>
      <c r="S856" s="63" t="s">
        <v>354</v>
      </c>
      <c r="T856" s="63" t="s">
        <v>2494</v>
      </c>
      <c r="U856" s="64">
        <v>0</v>
      </c>
      <c r="V856" s="64">
        <v>0</v>
      </c>
      <c r="W856" s="64">
        <v>0</v>
      </c>
      <c r="X856" s="64">
        <v>0</v>
      </c>
      <c r="Y856" s="64">
        <v>0</v>
      </c>
      <c r="Z856" s="64">
        <v>0</v>
      </c>
      <c r="AA856" s="61">
        <v>44593</v>
      </c>
      <c r="AB856" s="61">
        <v>44620</v>
      </c>
      <c r="AD856" s="60">
        <v>0</v>
      </c>
      <c r="AG856" s="60">
        <v>0</v>
      </c>
      <c r="AJ856" s="60">
        <v>0</v>
      </c>
      <c r="AN856" s="60" t="s">
        <v>309</v>
      </c>
      <c r="AY856" s="99">
        <v>0</v>
      </c>
      <c r="AZ856" s="99">
        <f>ROUNDDOWN(AY856+(AY856*MASTER!$A$2/100),0)</f>
        <v>0</v>
      </c>
      <c r="BA856" s="60" t="s">
        <v>14</v>
      </c>
      <c r="BB856" s="64">
        <v>507530</v>
      </c>
      <c r="BC856" s="64">
        <v>558283</v>
      </c>
      <c r="BD856" s="60" t="s">
        <v>2104</v>
      </c>
      <c r="BG856" s="64">
        <v>0</v>
      </c>
      <c r="BK856" s="64">
        <v>0</v>
      </c>
      <c r="BS856" s="64">
        <v>0</v>
      </c>
      <c r="BV856" s="65">
        <v>0</v>
      </c>
      <c r="BW856" s="65">
        <v>558283</v>
      </c>
      <c r="BX856" s="65">
        <v>44620</v>
      </c>
      <c r="BY856" s="65">
        <v>-558283</v>
      </c>
      <c r="BZ856" s="81" t="s">
        <v>309</v>
      </c>
    </row>
    <row r="857" spans="1:82" x14ac:dyDescent="0.15">
      <c r="A857" s="60">
        <v>2</v>
      </c>
      <c r="C857" s="61" t="s">
        <v>309</v>
      </c>
      <c r="F857" s="61" t="s">
        <v>309</v>
      </c>
      <c r="H857" s="61" t="s">
        <v>309</v>
      </c>
      <c r="J857" s="60">
        <v>4</v>
      </c>
      <c r="L857" s="60">
        <v>0</v>
      </c>
      <c r="M857" s="61">
        <v>44620</v>
      </c>
      <c r="O857" s="62" t="s">
        <v>331</v>
      </c>
      <c r="P857" s="60" t="s">
        <v>77</v>
      </c>
      <c r="Q857" s="62" t="s">
        <v>141</v>
      </c>
      <c r="R857" s="62" t="s">
        <v>2611</v>
      </c>
      <c r="S857" s="63" t="s">
        <v>354</v>
      </c>
      <c r="T857" s="63" t="s">
        <v>2612</v>
      </c>
      <c r="U857" s="64">
        <v>0</v>
      </c>
      <c r="V857" s="64">
        <v>0</v>
      </c>
      <c r="W857" s="64">
        <v>0</v>
      </c>
      <c r="X857" s="64">
        <v>0</v>
      </c>
      <c r="Y857" s="64">
        <v>0</v>
      </c>
      <c r="Z857" s="64">
        <v>0</v>
      </c>
      <c r="AA857" s="61">
        <v>44593</v>
      </c>
      <c r="AB857" s="61">
        <v>44620</v>
      </c>
      <c r="AD857" s="60">
        <v>0</v>
      </c>
      <c r="AG857" s="60">
        <v>0</v>
      </c>
      <c r="AJ857" s="60">
        <v>0</v>
      </c>
      <c r="AN857" s="60" t="s">
        <v>309</v>
      </c>
      <c r="AY857" s="99">
        <v>0</v>
      </c>
      <c r="AZ857" s="99">
        <f>ROUNDDOWN(AY857+(AY857*MASTER!$A$2/100),0)</f>
        <v>0</v>
      </c>
      <c r="BA857" s="60" t="s">
        <v>321</v>
      </c>
      <c r="BB857" s="64">
        <v>1157790</v>
      </c>
      <c r="BC857" s="64">
        <v>1273569</v>
      </c>
      <c r="BD857" s="60" t="s">
        <v>2044</v>
      </c>
      <c r="BG857" s="64">
        <v>0</v>
      </c>
      <c r="BK857" s="64">
        <v>0</v>
      </c>
      <c r="BS857" s="64">
        <v>0</v>
      </c>
      <c r="BV857" s="65">
        <v>0</v>
      </c>
      <c r="BW857" s="65">
        <v>1273569</v>
      </c>
      <c r="BX857" s="65">
        <v>44620</v>
      </c>
      <c r="BY857" s="65">
        <v>-1273569</v>
      </c>
      <c r="BZ857" s="81" t="s">
        <v>309</v>
      </c>
    </row>
    <row r="858" spans="1:82" x14ac:dyDescent="0.15">
      <c r="A858" s="60">
        <v>2</v>
      </c>
      <c r="C858" s="61" t="s">
        <v>309</v>
      </c>
      <c r="F858" s="61" t="s">
        <v>309</v>
      </c>
      <c r="H858" s="61" t="s">
        <v>309</v>
      </c>
      <c r="J858" s="60">
        <v>4</v>
      </c>
      <c r="L858" s="60">
        <v>0</v>
      </c>
      <c r="M858" s="61">
        <v>44620</v>
      </c>
      <c r="O858" s="62" t="s">
        <v>331</v>
      </c>
      <c r="P858" s="60" t="s">
        <v>77</v>
      </c>
      <c r="Q858" s="62" t="s">
        <v>141</v>
      </c>
      <c r="R858" s="62" t="s">
        <v>2750</v>
      </c>
      <c r="S858" s="63" t="s">
        <v>354</v>
      </c>
      <c r="T858" s="63" t="s">
        <v>2751</v>
      </c>
      <c r="U858" s="64">
        <v>0</v>
      </c>
      <c r="V858" s="64">
        <v>0</v>
      </c>
      <c r="W858" s="64">
        <v>0</v>
      </c>
      <c r="X858" s="64">
        <v>0</v>
      </c>
      <c r="Y858" s="64">
        <v>0</v>
      </c>
      <c r="Z858" s="64">
        <v>0</v>
      </c>
      <c r="AA858" s="61">
        <v>44593</v>
      </c>
      <c r="AB858" s="61">
        <v>44620</v>
      </c>
      <c r="AD858" s="60">
        <v>0</v>
      </c>
      <c r="AG858" s="60">
        <v>0</v>
      </c>
      <c r="AJ858" s="60">
        <v>0</v>
      </c>
      <c r="AN858" s="60" t="s">
        <v>309</v>
      </c>
      <c r="AY858" s="99">
        <v>0</v>
      </c>
      <c r="AZ858" s="99">
        <f>ROUNDDOWN(AY858+(AY858*MASTER!$A$2/100),0)</f>
        <v>0</v>
      </c>
      <c r="BA858" s="60" t="s">
        <v>272</v>
      </c>
      <c r="BB858" s="64">
        <v>443890</v>
      </c>
      <c r="BC858" s="64">
        <v>488279</v>
      </c>
      <c r="BD858" s="60" t="s">
        <v>2044</v>
      </c>
      <c r="BG858" s="64">
        <v>0</v>
      </c>
      <c r="BK858" s="64">
        <v>0</v>
      </c>
      <c r="BS858" s="64">
        <v>0</v>
      </c>
      <c r="BV858" s="65">
        <v>0</v>
      </c>
      <c r="BW858" s="65">
        <v>488279</v>
      </c>
      <c r="BX858" s="65">
        <v>44620</v>
      </c>
      <c r="BY858" s="65">
        <v>-488279</v>
      </c>
      <c r="BZ858" s="81" t="s">
        <v>309</v>
      </c>
    </row>
    <row r="859" spans="1:82" x14ac:dyDescent="0.15">
      <c r="A859" s="60">
        <v>1</v>
      </c>
      <c r="B859" s="61">
        <v>44637</v>
      </c>
      <c r="C859" s="61">
        <v>44676</v>
      </c>
      <c r="F859" s="61">
        <v>44680</v>
      </c>
      <c r="G859" s="61">
        <v>44676</v>
      </c>
      <c r="H859" s="61">
        <v>44676</v>
      </c>
      <c r="I859" s="60" t="s">
        <v>511</v>
      </c>
      <c r="J859" s="60">
        <v>1</v>
      </c>
      <c r="L859" s="60">
        <v>0</v>
      </c>
      <c r="M859" s="61">
        <v>44620</v>
      </c>
      <c r="O859" s="62" t="s">
        <v>331</v>
      </c>
      <c r="P859" s="60" t="s">
        <v>165</v>
      </c>
      <c r="Q859" s="62" t="s">
        <v>141</v>
      </c>
      <c r="R859" s="62" t="s">
        <v>2540</v>
      </c>
      <c r="S859" s="63" t="s">
        <v>342</v>
      </c>
      <c r="T859" s="63" t="s">
        <v>2486</v>
      </c>
      <c r="U859" s="64">
        <v>2832700</v>
      </c>
      <c r="V859" s="64">
        <v>3115970</v>
      </c>
      <c r="W859" s="64">
        <v>2547700</v>
      </c>
      <c r="X859" s="64">
        <v>2802470</v>
      </c>
      <c r="Y859" s="64">
        <v>285000</v>
      </c>
      <c r="Z859" s="64">
        <v>313500</v>
      </c>
      <c r="AA859" s="61">
        <v>44621</v>
      </c>
      <c r="AB859" s="61">
        <v>44673</v>
      </c>
      <c r="AC859" s="61">
        <v>44673</v>
      </c>
      <c r="AD859" s="60">
        <v>0</v>
      </c>
      <c r="AG859" s="60">
        <v>0</v>
      </c>
      <c r="AJ859" s="60">
        <v>0</v>
      </c>
      <c r="AN859" s="60" t="s">
        <v>309</v>
      </c>
      <c r="AQ859" s="60" t="s">
        <v>2541</v>
      </c>
      <c r="AR859" s="61">
        <v>44623</v>
      </c>
      <c r="AS859" s="60">
        <v>6001999810</v>
      </c>
      <c r="AT859" s="61">
        <v>44624</v>
      </c>
      <c r="AU859" s="60" t="s">
        <v>2594</v>
      </c>
      <c r="AV859" s="61">
        <v>44676</v>
      </c>
      <c r="AW859" s="91">
        <v>44651</v>
      </c>
      <c r="AX859" s="91">
        <v>44671</v>
      </c>
      <c r="AY859" s="99">
        <v>2719392</v>
      </c>
      <c r="AZ859" s="99">
        <f>ROUNDDOWN(AY859+(AY859*MASTER!$A$2/100),0)</f>
        <v>2991331</v>
      </c>
      <c r="BA859" s="60" t="s">
        <v>613</v>
      </c>
      <c r="BB859" s="64">
        <v>2294980</v>
      </c>
      <c r="BC859" s="64">
        <v>2524478</v>
      </c>
      <c r="BD859" s="60" t="s">
        <v>643</v>
      </c>
      <c r="BG859" s="64">
        <v>0</v>
      </c>
      <c r="BI859" s="60" t="s">
        <v>748</v>
      </c>
      <c r="BJ859" s="64">
        <v>185250</v>
      </c>
      <c r="BK859" s="64">
        <v>203775</v>
      </c>
      <c r="BL859" s="60" t="s">
        <v>643</v>
      </c>
      <c r="BS859" s="64">
        <v>0</v>
      </c>
      <c r="BV859" s="65">
        <v>2802470</v>
      </c>
      <c r="BW859" s="65">
        <v>2728253</v>
      </c>
      <c r="BX859" s="65">
        <v>44620</v>
      </c>
      <c r="BY859" s="65">
        <v>74217</v>
      </c>
      <c r="BZ859" s="81">
        <v>2.648270989519959</v>
      </c>
    </row>
    <row r="860" spans="1:82" x14ac:dyDescent="0.15">
      <c r="A860" s="60">
        <v>2</v>
      </c>
      <c r="B860" s="61">
        <v>44637</v>
      </c>
      <c r="C860" s="61">
        <v>44676</v>
      </c>
      <c r="F860" s="61" t="s">
        <v>309</v>
      </c>
      <c r="G860" s="61">
        <v>44676</v>
      </c>
      <c r="H860" s="61" t="s">
        <v>309</v>
      </c>
      <c r="I860" s="60" t="s">
        <v>511</v>
      </c>
      <c r="J860" s="60">
        <v>1</v>
      </c>
      <c r="L860" s="60">
        <v>0</v>
      </c>
      <c r="M860" s="61">
        <v>44620</v>
      </c>
      <c r="O860" s="62" t="s">
        <v>331</v>
      </c>
      <c r="P860" s="60" t="s">
        <v>214</v>
      </c>
      <c r="Q860" s="62" t="s">
        <v>141</v>
      </c>
      <c r="R860" s="62" t="s">
        <v>2544</v>
      </c>
      <c r="S860" s="63" t="s">
        <v>342</v>
      </c>
      <c r="T860" s="63" t="s">
        <v>2545</v>
      </c>
      <c r="U860" s="64">
        <v>189000</v>
      </c>
      <c r="V860" s="64">
        <v>207900</v>
      </c>
      <c r="W860" s="64">
        <v>54000</v>
      </c>
      <c r="X860" s="64">
        <v>59400</v>
      </c>
      <c r="Y860" s="64">
        <v>135000</v>
      </c>
      <c r="Z860" s="64">
        <v>148500</v>
      </c>
      <c r="AA860" s="61">
        <v>44621</v>
      </c>
      <c r="AB860" s="61">
        <v>44648</v>
      </c>
      <c r="AD860" s="60">
        <v>0</v>
      </c>
      <c r="AG860" s="60">
        <v>0</v>
      </c>
      <c r="AJ860" s="60">
        <v>0</v>
      </c>
      <c r="AN860" s="60" t="s">
        <v>309</v>
      </c>
      <c r="AQ860" s="60" t="s">
        <v>2541</v>
      </c>
      <c r="AR860" s="61">
        <v>44623</v>
      </c>
      <c r="AS860" s="60">
        <v>6001999819</v>
      </c>
      <c r="AT860" s="61">
        <v>44624</v>
      </c>
      <c r="AU860" s="60" t="s">
        <v>2593</v>
      </c>
      <c r="AV860" s="61">
        <v>44676</v>
      </c>
      <c r="AW860" s="91">
        <v>44651</v>
      </c>
      <c r="AX860" s="91">
        <v>44671</v>
      </c>
      <c r="AY860" s="99">
        <v>181440</v>
      </c>
      <c r="AZ860" s="99">
        <f>ROUNDDOWN(AY860+(AY860*MASTER!$A$2/100),0)</f>
        <v>199584</v>
      </c>
      <c r="BA860" s="60" t="s">
        <v>765</v>
      </c>
      <c r="BC860" s="64">
        <v>0</v>
      </c>
      <c r="BG860" s="64">
        <v>0</v>
      </c>
      <c r="BI860" s="60" t="s">
        <v>748</v>
      </c>
      <c r="BJ860" s="64">
        <v>87750</v>
      </c>
      <c r="BK860" s="64">
        <v>96525</v>
      </c>
      <c r="BL860" s="60" t="s">
        <v>643</v>
      </c>
      <c r="BS860" s="64">
        <v>0</v>
      </c>
      <c r="BV860" s="65">
        <v>59400</v>
      </c>
      <c r="BW860" s="65">
        <v>96525</v>
      </c>
      <c r="BX860" s="65">
        <v>44620</v>
      </c>
      <c r="BY860" s="65">
        <v>-37125</v>
      </c>
      <c r="BZ860" s="81">
        <v>-62.5</v>
      </c>
    </row>
    <row r="861" spans="1:82" x14ac:dyDescent="0.15">
      <c r="A861" s="60">
        <v>2</v>
      </c>
      <c r="B861" s="61">
        <v>44637</v>
      </c>
      <c r="C861" s="61">
        <v>44676</v>
      </c>
      <c r="F861" s="61" t="s">
        <v>309</v>
      </c>
      <c r="G861" s="61">
        <v>44676</v>
      </c>
      <c r="H861" s="61" t="s">
        <v>309</v>
      </c>
      <c r="I861" s="60" t="s">
        <v>511</v>
      </c>
      <c r="J861" s="60">
        <v>2</v>
      </c>
      <c r="L861" s="60">
        <v>0</v>
      </c>
      <c r="M861" s="61">
        <v>44620</v>
      </c>
      <c r="O861" s="62" t="s">
        <v>331</v>
      </c>
      <c r="P861" s="60" t="s">
        <v>29</v>
      </c>
      <c r="Q861" s="62" t="s">
        <v>141</v>
      </c>
      <c r="R861" s="62" t="s">
        <v>2546</v>
      </c>
      <c r="S861" s="63" t="s">
        <v>342</v>
      </c>
      <c r="T861" s="63" t="s">
        <v>2547</v>
      </c>
      <c r="U861" s="64">
        <v>162000</v>
      </c>
      <c r="V861" s="64">
        <v>178200</v>
      </c>
      <c r="W861" s="64">
        <v>162000</v>
      </c>
      <c r="X861" s="64">
        <v>178200</v>
      </c>
      <c r="Y861" s="64">
        <v>0</v>
      </c>
      <c r="Z861" s="64">
        <v>0</v>
      </c>
      <c r="AA861" s="61">
        <v>44621</v>
      </c>
      <c r="AB861" s="61">
        <v>44648</v>
      </c>
      <c r="AD861" s="60">
        <v>0</v>
      </c>
      <c r="AG861" s="60">
        <v>0</v>
      </c>
      <c r="AJ861" s="60">
        <v>0</v>
      </c>
      <c r="AN861" s="60" t="s">
        <v>309</v>
      </c>
      <c r="AQ861" s="60" t="s">
        <v>2541</v>
      </c>
      <c r="AR861" s="61">
        <v>44623</v>
      </c>
      <c r="AS861" s="60">
        <v>6001999819</v>
      </c>
      <c r="AT861" s="61">
        <v>44624</v>
      </c>
      <c r="AU861" s="60" t="s">
        <v>2593</v>
      </c>
      <c r="AV861" s="61">
        <v>44676</v>
      </c>
      <c r="AW861" s="91">
        <v>44651</v>
      </c>
      <c r="AX861" s="91">
        <v>44671</v>
      </c>
      <c r="AY861" s="99">
        <v>155520</v>
      </c>
      <c r="AZ861" s="99">
        <f>ROUNDDOWN(AY861+(AY861*MASTER!$A$2/100),0)</f>
        <v>171072</v>
      </c>
      <c r="BA861" s="60" t="s">
        <v>765</v>
      </c>
      <c r="BC861" s="64">
        <v>0</v>
      </c>
      <c r="BG861" s="64">
        <v>0</v>
      </c>
      <c r="BK861" s="64">
        <v>0</v>
      </c>
      <c r="BS861" s="64">
        <v>0</v>
      </c>
      <c r="BV861" s="65">
        <v>178200</v>
      </c>
      <c r="BW861" s="65">
        <v>0</v>
      </c>
      <c r="BX861" s="65">
        <v>44620</v>
      </c>
      <c r="BY861" s="65">
        <v>178200</v>
      </c>
      <c r="BZ861" s="81">
        <v>100</v>
      </c>
    </row>
    <row r="862" spans="1:82" x14ac:dyDescent="0.15">
      <c r="A862" s="60">
        <v>2</v>
      </c>
      <c r="B862" s="61">
        <v>44670</v>
      </c>
      <c r="C862" s="61">
        <v>44676</v>
      </c>
      <c r="F862" s="61">
        <v>44680</v>
      </c>
      <c r="G862" s="61">
        <v>44676</v>
      </c>
      <c r="H862" s="61">
        <v>44676</v>
      </c>
      <c r="I862" s="60" t="s">
        <v>511</v>
      </c>
      <c r="J862" s="60">
        <v>2</v>
      </c>
      <c r="L862" s="60">
        <v>0</v>
      </c>
      <c r="M862" s="61">
        <v>44620</v>
      </c>
      <c r="O862" s="62" t="s">
        <v>331</v>
      </c>
      <c r="P862" s="60" t="s">
        <v>38</v>
      </c>
      <c r="Q862" s="62" t="s">
        <v>141</v>
      </c>
      <c r="R862" s="62" t="s">
        <v>3098</v>
      </c>
      <c r="S862" s="63" t="s">
        <v>342</v>
      </c>
      <c r="T862" s="63" t="s">
        <v>2915</v>
      </c>
      <c r="U862" s="64">
        <v>1084500</v>
      </c>
      <c r="V862" s="64">
        <v>1192950</v>
      </c>
      <c r="W862" s="64">
        <v>1084500</v>
      </c>
      <c r="X862" s="64">
        <v>1192950</v>
      </c>
      <c r="Y862" s="64">
        <v>0</v>
      </c>
      <c r="Z862" s="64">
        <v>0</v>
      </c>
      <c r="AA862" s="61">
        <v>44673</v>
      </c>
      <c r="AB862" s="61">
        <v>44673</v>
      </c>
      <c r="AC862" s="61">
        <v>44673</v>
      </c>
      <c r="AD862" s="60">
        <v>0</v>
      </c>
      <c r="AG862" s="60">
        <v>0</v>
      </c>
      <c r="AJ862" s="60">
        <v>0</v>
      </c>
      <c r="AN862" s="60" t="s">
        <v>309</v>
      </c>
      <c r="AQ862" s="60" t="s">
        <v>2541</v>
      </c>
      <c r="AR862" s="61">
        <v>44664</v>
      </c>
      <c r="AS862" s="60">
        <v>6002015684</v>
      </c>
      <c r="AT862" s="61">
        <v>44665</v>
      </c>
      <c r="AU862" s="60" t="s">
        <v>3141</v>
      </c>
      <c r="AV862" s="61">
        <v>44676</v>
      </c>
      <c r="AW862" s="91">
        <v>44681</v>
      </c>
      <c r="AX862" s="91">
        <v>44701</v>
      </c>
      <c r="AY862" s="99">
        <v>1041120</v>
      </c>
      <c r="AZ862" s="99">
        <f>ROUNDDOWN(AY862+(AY862*MASTER!$A$2/100),0)</f>
        <v>1145232</v>
      </c>
      <c r="BA862" s="60" t="s">
        <v>765</v>
      </c>
      <c r="BC862" s="64">
        <v>0</v>
      </c>
      <c r="BG862" s="64">
        <v>0</v>
      </c>
      <c r="BK862" s="64">
        <v>0</v>
      </c>
      <c r="BS862" s="64">
        <v>0</v>
      </c>
      <c r="BV862" s="65">
        <v>1192950</v>
      </c>
      <c r="BW862" s="65">
        <v>0</v>
      </c>
      <c r="BX862" s="65">
        <v>44620</v>
      </c>
      <c r="BY862" s="65">
        <v>1192950</v>
      </c>
      <c r="BZ862" s="81">
        <v>100</v>
      </c>
    </row>
    <row r="863" spans="1:82" x14ac:dyDescent="0.15">
      <c r="A863" s="60">
        <v>1</v>
      </c>
      <c r="B863" s="61">
        <v>44637</v>
      </c>
      <c r="C863" s="61">
        <v>44676</v>
      </c>
      <c r="F863" s="61" t="s">
        <v>309</v>
      </c>
      <c r="G863" s="61">
        <v>44676</v>
      </c>
      <c r="H863" s="61" t="s">
        <v>309</v>
      </c>
      <c r="J863" s="60">
        <v>1</v>
      </c>
      <c r="K863" s="61">
        <v>44620</v>
      </c>
      <c r="L863" s="60" t="s">
        <v>529</v>
      </c>
      <c r="M863" s="61">
        <v>44620</v>
      </c>
      <c r="O863" s="62" t="s">
        <v>331</v>
      </c>
      <c r="P863" s="60" t="s">
        <v>165</v>
      </c>
      <c r="Q863" s="62" t="s">
        <v>141</v>
      </c>
      <c r="R863" s="62" t="s">
        <v>2496</v>
      </c>
      <c r="S863" s="63" t="s">
        <v>801</v>
      </c>
      <c r="T863" s="63" t="s">
        <v>2486</v>
      </c>
      <c r="U863" s="64">
        <v>2794115</v>
      </c>
      <c r="V863" s="64">
        <v>3073526.5</v>
      </c>
      <c r="W863" s="64">
        <v>2509115</v>
      </c>
      <c r="X863" s="64">
        <v>2760026.5</v>
      </c>
      <c r="Y863" s="64">
        <v>285000</v>
      </c>
      <c r="Z863" s="64">
        <v>313500</v>
      </c>
      <c r="AA863" s="61">
        <v>44640</v>
      </c>
      <c r="AB863" s="61">
        <v>44659</v>
      </c>
      <c r="AD863" s="60">
        <v>0</v>
      </c>
      <c r="AG863" s="60">
        <v>0</v>
      </c>
      <c r="AJ863" s="60">
        <v>0</v>
      </c>
      <c r="AN863" s="60" t="s">
        <v>309</v>
      </c>
      <c r="AQ863" s="60" t="s">
        <v>2539</v>
      </c>
      <c r="AR863" s="61">
        <v>44623</v>
      </c>
      <c r="AS863" s="60">
        <v>6001999811</v>
      </c>
      <c r="AT863" s="61">
        <v>44624</v>
      </c>
      <c r="AU863" s="60" t="s">
        <v>2595</v>
      </c>
      <c r="AV863" s="61">
        <v>44676</v>
      </c>
      <c r="AW863" s="91">
        <v>44651</v>
      </c>
      <c r="AX863" s="91">
        <v>44671</v>
      </c>
      <c r="AY863" s="99">
        <v>2682350</v>
      </c>
      <c r="AZ863" s="99">
        <f>ROUNDDOWN(AY863+(AY863*MASTER!$A$2/100),0)</f>
        <v>2950585</v>
      </c>
      <c r="BA863" s="60" t="s">
        <v>613</v>
      </c>
      <c r="BB863" s="64">
        <v>1556920</v>
      </c>
      <c r="BC863" s="64">
        <v>1712612</v>
      </c>
      <c r="BD863" s="60" t="s">
        <v>643</v>
      </c>
      <c r="BG863" s="64">
        <v>0</v>
      </c>
      <c r="BI863" s="60" t="s">
        <v>748</v>
      </c>
      <c r="BJ863" s="64">
        <v>185250</v>
      </c>
      <c r="BK863" s="64">
        <v>203775</v>
      </c>
      <c r="BL863" s="60" t="s">
        <v>2107</v>
      </c>
      <c r="BS863" s="64">
        <v>0</v>
      </c>
      <c r="BV863" s="65">
        <v>2760026.5</v>
      </c>
      <c r="BW863" s="65">
        <v>1916387</v>
      </c>
      <c r="BX863" s="65">
        <v>0</v>
      </c>
      <c r="BY863" s="65">
        <v>44620</v>
      </c>
      <c r="BZ863" s="81">
        <v>30.566355069416907</v>
      </c>
    </row>
    <row r="864" spans="1:82" x14ac:dyDescent="0.15">
      <c r="A864" s="60">
        <v>1</v>
      </c>
      <c r="B864" s="61">
        <v>44637</v>
      </c>
      <c r="C864" s="61">
        <v>44676</v>
      </c>
      <c r="F864" s="61" t="s">
        <v>309</v>
      </c>
      <c r="G864" s="61">
        <v>44676</v>
      </c>
      <c r="H864" s="61" t="s">
        <v>309</v>
      </c>
      <c r="J864" s="60">
        <v>1</v>
      </c>
      <c r="L864" s="60">
        <v>0</v>
      </c>
      <c r="M864" s="61">
        <v>44620</v>
      </c>
      <c r="O864" s="62" t="s">
        <v>331</v>
      </c>
      <c r="P864" s="60" t="s">
        <v>214</v>
      </c>
      <c r="Q864" s="62" t="s">
        <v>141</v>
      </c>
      <c r="R864" s="62" t="s">
        <v>2550</v>
      </c>
      <c r="S864" s="63" t="s">
        <v>801</v>
      </c>
      <c r="T864" s="63" t="s">
        <v>2545</v>
      </c>
      <c r="U864" s="64">
        <v>153000</v>
      </c>
      <c r="V864" s="64">
        <v>168300</v>
      </c>
      <c r="W864" s="64">
        <v>18000</v>
      </c>
      <c r="X864" s="64">
        <v>19800</v>
      </c>
      <c r="Y864" s="64">
        <v>135000</v>
      </c>
      <c r="Z864" s="64">
        <v>148500</v>
      </c>
      <c r="AA864" s="61">
        <v>44637</v>
      </c>
      <c r="AB864" s="61">
        <v>44648</v>
      </c>
      <c r="AD864" s="60">
        <v>0</v>
      </c>
      <c r="AG864" s="60">
        <v>0</v>
      </c>
      <c r="AJ864" s="60">
        <v>0</v>
      </c>
      <c r="AN864" s="60" t="s">
        <v>309</v>
      </c>
      <c r="AQ864" s="60" t="s">
        <v>2539</v>
      </c>
      <c r="AR864" s="61">
        <v>44623</v>
      </c>
      <c r="AS864" s="60">
        <v>6001999819</v>
      </c>
      <c r="AT864" s="61">
        <v>44624</v>
      </c>
      <c r="AU864" s="60" t="s">
        <v>2593</v>
      </c>
      <c r="AV864" s="61">
        <v>44676</v>
      </c>
      <c r="AW864" s="91">
        <v>44651</v>
      </c>
      <c r="AX864" s="91">
        <v>44671</v>
      </c>
      <c r="AY864" s="99">
        <v>146880</v>
      </c>
      <c r="AZ864" s="99">
        <f>ROUNDDOWN(AY864+(AY864*MASTER!$A$2/100),0)</f>
        <v>161568</v>
      </c>
      <c r="BC864" s="64">
        <v>0</v>
      </c>
      <c r="BG864" s="64">
        <v>0</v>
      </c>
      <c r="BI864" s="60" t="s">
        <v>748</v>
      </c>
      <c r="BJ864" s="64">
        <v>87750</v>
      </c>
      <c r="BK864" s="64">
        <v>96525</v>
      </c>
      <c r="BL864" s="60" t="s">
        <v>2107</v>
      </c>
      <c r="BS864" s="64">
        <v>0</v>
      </c>
      <c r="BV864" s="65">
        <v>19800</v>
      </c>
      <c r="BW864" s="65">
        <v>96525</v>
      </c>
      <c r="BX864" s="65">
        <v>44620</v>
      </c>
      <c r="BY864" s="65">
        <v>-76725</v>
      </c>
      <c r="BZ864" s="81">
        <v>-387.5</v>
      </c>
    </row>
    <row r="865" spans="1:89" x14ac:dyDescent="0.15">
      <c r="A865" s="60">
        <v>1</v>
      </c>
      <c r="B865" s="61">
        <v>44670</v>
      </c>
      <c r="C865" s="61">
        <v>44676</v>
      </c>
      <c r="F865" s="61">
        <v>44680</v>
      </c>
      <c r="G865" s="61">
        <v>44676</v>
      </c>
      <c r="H865" s="61">
        <v>44676</v>
      </c>
      <c r="J865" s="60">
        <v>2</v>
      </c>
      <c r="L865" s="60">
        <v>0</v>
      </c>
      <c r="M865" s="61">
        <v>44620</v>
      </c>
      <c r="O865" s="62" t="s">
        <v>331</v>
      </c>
      <c r="P865" s="60" t="s">
        <v>38</v>
      </c>
      <c r="Q865" s="62" t="s">
        <v>141</v>
      </c>
      <c r="R865" s="62" t="s">
        <v>3101</v>
      </c>
      <c r="S865" s="63" t="s">
        <v>801</v>
      </c>
      <c r="T865" s="63" t="s">
        <v>2915</v>
      </c>
      <c r="U865" s="64">
        <v>979500</v>
      </c>
      <c r="V865" s="64">
        <v>1077450</v>
      </c>
      <c r="W865" s="64">
        <v>979500</v>
      </c>
      <c r="X865" s="64">
        <v>1077450</v>
      </c>
      <c r="Y865" s="64">
        <v>0</v>
      </c>
      <c r="Z865" s="64">
        <v>0</v>
      </c>
      <c r="AA865" s="61">
        <v>44673</v>
      </c>
      <c r="AB865" s="61">
        <v>44674</v>
      </c>
      <c r="AC865" s="61">
        <v>44673</v>
      </c>
      <c r="AD865" s="60">
        <v>0</v>
      </c>
      <c r="AG865" s="60">
        <v>0</v>
      </c>
      <c r="AJ865" s="60">
        <v>0</v>
      </c>
      <c r="AN865" s="60" t="s">
        <v>309</v>
      </c>
      <c r="AQ865" s="60" t="s">
        <v>2539</v>
      </c>
      <c r="AR865" s="61">
        <v>44664</v>
      </c>
      <c r="AS865" s="60">
        <v>6002015684</v>
      </c>
      <c r="AT865" s="61">
        <v>44665</v>
      </c>
      <c r="AU865" s="60" t="s">
        <v>3141</v>
      </c>
      <c r="AV865" s="61">
        <v>44676</v>
      </c>
      <c r="AW865" s="91">
        <v>44681</v>
      </c>
      <c r="AX865" s="91">
        <v>44701</v>
      </c>
      <c r="AY865" s="99">
        <v>940320</v>
      </c>
      <c r="AZ865" s="99">
        <f>ROUNDDOWN(AY865+(AY865*MASTER!$A$2/100),0)</f>
        <v>1034352</v>
      </c>
      <c r="BA865" s="60" t="s">
        <v>613</v>
      </c>
      <c r="BB865" s="64">
        <v>182840</v>
      </c>
      <c r="BC865" s="64">
        <v>201124</v>
      </c>
      <c r="BD865" s="60" t="s">
        <v>643</v>
      </c>
      <c r="BG865" s="64">
        <v>0</v>
      </c>
      <c r="BK865" s="64">
        <v>0</v>
      </c>
      <c r="BS865" s="64">
        <v>0</v>
      </c>
      <c r="BV865" s="65">
        <v>1077450</v>
      </c>
      <c r="BW865" s="65">
        <v>201124</v>
      </c>
      <c r="BX865" s="65">
        <v>44620</v>
      </c>
      <c r="BY865" s="65">
        <v>876326</v>
      </c>
      <c r="BZ865" s="81">
        <v>81.333333333333329</v>
      </c>
    </row>
    <row r="866" spans="1:89" x14ac:dyDescent="0.15">
      <c r="A866" s="60">
        <v>1</v>
      </c>
      <c r="B866" s="61">
        <v>44637</v>
      </c>
      <c r="C866" s="61">
        <v>44676</v>
      </c>
      <c r="F866" s="61" t="s">
        <v>309</v>
      </c>
      <c r="G866" s="61">
        <v>44676</v>
      </c>
      <c r="H866" s="61" t="s">
        <v>309</v>
      </c>
      <c r="J866" s="60">
        <v>2</v>
      </c>
      <c r="L866" s="60">
        <v>0</v>
      </c>
      <c r="M866" s="61">
        <v>44620</v>
      </c>
      <c r="O866" s="62" t="s">
        <v>331</v>
      </c>
      <c r="P866" s="60" t="s">
        <v>26</v>
      </c>
      <c r="Q866" s="62" t="s">
        <v>141</v>
      </c>
      <c r="R866" s="62" t="s">
        <v>2488</v>
      </c>
      <c r="S866" s="63" t="s">
        <v>801</v>
      </c>
      <c r="T866" s="63" t="s">
        <v>2489</v>
      </c>
      <c r="U866" s="64">
        <v>169000</v>
      </c>
      <c r="V866" s="64">
        <v>185900</v>
      </c>
      <c r="W866" s="64">
        <v>169000</v>
      </c>
      <c r="X866" s="64">
        <v>185900</v>
      </c>
      <c r="Z866" s="64">
        <v>0</v>
      </c>
      <c r="AD866" s="60">
        <v>0</v>
      </c>
      <c r="AG866" s="60">
        <v>0</v>
      </c>
      <c r="AJ866" s="60">
        <v>0</v>
      </c>
      <c r="AN866" s="60" t="s">
        <v>309</v>
      </c>
      <c r="AQ866" s="60" t="s">
        <v>2539</v>
      </c>
      <c r="AR866" s="61">
        <v>44623</v>
      </c>
      <c r="AS866" s="60">
        <v>6001999819</v>
      </c>
      <c r="AT866" s="61">
        <v>44624</v>
      </c>
      <c r="AU866" s="60" t="s">
        <v>2593</v>
      </c>
      <c r="AV866" s="61">
        <v>44676</v>
      </c>
      <c r="AW866" s="91">
        <v>44651</v>
      </c>
      <c r="AX866" s="91">
        <v>44671</v>
      </c>
      <c r="AY866" s="99">
        <v>162240</v>
      </c>
      <c r="AZ866" s="99">
        <f>ROUNDDOWN(AY866+(AY866*MASTER!$A$2/100),0)</f>
        <v>178464</v>
      </c>
      <c r="BC866" s="64">
        <v>0</v>
      </c>
      <c r="BG866" s="64">
        <v>0</v>
      </c>
      <c r="BK866" s="64">
        <v>0</v>
      </c>
      <c r="BS866" s="64">
        <v>0</v>
      </c>
      <c r="BV866" s="65">
        <v>185900</v>
      </c>
      <c r="BW866" s="65">
        <v>0</v>
      </c>
      <c r="BX866" s="65">
        <v>44620</v>
      </c>
      <c r="BY866" s="65">
        <v>185900</v>
      </c>
      <c r="BZ866" s="81">
        <v>100</v>
      </c>
    </row>
    <row r="867" spans="1:89" x14ac:dyDescent="0.15">
      <c r="A867" s="60">
        <v>1</v>
      </c>
      <c r="B867" s="61">
        <v>44637</v>
      </c>
      <c r="C867" s="61">
        <v>44676</v>
      </c>
      <c r="F867" s="61" t="s">
        <v>309</v>
      </c>
      <c r="G867" s="61">
        <v>44676</v>
      </c>
      <c r="H867" s="61" t="s">
        <v>309</v>
      </c>
      <c r="J867" s="60">
        <v>2</v>
      </c>
      <c r="L867" s="60">
        <v>0</v>
      </c>
      <c r="M867" s="61">
        <v>44620</v>
      </c>
      <c r="O867" s="62" t="s">
        <v>331</v>
      </c>
      <c r="P867" s="60" t="s">
        <v>26</v>
      </c>
      <c r="Q867" s="62" t="s">
        <v>141</v>
      </c>
      <c r="R867" s="62" t="s">
        <v>2551</v>
      </c>
      <c r="S867" s="63" t="s">
        <v>801</v>
      </c>
      <c r="T867" s="63" t="s">
        <v>2552</v>
      </c>
      <c r="U867" s="64">
        <v>8000</v>
      </c>
      <c r="V867" s="64">
        <v>8800</v>
      </c>
      <c r="W867" s="64">
        <v>8000</v>
      </c>
      <c r="X867" s="64">
        <v>8800</v>
      </c>
      <c r="Y867" s="64">
        <v>0</v>
      </c>
      <c r="Z867" s="64">
        <v>0</v>
      </c>
      <c r="AD867" s="60">
        <v>0</v>
      </c>
      <c r="AG867" s="60">
        <v>0</v>
      </c>
      <c r="AJ867" s="60">
        <v>0</v>
      </c>
      <c r="AN867" s="60" t="s">
        <v>309</v>
      </c>
      <c r="AQ867" s="60" t="s">
        <v>2539</v>
      </c>
      <c r="AR867" s="61">
        <v>44623</v>
      </c>
      <c r="AS867" s="60">
        <v>6001999819</v>
      </c>
      <c r="AT867" s="61">
        <v>44624</v>
      </c>
      <c r="AU867" s="60" t="s">
        <v>2593</v>
      </c>
      <c r="AV867" s="61">
        <v>44676</v>
      </c>
      <c r="AW867" s="91">
        <v>44651</v>
      </c>
      <c r="AX867" s="91">
        <v>44671</v>
      </c>
      <c r="AY867" s="99">
        <v>7680</v>
      </c>
      <c r="AZ867" s="99">
        <f>ROUNDDOWN(AY867+(AY867*MASTER!$A$2/100),0)</f>
        <v>8448</v>
      </c>
      <c r="BC867" s="64">
        <v>0</v>
      </c>
      <c r="BG867" s="64">
        <v>0</v>
      </c>
      <c r="BK867" s="64">
        <v>0</v>
      </c>
      <c r="BS867" s="64">
        <v>0</v>
      </c>
      <c r="BV867" s="65">
        <v>8800</v>
      </c>
      <c r="BW867" s="65">
        <v>0</v>
      </c>
      <c r="BX867" s="65">
        <v>44620</v>
      </c>
      <c r="BY867" s="65">
        <v>8800</v>
      </c>
      <c r="BZ867" s="81">
        <v>100</v>
      </c>
    </row>
    <row r="868" spans="1:89" x14ac:dyDescent="0.15">
      <c r="A868" s="60">
        <v>1</v>
      </c>
      <c r="B868" s="61">
        <v>44659</v>
      </c>
      <c r="C868" s="61">
        <v>44691</v>
      </c>
      <c r="F868" s="61" t="s">
        <v>309</v>
      </c>
      <c r="H868" s="61" t="s">
        <v>309</v>
      </c>
      <c r="J868" s="60">
        <v>3</v>
      </c>
      <c r="L868" s="60">
        <v>0</v>
      </c>
      <c r="M868" s="61">
        <v>44620</v>
      </c>
      <c r="O868" s="62" t="s">
        <v>331</v>
      </c>
      <c r="P868" s="60" t="s">
        <v>6</v>
      </c>
      <c r="Q868" s="62" t="s">
        <v>141</v>
      </c>
      <c r="R868" s="62" t="s">
        <v>3071</v>
      </c>
      <c r="S868" s="63" t="s">
        <v>1493</v>
      </c>
      <c r="T868" s="63" t="s">
        <v>463</v>
      </c>
      <c r="U868" s="64">
        <v>9000</v>
      </c>
      <c r="V868" s="64">
        <v>9900</v>
      </c>
      <c r="X868" s="64">
        <v>0</v>
      </c>
      <c r="Y868" s="64">
        <v>9000</v>
      </c>
      <c r="Z868" s="64">
        <v>9900</v>
      </c>
      <c r="AD868" s="60">
        <v>0</v>
      </c>
      <c r="AG868" s="60">
        <v>0</v>
      </c>
      <c r="AJ868" s="60">
        <v>0</v>
      </c>
      <c r="AN868" s="60" t="s">
        <v>309</v>
      </c>
      <c r="AQ868" s="60" t="s">
        <v>3042</v>
      </c>
      <c r="AR868" s="61">
        <v>44657</v>
      </c>
      <c r="AS868" s="60">
        <v>6002012588</v>
      </c>
      <c r="AT868" s="61">
        <v>44658</v>
      </c>
      <c r="AU868" s="60" t="s">
        <v>3060</v>
      </c>
      <c r="AV868" s="61">
        <v>44691</v>
      </c>
      <c r="AW868" s="91">
        <v>44681</v>
      </c>
      <c r="AX868" s="91">
        <v>44701</v>
      </c>
      <c r="AY868" s="99">
        <v>8640</v>
      </c>
      <c r="AZ868" s="99">
        <f>ROUNDDOWN(AY868+(AY868*MASTER!$A$2/100),0)</f>
        <v>9504</v>
      </c>
      <c r="BC868" s="64">
        <v>0</v>
      </c>
      <c r="BG868" s="64">
        <v>0</v>
      </c>
      <c r="BK868" s="64">
        <v>0</v>
      </c>
      <c r="BS868" s="64">
        <v>0</v>
      </c>
      <c r="BV868" s="65">
        <v>0</v>
      </c>
      <c r="BW868" s="65">
        <v>0</v>
      </c>
      <c r="BX868" s="65">
        <v>44620</v>
      </c>
      <c r="BY868" s="65">
        <v>0</v>
      </c>
      <c r="BZ868" s="81" t="s">
        <v>309</v>
      </c>
    </row>
    <row r="869" spans="1:89" x14ac:dyDescent="0.15">
      <c r="A869" s="60">
        <v>1</v>
      </c>
      <c r="B869" s="61">
        <v>44673</v>
      </c>
      <c r="C869" s="61">
        <v>44691</v>
      </c>
      <c r="F869" s="61" t="s">
        <v>309</v>
      </c>
      <c r="H869" s="61" t="s">
        <v>309</v>
      </c>
      <c r="J869" s="60">
        <v>3</v>
      </c>
      <c r="L869" s="60">
        <v>0</v>
      </c>
      <c r="M869" s="61">
        <v>44620</v>
      </c>
      <c r="O869" s="62" t="s">
        <v>331</v>
      </c>
      <c r="P869" s="60" t="s">
        <v>6</v>
      </c>
      <c r="Q869" s="62" t="s">
        <v>141</v>
      </c>
      <c r="R869" s="62" t="s">
        <v>3266</v>
      </c>
      <c r="S869" s="63" t="s">
        <v>1916</v>
      </c>
      <c r="T869" s="63" t="s">
        <v>463</v>
      </c>
      <c r="U869" s="64">
        <v>9000</v>
      </c>
      <c r="V869" s="64">
        <v>9900</v>
      </c>
      <c r="X869" s="64">
        <v>0</v>
      </c>
      <c r="Y869" s="64">
        <v>9000</v>
      </c>
      <c r="Z869" s="64">
        <v>9900</v>
      </c>
      <c r="AD869" s="60">
        <v>0</v>
      </c>
      <c r="AG869" s="60">
        <v>0</v>
      </c>
      <c r="AJ869" s="60">
        <v>0</v>
      </c>
      <c r="AN869" s="60" t="s">
        <v>309</v>
      </c>
      <c r="AQ869" s="60" t="s">
        <v>2644</v>
      </c>
      <c r="AR869" s="61">
        <v>44629</v>
      </c>
      <c r="AS869" s="60">
        <v>6002002319</v>
      </c>
      <c r="AT869" s="61">
        <v>44631</v>
      </c>
      <c r="AU869" s="60" t="s">
        <v>2707</v>
      </c>
      <c r="AV869" s="61">
        <v>44691</v>
      </c>
      <c r="AW869" s="91">
        <v>44681</v>
      </c>
      <c r="AX869" s="91">
        <v>44701</v>
      </c>
      <c r="AY869" s="99">
        <v>8640</v>
      </c>
      <c r="AZ869" s="99">
        <f>ROUNDDOWN(AY869+(AY869*MASTER!$A$2/100),0)</f>
        <v>9504</v>
      </c>
      <c r="BC869" s="64">
        <v>0</v>
      </c>
      <c r="BG869" s="64">
        <v>0</v>
      </c>
      <c r="BK869" s="64">
        <v>0</v>
      </c>
      <c r="BS869" s="64">
        <v>0</v>
      </c>
      <c r="BV869" s="65">
        <v>0</v>
      </c>
      <c r="BW869" s="65">
        <v>0</v>
      </c>
      <c r="BX869" s="65">
        <v>44620</v>
      </c>
      <c r="BY869" s="65">
        <v>0</v>
      </c>
      <c r="BZ869" s="81" t="s">
        <v>309</v>
      </c>
    </row>
    <row r="870" spans="1:89" s="152" customFormat="1" x14ac:dyDescent="0.15">
      <c r="A870" s="142">
        <v>3</v>
      </c>
      <c r="B870" s="143"/>
      <c r="C870" s="143" t="s">
        <v>309</v>
      </c>
      <c r="D870" s="143"/>
      <c r="E870" s="143"/>
      <c r="F870" s="143" t="s">
        <v>309</v>
      </c>
      <c r="G870" s="143"/>
      <c r="H870" s="143" t="s">
        <v>309</v>
      </c>
      <c r="I870" s="142"/>
      <c r="J870" s="142">
        <v>2</v>
      </c>
      <c r="K870" s="143"/>
      <c r="L870" s="142">
        <v>0</v>
      </c>
      <c r="M870" s="143">
        <v>44620</v>
      </c>
      <c r="N870" s="143"/>
      <c r="O870" s="144" t="s">
        <v>331</v>
      </c>
      <c r="P870" s="142" t="s">
        <v>6</v>
      </c>
      <c r="Q870" s="144" t="s">
        <v>141</v>
      </c>
      <c r="R870" s="144" t="s">
        <v>3161</v>
      </c>
      <c r="S870" s="145" t="s">
        <v>554</v>
      </c>
      <c r="T870" s="145" t="s">
        <v>364</v>
      </c>
      <c r="U870" s="146">
        <v>51000</v>
      </c>
      <c r="V870" s="146">
        <v>56100</v>
      </c>
      <c r="W870" s="146">
        <v>51000</v>
      </c>
      <c r="X870" s="146">
        <v>56100</v>
      </c>
      <c r="Y870" s="146">
        <v>0</v>
      </c>
      <c r="Z870" s="146">
        <v>0</v>
      </c>
      <c r="AA870" s="143"/>
      <c r="AB870" s="143"/>
      <c r="AC870" s="143"/>
      <c r="AD870" s="142">
        <v>0</v>
      </c>
      <c r="AE870" s="142"/>
      <c r="AF870" s="142"/>
      <c r="AG870" s="142">
        <v>0</v>
      </c>
      <c r="AH870" s="142"/>
      <c r="AI870" s="142"/>
      <c r="AJ870" s="142">
        <v>0</v>
      </c>
      <c r="AK870" s="142"/>
      <c r="AL870" s="142"/>
      <c r="AM870" s="142"/>
      <c r="AN870" s="142" t="s">
        <v>309</v>
      </c>
      <c r="AO870" s="143"/>
      <c r="AP870" s="142"/>
      <c r="AQ870" s="142"/>
      <c r="AR870" s="143"/>
      <c r="AS870" s="142"/>
      <c r="AT870" s="143"/>
      <c r="AU870" s="142"/>
      <c r="AV870" s="143"/>
      <c r="AW870" s="147"/>
      <c r="AX870" s="147"/>
      <c r="AY870" s="148">
        <v>48960</v>
      </c>
      <c r="AZ870" s="148">
        <f>ROUNDDOWN(AY870+(AY870*MASTER!$A$2/100),0)</f>
        <v>53856</v>
      </c>
      <c r="BA870" s="142"/>
      <c r="BB870" s="146"/>
      <c r="BC870" s="146">
        <v>0</v>
      </c>
      <c r="BD870" s="142"/>
      <c r="BE870" s="142"/>
      <c r="BF870" s="146"/>
      <c r="BG870" s="146">
        <v>0</v>
      </c>
      <c r="BH870" s="142"/>
      <c r="BI870" s="142"/>
      <c r="BJ870" s="146"/>
      <c r="BK870" s="146">
        <v>0</v>
      </c>
      <c r="BL870" s="142"/>
      <c r="BM870" s="146"/>
      <c r="BN870" s="146"/>
      <c r="BO870" s="146"/>
      <c r="BP870" s="146"/>
      <c r="BQ870" s="146"/>
      <c r="BR870" s="146"/>
      <c r="BS870" s="146">
        <v>0</v>
      </c>
      <c r="BT870" s="149"/>
      <c r="BU870" s="149"/>
      <c r="BV870" s="150">
        <v>56100</v>
      </c>
      <c r="BW870" s="150">
        <v>0</v>
      </c>
      <c r="BX870" s="150">
        <v>44620</v>
      </c>
      <c r="BY870" s="150">
        <v>56100</v>
      </c>
      <c r="BZ870" s="151">
        <v>100</v>
      </c>
      <c r="CA870" s="142"/>
      <c r="CB870" s="142"/>
      <c r="CC870" s="142"/>
      <c r="CD870" s="145" t="s">
        <v>3162</v>
      </c>
      <c r="CE870" s="143"/>
      <c r="CF870" s="143"/>
      <c r="CG870" s="143"/>
      <c r="CH870" s="143"/>
      <c r="CI870" s="143"/>
      <c r="CJ870" s="143"/>
      <c r="CK870" s="146"/>
    </row>
    <row r="871" spans="1:89" x14ac:dyDescent="0.15">
      <c r="A871" s="60">
        <v>2</v>
      </c>
      <c r="B871" s="61">
        <v>44637</v>
      </c>
      <c r="C871" s="61">
        <v>44643</v>
      </c>
      <c r="D871" s="61">
        <v>44664</v>
      </c>
      <c r="E871" s="61">
        <v>44651</v>
      </c>
      <c r="F871" s="61">
        <v>44650</v>
      </c>
      <c r="G871" s="61">
        <v>44644</v>
      </c>
      <c r="H871" s="61">
        <v>44646</v>
      </c>
      <c r="I871" s="60" t="s">
        <v>511</v>
      </c>
      <c r="J871" s="60">
        <v>1</v>
      </c>
      <c r="L871" s="60">
        <v>0</v>
      </c>
      <c r="M871" s="61">
        <v>44620</v>
      </c>
      <c r="O871" s="62" t="s">
        <v>331</v>
      </c>
      <c r="P871" s="60" t="s">
        <v>26</v>
      </c>
      <c r="Q871" s="62" t="s">
        <v>141</v>
      </c>
      <c r="R871" s="62" t="s">
        <v>2813</v>
      </c>
      <c r="S871" s="63" t="s">
        <v>627</v>
      </c>
      <c r="T871" s="63" t="s">
        <v>2814</v>
      </c>
      <c r="U871" s="64">
        <v>68200</v>
      </c>
      <c r="V871" s="64">
        <v>75020</v>
      </c>
      <c r="W871" s="64">
        <v>47000</v>
      </c>
      <c r="X871" s="64">
        <v>51700</v>
      </c>
      <c r="Y871" s="64">
        <v>21200</v>
      </c>
      <c r="Z871" s="64">
        <v>23320</v>
      </c>
      <c r="AA871" s="61">
        <v>44641</v>
      </c>
      <c r="AB871" s="61">
        <v>44643</v>
      </c>
      <c r="AC871" s="61">
        <v>44643</v>
      </c>
      <c r="AD871" s="60">
        <v>0</v>
      </c>
      <c r="AG871" s="60">
        <v>0</v>
      </c>
      <c r="AJ871" s="60">
        <v>0</v>
      </c>
      <c r="AM871" s="60" t="s">
        <v>273</v>
      </c>
      <c r="AN871" s="60" t="s">
        <v>2815</v>
      </c>
      <c r="AQ871" s="60" t="s">
        <v>2647</v>
      </c>
      <c r="AR871" s="61">
        <v>44629</v>
      </c>
      <c r="AS871" s="60">
        <v>6002002319</v>
      </c>
      <c r="AT871" s="61">
        <v>44631</v>
      </c>
      <c r="AU871" s="60" t="s">
        <v>2707</v>
      </c>
      <c r="AV871" s="61">
        <v>44643</v>
      </c>
      <c r="AW871" s="91">
        <v>44651</v>
      </c>
      <c r="AX871" s="91">
        <v>44671</v>
      </c>
      <c r="AY871" s="99">
        <v>65472</v>
      </c>
      <c r="AZ871" s="99">
        <f>ROUNDDOWN(AY871+(AY871*MASTER!$A$2/100),0)</f>
        <v>72019</v>
      </c>
      <c r="BA871" s="60" t="s">
        <v>319</v>
      </c>
      <c r="BB871" s="64">
        <v>25000</v>
      </c>
      <c r="BC871" s="64">
        <v>27500</v>
      </c>
      <c r="BD871" s="60" t="s">
        <v>2107</v>
      </c>
      <c r="BG871" s="64">
        <v>0</v>
      </c>
      <c r="BI871" s="60" t="s">
        <v>748</v>
      </c>
      <c r="BJ871" s="64">
        <v>13780</v>
      </c>
      <c r="BK871" s="64">
        <v>15158</v>
      </c>
      <c r="BL871" s="60" t="s">
        <v>2107</v>
      </c>
      <c r="BS871" s="64">
        <v>0</v>
      </c>
      <c r="BV871" s="65">
        <v>51700</v>
      </c>
      <c r="BW871" s="65">
        <v>42658</v>
      </c>
      <c r="BX871" s="65">
        <v>44620</v>
      </c>
      <c r="BY871" s="65">
        <v>9042</v>
      </c>
      <c r="BZ871" s="81">
        <v>17.48936170212766</v>
      </c>
    </row>
    <row r="872" spans="1:89" x14ac:dyDescent="0.15">
      <c r="A872" s="60">
        <v>1</v>
      </c>
      <c r="B872" s="61">
        <v>44634</v>
      </c>
      <c r="C872" s="61">
        <v>44636</v>
      </c>
      <c r="F872" s="61" t="s">
        <v>309</v>
      </c>
      <c r="G872" s="61">
        <v>44631</v>
      </c>
      <c r="H872" s="61" t="s">
        <v>309</v>
      </c>
      <c r="J872" s="60">
        <v>2</v>
      </c>
      <c r="L872" s="60">
        <v>0</v>
      </c>
      <c r="M872" s="61">
        <v>44620</v>
      </c>
      <c r="O872" s="62" t="s">
        <v>331</v>
      </c>
      <c r="P872" s="60" t="s">
        <v>6</v>
      </c>
      <c r="Q872" s="62" t="s">
        <v>141</v>
      </c>
      <c r="R872" s="62" t="s">
        <v>2727</v>
      </c>
      <c r="S872" s="63" t="s">
        <v>953</v>
      </c>
      <c r="T872" s="63" t="s">
        <v>364</v>
      </c>
      <c r="U872" s="64">
        <v>51000</v>
      </c>
      <c r="V872" s="64">
        <v>56100</v>
      </c>
      <c r="W872" s="64">
        <v>51000</v>
      </c>
      <c r="X872" s="64">
        <v>56100</v>
      </c>
      <c r="Z872" s="64">
        <v>0</v>
      </c>
      <c r="AD872" s="60">
        <v>0</v>
      </c>
      <c r="AG872" s="60">
        <v>0</v>
      </c>
      <c r="AJ872" s="60">
        <v>0</v>
      </c>
      <c r="AN872" s="60" t="s">
        <v>309</v>
      </c>
      <c r="AQ872" s="60" t="s">
        <v>2646</v>
      </c>
      <c r="AR872" s="61">
        <v>44629</v>
      </c>
      <c r="AS872" s="60">
        <v>6002002319</v>
      </c>
      <c r="AT872" s="61">
        <v>44631</v>
      </c>
      <c r="AU872" s="60" t="s">
        <v>2707</v>
      </c>
      <c r="AV872" s="61">
        <v>44636</v>
      </c>
      <c r="AW872" s="91">
        <v>44651</v>
      </c>
      <c r="AX872" s="91">
        <v>44671</v>
      </c>
      <c r="AY872" s="99">
        <v>48960</v>
      </c>
      <c r="AZ872" s="99">
        <f>ROUNDDOWN(AY872+(AY872*MASTER!$A$2/100),0)</f>
        <v>53856</v>
      </c>
      <c r="BC872" s="64">
        <v>0</v>
      </c>
      <c r="BG872" s="64">
        <v>0</v>
      </c>
      <c r="BK872" s="64">
        <v>0</v>
      </c>
      <c r="BS872" s="64">
        <v>0</v>
      </c>
      <c r="BV872" s="65">
        <v>56100</v>
      </c>
      <c r="BW872" s="65">
        <v>0</v>
      </c>
      <c r="BX872" s="65">
        <v>44620</v>
      </c>
      <c r="BY872" s="65">
        <v>56100</v>
      </c>
      <c r="BZ872" s="81">
        <v>100</v>
      </c>
    </row>
    <row r="873" spans="1:89" x14ac:dyDescent="0.15">
      <c r="A873" s="60">
        <v>1</v>
      </c>
      <c r="B873" s="61">
        <v>44622</v>
      </c>
      <c r="C873" s="61">
        <v>44622</v>
      </c>
      <c r="F873" s="61" t="s">
        <v>309</v>
      </c>
      <c r="H873" s="61" t="s">
        <v>309</v>
      </c>
      <c r="J873" s="60">
        <v>2</v>
      </c>
      <c r="L873" s="60">
        <v>0</v>
      </c>
      <c r="M873" s="61">
        <v>44620</v>
      </c>
      <c r="O873" s="62" t="s">
        <v>331</v>
      </c>
      <c r="P873" s="60" t="s">
        <v>77</v>
      </c>
      <c r="Q873" s="62" t="s">
        <v>141</v>
      </c>
      <c r="R873" s="62" t="s">
        <v>2501</v>
      </c>
      <c r="S873" s="63" t="s">
        <v>489</v>
      </c>
      <c r="T873" s="63" t="s">
        <v>2038</v>
      </c>
      <c r="U873" s="64">
        <v>14040</v>
      </c>
      <c r="V873" s="64">
        <v>15444</v>
      </c>
      <c r="W873" s="64">
        <v>14040</v>
      </c>
      <c r="X873" s="64">
        <v>15444</v>
      </c>
      <c r="Y873" s="64">
        <v>0</v>
      </c>
      <c r="Z873" s="64">
        <v>0</v>
      </c>
      <c r="AD873" s="60">
        <v>0</v>
      </c>
      <c r="AG873" s="60">
        <v>0</v>
      </c>
      <c r="AJ873" s="60">
        <v>0</v>
      </c>
      <c r="AQ873" s="60" t="s">
        <v>2504</v>
      </c>
      <c r="AR873" s="61">
        <v>44620</v>
      </c>
      <c r="AS873" s="60">
        <v>6001998525</v>
      </c>
      <c r="AT873" s="61">
        <v>44621</v>
      </c>
      <c r="AU873" s="60" t="s">
        <v>2529</v>
      </c>
      <c r="AV873" s="61">
        <v>44622</v>
      </c>
      <c r="AW873" s="91">
        <v>44651</v>
      </c>
      <c r="AX873" s="91">
        <v>44671</v>
      </c>
      <c r="AY873" s="107">
        <v>14040</v>
      </c>
      <c r="AZ873" s="107">
        <f>ROUNDDOWN(AY873+(AY873*MASTER!$A$2/100),0)</f>
        <v>15444</v>
      </c>
      <c r="BC873" s="64">
        <v>0</v>
      </c>
      <c r="BG873" s="64">
        <v>0</v>
      </c>
      <c r="BK873" s="64">
        <v>0</v>
      </c>
      <c r="BS873" s="64">
        <v>0</v>
      </c>
      <c r="BV873" s="65">
        <v>15444</v>
      </c>
      <c r="BW873" s="65">
        <v>0</v>
      </c>
      <c r="BX873" s="65">
        <v>44620</v>
      </c>
      <c r="BY873" s="65">
        <v>15444</v>
      </c>
      <c r="BZ873" s="81">
        <v>100</v>
      </c>
      <c r="CD873" s="63" t="s">
        <v>2505</v>
      </c>
    </row>
    <row r="874" spans="1:89" x14ac:dyDescent="0.15">
      <c r="A874" s="60">
        <v>1</v>
      </c>
      <c r="B874" s="61">
        <v>44622</v>
      </c>
      <c r="C874" s="61">
        <v>44622</v>
      </c>
      <c r="F874" s="61" t="s">
        <v>309</v>
      </c>
      <c r="H874" s="61" t="s">
        <v>309</v>
      </c>
      <c r="J874" s="60">
        <v>2</v>
      </c>
      <c r="L874" s="60">
        <v>0</v>
      </c>
      <c r="M874" s="61">
        <v>44620</v>
      </c>
      <c r="O874" s="62" t="s">
        <v>331</v>
      </c>
      <c r="P874" s="60" t="s">
        <v>77</v>
      </c>
      <c r="Q874" s="62" t="s">
        <v>141</v>
      </c>
      <c r="R874" s="62" t="s">
        <v>2498</v>
      </c>
      <c r="S874" s="63" t="s">
        <v>489</v>
      </c>
      <c r="T874" s="63" t="s">
        <v>2033</v>
      </c>
      <c r="U874" s="64">
        <v>98800</v>
      </c>
      <c r="V874" s="64">
        <v>108680</v>
      </c>
      <c r="W874" s="64">
        <v>98800</v>
      </c>
      <c r="X874" s="64">
        <v>108680</v>
      </c>
      <c r="Y874" s="64">
        <v>0</v>
      </c>
      <c r="Z874" s="64">
        <v>0</v>
      </c>
      <c r="AD874" s="60">
        <v>0</v>
      </c>
      <c r="AG874" s="60">
        <v>0</v>
      </c>
      <c r="AJ874" s="60">
        <v>0</v>
      </c>
      <c r="AQ874" s="60" t="s">
        <v>2497</v>
      </c>
      <c r="AR874" s="61">
        <v>44620</v>
      </c>
      <c r="AS874" s="60">
        <v>6001998525</v>
      </c>
      <c r="AT874" s="61">
        <v>44621</v>
      </c>
      <c r="AU874" s="60" t="s">
        <v>2529</v>
      </c>
      <c r="AV874" s="61">
        <v>44622</v>
      </c>
      <c r="AW874" s="91">
        <v>44651</v>
      </c>
      <c r="AX874" s="91">
        <v>44671</v>
      </c>
      <c r="AY874" s="107">
        <v>98800</v>
      </c>
      <c r="AZ874" s="107">
        <f>ROUNDDOWN(AY874+(AY874*MASTER!$A$2/100),0)</f>
        <v>108680</v>
      </c>
      <c r="BC874" s="64">
        <v>0</v>
      </c>
      <c r="BG874" s="64">
        <v>0</v>
      </c>
      <c r="BK874" s="64">
        <v>0</v>
      </c>
      <c r="BS874" s="64">
        <v>0</v>
      </c>
      <c r="BV874" s="65">
        <v>108680</v>
      </c>
      <c r="BW874" s="65">
        <v>0</v>
      </c>
      <c r="BX874" s="65">
        <v>44620</v>
      </c>
      <c r="BY874" s="65">
        <v>108680</v>
      </c>
      <c r="BZ874" s="81">
        <v>100</v>
      </c>
      <c r="CD874" s="63" t="s">
        <v>2506</v>
      </c>
    </row>
    <row r="875" spans="1:89" x14ac:dyDescent="0.15">
      <c r="A875" s="60">
        <v>1</v>
      </c>
      <c r="B875" s="61">
        <v>44622</v>
      </c>
      <c r="C875" s="61">
        <v>44622</v>
      </c>
      <c r="F875" s="61" t="s">
        <v>309</v>
      </c>
      <c r="H875" s="61" t="s">
        <v>309</v>
      </c>
      <c r="J875" s="60">
        <v>2</v>
      </c>
      <c r="L875" s="60">
        <v>0</v>
      </c>
      <c r="M875" s="61">
        <v>44620</v>
      </c>
      <c r="O875" s="62" t="s">
        <v>331</v>
      </c>
      <c r="P875" s="60" t="s">
        <v>77</v>
      </c>
      <c r="Q875" s="62" t="s">
        <v>141</v>
      </c>
      <c r="R875" s="62" t="s">
        <v>2500</v>
      </c>
      <c r="S875" s="63" t="s">
        <v>489</v>
      </c>
      <c r="T875" s="63" t="s">
        <v>2033</v>
      </c>
      <c r="U875" s="64">
        <v>98800</v>
      </c>
      <c r="V875" s="64">
        <v>108680</v>
      </c>
      <c r="W875" s="64">
        <v>98800</v>
      </c>
      <c r="X875" s="64">
        <v>108680</v>
      </c>
      <c r="Y875" s="64">
        <v>0</v>
      </c>
      <c r="Z875" s="64">
        <v>0</v>
      </c>
      <c r="AD875" s="60">
        <v>0</v>
      </c>
      <c r="AG875" s="60">
        <v>0</v>
      </c>
      <c r="AJ875" s="60">
        <v>0</v>
      </c>
      <c r="AQ875" s="60" t="s">
        <v>2499</v>
      </c>
      <c r="AR875" s="61">
        <v>44620</v>
      </c>
      <c r="AS875" s="60">
        <v>6001998525</v>
      </c>
      <c r="AT875" s="61">
        <v>44621</v>
      </c>
      <c r="AU875" s="60" t="s">
        <v>2529</v>
      </c>
      <c r="AV875" s="61">
        <v>44622</v>
      </c>
      <c r="AW875" s="91">
        <v>44651</v>
      </c>
      <c r="AX875" s="91">
        <v>44671</v>
      </c>
      <c r="AY875" s="107">
        <v>98800</v>
      </c>
      <c r="AZ875" s="107">
        <f>ROUNDDOWN(AY875+(AY875*MASTER!$A$2/100),0)</f>
        <v>108680</v>
      </c>
      <c r="BC875" s="64">
        <v>0</v>
      </c>
      <c r="BG875" s="64">
        <v>0</v>
      </c>
      <c r="BK875" s="64">
        <v>0</v>
      </c>
      <c r="BS875" s="64">
        <v>0</v>
      </c>
      <c r="BV875" s="65">
        <v>108680</v>
      </c>
      <c r="BW875" s="65">
        <v>0</v>
      </c>
      <c r="BX875" s="65">
        <v>44620</v>
      </c>
      <c r="BY875" s="65">
        <v>108680</v>
      </c>
      <c r="BZ875" s="81">
        <v>100</v>
      </c>
      <c r="CD875" s="63" t="s">
        <v>2507</v>
      </c>
    </row>
    <row r="876" spans="1:89" x14ac:dyDescent="0.15">
      <c r="A876" s="60">
        <v>2</v>
      </c>
      <c r="B876" s="61">
        <v>44635</v>
      </c>
      <c r="C876" s="61">
        <v>44639</v>
      </c>
      <c r="D876" s="61">
        <v>44655</v>
      </c>
      <c r="F876" s="61">
        <v>44654</v>
      </c>
      <c r="H876" s="61">
        <v>44650</v>
      </c>
      <c r="J876" s="60">
        <v>2</v>
      </c>
      <c r="L876" s="60">
        <v>0</v>
      </c>
      <c r="M876" s="61">
        <v>44620</v>
      </c>
      <c r="O876" s="62" t="s">
        <v>331</v>
      </c>
      <c r="P876" s="60" t="s">
        <v>77</v>
      </c>
      <c r="Q876" s="62" t="s">
        <v>141</v>
      </c>
      <c r="R876" s="62" t="s">
        <v>2512</v>
      </c>
      <c r="S876" s="63" t="s">
        <v>717</v>
      </c>
      <c r="T876" s="63" t="s">
        <v>346</v>
      </c>
      <c r="U876" s="64">
        <v>65000</v>
      </c>
      <c r="V876" s="64">
        <v>71500</v>
      </c>
      <c r="W876" s="64">
        <v>65000</v>
      </c>
      <c r="X876" s="64">
        <v>71500</v>
      </c>
      <c r="Y876" s="64">
        <v>0</v>
      </c>
      <c r="Z876" s="64">
        <v>0</v>
      </c>
      <c r="AA876" s="61">
        <v>44646</v>
      </c>
      <c r="AB876" s="61">
        <v>44647</v>
      </c>
      <c r="AC876" s="61">
        <v>44647</v>
      </c>
      <c r="AD876" s="60">
        <v>0</v>
      </c>
      <c r="AG876" s="60">
        <v>0</v>
      </c>
      <c r="AJ876" s="60">
        <v>0</v>
      </c>
      <c r="AQ876" s="60" t="s">
        <v>2601</v>
      </c>
      <c r="AR876" s="61">
        <v>44627</v>
      </c>
      <c r="AS876" s="60">
        <v>6002001227</v>
      </c>
      <c r="AT876" s="61">
        <v>44627</v>
      </c>
      <c r="AU876" s="60" t="s">
        <v>2614</v>
      </c>
      <c r="AV876" s="61">
        <v>44639</v>
      </c>
      <c r="AW876" s="91">
        <v>44651</v>
      </c>
      <c r="AX876" s="91">
        <v>44671</v>
      </c>
      <c r="AY876" s="107">
        <v>65000</v>
      </c>
      <c r="AZ876" s="107">
        <f>ROUNDDOWN(AY876+(AY876*MASTER!$A$2/100),0)</f>
        <v>71500</v>
      </c>
      <c r="BC876" s="64">
        <v>0</v>
      </c>
      <c r="BG876" s="64">
        <v>0</v>
      </c>
      <c r="BK876" s="64">
        <v>0</v>
      </c>
      <c r="BS876" s="64">
        <v>0</v>
      </c>
      <c r="BV876" s="65">
        <v>71500</v>
      </c>
      <c r="BW876" s="65">
        <v>0</v>
      </c>
      <c r="BX876" s="65">
        <v>44620</v>
      </c>
      <c r="BY876" s="65">
        <v>71500</v>
      </c>
      <c r="BZ876" s="81">
        <v>100</v>
      </c>
    </row>
    <row r="877" spans="1:89" x14ac:dyDescent="0.15">
      <c r="A877" s="60">
        <v>2</v>
      </c>
      <c r="B877" s="61">
        <v>44635</v>
      </c>
      <c r="C877" s="61">
        <v>44639</v>
      </c>
      <c r="D877" s="61">
        <v>44655</v>
      </c>
      <c r="F877" s="61">
        <v>44654</v>
      </c>
      <c r="H877" s="61">
        <v>44650</v>
      </c>
      <c r="J877" s="60">
        <v>2</v>
      </c>
      <c r="L877" s="60">
        <v>0</v>
      </c>
      <c r="M877" s="61">
        <v>44620</v>
      </c>
      <c r="O877" s="62" t="s">
        <v>331</v>
      </c>
      <c r="P877" s="60" t="s">
        <v>77</v>
      </c>
      <c r="Q877" s="62" t="s">
        <v>141</v>
      </c>
      <c r="R877" s="62" t="s">
        <v>2805</v>
      </c>
      <c r="S877" s="63" t="s">
        <v>717</v>
      </c>
      <c r="T877" s="63" t="s">
        <v>346</v>
      </c>
      <c r="U877" s="64">
        <v>65000</v>
      </c>
      <c r="V877" s="64">
        <v>71500</v>
      </c>
      <c r="W877" s="64">
        <v>65000</v>
      </c>
      <c r="X877" s="64">
        <v>71500</v>
      </c>
      <c r="Y877" s="64">
        <v>0</v>
      </c>
      <c r="Z877" s="64">
        <v>0</v>
      </c>
      <c r="AA877" s="61">
        <v>44646</v>
      </c>
      <c r="AB877" s="61">
        <v>44647</v>
      </c>
      <c r="AC877" s="61">
        <v>44647</v>
      </c>
      <c r="AD877" s="60">
        <v>0</v>
      </c>
      <c r="AG877" s="60">
        <v>0</v>
      </c>
      <c r="AJ877" s="60">
        <v>0</v>
      </c>
      <c r="AQ877" s="60" t="s">
        <v>2601</v>
      </c>
      <c r="AR877" s="61">
        <v>44627</v>
      </c>
      <c r="AS877" s="60">
        <v>6002001227</v>
      </c>
      <c r="AT877" s="61">
        <v>44627</v>
      </c>
      <c r="AU877" s="60" t="s">
        <v>2614</v>
      </c>
      <c r="AV877" s="61">
        <v>44639</v>
      </c>
      <c r="AW877" s="91">
        <v>44651</v>
      </c>
      <c r="AX877" s="91">
        <v>44671</v>
      </c>
      <c r="AY877" s="107">
        <v>65000</v>
      </c>
      <c r="AZ877" s="107">
        <f>ROUNDDOWN(AY877+(AY877*MASTER!$A$2/100),0)</f>
        <v>71500</v>
      </c>
      <c r="BC877" s="64">
        <v>0</v>
      </c>
      <c r="BG877" s="64">
        <v>0</v>
      </c>
      <c r="BK877" s="64">
        <v>0</v>
      </c>
      <c r="BS877" s="64">
        <v>0</v>
      </c>
      <c r="BV877" s="65">
        <v>71500</v>
      </c>
      <c r="BW877" s="65">
        <v>0</v>
      </c>
      <c r="BX877" s="65">
        <v>44620</v>
      </c>
      <c r="BY877" s="65">
        <v>71500</v>
      </c>
      <c r="BZ877" s="81">
        <v>100</v>
      </c>
    </row>
    <row r="878" spans="1:89" x14ac:dyDescent="0.15">
      <c r="A878" s="60">
        <v>2</v>
      </c>
      <c r="B878" s="61">
        <v>44635</v>
      </c>
      <c r="C878" s="61">
        <v>44639</v>
      </c>
      <c r="D878" s="61">
        <v>44655</v>
      </c>
      <c r="F878" s="61">
        <v>44654</v>
      </c>
      <c r="H878" s="61">
        <v>44650</v>
      </c>
      <c r="J878" s="60">
        <v>2</v>
      </c>
      <c r="L878" s="60">
        <v>0</v>
      </c>
      <c r="M878" s="61">
        <v>44620</v>
      </c>
      <c r="O878" s="62" t="s">
        <v>331</v>
      </c>
      <c r="P878" s="60" t="s">
        <v>77</v>
      </c>
      <c r="Q878" s="62" t="s">
        <v>141</v>
      </c>
      <c r="R878" s="62" t="s">
        <v>2806</v>
      </c>
      <c r="S878" s="63" t="s">
        <v>717</v>
      </c>
      <c r="T878" s="63" t="s">
        <v>346</v>
      </c>
      <c r="U878" s="64">
        <v>65000</v>
      </c>
      <c r="V878" s="64">
        <v>71500</v>
      </c>
      <c r="W878" s="64">
        <v>65000</v>
      </c>
      <c r="X878" s="64">
        <v>71500</v>
      </c>
      <c r="Y878" s="64">
        <v>0</v>
      </c>
      <c r="Z878" s="64">
        <v>0</v>
      </c>
      <c r="AA878" s="61">
        <v>44646</v>
      </c>
      <c r="AB878" s="61">
        <v>44647</v>
      </c>
      <c r="AC878" s="61">
        <v>44647</v>
      </c>
      <c r="AD878" s="60">
        <v>0</v>
      </c>
      <c r="AG878" s="60">
        <v>0</v>
      </c>
      <c r="AJ878" s="60">
        <v>0</v>
      </c>
      <c r="AQ878" s="60" t="s">
        <v>2601</v>
      </c>
      <c r="AR878" s="61">
        <v>44627</v>
      </c>
      <c r="AS878" s="60">
        <v>6002001227</v>
      </c>
      <c r="AT878" s="61">
        <v>44627</v>
      </c>
      <c r="AU878" s="60" t="s">
        <v>2614</v>
      </c>
      <c r="AV878" s="61">
        <v>44639</v>
      </c>
      <c r="AW878" s="91">
        <v>44651</v>
      </c>
      <c r="AX878" s="91">
        <v>44671</v>
      </c>
      <c r="AY878" s="107">
        <v>65000</v>
      </c>
      <c r="AZ878" s="107">
        <f>ROUNDDOWN(AY878+(AY878*MASTER!$A$2/100),0)</f>
        <v>71500</v>
      </c>
      <c r="BC878" s="64">
        <v>0</v>
      </c>
      <c r="BG878" s="64">
        <v>0</v>
      </c>
      <c r="BK878" s="64">
        <v>0</v>
      </c>
      <c r="BS878" s="64">
        <v>0</v>
      </c>
      <c r="BV878" s="65">
        <v>71500</v>
      </c>
      <c r="BW878" s="65">
        <v>0</v>
      </c>
      <c r="BX878" s="65">
        <v>44620</v>
      </c>
      <c r="BY878" s="65">
        <v>71500</v>
      </c>
      <c r="BZ878" s="81">
        <v>100</v>
      </c>
    </row>
    <row r="879" spans="1:89" x14ac:dyDescent="0.15">
      <c r="A879" s="60">
        <v>1</v>
      </c>
      <c r="B879" s="61">
        <v>44634</v>
      </c>
      <c r="C879" s="61">
        <v>44641</v>
      </c>
      <c r="F879" s="61" t="s">
        <v>309</v>
      </c>
      <c r="H879" s="61" t="s">
        <v>309</v>
      </c>
      <c r="J879" s="60">
        <v>2</v>
      </c>
      <c r="L879" s="60">
        <v>0</v>
      </c>
      <c r="M879" s="61">
        <v>44621</v>
      </c>
      <c r="O879" s="62" t="s">
        <v>331</v>
      </c>
      <c r="P879" s="60" t="s">
        <v>262</v>
      </c>
      <c r="Q879" s="62" t="s">
        <v>135</v>
      </c>
      <c r="R879" s="62" t="s">
        <v>2516</v>
      </c>
      <c r="S879" s="63" t="s">
        <v>326</v>
      </c>
      <c r="T879" s="63" t="s">
        <v>2520</v>
      </c>
      <c r="U879" s="64">
        <v>438000</v>
      </c>
      <c r="V879" s="64">
        <v>481800</v>
      </c>
      <c r="W879" s="64">
        <v>438000</v>
      </c>
      <c r="X879" s="64">
        <v>481800</v>
      </c>
      <c r="Y879" s="64">
        <v>0</v>
      </c>
      <c r="Z879" s="64">
        <v>0</v>
      </c>
      <c r="AA879" s="61">
        <v>44621</v>
      </c>
      <c r="AB879" s="61">
        <v>44651</v>
      </c>
      <c r="AD879" s="60">
        <v>0</v>
      </c>
      <c r="AG879" s="60">
        <v>0</v>
      </c>
      <c r="AJ879" s="60">
        <v>0</v>
      </c>
      <c r="AQ879" s="60" t="s">
        <v>2706</v>
      </c>
      <c r="AR879" s="61">
        <v>44631</v>
      </c>
      <c r="AS879" s="60">
        <v>6002003322</v>
      </c>
      <c r="AT879" s="61">
        <v>44631</v>
      </c>
      <c r="AU879" s="60" t="s">
        <v>2711</v>
      </c>
      <c r="AV879" s="61">
        <v>44641</v>
      </c>
      <c r="AW879" s="91">
        <v>44651</v>
      </c>
      <c r="AX879" s="91">
        <v>44671</v>
      </c>
      <c r="AY879" s="107">
        <v>438000</v>
      </c>
      <c r="AZ879" s="107">
        <f>ROUNDDOWN(AY879+(AY879*MASTER!$A$2/100),0)</f>
        <v>481800</v>
      </c>
      <c r="BC879" s="64">
        <v>0</v>
      </c>
      <c r="BG879" s="64">
        <v>0</v>
      </c>
      <c r="BK879" s="64">
        <v>0</v>
      </c>
      <c r="BS879" s="64">
        <v>0</v>
      </c>
      <c r="BV879" s="65">
        <v>481800</v>
      </c>
      <c r="BW879" s="65">
        <v>0</v>
      </c>
      <c r="BX879" s="65">
        <v>44621</v>
      </c>
      <c r="BY879" s="65">
        <v>481800</v>
      </c>
      <c r="BZ879" s="81">
        <v>100</v>
      </c>
    </row>
    <row r="880" spans="1:89" x14ac:dyDescent="0.15">
      <c r="A880" s="60">
        <v>1</v>
      </c>
      <c r="B880" s="61">
        <v>44634</v>
      </c>
      <c r="C880" s="61">
        <v>44641</v>
      </c>
      <c r="F880" s="61" t="s">
        <v>309</v>
      </c>
      <c r="H880" s="61" t="s">
        <v>309</v>
      </c>
      <c r="J880" s="60">
        <v>2</v>
      </c>
      <c r="L880" s="60">
        <v>0</v>
      </c>
      <c r="M880" s="61">
        <v>44621</v>
      </c>
      <c r="O880" s="62" t="s">
        <v>331</v>
      </c>
      <c r="P880" s="60" t="s">
        <v>262</v>
      </c>
      <c r="Q880" s="62" t="s">
        <v>135</v>
      </c>
      <c r="R880" s="62" t="s">
        <v>2517</v>
      </c>
      <c r="S880" s="63" t="s">
        <v>326</v>
      </c>
      <c r="T880" s="63" t="s">
        <v>2513</v>
      </c>
      <c r="U880" s="64">
        <v>438000</v>
      </c>
      <c r="V880" s="64">
        <v>481800</v>
      </c>
      <c r="W880" s="64">
        <v>438000</v>
      </c>
      <c r="X880" s="64">
        <v>481800</v>
      </c>
      <c r="Y880" s="64">
        <v>0</v>
      </c>
      <c r="Z880" s="64">
        <v>0</v>
      </c>
      <c r="AA880" s="61">
        <v>44621</v>
      </c>
      <c r="AB880" s="61">
        <v>44651</v>
      </c>
      <c r="AD880" s="60">
        <v>0</v>
      </c>
      <c r="AG880" s="60">
        <v>0</v>
      </c>
      <c r="AJ880" s="60">
        <v>0</v>
      </c>
      <c r="AQ880" s="60" t="s">
        <v>2706</v>
      </c>
      <c r="AR880" s="61">
        <v>44631</v>
      </c>
      <c r="AS880" s="60">
        <v>6002003322</v>
      </c>
      <c r="AT880" s="61">
        <v>44631</v>
      </c>
      <c r="AU880" s="60" t="s">
        <v>2711</v>
      </c>
      <c r="AV880" s="61">
        <v>44641</v>
      </c>
      <c r="AW880" s="91">
        <v>44651</v>
      </c>
      <c r="AX880" s="91">
        <v>44671</v>
      </c>
      <c r="AY880" s="107">
        <v>438000</v>
      </c>
      <c r="AZ880" s="107">
        <f>ROUNDDOWN(AY880+(AY880*MASTER!$A$2/100),0)</f>
        <v>481800</v>
      </c>
      <c r="BC880" s="64">
        <v>0</v>
      </c>
      <c r="BG880" s="64">
        <v>0</v>
      </c>
      <c r="BK880" s="64">
        <v>0</v>
      </c>
      <c r="BS880" s="64">
        <v>0</v>
      </c>
      <c r="BV880" s="65">
        <v>481800</v>
      </c>
      <c r="BW880" s="65">
        <v>0</v>
      </c>
      <c r="BX880" s="65">
        <v>44621</v>
      </c>
      <c r="BY880" s="65">
        <v>481800</v>
      </c>
      <c r="BZ880" s="81">
        <v>100</v>
      </c>
    </row>
    <row r="881" spans="1:89" x14ac:dyDescent="0.15">
      <c r="A881" s="60">
        <v>1</v>
      </c>
      <c r="B881" s="61">
        <v>44634</v>
      </c>
      <c r="C881" s="61">
        <v>44641</v>
      </c>
      <c r="F881" s="61" t="s">
        <v>309</v>
      </c>
      <c r="H881" s="61" t="s">
        <v>309</v>
      </c>
      <c r="J881" s="60">
        <v>2</v>
      </c>
      <c r="L881" s="60">
        <v>0</v>
      </c>
      <c r="M881" s="61">
        <v>44621</v>
      </c>
      <c r="O881" s="62" t="s">
        <v>331</v>
      </c>
      <c r="P881" s="60" t="s">
        <v>262</v>
      </c>
      <c r="Q881" s="62" t="s">
        <v>135</v>
      </c>
      <c r="R881" s="62" t="s">
        <v>2518</v>
      </c>
      <c r="S881" s="63" t="s">
        <v>326</v>
      </c>
      <c r="T881" s="63" t="s">
        <v>2514</v>
      </c>
      <c r="U881" s="64">
        <v>262000</v>
      </c>
      <c r="V881" s="64">
        <v>288200</v>
      </c>
      <c r="W881" s="64">
        <v>262000</v>
      </c>
      <c r="X881" s="64">
        <v>288200</v>
      </c>
      <c r="Y881" s="64">
        <v>0</v>
      </c>
      <c r="Z881" s="64">
        <v>0</v>
      </c>
      <c r="AA881" s="61">
        <v>44621</v>
      </c>
      <c r="AB881" s="61">
        <v>44651</v>
      </c>
      <c r="AD881" s="60">
        <v>0</v>
      </c>
      <c r="AG881" s="60">
        <v>0</v>
      </c>
      <c r="AJ881" s="60">
        <v>0</v>
      </c>
      <c r="AQ881" s="60" t="s">
        <v>2706</v>
      </c>
      <c r="AR881" s="61">
        <v>44631</v>
      </c>
      <c r="AS881" s="60">
        <v>6002003322</v>
      </c>
      <c r="AT881" s="61">
        <v>44631</v>
      </c>
      <c r="AU881" s="60" t="s">
        <v>2711</v>
      </c>
      <c r="AV881" s="61">
        <v>44641</v>
      </c>
      <c r="AW881" s="91">
        <v>44651</v>
      </c>
      <c r="AX881" s="91">
        <v>44671</v>
      </c>
      <c r="AY881" s="107">
        <v>262000</v>
      </c>
      <c r="AZ881" s="107">
        <f>ROUNDDOWN(AY881+(AY881*MASTER!$A$2/100),0)</f>
        <v>288200</v>
      </c>
      <c r="BC881" s="64">
        <v>0</v>
      </c>
      <c r="BG881" s="64">
        <v>0</v>
      </c>
      <c r="BK881" s="64">
        <v>0</v>
      </c>
      <c r="BS881" s="64">
        <v>0</v>
      </c>
      <c r="BV881" s="65">
        <v>288200</v>
      </c>
      <c r="BW881" s="65">
        <v>0</v>
      </c>
      <c r="BX881" s="65">
        <v>44621</v>
      </c>
      <c r="BY881" s="65">
        <v>288200</v>
      </c>
      <c r="BZ881" s="81">
        <v>100</v>
      </c>
    </row>
    <row r="882" spans="1:89" x14ac:dyDescent="0.15">
      <c r="A882" s="60">
        <v>1</v>
      </c>
      <c r="B882" s="61">
        <v>44634</v>
      </c>
      <c r="C882" s="61">
        <v>44641</v>
      </c>
      <c r="F882" s="61" t="s">
        <v>309</v>
      </c>
      <c r="H882" s="61" t="s">
        <v>309</v>
      </c>
      <c r="J882" s="60">
        <v>2</v>
      </c>
      <c r="L882" s="60">
        <v>0</v>
      </c>
      <c r="M882" s="61">
        <v>44621</v>
      </c>
      <c r="O882" s="62" t="s">
        <v>331</v>
      </c>
      <c r="P882" s="60" t="s">
        <v>260</v>
      </c>
      <c r="Q882" s="62" t="s">
        <v>135</v>
      </c>
      <c r="R882" s="62" t="s">
        <v>2519</v>
      </c>
      <c r="S882" s="63" t="s">
        <v>417</v>
      </c>
      <c r="T882" s="63" t="s">
        <v>2515</v>
      </c>
      <c r="U882" s="64">
        <v>66000</v>
      </c>
      <c r="V882" s="64">
        <v>72600</v>
      </c>
      <c r="W882" s="64">
        <v>66000</v>
      </c>
      <c r="X882" s="64">
        <v>72600</v>
      </c>
      <c r="Y882" s="64">
        <v>0</v>
      </c>
      <c r="Z882" s="64">
        <v>0</v>
      </c>
      <c r="AA882" s="61">
        <v>44621</v>
      </c>
      <c r="AB882" s="61">
        <v>44651</v>
      </c>
      <c r="AD882" s="60">
        <v>0</v>
      </c>
      <c r="AG882" s="60">
        <v>0</v>
      </c>
      <c r="AJ882" s="60">
        <v>0</v>
      </c>
      <c r="AQ882" s="60" t="s">
        <v>2650</v>
      </c>
      <c r="AR882" s="61">
        <v>44629</v>
      </c>
      <c r="AS882" s="60">
        <v>6002002319</v>
      </c>
      <c r="AT882" s="61">
        <v>44631</v>
      </c>
      <c r="AU882" s="60" t="s">
        <v>2707</v>
      </c>
      <c r="AV882" s="61">
        <v>44641</v>
      </c>
      <c r="AW882" s="91">
        <v>44651</v>
      </c>
      <c r="AX882" s="91">
        <v>44671</v>
      </c>
      <c r="AY882" s="99">
        <v>63360</v>
      </c>
      <c r="AZ882" s="99">
        <f>ROUNDDOWN(AY882+(AY882*MASTER!$A$2/100),0)</f>
        <v>69696</v>
      </c>
      <c r="BC882" s="64">
        <v>0</v>
      </c>
      <c r="BG882" s="64">
        <v>0</v>
      </c>
      <c r="BK882" s="64">
        <v>0</v>
      </c>
      <c r="BS882" s="64">
        <v>0</v>
      </c>
      <c r="BV882" s="65">
        <v>72600</v>
      </c>
      <c r="BW882" s="65">
        <v>0</v>
      </c>
      <c r="BX882" s="65">
        <v>44621</v>
      </c>
      <c r="BY882" s="65">
        <v>72600</v>
      </c>
      <c r="BZ882" s="81">
        <v>100</v>
      </c>
    </row>
    <row r="883" spans="1:89" x14ac:dyDescent="0.15">
      <c r="A883" s="60">
        <v>1</v>
      </c>
      <c r="B883" s="61">
        <v>44630</v>
      </c>
      <c r="C883" s="61">
        <v>44640</v>
      </c>
      <c r="F883" s="61" t="s">
        <v>309</v>
      </c>
      <c r="H883" s="61" t="s">
        <v>309</v>
      </c>
      <c r="J883" s="60">
        <v>2</v>
      </c>
      <c r="L883" s="60">
        <v>0</v>
      </c>
      <c r="M883" s="61">
        <v>44621</v>
      </c>
      <c r="O883" s="62" t="s">
        <v>331</v>
      </c>
      <c r="P883" s="60" t="s">
        <v>26</v>
      </c>
      <c r="Q883" s="62" t="s">
        <v>135</v>
      </c>
      <c r="R883" s="62" t="s">
        <v>2521</v>
      </c>
      <c r="S883" s="63" t="s">
        <v>326</v>
      </c>
      <c r="T883" s="63" t="s">
        <v>2522</v>
      </c>
      <c r="U883" s="64">
        <v>150000</v>
      </c>
      <c r="V883" s="64">
        <v>165000</v>
      </c>
      <c r="W883" s="64">
        <v>150000</v>
      </c>
      <c r="X883" s="64">
        <v>165000</v>
      </c>
      <c r="Z883" s="64">
        <v>0</v>
      </c>
      <c r="AD883" s="60">
        <v>0</v>
      </c>
      <c r="AG883" s="60">
        <v>0</v>
      </c>
      <c r="AJ883" s="60">
        <v>0</v>
      </c>
      <c r="AN883" s="60" t="s">
        <v>309</v>
      </c>
      <c r="AQ883" s="60" t="s">
        <v>2531</v>
      </c>
      <c r="AR883" s="61">
        <v>44622</v>
      </c>
      <c r="AS883" s="60">
        <v>6001999338</v>
      </c>
      <c r="AT883" s="61">
        <v>44625</v>
      </c>
      <c r="AU883" s="60" t="s">
        <v>2599</v>
      </c>
      <c r="AV883" s="61">
        <v>44640</v>
      </c>
      <c r="AW883" s="91">
        <v>44651</v>
      </c>
      <c r="AX883" s="91">
        <v>44671</v>
      </c>
      <c r="AY883" s="174">
        <v>150000</v>
      </c>
      <c r="AZ883" s="174">
        <v>165000</v>
      </c>
      <c r="BC883" s="64">
        <v>0</v>
      </c>
      <c r="BG883" s="64">
        <v>0</v>
      </c>
      <c r="BK883" s="64">
        <v>0</v>
      </c>
      <c r="BS883" s="64">
        <v>0</v>
      </c>
      <c r="BV883" s="65">
        <v>165000</v>
      </c>
      <c r="BW883" s="65">
        <v>0</v>
      </c>
      <c r="BX883" s="65">
        <v>44621</v>
      </c>
      <c r="BY883" s="65">
        <v>165000</v>
      </c>
      <c r="BZ883" s="81">
        <v>100</v>
      </c>
    </row>
    <row r="884" spans="1:89" x14ac:dyDescent="0.15">
      <c r="A884" s="60">
        <v>1</v>
      </c>
      <c r="C884" s="61" t="s">
        <v>309</v>
      </c>
      <c r="D884" s="61">
        <v>44621</v>
      </c>
      <c r="E884" s="61">
        <v>44621</v>
      </c>
      <c r="F884" s="61" t="s">
        <v>309</v>
      </c>
      <c r="G884" s="61">
        <v>44621</v>
      </c>
      <c r="H884" s="61" t="s">
        <v>309</v>
      </c>
      <c r="I884" s="60" t="s">
        <v>766</v>
      </c>
      <c r="J884" s="60">
        <v>4</v>
      </c>
      <c r="L884" s="60">
        <v>0</v>
      </c>
      <c r="M884" s="61">
        <v>44621</v>
      </c>
      <c r="O884" s="62" t="s">
        <v>331</v>
      </c>
      <c r="P884" s="60" t="s">
        <v>6</v>
      </c>
      <c r="Q884" s="62" t="s">
        <v>135</v>
      </c>
      <c r="R884" s="62" t="s">
        <v>2533</v>
      </c>
      <c r="S884" s="63" t="s">
        <v>1233</v>
      </c>
      <c r="T884" s="63" t="s">
        <v>972</v>
      </c>
      <c r="U884" s="64">
        <v>0</v>
      </c>
      <c r="V884" s="64">
        <v>0</v>
      </c>
      <c r="W884" s="64">
        <v>0</v>
      </c>
      <c r="X884" s="64">
        <v>0</v>
      </c>
      <c r="Y884" s="64">
        <v>0</v>
      </c>
      <c r="Z884" s="64">
        <v>0</v>
      </c>
      <c r="AA884" s="61">
        <v>44620</v>
      </c>
      <c r="AB884" s="61">
        <v>44620</v>
      </c>
      <c r="AD884" s="60">
        <v>0</v>
      </c>
      <c r="AG884" s="60">
        <v>0</v>
      </c>
      <c r="AJ884" s="60">
        <v>0</v>
      </c>
      <c r="AN884" s="60" t="s">
        <v>309</v>
      </c>
      <c r="AY884" s="99">
        <v>0</v>
      </c>
      <c r="AZ884" s="99">
        <f>ROUNDDOWN(AY884+(AY884*MASTER!$A$2/100),0)</f>
        <v>0</v>
      </c>
      <c r="BA884" s="60" t="s">
        <v>318</v>
      </c>
      <c r="BB884" s="64">
        <v>44000</v>
      </c>
      <c r="BC884" s="64">
        <v>48400</v>
      </c>
      <c r="BD884" s="60" t="s">
        <v>2044</v>
      </c>
      <c r="BG884" s="64">
        <v>0</v>
      </c>
      <c r="BK884" s="64">
        <v>0</v>
      </c>
      <c r="BS884" s="64">
        <v>0</v>
      </c>
      <c r="BV884" s="65">
        <v>0</v>
      </c>
      <c r="BW884" s="65">
        <v>48400</v>
      </c>
      <c r="BX884" s="65">
        <v>44621</v>
      </c>
      <c r="BY884" s="65">
        <v>-48400</v>
      </c>
      <c r="BZ884" s="81" t="s">
        <v>309</v>
      </c>
    </row>
    <row r="885" spans="1:89" s="152" customFormat="1" x14ac:dyDescent="0.15">
      <c r="A885" s="142">
        <v>3</v>
      </c>
      <c r="B885" s="143"/>
      <c r="C885" s="143" t="s">
        <v>309</v>
      </c>
      <c r="D885" s="143"/>
      <c r="E885" s="143"/>
      <c r="F885" s="143" t="s">
        <v>309</v>
      </c>
      <c r="G885" s="143"/>
      <c r="H885" s="143" t="s">
        <v>309</v>
      </c>
      <c r="I885" s="142"/>
      <c r="J885" s="142">
        <v>2</v>
      </c>
      <c r="K885" s="143"/>
      <c r="L885" s="142">
        <v>0</v>
      </c>
      <c r="M885" s="143">
        <v>44621</v>
      </c>
      <c r="N885" s="143"/>
      <c r="O885" s="144" t="s">
        <v>331</v>
      </c>
      <c r="P885" s="142" t="s">
        <v>26</v>
      </c>
      <c r="Q885" s="144" t="s">
        <v>135</v>
      </c>
      <c r="R885" s="144" t="s">
        <v>3337</v>
      </c>
      <c r="S885" s="145" t="s">
        <v>3338</v>
      </c>
      <c r="T885" s="145" t="s">
        <v>656</v>
      </c>
      <c r="U885" s="146">
        <v>49500</v>
      </c>
      <c r="V885" s="146">
        <v>54450</v>
      </c>
      <c r="W885" s="146">
        <v>49500</v>
      </c>
      <c r="X885" s="146">
        <v>54450</v>
      </c>
      <c r="Y885" s="146">
        <v>0</v>
      </c>
      <c r="Z885" s="146">
        <v>0</v>
      </c>
      <c r="AA885" s="143"/>
      <c r="AB885" s="143"/>
      <c r="AC885" s="143"/>
      <c r="AD885" s="142">
        <v>0</v>
      </c>
      <c r="AE885" s="142"/>
      <c r="AF885" s="142"/>
      <c r="AG885" s="142">
        <v>0</v>
      </c>
      <c r="AH885" s="142"/>
      <c r="AI885" s="142"/>
      <c r="AJ885" s="142">
        <v>0</v>
      </c>
      <c r="AK885" s="142"/>
      <c r="AL885" s="142"/>
      <c r="AM885" s="142"/>
      <c r="AN885" s="142" t="s">
        <v>309</v>
      </c>
      <c r="AO885" s="143"/>
      <c r="AP885" s="142"/>
      <c r="AQ885" s="142"/>
      <c r="AR885" s="143"/>
      <c r="AS885" s="142"/>
      <c r="AT885" s="143"/>
      <c r="AU885" s="142"/>
      <c r="AV885" s="143"/>
      <c r="AW885" s="147"/>
      <c r="AX885" s="147"/>
      <c r="AY885" s="148">
        <v>47520</v>
      </c>
      <c r="AZ885" s="148">
        <f>ROUNDDOWN(AY885+(AY885*MASTER!$A$2/100),0)</f>
        <v>52272</v>
      </c>
      <c r="BA885" s="142"/>
      <c r="BB885" s="146"/>
      <c r="BC885" s="146">
        <v>0</v>
      </c>
      <c r="BD885" s="142"/>
      <c r="BE885" s="142"/>
      <c r="BF885" s="146"/>
      <c r="BG885" s="146">
        <v>0</v>
      </c>
      <c r="BH885" s="142"/>
      <c r="BI885" s="142"/>
      <c r="BJ885" s="146"/>
      <c r="BK885" s="146">
        <v>0</v>
      </c>
      <c r="BL885" s="142"/>
      <c r="BM885" s="146"/>
      <c r="BN885" s="146"/>
      <c r="BO885" s="146"/>
      <c r="BP885" s="146"/>
      <c r="BQ885" s="146"/>
      <c r="BR885" s="146"/>
      <c r="BS885" s="146">
        <v>0</v>
      </c>
      <c r="BT885" s="149"/>
      <c r="BU885" s="149"/>
      <c r="BV885" s="150">
        <v>54450</v>
      </c>
      <c r="BW885" s="150">
        <v>0</v>
      </c>
      <c r="BX885" s="150">
        <v>44621</v>
      </c>
      <c r="BY885" s="150">
        <v>54450</v>
      </c>
      <c r="BZ885" s="151">
        <v>100</v>
      </c>
      <c r="CA885" s="142"/>
      <c r="CB885" s="142"/>
      <c r="CC885" s="142"/>
      <c r="CD885" s="145" t="s">
        <v>3339</v>
      </c>
      <c r="CE885" s="143"/>
      <c r="CF885" s="143"/>
      <c r="CG885" s="143"/>
      <c r="CH885" s="143"/>
      <c r="CI885" s="143"/>
      <c r="CJ885" s="143"/>
      <c r="CK885" s="146"/>
    </row>
    <row r="886" spans="1:89" x14ac:dyDescent="0.15">
      <c r="A886" s="60">
        <v>2</v>
      </c>
      <c r="B886" s="61">
        <v>44655</v>
      </c>
      <c r="C886" s="61">
        <v>44658</v>
      </c>
      <c r="D886" s="61">
        <v>44693</v>
      </c>
      <c r="E886" s="61">
        <v>44664</v>
      </c>
      <c r="F886" s="61">
        <v>44665</v>
      </c>
      <c r="H886" s="61">
        <v>44661</v>
      </c>
      <c r="I886" s="60" t="s">
        <v>511</v>
      </c>
      <c r="J886" s="60">
        <v>1</v>
      </c>
      <c r="L886" s="60">
        <v>0</v>
      </c>
      <c r="M886" s="61">
        <v>44621</v>
      </c>
      <c r="O886" s="62" t="s">
        <v>331</v>
      </c>
      <c r="P886" s="60" t="s">
        <v>26</v>
      </c>
      <c r="Q886" s="62" t="s">
        <v>135</v>
      </c>
      <c r="R886" s="62" t="s">
        <v>2761</v>
      </c>
      <c r="S886" s="63" t="s">
        <v>685</v>
      </c>
      <c r="T886" s="63" t="s">
        <v>2762</v>
      </c>
      <c r="U886" s="64">
        <v>811025</v>
      </c>
      <c r="V886" s="64">
        <v>892127.5</v>
      </c>
      <c r="W886" s="64">
        <v>712325</v>
      </c>
      <c r="X886" s="64">
        <v>783557.5</v>
      </c>
      <c r="Y886" s="64">
        <v>98700</v>
      </c>
      <c r="Z886" s="64">
        <v>108570</v>
      </c>
      <c r="AA886" s="61">
        <v>44655</v>
      </c>
      <c r="AB886" s="61">
        <v>44658</v>
      </c>
      <c r="AC886" s="61">
        <v>44658</v>
      </c>
      <c r="AD886" s="60">
        <v>0</v>
      </c>
      <c r="AG886" s="60">
        <v>0</v>
      </c>
      <c r="AJ886" s="60">
        <v>0</v>
      </c>
      <c r="AM886" s="60" t="s">
        <v>273</v>
      </c>
      <c r="AN886" s="60" t="s">
        <v>2763</v>
      </c>
      <c r="AQ886" s="60" t="s">
        <v>3003</v>
      </c>
      <c r="AR886" s="61">
        <v>44635</v>
      </c>
      <c r="AS886" s="60">
        <v>6002004348</v>
      </c>
      <c r="AT886" s="61">
        <v>44636</v>
      </c>
      <c r="AU886" s="60" t="s">
        <v>2778</v>
      </c>
      <c r="AV886" s="61">
        <v>44658</v>
      </c>
      <c r="AW886" s="91">
        <v>44681</v>
      </c>
      <c r="AX886" s="91">
        <v>44701</v>
      </c>
      <c r="AY886" s="99">
        <v>778584</v>
      </c>
      <c r="AZ886" s="99">
        <f>ROUNDDOWN(AY886+(AY886*MASTER!$A$2/100),0)</f>
        <v>856442</v>
      </c>
      <c r="BA886" s="60" t="s">
        <v>317</v>
      </c>
      <c r="BB886" s="64">
        <v>349920</v>
      </c>
      <c r="BC886" s="64">
        <v>384912</v>
      </c>
      <c r="BD886" s="60" t="s">
        <v>643</v>
      </c>
      <c r="BG886" s="64">
        <v>0</v>
      </c>
      <c r="BI886" s="60" t="s">
        <v>748</v>
      </c>
      <c r="BJ886" s="64">
        <v>64155</v>
      </c>
      <c r="BK886" s="64">
        <v>70570.5</v>
      </c>
      <c r="BL886" s="60" t="s">
        <v>643</v>
      </c>
      <c r="BS886" s="64">
        <v>0</v>
      </c>
      <c r="BV886" s="65">
        <v>783557.5</v>
      </c>
      <c r="BW886" s="65">
        <v>455482.5</v>
      </c>
      <c r="BX886" s="65">
        <v>44621</v>
      </c>
      <c r="BY886" s="65">
        <v>328075</v>
      </c>
      <c r="BZ886" s="81">
        <v>41.869932965991644</v>
      </c>
    </row>
    <row r="887" spans="1:89" s="152" customFormat="1" x14ac:dyDescent="0.15">
      <c r="A887" s="142">
        <v>3</v>
      </c>
      <c r="B887" s="143"/>
      <c r="C887" s="143" t="s">
        <v>309</v>
      </c>
      <c r="D887" s="143"/>
      <c r="E887" s="143"/>
      <c r="F887" s="143" t="s">
        <v>309</v>
      </c>
      <c r="G887" s="143"/>
      <c r="H887" s="143" t="s">
        <v>309</v>
      </c>
      <c r="I887" s="142"/>
      <c r="J887" s="142">
        <v>2</v>
      </c>
      <c r="K887" s="143"/>
      <c r="L887" s="142">
        <v>0</v>
      </c>
      <c r="M887" s="143">
        <v>44621</v>
      </c>
      <c r="N887" s="143"/>
      <c r="O887" s="144" t="s">
        <v>331</v>
      </c>
      <c r="P887" s="142" t="s">
        <v>6</v>
      </c>
      <c r="Q887" s="144" t="s">
        <v>135</v>
      </c>
      <c r="R887" s="144" t="s">
        <v>3340</v>
      </c>
      <c r="S887" s="145" t="s">
        <v>3341</v>
      </c>
      <c r="T887" s="145" t="s">
        <v>364</v>
      </c>
      <c r="U887" s="146">
        <v>35000</v>
      </c>
      <c r="V887" s="146">
        <v>38500</v>
      </c>
      <c r="W887" s="146">
        <v>35000</v>
      </c>
      <c r="X887" s="146">
        <v>38500</v>
      </c>
      <c r="Y887" s="146">
        <v>0</v>
      </c>
      <c r="Z887" s="146">
        <v>0</v>
      </c>
      <c r="AA887" s="143"/>
      <c r="AB887" s="143"/>
      <c r="AC887" s="143"/>
      <c r="AD887" s="142">
        <v>0</v>
      </c>
      <c r="AE887" s="142"/>
      <c r="AF887" s="142"/>
      <c r="AG887" s="142">
        <v>0</v>
      </c>
      <c r="AH887" s="142"/>
      <c r="AI887" s="142"/>
      <c r="AJ887" s="142">
        <v>0</v>
      </c>
      <c r="AK887" s="142"/>
      <c r="AL887" s="142"/>
      <c r="AM887" s="142"/>
      <c r="AN887" s="142" t="s">
        <v>309</v>
      </c>
      <c r="AO887" s="143"/>
      <c r="AP887" s="142"/>
      <c r="AQ887" s="142"/>
      <c r="AR887" s="143"/>
      <c r="AS887" s="142"/>
      <c r="AT887" s="143"/>
      <c r="AU887" s="142"/>
      <c r="AV887" s="143"/>
      <c r="AW887" s="147"/>
      <c r="AX887" s="147"/>
      <c r="AY887" s="148">
        <v>33600</v>
      </c>
      <c r="AZ887" s="148">
        <f>ROUNDDOWN(AY887+(AY887*MASTER!$A$2/100),0)</f>
        <v>36960</v>
      </c>
      <c r="BA887" s="142"/>
      <c r="BB887" s="146"/>
      <c r="BC887" s="146">
        <v>0</v>
      </c>
      <c r="BD887" s="142"/>
      <c r="BE887" s="142"/>
      <c r="BF887" s="146"/>
      <c r="BG887" s="146">
        <v>0</v>
      </c>
      <c r="BH887" s="142"/>
      <c r="BI887" s="142"/>
      <c r="BJ887" s="146"/>
      <c r="BK887" s="146">
        <v>0</v>
      </c>
      <c r="BL887" s="142"/>
      <c r="BM887" s="146"/>
      <c r="BN887" s="146"/>
      <c r="BO887" s="146"/>
      <c r="BP887" s="146"/>
      <c r="BQ887" s="146"/>
      <c r="BR887" s="146"/>
      <c r="BS887" s="146">
        <v>0</v>
      </c>
      <c r="BT887" s="149"/>
      <c r="BU887" s="149"/>
      <c r="BV887" s="150">
        <v>38500</v>
      </c>
      <c r="BW887" s="150">
        <v>0</v>
      </c>
      <c r="BX887" s="150">
        <v>44621</v>
      </c>
      <c r="BY887" s="150">
        <v>38500</v>
      </c>
      <c r="BZ887" s="151">
        <v>100</v>
      </c>
      <c r="CA887" s="142"/>
      <c r="CB887" s="142"/>
      <c r="CC887" s="142"/>
      <c r="CD887" s="145" t="s">
        <v>3339</v>
      </c>
      <c r="CE887" s="143"/>
      <c r="CF887" s="143"/>
      <c r="CG887" s="143"/>
      <c r="CH887" s="143"/>
      <c r="CI887" s="143"/>
      <c r="CJ887" s="143"/>
      <c r="CK887" s="146"/>
    </row>
    <row r="888" spans="1:89" s="152" customFormat="1" x14ac:dyDescent="0.15">
      <c r="A888" s="142">
        <v>3</v>
      </c>
      <c r="B888" s="143"/>
      <c r="C888" s="143" t="s">
        <v>309</v>
      </c>
      <c r="D888" s="143"/>
      <c r="E888" s="143"/>
      <c r="F888" s="143" t="s">
        <v>309</v>
      </c>
      <c r="G888" s="143"/>
      <c r="H888" s="143" t="s">
        <v>309</v>
      </c>
      <c r="I888" s="142"/>
      <c r="J888" s="142">
        <v>2</v>
      </c>
      <c r="K888" s="143"/>
      <c r="L888" s="142">
        <v>0</v>
      </c>
      <c r="M888" s="143">
        <v>44622</v>
      </c>
      <c r="N888" s="143"/>
      <c r="O888" s="144" t="s">
        <v>331</v>
      </c>
      <c r="P888" s="142" t="s">
        <v>26</v>
      </c>
      <c r="Q888" s="144" t="s">
        <v>135</v>
      </c>
      <c r="R888" s="144" t="s">
        <v>2686</v>
      </c>
      <c r="S888" s="145" t="s">
        <v>2687</v>
      </c>
      <c r="T888" s="145" t="s">
        <v>1432</v>
      </c>
      <c r="U888" s="146">
        <v>684000</v>
      </c>
      <c r="V888" s="146">
        <v>752400</v>
      </c>
      <c r="W888" s="146">
        <v>684000</v>
      </c>
      <c r="X888" s="146">
        <v>752400</v>
      </c>
      <c r="Y888" s="146"/>
      <c r="Z888" s="146">
        <v>0</v>
      </c>
      <c r="AA888" s="143">
        <v>44634</v>
      </c>
      <c r="AB888" s="143">
        <v>44636</v>
      </c>
      <c r="AC888" s="143"/>
      <c r="AD888" s="142">
        <v>0</v>
      </c>
      <c r="AE888" s="142"/>
      <c r="AF888" s="142"/>
      <c r="AG888" s="142">
        <v>0</v>
      </c>
      <c r="AH888" s="142"/>
      <c r="AI888" s="142"/>
      <c r="AJ888" s="142">
        <v>0</v>
      </c>
      <c r="AK888" s="142"/>
      <c r="AL888" s="142"/>
      <c r="AM888" s="142" t="s">
        <v>273</v>
      </c>
      <c r="AN888" s="142" t="s">
        <v>2688</v>
      </c>
      <c r="AO888" s="143"/>
      <c r="AP888" s="142"/>
      <c r="AQ888" s="142"/>
      <c r="AR888" s="143"/>
      <c r="AS888" s="142"/>
      <c r="AT888" s="143"/>
      <c r="AU888" s="142"/>
      <c r="AV888" s="143"/>
      <c r="AW888" s="147"/>
      <c r="AX888" s="147"/>
      <c r="AY888" s="148">
        <v>656640</v>
      </c>
      <c r="AZ888" s="148">
        <f>ROUNDDOWN(AY888+(AY888*MASTER!$A$2/100),0)</f>
        <v>722304</v>
      </c>
      <c r="BA888" s="142"/>
      <c r="BB888" s="146"/>
      <c r="BC888" s="146">
        <v>0</v>
      </c>
      <c r="BD888" s="142"/>
      <c r="BE888" s="142"/>
      <c r="BF888" s="146"/>
      <c r="BG888" s="146">
        <v>0</v>
      </c>
      <c r="BH888" s="142"/>
      <c r="BI888" s="142"/>
      <c r="BJ888" s="146"/>
      <c r="BK888" s="146">
        <v>0</v>
      </c>
      <c r="BL888" s="142"/>
      <c r="BM888" s="146"/>
      <c r="BN888" s="146"/>
      <c r="BO888" s="146"/>
      <c r="BP888" s="146"/>
      <c r="BQ888" s="146"/>
      <c r="BR888" s="146"/>
      <c r="BS888" s="146">
        <v>0</v>
      </c>
      <c r="BT888" s="149"/>
      <c r="BU888" s="149"/>
      <c r="BV888" s="150">
        <v>752400</v>
      </c>
      <c r="BW888" s="150">
        <v>0</v>
      </c>
      <c r="BX888" s="150">
        <v>44622</v>
      </c>
      <c r="BY888" s="150">
        <v>752400</v>
      </c>
      <c r="BZ888" s="151">
        <v>100</v>
      </c>
      <c r="CA888" s="142"/>
      <c r="CB888" s="142"/>
      <c r="CC888" s="142"/>
      <c r="CD888" s="145" t="s">
        <v>2689</v>
      </c>
      <c r="CE888" s="143"/>
      <c r="CF888" s="143"/>
      <c r="CG888" s="143"/>
      <c r="CH888" s="143"/>
      <c r="CI888" s="143"/>
      <c r="CJ888" s="143"/>
      <c r="CK888" s="146"/>
    </row>
    <row r="889" spans="1:89" x14ac:dyDescent="0.15">
      <c r="A889" s="60">
        <v>2</v>
      </c>
      <c r="B889" s="61">
        <v>44644</v>
      </c>
      <c r="C889" s="61">
        <v>44651</v>
      </c>
      <c r="D889" s="61">
        <v>44658</v>
      </c>
      <c r="E889" s="61">
        <v>44636</v>
      </c>
      <c r="F889" s="61" t="s">
        <v>309</v>
      </c>
      <c r="G889" s="61">
        <v>44636</v>
      </c>
      <c r="H889" s="61" t="s">
        <v>309</v>
      </c>
      <c r="I889" s="60" t="s">
        <v>511</v>
      </c>
      <c r="J889" s="60">
        <v>2</v>
      </c>
      <c r="L889" s="60">
        <v>0</v>
      </c>
      <c r="M889" s="61">
        <v>44622</v>
      </c>
      <c r="O889" s="62" t="s">
        <v>331</v>
      </c>
      <c r="P889" s="60" t="s">
        <v>26</v>
      </c>
      <c r="Q889" s="62" t="s">
        <v>135</v>
      </c>
      <c r="R889" s="62" t="s">
        <v>2681</v>
      </c>
      <c r="S889" s="63" t="s">
        <v>2682</v>
      </c>
      <c r="T889" s="63" t="s">
        <v>2683</v>
      </c>
      <c r="U889" s="64">
        <v>261000</v>
      </c>
      <c r="V889" s="64">
        <v>287100</v>
      </c>
      <c r="W889" s="64">
        <v>261000</v>
      </c>
      <c r="X889" s="64">
        <v>287100</v>
      </c>
      <c r="Y889" s="64">
        <v>0</v>
      </c>
      <c r="Z889" s="64">
        <v>0</v>
      </c>
      <c r="AA889" s="61">
        <v>44634</v>
      </c>
      <c r="AB889" s="61">
        <v>44636</v>
      </c>
      <c r="AD889" s="60">
        <v>0</v>
      </c>
      <c r="AG889" s="60">
        <v>0</v>
      </c>
      <c r="AJ889" s="60">
        <v>0</v>
      </c>
      <c r="AM889" s="60" t="s">
        <v>273</v>
      </c>
      <c r="AN889" s="60" t="s">
        <v>2684</v>
      </c>
      <c r="AQ889" s="60" t="s">
        <v>2685</v>
      </c>
      <c r="AR889" s="61">
        <v>44631</v>
      </c>
      <c r="AS889" s="60">
        <v>6002003324</v>
      </c>
      <c r="AT889" s="61">
        <v>44631</v>
      </c>
      <c r="AU889" s="60" t="s">
        <v>2710</v>
      </c>
      <c r="AV889" s="61">
        <v>44651</v>
      </c>
      <c r="AW889" s="91">
        <v>44651</v>
      </c>
      <c r="AX889" s="91">
        <v>44671</v>
      </c>
      <c r="AY889" s="99">
        <v>250560</v>
      </c>
      <c r="AZ889" s="99">
        <f>ROUNDDOWN(AY889+(AY889*MASTER!$A$2/100),0)</f>
        <v>275616</v>
      </c>
      <c r="BA889" s="60" t="s">
        <v>314</v>
      </c>
      <c r="BB889" s="64">
        <v>109000</v>
      </c>
      <c r="BC889" s="64">
        <v>119900</v>
      </c>
      <c r="BD889" s="60" t="s">
        <v>2107</v>
      </c>
      <c r="BG889" s="64">
        <v>0</v>
      </c>
      <c r="BK889" s="64">
        <v>0</v>
      </c>
      <c r="BS889" s="64">
        <v>0</v>
      </c>
      <c r="BV889" s="65">
        <v>287100</v>
      </c>
      <c r="BW889" s="65">
        <v>119900</v>
      </c>
      <c r="BX889" s="65">
        <v>44622</v>
      </c>
      <c r="BY889" s="65">
        <v>167200</v>
      </c>
      <c r="BZ889" s="81">
        <v>58.237547892720308</v>
      </c>
    </row>
    <row r="890" spans="1:89" s="152" customFormat="1" x14ac:dyDescent="0.15">
      <c r="A890" s="142">
        <v>3</v>
      </c>
      <c r="B890" s="143"/>
      <c r="C890" s="143" t="s">
        <v>309</v>
      </c>
      <c r="D890" s="143"/>
      <c r="E890" s="143"/>
      <c r="F890" s="143" t="s">
        <v>309</v>
      </c>
      <c r="G890" s="143"/>
      <c r="H890" s="143" t="s">
        <v>309</v>
      </c>
      <c r="I890" s="142"/>
      <c r="J890" s="142">
        <v>2</v>
      </c>
      <c r="K890" s="143"/>
      <c r="L890" s="142">
        <v>0</v>
      </c>
      <c r="M890" s="143">
        <v>44622</v>
      </c>
      <c r="N890" s="143"/>
      <c r="O890" s="144" t="s">
        <v>331</v>
      </c>
      <c r="P890" s="142" t="s">
        <v>6</v>
      </c>
      <c r="Q890" s="144" t="s">
        <v>135</v>
      </c>
      <c r="R890" s="144" t="s">
        <v>2748</v>
      </c>
      <c r="S890" s="145" t="s">
        <v>1514</v>
      </c>
      <c r="T890" s="145" t="s">
        <v>364</v>
      </c>
      <c r="U890" s="146">
        <v>35000</v>
      </c>
      <c r="V890" s="146">
        <v>38500</v>
      </c>
      <c r="W890" s="146">
        <v>35000</v>
      </c>
      <c r="X890" s="146">
        <v>38500</v>
      </c>
      <c r="Y890" s="146">
        <v>0</v>
      </c>
      <c r="Z890" s="146">
        <v>0</v>
      </c>
      <c r="AA890" s="143"/>
      <c r="AB890" s="143"/>
      <c r="AC890" s="143"/>
      <c r="AD890" s="142">
        <v>0</v>
      </c>
      <c r="AE890" s="142"/>
      <c r="AF890" s="142"/>
      <c r="AG890" s="142">
        <v>0</v>
      </c>
      <c r="AH890" s="142"/>
      <c r="AI890" s="142"/>
      <c r="AJ890" s="142">
        <v>0</v>
      </c>
      <c r="AK890" s="142"/>
      <c r="AL890" s="142"/>
      <c r="AM890" s="142"/>
      <c r="AN890" s="142" t="s">
        <v>309</v>
      </c>
      <c r="AO890" s="143"/>
      <c r="AP890" s="142"/>
      <c r="AQ890" s="142"/>
      <c r="AR890" s="143"/>
      <c r="AS890" s="142"/>
      <c r="AT890" s="143"/>
      <c r="AU890" s="142"/>
      <c r="AV890" s="143"/>
      <c r="AW890" s="147"/>
      <c r="AX890" s="147"/>
      <c r="AY890" s="148">
        <v>33600</v>
      </c>
      <c r="AZ890" s="148">
        <f>ROUNDDOWN(AY890+(AY890*MASTER!$A$2/100),0)</f>
        <v>36960</v>
      </c>
      <c r="BA890" s="142"/>
      <c r="BB890" s="146"/>
      <c r="BC890" s="146">
        <v>0</v>
      </c>
      <c r="BD890" s="142"/>
      <c r="BE890" s="142"/>
      <c r="BF890" s="146"/>
      <c r="BG890" s="146">
        <v>0</v>
      </c>
      <c r="BH890" s="142"/>
      <c r="BI890" s="142"/>
      <c r="BJ890" s="146"/>
      <c r="BK890" s="146">
        <v>0</v>
      </c>
      <c r="BL890" s="142"/>
      <c r="BM890" s="146"/>
      <c r="BN890" s="146"/>
      <c r="BO890" s="146"/>
      <c r="BP890" s="146"/>
      <c r="BQ890" s="146"/>
      <c r="BR890" s="146"/>
      <c r="BS890" s="146">
        <v>0</v>
      </c>
      <c r="BT890" s="149"/>
      <c r="BU890" s="149"/>
      <c r="BV890" s="150">
        <v>38500</v>
      </c>
      <c r="BW890" s="150">
        <v>0</v>
      </c>
      <c r="BX890" s="150">
        <v>44622</v>
      </c>
      <c r="BY890" s="150">
        <v>38500</v>
      </c>
      <c r="BZ890" s="151">
        <v>100</v>
      </c>
      <c r="CA890" s="142"/>
      <c r="CB890" s="142"/>
      <c r="CC890" s="142"/>
      <c r="CD890" s="145" t="s">
        <v>2749</v>
      </c>
      <c r="CE890" s="143"/>
      <c r="CF890" s="143"/>
      <c r="CG890" s="143"/>
      <c r="CH890" s="143"/>
      <c r="CI890" s="143"/>
      <c r="CJ890" s="143"/>
      <c r="CK890" s="146"/>
    </row>
    <row r="891" spans="1:89" x14ac:dyDescent="0.15">
      <c r="A891" s="60">
        <v>2</v>
      </c>
      <c r="B891" s="61">
        <v>44634</v>
      </c>
      <c r="C891" s="61">
        <v>44634</v>
      </c>
      <c r="D891" s="61">
        <v>44628</v>
      </c>
      <c r="E891" s="61">
        <v>44628</v>
      </c>
      <c r="F891" s="61" t="s">
        <v>309</v>
      </c>
      <c r="G891" s="61">
        <v>44628</v>
      </c>
      <c r="H891" s="61" t="s">
        <v>309</v>
      </c>
      <c r="I891" s="60" t="s">
        <v>766</v>
      </c>
      <c r="J891" s="60">
        <v>2</v>
      </c>
      <c r="L891" s="60">
        <v>0</v>
      </c>
      <c r="M891" s="61">
        <v>44622</v>
      </c>
      <c r="O891" s="62" t="s">
        <v>331</v>
      </c>
      <c r="P891" s="60" t="s">
        <v>6</v>
      </c>
      <c r="Q891" s="62" t="s">
        <v>135</v>
      </c>
      <c r="R891" s="62" t="s">
        <v>2726</v>
      </c>
      <c r="S891" s="63" t="s">
        <v>513</v>
      </c>
      <c r="T891" s="63" t="s">
        <v>364</v>
      </c>
      <c r="U891" s="64">
        <v>35000</v>
      </c>
      <c r="V891" s="64">
        <v>38500</v>
      </c>
      <c r="W891" s="64">
        <v>35000</v>
      </c>
      <c r="X891" s="64">
        <v>38500</v>
      </c>
      <c r="Z891" s="64">
        <v>0</v>
      </c>
      <c r="AA891" s="61">
        <v>44627</v>
      </c>
      <c r="AB891" s="61">
        <v>44627</v>
      </c>
      <c r="AD891" s="60">
        <v>0</v>
      </c>
      <c r="AG891" s="60">
        <v>0</v>
      </c>
      <c r="AJ891" s="60">
        <v>0</v>
      </c>
      <c r="AN891" s="60" t="s">
        <v>309</v>
      </c>
      <c r="AQ891" s="60" t="s">
        <v>2642</v>
      </c>
      <c r="AR891" s="61">
        <v>44629</v>
      </c>
      <c r="AS891" s="60">
        <v>6002002319</v>
      </c>
      <c r="AT891" s="61">
        <v>44631</v>
      </c>
      <c r="AU891" s="60" t="s">
        <v>2707</v>
      </c>
      <c r="AV891" s="61">
        <v>44634</v>
      </c>
      <c r="AW891" s="91">
        <v>44651</v>
      </c>
      <c r="AX891" s="91">
        <v>44671</v>
      </c>
      <c r="AY891" s="99">
        <v>33600</v>
      </c>
      <c r="AZ891" s="99">
        <f>ROUNDDOWN(AY891+(AY891*MASTER!$A$2/100),0)</f>
        <v>36960</v>
      </c>
      <c r="BA891" s="60" t="s">
        <v>314</v>
      </c>
      <c r="BB891" s="64">
        <v>33000</v>
      </c>
      <c r="BC891" s="64">
        <v>36300</v>
      </c>
      <c r="BD891" s="60" t="s">
        <v>2107</v>
      </c>
      <c r="BG891" s="64">
        <v>0</v>
      </c>
      <c r="BK891" s="64">
        <v>0</v>
      </c>
      <c r="BS891" s="64">
        <v>0</v>
      </c>
      <c r="BV891" s="65">
        <v>38500</v>
      </c>
      <c r="BW891" s="65">
        <v>36300</v>
      </c>
      <c r="BX891" s="65">
        <v>44622</v>
      </c>
      <c r="BY891" s="65">
        <v>2200</v>
      </c>
      <c r="BZ891" s="81">
        <v>5.7142857142857144</v>
      </c>
    </row>
    <row r="892" spans="1:89" x14ac:dyDescent="0.15">
      <c r="A892" s="60">
        <v>1</v>
      </c>
      <c r="C892" s="61" t="s">
        <v>309</v>
      </c>
      <c r="F892" s="61" t="s">
        <v>309</v>
      </c>
      <c r="H892" s="61" t="s">
        <v>309</v>
      </c>
      <c r="J892" s="60">
        <v>4</v>
      </c>
      <c r="L892" s="60">
        <v>0</v>
      </c>
      <c r="M892" s="61">
        <v>44622</v>
      </c>
      <c r="O892" s="62" t="s">
        <v>331</v>
      </c>
      <c r="P892" s="60" t="s">
        <v>263</v>
      </c>
      <c r="Q892" s="62" t="s">
        <v>135</v>
      </c>
      <c r="R892" s="62" t="s">
        <v>2534</v>
      </c>
      <c r="S892" s="63" t="s">
        <v>1023</v>
      </c>
      <c r="T892" s="63" t="s">
        <v>2535</v>
      </c>
      <c r="U892" s="64">
        <v>0</v>
      </c>
      <c r="V892" s="64">
        <v>0</v>
      </c>
      <c r="W892" s="64">
        <v>0</v>
      </c>
      <c r="X892" s="64">
        <v>0</v>
      </c>
      <c r="Y892" s="64">
        <v>0</v>
      </c>
      <c r="Z892" s="64">
        <v>0</v>
      </c>
      <c r="AA892" s="61">
        <v>44587</v>
      </c>
      <c r="AB892" s="61">
        <v>44588</v>
      </c>
      <c r="AD892" s="60">
        <v>0</v>
      </c>
      <c r="AG892" s="60">
        <v>0</v>
      </c>
      <c r="AJ892" s="60">
        <v>0</v>
      </c>
      <c r="AY892" s="99">
        <v>0</v>
      </c>
      <c r="AZ892" s="99">
        <f>ROUNDDOWN(AY892+(AY892*MASTER!$A$2/100),0)</f>
        <v>0</v>
      </c>
      <c r="BC892" s="64">
        <v>0</v>
      </c>
      <c r="BG892" s="64">
        <v>0</v>
      </c>
      <c r="BI892" s="60" t="s">
        <v>748</v>
      </c>
      <c r="BJ892" s="64">
        <v>22750</v>
      </c>
      <c r="BK892" s="64">
        <v>25025</v>
      </c>
      <c r="BL892" s="60" t="s">
        <v>2104</v>
      </c>
      <c r="BS892" s="64">
        <v>0</v>
      </c>
      <c r="BV892" s="65">
        <v>0</v>
      </c>
      <c r="BW892" s="65">
        <v>25025</v>
      </c>
      <c r="BX892" s="65">
        <v>44622</v>
      </c>
      <c r="BY892" s="65">
        <v>-25025</v>
      </c>
      <c r="BZ892" s="81" t="s">
        <v>309</v>
      </c>
      <c r="CD892" s="63" t="s">
        <v>2577</v>
      </c>
    </row>
    <row r="893" spans="1:89" x14ac:dyDescent="0.15">
      <c r="A893" s="60">
        <v>2</v>
      </c>
      <c r="B893" s="61">
        <v>44634</v>
      </c>
      <c r="C893" s="61">
        <v>44636</v>
      </c>
      <c r="D893" s="61">
        <v>44631</v>
      </c>
      <c r="E893" s="61">
        <v>44631</v>
      </c>
      <c r="F893" s="61" t="s">
        <v>309</v>
      </c>
      <c r="G893" s="61">
        <v>44631</v>
      </c>
      <c r="H893" s="61" t="s">
        <v>309</v>
      </c>
      <c r="I893" s="60" t="s">
        <v>494</v>
      </c>
      <c r="J893" s="60">
        <v>2</v>
      </c>
      <c r="L893" s="60">
        <v>0</v>
      </c>
      <c r="M893" s="61">
        <v>44623</v>
      </c>
      <c r="O893" s="62" t="s">
        <v>331</v>
      </c>
      <c r="P893" s="60" t="s">
        <v>6</v>
      </c>
      <c r="Q893" s="62" t="s">
        <v>135</v>
      </c>
      <c r="R893" s="62" t="s">
        <v>2704</v>
      </c>
      <c r="S893" s="63" t="s">
        <v>1588</v>
      </c>
      <c r="T893" s="63" t="s">
        <v>364</v>
      </c>
      <c r="U893" s="64">
        <v>35000</v>
      </c>
      <c r="V893" s="64">
        <v>38500</v>
      </c>
      <c r="W893" s="64">
        <v>35000</v>
      </c>
      <c r="X893" s="64">
        <v>38500</v>
      </c>
      <c r="Y893" s="64">
        <v>0</v>
      </c>
      <c r="Z893" s="64">
        <v>0</v>
      </c>
      <c r="AA893" s="61">
        <v>44630</v>
      </c>
      <c r="AB893" s="61">
        <v>44630</v>
      </c>
      <c r="AD893" s="60">
        <v>0</v>
      </c>
      <c r="AG893" s="60">
        <v>0</v>
      </c>
      <c r="AJ893" s="60">
        <v>0</v>
      </c>
      <c r="AN893" s="60" t="s">
        <v>309</v>
      </c>
      <c r="AQ893" s="60" t="s">
        <v>2740</v>
      </c>
      <c r="AR893" s="61">
        <v>44631</v>
      </c>
      <c r="AS893" s="60">
        <v>6002003322</v>
      </c>
      <c r="AT893" s="61">
        <v>44631</v>
      </c>
      <c r="AU893" s="60" t="s">
        <v>2711</v>
      </c>
      <c r="AV893" s="61">
        <v>44636</v>
      </c>
      <c r="AW893" s="91">
        <v>44651</v>
      </c>
      <c r="AX893" s="91">
        <v>44671</v>
      </c>
      <c r="AY893" s="99">
        <v>33600</v>
      </c>
      <c r="AZ893" s="99">
        <f>ROUNDDOWN(AY893+(AY893*MASTER!$A$2/100),0)</f>
        <v>36960</v>
      </c>
      <c r="BA893" s="60" t="s">
        <v>613</v>
      </c>
      <c r="BB893" s="64">
        <v>31000</v>
      </c>
      <c r="BC893" s="64">
        <v>34100</v>
      </c>
      <c r="BD893" s="60" t="s">
        <v>2107</v>
      </c>
      <c r="BG893" s="64">
        <v>0</v>
      </c>
      <c r="BK893" s="64">
        <v>0</v>
      </c>
      <c r="BS893" s="64">
        <v>0</v>
      </c>
      <c r="BV893" s="65">
        <v>38500</v>
      </c>
      <c r="BW893" s="65">
        <v>34100</v>
      </c>
      <c r="BX893" s="65">
        <v>44623</v>
      </c>
      <c r="BY893" s="65">
        <v>4400</v>
      </c>
      <c r="BZ893" s="81">
        <v>11.428571428571429</v>
      </c>
    </row>
    <row r="894" spans="1:89" s="152" customFormat="1" x14ac:dyDescent="0.15">
      <c r="A894" s="142">
        <v>3</v>
      </c>
      <c r="B894" s="143"/>
      <c r="C894" s="143" t="s">
        <v>309</v>
      </c>
      <c r="D894" s="143"/>
      <c r="E894" s="143"/>
      <c r="F894" s="143" t="s">
        <v>309</v>
      </c>
      <c r="G894" s="143"/>
      <c r="H894" s="143" t="s">
        <v>309</v>
      </c>
      <c r="I894" s="142"/>
      <c r="J894" s="142">
        <v>2</v>
      </c>
      <c r="K894" s="143"/>
      <c r="L894" s="142">
        <v>0</v>
      </c>
      <c r="M894" s="143">
        <v>44623</v>
      </c>
      <c r="N894" s="143"/>
      <c r="O894" s="144" t="s">
        <v>331</v>
      </c>
      <c r="P894" s="142" t="s">
        <v>6</v>
      </c>
      <c r="Q894" s="144" t="s">
        <v>135</v>
      </c>
      <c r="R894" s="144" t="s">
        <v>3159</v>
      </c>
      <c r="S894" s="145" t="s">
        <v>982</v>
      </c>
      <c r="T894" s="145" t="s">
        <v>364</v>
      </c>
      <c r="U894" s="146">
        <v>51000</v>
      </c>
      <c r="V894" s="146">
        <v>56100</v>
      </c>
      <c r="W894" s="146">
        <v>51000</v>
      </c>
      <c r="X894" s="146">
        <v>56100</v>
      </c>
      <c r="Y894" s="146"/>
      <c r="Z894" s="146">
        <v>0</v>
      </c>
      <c r="AA894" s="143"/>
      <c r="AB894" s="143"/>
      <c r="AC894" s="143"/>
      <c r="AD894" s="142">
        <v>0</v>
      </c>
      <c r="AE894" s="142"/>
      <c r="AF894" s="142"/>
      <c r="AG894" s="142">
        <v>0</v>
      </c>
      <c r="AH894" s="142"/>
      <c r="AI894" s="142"/>
      <c r="AJ894" s="142">
        <v>0</v>
      </c>
      <c r="AK894" s="142"/>
      <c r="AL894" s="142"/>
      <c r="AM894" s="142"/>
      <c r="AN894" s="142" t="s">
        <v>309</v>
      </c>
      <c r="AO894" s="143"/>
      <c r="AP894" s="142"/>
      <c r="AQ894" s="142"/>
      <c r="AR894" s="143"/>
      <c r="AS894" s="142"/>
      <c r="AT894" s="143"/>
      <c r="AU894" s="142"/>
      <c r="AV894" s="143"/>
      <c r="AW894" s="147"/>
      <c r="AX894" s="147"/>
      <c r="AY894" s="148">
        <v>48960</v>
      </c>
      <c r="AZ894" s="148">
        <f>ROUNDDOWN(AY894+(AY894*MASTER!$A$2/100),0)</f>
        <v>53856</v>
      </c>
      <c r="BA894" s="142"/>
      <c r="BB894" s="146"/>
      <c r="BC894" s="146">
        <v>0</v>
      </c>
      <c r="BD894" s="142"/>
      <c r="BE894" s="142"/>
      <c r="BF894" s="146"/>
      <c r="BG894" s="146">
        <v>0</v>
      </c>
      <c r="BH894" s="142"/>
      <c r="BI894" s="142"/>
      <c r="BJ894" s="146"/>
      <c r="BK894" s="146">
        <v>0</v>
      </c>
      <c r="BL894" s="142"/>
      <c r="BM894" s="146"/>
      <c r="BN894" s="146"/>
      <c r="BO894" s="146"/>
      <c r="BP894" s="146"/>
      <c r="BQ894" s="146"/>
      <c r="BR894" s="146"/>
      <c r="BS894" s="146">
        <v>0</v>
      </c>
      <c r="BT894" s="149"/>
      <c r="BU894" s="149"/>
      <c r="BV894" s="150">
        <v>56100</v>
      </c>
      <c r="BW894" s="150">
        <v>0</v>
      </c>
      <c r="BX894" s="150">
        <v>44623</v>
      </c>
      <c r="BY894" s="150">
        <v>56100</v>
      </c>
      <c r="BZ894" s="151">
        <v>100</v>
      </c>
      <c r="CA894" s="142"/>
      <c r="CB894" s="142"/>
      <c r="CC894" s="142"/>
      <c r="CD894" s="145" t="s">
        <v>3160</v>
      </c>
      <c r="CE894" s="143"/>
      <c r="CF894" s="143"/>
      <c r="CG894" s="143"/>
      <c r="CH894" s="143"/>
      <c r="CI894" s="143"/>
      <c r="CJ894" s="143"/>
      <c r="CK894" s="146"/>
    </row>
    <row r="895" spans="1:89" x14ac:dyDescent="0.15">
      <c r="A895" s="60">
        <v>1</v>
      </c>
      <c r="B895" s="61">
        <v>44634</v>
      </c>
      <c r="C895" s="61">
        <v>44636</v>
      </c>
      <c r="F895" s="61" t="s">
        <v>309</v>
      </c>
      <c r="G895" s="61">
        <v>44627</v>
      </c>
      <c r="H895" s="61" t="s">
        <v>309</v>
      </c>
      <c r="J895" s="60">
        <v>2</v>
      </c>
      <c r="L895" s="60">
        <v>0</v>
      </c>
      <c r="M895" s="61">
        <v>44624</v>
      </c>
      <c r="O895" s="62" t="s">
        <v>331</v>
      </c>
      <c r="P895" s="60" t="s">
        <v>6</v>
      </c>
      <c r="Q895" s="62" t="s">
        <v>135</v>
      </c>
      <c r="R895" s="62" t="s">
        <v>2728</v>
      </c>
      <c r="S895" s="63" t="s">
        <v>2729</v>
      </c>
      <c r="T895" s="63" t="s">
        <v>2641</v>
      </c>
      <c r="U895" s="64">
        <v>16000</v>
      </c>
      <c r="V895" s="64">
        <v>17600</v>
      </c>
      <c r="W895" s="64">
        <v>16000</v>
      </c>
      <c r="X895" s="64">
        <v>17600</v>
      </c>
      <c r="Z895" s="64">
        <v>0</v>
      </c>
      <c r="AD895" s="60">
        <v>0</v>
      </c>
      <c r="AG895" s="60">
        <v>0</v>
      </c>
      <c r="AJ895" s="60">
        <v>0</v>
      </c>
      <c r="AN895" s="60" t="s">
        <v>309</v>
      </c>
      <c r="AQ895" s="60" t="s">
        <v>2645</v>
      </c>
      <c r="AR895" s="61">
        <v>44629</v>
      </c>
      <c r="AS895" s="60">
        <v>6002002319</v>
      </c>
      <c r="AT895" s="61">
        <v>44631</v>
      </c>
      <c r="AU895" s="60" t="s">
        <v>2707</v>
      </c>
      <c r="AV895" s="61">
        <v>44636</v>
      </c>
      <c r="AW895" s="91">
        <v>44651</v>
      </c>
      <c r="AX895" s="91">
        <v>44671</v>
      </c>
      <c r="AY895" s="99">
        <v>15360</v>
      </c>
      <c r="AZ895" s="99">
        <f>ROUNDDOWN(AY895+(AY895*MASTER!$A$2/100),0)</f>
        <v>16896</v>
      </c>
      <c r="BC895" s="64">
        <v>0</v>
      </c>
      <c r="BG895" s="64">
        <v>0</v>
      </c>
      <c r="BK895" s="64">
        <v>0</v>
      </c>
      <c r="BS895" s="64">
        <v>0</v>
      </c>
      <c r="BV895" s="65">
        <v>17600</v>
      </c>
      <c r="BW895" s="65">
        <v>0</v>
      </c>
      <c r="BX895" s="65">
        <v>44624</v>
      </c>
      <c r="BY895" s="65">
        <v>17600</v>
      </c>
      <c r="BZ895" s="81">
        <v>100</v>
      </c>
    </row>
    <row r="896" spans="1:89" x14ac:dyDescent="0.15">
      <c r="A896" s="60">
        <v>1</v>
      </c>
      <c r="B896" s="61">
        <v>44643</v>
      </c>
      <c r="C896" s="61">
        <v>44638</v>
      </c>
      <c r="F896" s="61" t="s">
        <v>309</v>
      </c>
      <c r="H896" s="61" t="s">
        <v>309</v>
      </c>
      <c r="J896" s="60">
        <v>2</v>
      </c>
      <c r="L896" s="60">
        <v>0</v>
      </c>
      <c r="M896" s="61">
        <v>44624</v>
      </c>
      <c r="O896" s="62" t="s">
        <v>331</v>
      </c>
      <c r="P896" s="60" t="s">
        <v>26</v>
      </c>
      <c r="Q896" s="62" t="s">
        <v>135</v>
      </c>
      <c r="R896" s="62" t="s">
        <v>2575</v>
      </c>
      <c r="S896" s="63" t="s">
        <v>439</v>
      </c>
      <c r="T896" s="63" t="s">
        <v>2576</v>
      </c>
      <c r="U896" s="64">
        <v>55000</v>
      </c>
      <c r="V896" s="64">
        <v>60500</v>
      </c>
      <c r="W896" s="64">
        <v>55000</v>
      </c>
      <c r="X896" s="64">
        <v>60500</v>
      </c>
      <c r="Z896" s="64">
        <v>0</v>
      </c>
      <c r="AA896" s="61">
        <v>44628</v>
      </c>
      <c r="AB896" s="61">
        <v>44629</v>
      </c>
      <c r="AD896" s="60">
        <v>0</v>
      </c>
      <c r="AG896" s="60">
        <v>0</v>
      </c>
      <c r="AJ896" s="60">
        <v>0</v>
      </c>
      <c r="AN896" s="60" t="s">
        <v>309</v>
      </c>
      <c r="AQ896" s="60" t="s">
        <v>2776</v>
      </c>
      <c r="AR896" s="61">
        <v>44636</v>
      </c>
      <c r="AS896" s="60">
        <v>6002004940</v>
      </c>
      <c r="AT896" s="61">
        <v>44638</v>
      </c>
      <c r="AU896" s="60" t="s">
        <v>2836</v>
      </c>
      <c r="AV896" s="61">
        <v>44638</v>
      </c>
      <c r="AW896" s="91">
        <v>44651</v>
      </c>
      <c r="AX896" s="91">
        <v>44671</v>
      </c>
      <c r="AY896" s="107">
        <v>55000</v>
      </c>
      <c r="AZ896" s="107">
        <v>60500</v>
      </c>
      <c r="BA896" s="60" t="s">
        <v>538</v>
      </c>
      <c r="BB896" s="64">
        <v>40000</v>
      </c>
      <c r="BC896" s="64">
        <v>44000</v>
      </c>
      <c r="BD896" s="60" t="s">
        <v>2154</v>
      </c>
      <c r="BG896" s="64">
        <v>0</v>
      </c>
      <c r="BK896" s="64">
        <v>0</v>
      </c>
      <c r="BS896" s="64">
        <v>0</v>
      </c>
      <c r="BV896" s="65">
        <v>60500</v>
      </c>
      <c r="BW896" s="65">
        <v>44000</v>
      </c>
      <c r="BX896" s="65">
        <v>44624</v>
      </c>
      <c r="BY896" s="65">
        <v>16500</v>
      </c>
      <c r="BZ896" s="81">
        <v>27.27272727272727</v>
      </c>
    </row>
    <row r="897" spans="1:82" x14ac:dyDescent="0.15">
      <c r="A897" s="60">
        <v>2</v>
      </c>
      <c r="B897" s="61">
        <v>44673</v>
      </c>
      <c r="C897" s="61">
        <v>44691</v>
      </c>
      <c r="D897" s="61">
        <v>44687</v>
      </c>
      <c r="E897" s="61">
        <v>44681</v>
      </c>
      <c r="F897" s="61">
        <v>44684</v>
      </c>
      <c r="G897" s="61">
        <v>44678</v>
      </c>
      <c r="H897" s="61">
        <v>44680</v>
      </c>
      <c r="I897" s="60" t="s">
        <v>511</v>
      </c>
      <c r="J897" s="60">
        <v>1</v>
      </c>
      <c r="L897" s="60">
        <v>0</v>
      </c>
      <c r="M897" s="61">
        <v>44624</v>
      </c>
      <c r="O897" s="62" t="s">
        <v>331</v>
      </c>
      <c r="P897" s="60" t="s">
        <v>26</v>
      </c>
      <c r="Q897" s="62" t="s">
        <v>135</v>
      </c>
      <c r="R897" s="62" t="s">
        <v>2578</v>
      </c>
      <c r="S897" s="63" t="s">
        <v>1156</v>
      </c>
      <c r="T897" s="63" t="s">
        <v>485</v>
      </c>
      <c r="U897" s="64">
        <v>95000</v>
      </c>
      <c r="V897" s="64">
        <v>104500</v>
      </c>
      <c r="W897" s="64">
        <v>80000</v>
      </c>
      <c r="X897" s="64">
        <v>88000</v>
      </c>
      <c r="Y897" s="64">
        <v>15000</v>
      </c>
      <c r="Z897" s="64">
        <v>16500</v>
      </c>
      <c r="AA897" s="61">
        <v>44676</v>
      </c>
      <c r="AB897" s="61">
        <v>44677</v>
      </c>
      <c r="AC897" s="61">
        <v>44677</v>
      </c>
      <c r="AD897" s="60">
        <v>0</v>
      </c>
      <c r="AG897" s="60">
        <v>0</v>
      </c>
      <c r="AJ897" s="60">
        <v>0</v>
      </c>
      <c r="AQ897" s="60" t="s">
        <v>2602</v>
      </c>
      <c r="AR897" s="61">
        <v>44627</v>
      </c>
      <c r="AS897" s="60">
        <v>6002001227</v>
      </c>
      <c r="AT897" s="61">
        <v>44627</v>
      </c>
      <c r="AU897" s="60" t="s">
        <v>2614</v>
      </c>
      <c r="AV897" s="61">
        <v>44691</v>
      </c>
      <c r="AW897" s="91">
        <v>44681</v>
      </c>
      <c r="AX897" s="91">
        <v>44701</v>
      </c>
      <c r="AY897" s="99">
        <v>91200</v>
      </c>
      <c r="AZ897" s="99">
        <f>ROUNDDOWN(AY897+(AY897*MASTER!$A$2/100),0)</f>
        <v>100320</v>
      </c>
      <c r="BA897" s="60" t="s">
        <v>314</v>
      </c>
      <c r="BB897" s="64">
        <v>28000</v>
      </c>
      <c r="BC897" s="64">
        <v>30800</v>
      </c>
      <c r="BD897" s="60" t="s">
        <v>643</v>
      </c>
      <c r="BG897" s="64">
        <v>0</v>
      </c>
      <c r="BI897" s="60" t="s">
        <v>748</v>
      </c>
      <c r="BJ897" s="64">
        <v>9750</v>
      </c>
      <c r="BK897" s="64">
        <v>10725</v>
      </c>
      <c r="BL897" s="60" t="s">
        <v>643</v>
      </c>
      <c r="BS897" s="64">
        <v>0</v>
      </c>
      <c r="BV897" s="65">
        <v>88000</v>
      </c>
      <c r="BW897" s="65">
        <v>41525</v>
      </c>
      <c r="BX897" s="65">
        <v>44624</v>
      </c>
      <c r="BY897" s="65">
        <v>46475</v>
      </c>
      <c r="BZ897" s="81">
        <v>52.812499999999993</v>
      </c>
    </row>
    <row r="898" spans="1:82" x14ac:dyDescent="0.15">
      <c r="A898" s="60">
        <v>2</v>
      </c>
      <c r="B898" s="61">
        <v>44637</v>
      </c>
      <c r="C898" s="61">
        <v>44646</v>
      </c>
      <c r="D898" s="61">
        <v>44662</v>
      </c>
      <c r="E898" s="61">
        <v>44659</v>
      </c>
      <c r="F898" s="61">
        <v>44653</v>
      </c>
      <c r="G898" s="61">
        <v>44649</v>
      </c>
      <c r="H898" s="61">
        <v>44649</v>
      </c>
      <c r="I898" s="60" t="s">
        <v>612</v>
      </c>
      <c r="J898" s="60">
        <v>1</v>
      </c>
      <c r="L898" s="60">
        <v>0</v>
      </c>
      <c r="M898" s="61">
        <v>44627</v>
      </c>
      <c r="O898" s="62" t="s">
        <v>331</v>
      </c>
      <c r="P898" s="60" t="s">
        <v>26</v>
      </c>
      <c r="Q898" s="62" t="s">
        <v>135</v>
      </c>
      <c r="R898" s="62" t="s">
        <v>2758</v>
      </c>
      <c r="S898" s="63" t="s">
        <v>1021</v>
      </c>
      <c r="T898" s="63" t="s">
        <v>2759</v>
      </c>
      <c r="U898" s="64">
        <v>234700</v>
      </c>
      <c r="V898" s="64">
        <v>258170</v>
      </c>
      <c r="W898" s="64">
        <v>86000</v>
      </c>
      <c r="X898" s="64">
        <v>94600</v>
      </c>
      <c r="Y898" s="64">
        <v>148700</v>
      </c>
      <c r="Z898" s="64">
        <v>163570</v>
      </c>
      <c r="AA898" s="61">
        <v>44644</v>
      </c>
      <c r="AB898" s="61">
        <v>44646</v>
      </c>
      <c r="AC898" s="61">
        <v>44646</v>
      </c>
      <c r="AD898" s="60">
        <v>0</v>
      </c>
      <c r="AG898" s="60">
        <v>0</v>
      </c>
      <c r="AJ898" s="60">
        <v>0</v>
      </c>
      <c r="AM898" s="60" t="s">
        <v>273</v>
      </c>
      <c r="AN898" s="60" t="s">
        <v>2760</v>
      </c>
      <c r="AQ898" s="60" t="s">
        <v>2819</v>
      </c>
      <c r="AR898" s="61">
        <v>44635</v>
      </c>
      <c r="AS898" s="60">
        <v>6002004348</v>
      </c>
      <c r="AT898" s="61">
        <v>44636</v>
      </c>
      <c r="AU898" s="60" t="s">
        <v>2778</v>
      </c>
      <c r="AV898" s="61">
        <v>44646</v>
      </c>
      <c r="AW898" s="91">
        <v>44651</v>
      </c>
      <c r="AX898" s="91">
        <v>44671</v>
      </c>
      <c r="AY898" s="99">
        <v>225312</v>
      </c>
      <c r="AZ898" s="99">
        <f>ROUNDDOWN(AY898+(AY898*MASTER!$A$2/100),0)</f>
        <v>247843</v>
      </c>
      <c r="BA898" s="60" t="s">
        <v>317</v>
      </c>
      <c r="BB898" s="64">
        <v>35000</v>
      </c>
      <c r="BC898" s="64">
        <v>38500</v>
      </c>
      <c r="BD898" s="60" t="s">
        <v>2107</v>
      </c>
      <c r="BG898" s="64">
        <v>0</v>
      </c>
      <c r="BI898" s="60" t="s">
        <v>748</v>
      </c>
      <c r="BJ898" s="64">
        <v>96655</v>
      </c>
      <c r="BK898" s="64">
        <v>106320.5</v>
      </c>
      <c r="BL898" s="60" t="s">
        <v>2107</v>
      </c>
      <c r="BS898" s="64">
        <v>0</v>
      </c>
      <c r="BV898" s="65">
        <v>94600</v>
      </c>
      <c r="BW898" s="65">
        <v>144820.5</v>
      </c>
      <c r="BX898" s="65">
        <v>44627</v>
      </c>
      <c r="BY898" s="65">
        <v>-50220.5</v>
      </c>
      <c r="BZ898" s="81">
        <v>-53.087209302325576</v>
      </c>
    </row>
    <row r="899" spans="1:82" x14ac:dyDescent="0.15">
      <c r="A899" s="60">
        <v>2</v>
      </c>
      <c r="B899" s="61">
        <v>44644</v>
      </c>
      <c r="C899" s="61">
        <v>44651</v>
      </c>
      <c r="D899" s="61" t="s">
        <v>764</v>
      </c>
      <c r="E899" s="61">
        <v>44658</v>
      </c>
      <c r="F899" s="61">
        <v>44658</v>
      </c>
      <c r="G899" s="61">
        <v>44651</v>
      </c>
      <c r="H899" s="61">
        <v>44654</v>
      </c>
      <c r="I899" s="60" t="s">
        <v>511</v>
      </c>
      <c r="J899" s="60">
        <v>1</v>
      </c>
      <c r="L899" s="60">
        <v>0</v>
      </c>
      <c r="M899" s="61">
        <v>44627</v>
      </c>
      <c r="O899" s="62" t="s">
        <v>331</v>
      </c>
      <c r="P899" s="60" t="s">
        <v>26</v>
      </c>
      <c r="Q899" s="62" t="s">
        <v>135</v>
      </c>
      <c r="R899" s="62" t="s">
        <v>2700</v>
      </c>
      <c r="S899" s="63" t="s">
        <v>844</v>
      </c>
      <c r="T899" s="63" t="s">
        <v>1093</v>
      </c>
      <c r="U899" s="64">
        <v>23900</v>
      </c>
      <c r="V899" s="64">
        <v>26290</v>
      </c>
      <c r="W899" s="64">
        <v>14700</v>
      </c>
      <c r="X899" s="64">
        <v>16170</v>
      </c>
      <c r="Y899" s="64">
        <v>9200</v>
      </c>
      <c r="Z899" s="64">
        <v>10120</v>
      </c>
      <c r="AA899" s="61">
        <v>44650</v>
      </c>
      <c r="AB899" s="61">
        <v>44651</v>
      </c>
      <c r="AC899" s="61">
        <v>44651</v>
      </c>
      <c r="AD899" s="60">
        <v>0</v>
      </c>
      <c r="AG899" s="60">
        <v>0</v>
      </c>
      <c r="AJ899" s="60">
        <v>0</v>
      </c>
      <c r="AM899" s="60" t="s">
        <v>273</v>
      </c>
      <c r="AN899" s="60" t="s">
        <v>2701</v>
      </c>
      <c r="AQ899" s="60" t="s">
        <v>2886</v>
      </c>
      <c r="AR899" s="61">
        <v>44631</v>
      </c>
      <c r="AS899" s="60">
        <v>6002003324</v>
      </c>
      <c r="AT899" s="61">
        <v>44631</v>
      </c>
      <c r="AU899" s="60" t="s">
        <v>2710</v>
      </c>
      <c r="AV899" s="61">
        <v>44651</v>
      </c>
      <c r="AW899" s="91">
        <v>44651</v>
      </c>
      <c r="AX899" s="91">
        <v>44671</v>
      </c>
      <c r="AY899" s="99">
        <v>22944</v>
      </c>
      <c r="AZ899" s="99">
        <f>ROUNDDOWN(AY899+(AY899*MASTER!$A$2/100),0)</f>
        <v>25238</v>
      </c>
      <c r="BA899" s="60" t="s">
        <v>765</v>
      </c>
      <c r="BC899" s="64">
        <v>0</v>
      </c>
      <c r="BG899" s="64">
        <v>0</v>
      </c>
      <c r="BI899" s="60" t="s">
        <v>748</v>
      </c>
      <c r="BJ899" s="64">
        <v>5980</v>
      </c>
      <c r="BK899" s="64">
        <v>6578</v>
      </c>
      <c r="BL899" s="60" t="s">
        <v>2107</v>
      </c>
      <c r="BS899" s="64">
        <v>0</v>
      </c>
      <c r="BV899" s="65">
        <v>16170</v>
      </c>
      <c r="BW899" s="65">
        <v>6578</v>
      </c>
      <c r="BX899" s="65">
        <v>44627</v>
      </c>
      <c r="BY899" s="65">
        <v>9592</v>
      </c>
      <c r="BZ899" s="81">
        <v>59.319727891156461</v>
      </c>
    </row>
    <row r="900" spans="1:82" x14ac:dyDescent="0.15">
      <c r="A900" s="60">
        <v>1</v>
      </c>
      <c r="B900" s="61">
        <v>44655</v>
      </c>
      <c r="C900" s="61">
        <v>44658</v>
      </c>
      <c r="F900" s="61" t="s">
        <v>309</v>
      </c>
      <c r="H900" s="61" t="s">
        <v>309</v>
      </c>
      <c r="J900" s="60">
        <v>1</v>
      </c>
      <c r="L900" s="60">
        <v>0</v>
      </c>
      <c r="M900" s="61">
        <v>44627</v>
      </c>
      <c r="O900" s="62" t="s">
        <v>331</v>
      </c>
      <c r="P900" s="60" t="s">
        <v>26</v>
      </c>
      <c r="Q900" s="62" t="s">
        <v>135</v>
      </c>
      <c r="R900" s="62" t="s">
        <v>2754</v>
      </c>
      <c r="S900" s="63" t="s">
        <v>2755</v>
      </c>
      <c r="T900" s="63" t="s">
        <v>502</v>
      </c>
      <c r="U900" s="64">
        <v>23900</v>
      </c>
      <c r="V900" s="64">
        <v>26290</v>
      </c>
      <c r="W900" s="64">
        <v>14700</v>
      </c>
      <c r="X900" s="64">
        <v>16170</v>
      </c>
      <c r="Y900" s="64">
        <v>9200</v>
      </c>
      <c r="Z900" s="64">
        <v>10120</v>
      </c>
      <c r="AA900" s="61">
        <v>44655</v>
      </c>
      <c r="AB900" s="61">
        <v>44657</v>
      </c>
      <c r="AD900" s="60">
        <v>0</v>
      </c>
      <c r="AG900" s="60">
        <v>0</v>
      </c>
      <c r="AJ900" s="60">
        <v>0</v>
      </c>
      <c r="AM900" s="60" t="s">
        <v>273</v>
      </c>
      <c r="AN900" s="60" t="s">
        <v>2756</v>
      </c>
      <c r="AQ900" s="60" t="s">
        <v>2757</v>
      </c>
      <c r="AR900" s="61">
        <v>44635</v>
      </c>
      <c r="AS900" s="60">
        <v>6002004348</v>
      </c>
      <c r="AT900" s="61">
        <v>44636</v>
      </c>
      <c r="AU900" s="60" t="s">
        <v>2778</v>
      </c>
      <c r="AV900" s="61">
        <v>44658</v>
      </c>
      <c r="AW900" s="91">
        <v>44681</v>
      </c>
      <c r="AX900" s="91">
        <v>44701</v>
      </c>
      <c r="AY900" s="99">
        <v>22944</v>
      </c>
      <c r="AZ900" s="99">
        <f>ROUNDDOWN(AY900+(AY900*MASTER!$A$2/100),0)</f>
        <v>25238</v>
      </c>
      <c r="BC900" s="64">
        <v>0</v>
      </c>
      <c r="BG900" s="64">
        <v>0</v>
      </c>
      <c r="BI900" s="60" t="s">
        <v>267</v>
      </c>
      <c r="BJ900" s="64">
        <v>5980</v>
      </c>
      <c r="BK900" s="64">
        <v>6578</v>
      </c>
      <c r="BL900" s="60" t="s">
        <v>2916</v>
      </c>
      <c r="BS900" s="64">
        <v>0</v>
      </c>
      <c r="BV900" s="65">
        <v>16170</v>
      </c>
      <c r="BW900" s="65">
        <v>6578</v>
      </c>
      <c r="BX900" s="65">
        <v>44627</v>
      </c>
      <c r="BY900" s="65">
        <v>9592</v>
      </c>
      <c r="BZ900" s="81">
        <v>59.319727891156461</v>
      </c>
      <c r="CD900" s="63" t="s">
        <v>2920</v>
      </c>
    </row>
    <row r="901" spans="1:82" x14ac:dyDescent="0.15">
      <c r="A901" s="60">
        <v>2</v>
      </c>
      <c r="B901" s="61">
        <v>44666</v>
      </c>
      <c r="C901" s="61">
        <v>44673</v>
      </c>
      <c r="D901" s="61" t="s">
        <v>764</v>
      </c>
      <c r="E901" s="61">
        <v>44680</v>
      </c>
      <c r="F901" s="61">
        <v>44678</v>
      </c>
      <c r="G901" s="61">
        <v>44671</v>
      </c>
      <c r="H901" s="61">
        <v>44674</v>
      </c>
      <c r="I901" s="60" t="s">
        <v>511</v>
      </c>
      <c r="J901" s="60">
        <v>1</v>
      </c>
      <c r="L901" s="60">
        <v>0</v>
      </c>
      <c r="M901" s="61">
        <v>44627</v>
      </c>
      <c r="O901" s="62" t="s">
        <v>331</v>
      </c>
      <c r="P901" s="60" t="s">
        <v>26</v>
      </c>
      <c r="Q901" s="62" t="s">
        <v>135</v>
      </c>
      <c r="R901" s="62" t="s">
        <v>3145</v>
      </c>
      <c r="S901" s="63" t="s">
        <v>3146</v>
      </c>
      <c r="T901" s="63" t="s">
        <v>1333</v>
      </c>
      <c r="U901" s="64">
        <v>23900</v>
      </c>
      <c r="V901" s="64">
        <v>26290</v>
      </c>
      <c r="W901" s="64">
        <v>14700</v>
      </c>
      <c r="X901" s="64">
        <v>16170</v>
      </c>
      <c r="Y901" s="64">
        <v>9200</v>
      </c>
      <c r="Z901" s="64">
        <v>10120</v>
      </c>
      <c r="AA901" s="61">
        <v>44669</v>
      </c>
      <c r="AB901" s="61">
        <v>44671</v>
      </c>
      <c r="AC901" s="61">
        <v>44671</v>
      </c>
      <c r="AD901" s="60">
        <v>0</v>
      </c>
      <c r="AG901" s="60">
        <v>0</v>
      </c>
      <c r="AJ901" s="60">
        <v>0</v>
      </c>
      <c r="AM901" s="60" t="s">
        <v>273</v>
      </c>
      <c r="AN901" s="60" t="s">
        <v>3147</v>
      </c>
      <c r="AQ901" s="60" t="s">
        <v>2789</v>
      </c>
      <c r="AR901" s="61">
        <v>44637</v>
      </c>
      <c r="AS901" s="60">
        <v>6002005815</v>
      </c>
      <c r="AT901" s="61">
        <v>44638</v>
      </c>
      <c r="AU901" s="60" t="s">
        <v>2840</v>
      </c>
      <c r="AV901" s="61">
        <v>44673</v>
      </c>
      <c r="AW901" s="91">
        <v>44681</v>
      </c>
      <c r="AX901" s="91">
        <v>44701</v>
      </c>
      <c r="AY901" s="99">
        <v>22944</v>
      </c>
      <c r="AZ901" s="99">
        <f>ROUNDDOWN(AY901+(AY901*MASTER!$A$2/100),0)</f>
        <v>25238</v>
      </c>
      <c r="BA901" s="60" t="s">
        <v>765</v>
      </c>
      <c r="BC901" s="64">
        <v>0</v>
      </c>
      <c r="BG901" s="64">
        <v>0</v>
      </c>
      <c r="BI901" s="60" t="s">
        <v>267</v>
      </c>
      <c r="BJ901" s="64">
        <v>5980</v>
      </c>
      <c r="BK901" s="64">
        <v>6578</v>
      </c>
      <c r="BL901" s="60" t="s">
        <v>2916</v>
      </c>
      <c r="BS901" s="64">
        <v>0</v>
      </c>
      <c r="BV901" s="65">
        <v>16170</v>
      </c>
      <c r="BW901" s="65">
        <v>6578</v>
      </c>
      <c r="BX901" s="65">
        <v>44627</v>
      </c>
      <c r="BY901" s="65">
        <v>9592</v>
      </c>
      <c r="BZ901" s="81">
        <v>59.319727891156461</v>
      </c>
    </row>
    <row r="902" spans="1:82" x14ac:dyDescent="0.15">
      <c r="A902" s="60">
        <v>1</v>
      </c>
      <c r="B902" s="61">
        <v>44637</v>
      </c>
      <c r="C902" s="61">
        <v>44676</v>
      </c>
      <c r="F902" s="61" t="s">
        <v>309</v>
      </c>
      <c r="H902" s="61" t="s">
        <v>309</v>
      </c>
      <c r="J902" s="60">
        <v>2</v>
      </c>
      <c r="L902" s="60">
        <v>0</v>
      </c>
      <c r="M902" s="61">
        <v>44627</v>
      </c>
      <c r="O902" s="62" t="s">
        <v>331</v>
      </c>
      <c r="P902" s="60" t="s">
        <v>26</v>
      </c>
      <c r="Q902" s="62" t="s">
        <v>135</v>
      </c>
      <c r="R902" s="62" t="s">
        <v>2820</v>
      </c>
      <c r="S902" s="63" t="s">
        <v>342</v>
      </c>
      <c r="T902" s="63" t="s">
        <v>2552</v>
      </c>
      <c r="U902" s="64">
        <v>8000</v>
      </c>
      <c r="V902" s="64">
        <v>8800</v>
      </c>
      <c r="W902" s="64">
        <v>8000</v>
      </c>
      <c r="X902" s="64">
        <v>8800</v>
      </c>
      <c r="Z902" s="64">
        <v>0</v>
      </c>
      <c r="AD902" s="60">
        <v>0</v>
      </c>
      <c r="AG902" s="60">
        <v>0</v>
      </c>
      <c r="AJ902" s="60">
        <v>0</v>
      </c>
      <c r="AN902" s="60" t="s">
        <v>309</v>
      </c>
      <c r="AQ902" s="60" t="s">
        <v>2541</v>
      </c>
      <c r="AR902" s="61">
        <v>44629</v>
      </c>
      <c r="AS902" s="60">
        <v>6002002319</v>
      </c>
      <c r="AT902" s="61">
        <v>44631</v>
      </c>
      <c r="AU902" s="60" t="s">
        <v>2707</v>
      </c>
      <c r="AV902" s="61">
        <v>44676</v>
      </c>
      <c r="AW902" s="91">
        <v>44651</v>
      </c>
      <c r="AX902" s="91">
        <v>44671</v>
      </c>
      <c r="AY902" s="99">
        <v>7680</v>
      </c>
      <c r="AZ902" s="99">
        <f>ROUNDDOWN(AY902+(AY902*MASTER!$A$2/100),0)</f>
        <v>8448</v>
      </c>
      <c r="BC902" s="64">
        <v>0</v>
      </c>
      <c r="BG902" s="64">
        <v>0</v>
      </c>
      <c r="BK902" s="64">
        <v>0</v>
      </c>
      <c r="BS902" s="64">
        <v>0</v>
      </c>
      <c r="BV902" s="65">
        <v>8800</v>
      </c>
      <c r="BW902" s="65">
        <v>0</v>
      </c>
      <c r="BX902" s="65">
        <v>44627</v>
      </c>
      <c r="BY902" s="65">
        <v>8800</v>
      </c>
      <c r="BZ902" s="81">
        <v>100</v>
      </c>
    </row>
    <row r="903" spans="1:82" x14ac:dyDescent="0.15">
      <c r="A903" s="60">
        <v>2</v>
      </c>
      <c r="B903" s="61">
        <v>44645</v>
      </c>
      <c r="C903" s="61">
        <v>44645</v>
      </c>
      <c r="D903" s="61">
        <v>44634</v>
      </c>
      <c r="E903" s="61">
        <v>44634</v>
      </c>
      <c r="F903" s="61" t="s">
        <v>309</v>
      </c>
      <c r="G903" s="61">
        <v>44634</v>
      </c>
      <c r="H903" s="61" t="s">
        <v>309</v>
      </c>
      <c r="I903" s="60" t="s">
        <v>766</v>
      </c>
      <c r="J903" s="60">
        <v>2</v>
      </c>
      <c r="L903" s="60">
        <v>0</v>
      </c>
      <c r="M903" s="61">
        <v>44627</v>
      </c>
      <c r="O903" s="62" t="s">
        <v>331</v>
      </c>
      <c r="P903" s="60" t="s">
        <v>6</v>
      </c>
      <c r="Q903" s="62" t="s">
        <v>135</v>
      </c>
      <c r="R903" s="62" t="s">
        <v>2742</v>
      </c>
      <c r="S903" s="63" t="s">
        <v>844</v>
      </c>
      <c r="T903" s="63" t="s">
        <v>364</v>
      </c>
      <c r="U903" s="64">
        <v>35000</v>
      </c>
      <c r="V903" s="64">
        <v>38500</v>
      </c>
      <c r="W903" s="64">
        <v>35000</v>
      </c>
      <c r="X903" s="64">
        <v>38500</v>
      </c>
      <c r="Z903" s="64">
        <v>0</v>
      </c>
      <c r="AA903" s="61">
        <v>44632</v>
      </c>
      <c r="AB903" s="61">
        <v>44632</v>
      </c>
      <c r="AD903" s="60">
        <v>0</v>
      </c>
      <c r="AG903" s="60">
        <v>0</v>
      </c>
      <c r="AJ903" s="60">
        <v>0</v>
      </c>
      <c r="AN903" s="60" t="s">
        <v>309</v>
      </c>
      <c r="AQ903" s="60" t="s">
        <v>2857</v>
      </c>
      <c r="AR903" s="61">
        <v>44644</v>
      </c>
      <c r="AS903" s="60">
        <v>6002008442</v>
      </c>
      <c r="AT903" s="61">
        <v>44644</v>
      </c>
      <c r="AU903" s="60" t="s">
        <v>2888</v>
      </c>
      <c r="AV903" s="61">
        <v>44645</v>
      </c>
      <c r="AW903" s="91">
        <v>44651</v>
      </c>
      <c r="AX903" s="91">
        <v>44671</v>
      </c>
      <c r="AY903" s="99">
        <v>33600</v>
      </c>
      <c r="AZ903" s="99">
        <f>ROUNDDOWN(AY903+(AY903*MASTER!$A$2/100),0)</f>
        <v>36960</v>
      </c>
      <c r="BA903" s="60" t="s">
        <v>319</v>
      </c>
      <c r="BB903" s="64">
        <v>28000</v>
      </c>
      <c r="BC903" s="64">
        <v>30800</v>
      </c>
      <c r="BD903" s="60" t="s">
        <v>2107</v>
      </c>
      <c r="BG903" s="64">
        <v>0</v>
      </c>
      <c r="BK903" s="64">
        <v>0</v>
      </c>
      <c r="BS903" s="64">
        <v>0</v>
      </c>
      <c r="BV903" s="65">
        <v>38500</v>
      </c>
      <c r="BW903" s="65">
        <v>30800</v>
      </c>
      <c r="BX903" s="65">
        <v>44627</v>
      </c>
      <c r="BY903" s="65">
        <v>7700</v>
      </c>
      <c r="BZ903" s="81">
        <v>20</v>
      </c>
    </row>
    <row r="904" spans="1:82" x14ac:dyDescent="0.15">
      <c r="A904" s="60">
        <v>2</v>
      </c>
      <c r="B904" s="61">
        <v>44634</v>
      </c>
      <c r="C904" s="61">
        <v>44635</v>
      </c>
      <c r="D904" s="61">
        <v>44629</v>
      </c>
      <c r="E904" s="61">
        <v>44629</v>
      </c>
      <c r="F904" s="61" t="s">
        <v>309</v>
      </c>
      <c r="G904" s="61">
        <v>44629</v>
      </c>
      <c r="H904" s="61" t="s">
        <v>309</v>
      </c>
      <c r="I904" s="60" t="s">
        <v>494</v>
      </c>
      <c r="J904" s="60">
        <v>2</v>
      </c>
      <c r="L904" s="60">
        <v>0</v>
      </c>
      <c r="M904" s="61">
        <v>44627</v>
      </c>
      <c r="O904" s="62" t="s">
        <v>331</v>
      </c>
      <c r="P904" s="60" t="s">
        <v>6</v>
      </c>
      <c r="Q904" s="62" t="s">
        <v>135</v>
      </c>
      <c r="R904" s="62" t="s">
        <v>2703</v>
      </c>
      <c r="S904" s="63" t="s">
        <v>1514</v>
      </c>
      <c r="T904" s="63" t="s">
        <v>364</v>
      </c>
      <c r="U904" s="64">
        <v>23000</v>
      </c>
      <c r="V904" s="64">
        <v>25300</v>
      </c>
      <c r="W904" s="64">
        <v>23000</v>
      </c>
      <c r="X904" s="64">
        <v>25300</v>
      </c>
      <c r="Y904" s="64">
        <v>0</v>
      </c>
      <c r="Z904" s="64">
        <v>0</v>
      </c>
      <c r="AA904" s="61">
        <v>44628</v>
      </c>
      <c r="AB904" s="61">
        <v>44628</v>
      </c>
      <c r="AD904" s="60">
        <v>0</v>
      </c>
      <c r="AG904" s="60">
        <v>0</v>
      </c>
      <c r="AJ904" s="60">
        <v>0</v>
      </c>
      <c r="AN904" s="60" t="s">
        <v>309</v>
      </c>
      <c r="AQ904" s="60" t="s">
        <v>1742</v>
      </c>
      <c r="AR904" s="61">
        <v>44631</v>
      </c>
      <c r="AS904" s="60">
        <v>6002003324</v>
      </c>
      <c r="AT904" s="61">
        <v>44631</v>
      </c>
      <c r="AU904" s="60" t="s">
        <v>2710</v>
      </c>
      <c r="AV904" s="61">
        <v>44635</v>
      </c>
      <c r="AW904" s="91">
        <v>44651</v>
      </c>
      <c r="AX904" s="91">
        <v>44671</v>
      </c>
      <c r="AY904" s="99">
        <v>22080</v>
      </c>
      <c r="AZ904" s="99">
        <f>ROUNDDOWN(AY904+(AY904*MASTER!$A$2/100),0)</f>
        <v>24288</v>
      </c>
      <c r="BA904" s="60" t="s">
        <v>314</v>
      </c>
      <c r="BB904" s="64">
        <v>26000</v>
      </c>
      <c r="BC904" s="64">
        <v>28600</v>
      </c>
      <c r="BD904" s="60" t="s">
        <v>2107</v>
      </c>
      <c r="BG904" s="64">
        <v>0</v>
      </c>
      <c r="BK904" s="64">
        <v>0</v>
      </c>
      <c r="BS904" s="64">
        <v>0</v>
      </c>
      <c r="BV904" s="65">
        <v>25300</v>
      </c>
      <c r="BW904" s="65">
        <v>28600</v>
      </c>
      <c r="BX904" s="65">
        <v>44627</v>
      </c>
      <c r="BY904" s="65">
        <v>-3300</v>
      </c>
      <c r="BZ904" s="81">
        <v>-13.043478260869565</v>
      </c>
    </row>
    <row r="905" spans="1:82" x14ac:dyDescent="0.15">
      <c r="A905" s="60">
        <v>1</v>
      </c>
      <c r="B905" s="61">
        <v>44634</v>
      </c>
      <c r="C905" s="61">
        <v>44636</v>
      </c>
      <c r="F905" s="61" t="s">
        <v>309</v>
      </c>
      <c r="G905" s="61">
        <v>44631</v>
      </c>
      <c r="H905" s="61" t="s">
        <v>309</v>
      </c>
      <c r="J905" s="60">
        <v>2</v>
      </c>
      <c r="L905" s="60">
        <v>0</v>
      </c>
      <c r="M905" s="61">
        <v>44627</v>
      </c>
      <c r="O905" s="62" t="s">
        <v>331</v>
      </c>
      <c r="P905" s="60" t="s">
        <v>6</v>
      </c>
      <c r="Q905" s="62" t="s">
        <v>135</v>
      </c>
      <c r="R905" s="62" t="s">
        <v>2702</v>
      </c>
      <c r="S905" s="63" t="s">
        <v>2011</v>
      </c>
      <c r="T905" s="63" t="s">
        <v>364</v>
      </c>
      <c r="U905" s="64">
        <v>51000</v>
      </c>
      <c r="V905" s="64">
        <v>56100</v>
      </c>
      <c r="W905" s="64">
        <v>51000</v>
      </c>
      <c r="X905" s="64">
        <v>56100</v>
      </c>
      <c r="Y905" s="64">
        <v>0</v>
      </c>
      <c r="Z905" s="64">
        <v>0</v>
      </c>
      <c r="AD905" s="60">
        <v>0</v>
      </c>
      <c r="AG905" s="60">
        <v>0</v>
      </c>
      <c r="AJ905" s="60">
        <v>0</v>
      </c>
      <c r="AN905" s="60" t="s">
        <v>309</v>
      </c>
      <c r="AQ905" s="60" t="s">
        <v>2741</v>
      </c>
      <c r="AR905" s="61">
        <v>44631</v>
      </c>
      <c r="AS905" s="60">
        <v>6002003324</v>
      </c>
      <c r="AT905" s="61">
        <v>44631</v>
      </c>
      <c r="AU905" s="60" t="s">
        <v>2710</v>
      </c>
      <c r="AV905" s="61">
        <v>44636</v>
      </c>
      <c r="AW905" s="91">
        <v>44651</v>
      </c>
      <c r="AX905" s="91">
        <v>44671</v>
      </c>
      <c r="AY905" s="99">
        <v>48960</v>
      </c>
      <c r="AZ905" s="99">
        <f>ROUNDDOWN(AY905+(AY905*MASTER!$A$2/100),0)</f>
        <v>53856</v>
      </c>
      <c r="BC905" s="64">
        <v>0</v>
      </c>
      <c r="BG905" s="64">
        <v>0</v>
      </c>
      <c r="BK905" s="64">
        <v>0</v>
      </c>
      <c r="BS905" s="64">
        <v>0</v>
      </c>
      <c r="BV905" s="65">
        <v>56100</v>
      </c>
      <c r="BW905" s="65">
        <v>0</v>
      </c>
      <c r="BX905" s="65">
        <v>44627</v>
      </c>
      <c r="BY905" s="65">
        <v>56100</v>
      </c>
      <c r="BZ905" s="81">
        <v>100</v>
      </c>
    </row>
    <row r="906" spans="1:82" x14ac:dyDescent="0.15">
      <c r="A906" s="60">
        <v>1</v>
      </c>
      <c r="B906" s="61">
        <v>44643</v>
      </c>
      <c r="C906" s="61">
        <v>44643</v>
      </c>
      <c r="F906" s="61" t="s">
        <v>309</v>
      </c>
      <c r="G906" s="61">
        <v>44635</v>
      </c>
      <c r="H906" s="61" t="s">
        <v>309</v>
      </c>
      <c r="J906" s="60">
        <v>2</v>
      </c>
      <c r="L906" s="60">
        <v>0</v>
      </c>
      <c r="M906" s="61">
        <v>44627</v>
      </c>
      <c r="O906" s="62" t="s">
        <v>331</v>
      </c>
      <c r="P906" s="60" t="s">
        <v>6</v>
      </c>
      <c r="Q906" s="62" t="s">
        <v>135</v>
      </c>
      <c r="R906" s="62" t="s">
        <v>2783</v>
      </c>
      <c r="S906" s="63" t="s">
        <v>515</v>
      </c>
      <c r="T906" s="63" t="s">
        <v>364</v>
      </c>
      <c r="U906" s="64">
        <v>35000</v>
      </c>
      <c r="V906" s="64">
        <v>38500</v>
      </c>
      <c r="W906" s="64">
        <v>35000</v>
      </c>
      <c r="X906" s="64">
        <v>38500</v>
      </c>
      <c r="Z906" s="64">
        <v>0</v>
      </c>
      <c r="AA906" s="61">
        <v>44634</v>
      </c>
      <c r="AB906" s="61">
        <v>44634</v>
      </c>
      <c r="AD906" s="60">
        <v>0</v>
      </c>
      <c r="AG906" s="60">
        <v>0</v>
      </c>
      <c r="AJ906" s="60">
        <v>0</v>
      </c>
      <c r="AN906" s="60" t="s">
        <v>309</v>
      </c>
      <c r="AQ906" s="60" t="s">
        <v>2790</v>
      </c>
      <c r="AR906" s="61">
        <v>44637</v>
      </c>
      <c r="AS906" s="60">
        <v>6002005815</v>
      </c>
      <c r="AT906" s="61">
        <v>44638</v>
      </c>
      <c r="AU906" s="60" t="s">
        <v>2840</v>
      </c>
      <c r="AV906" s="61">
        <v>44643</v>
      </c>
      <c r="AW906" s="91">
        <v>44651</v>
      </c>
      <c r="AX906" s="91">
        <v>44671</v>
      </c>
      <c r="AY906" s="99">
        <v>33600</v>
      </c>
      <c r="AZ906" s="99">
        <f>ROUNDDOWN(AY906+(AY906*MASTER!$A$2/100),0)</f>
        <v>36960</v>
      </c>
      <c r="BA906" s="60" t="s">
        <v>582</v>
      </c>
      <c r="BB906" s="64">
        <v>21000</v>
      </c>
      <c r="BC906" s="64">
        <v>23100</v>
      </c>
      <c r="BD906" s="60" t="s">
        <v>2107</v>
      </c>
      <c r="BG906" s="64">
        <v>0</v>
      </c>
      <c r="BK906" s="64">
        <v>0</v>
      </c>
      <c r="BS906" s="64">
        <v>0</v>
      </c>
      <c r="BV906" s="65">
        <v>38500</v>
      </c>
      <c r="BW906" s="65">
        <v>23100</v>
      </c>
      <c r="BX906" s="65">
        <v>44627</v>
      </c>
      <c r="BY906" s="65">
        <v>15400</v>
      </c>
      <c r="BZ906" s="81">
        <v>40</v>
      </c>
    </row>
    <row r="907" spans="1:82" x14ac:dyDescent="0.15">
      <c r="A907" s="60">
        <v>2</v>
      </c>
      <c r="B907" s="61">
        <v>44678</v>
      </c>
      <c r="C907" s="61">
        <v>44679</v>
      </c>
      <c r="D907" s="61">
        <v>44690</v>
      </c>
      <c r="E907" s="61">
        <v>44681</v>
      </c>
      <c r="F907" s="61">
        <v>44685</v>
      </c>
      <c r="G907" s="61">
        <v>44678</v>
      </c>
      <c r="H907" s="61">
        <v>44681</v>
      </c>
      <c r="I907" s="60" t="s">
        <v>511</v>
      </c>
      <c r="J907" s="60">
        <v>1</v>
      </c>
      <c r="L907" s="60">
        <v>0</v>
      </c>
      <c r="M907" s="61">
        <v>44627</v>
      </c>
      <c r="O907" s="62" t="s">
        <v>331</v>
      </c>
      <c r="P907" s="60" t="s">
        <v>26</v>
      </c>
      <c r="Q907" s="62" t="s">
        <v>135</v>
      </c>
      <c r="R907" s="62" t="s">
        <v>3280</v>
      </c>
      <c r="S907" s="63" t="s">
        <v>597</v>
      </c>
      <c r="T907" s="63" t="s">
        <v>1208</v>
      </c>
      <c r="U907" s="64">
        <v>202500</v>
      </c>
      <c r="V907" s="64">
        <v>222750</v>
      </c>
      <c r="W907" s="64">
        <v>110000</v>
      </c>
      <c r="X907" s="64">
        <v>121000</v>
      </c>
      <c r="Y907" s="64">
        <v>92500</v>
      </c>
      <c r="Z907" s="64">
        <v>101750</v>
      </c>
      <c r="AA907" s="61">
        <v>44677</v>
      </c>
      <c r="AB907" s="61">
        <v>44678</v>
      </c>
      <c r="AC907" s="61">
        <v>44678</v>
      </c>
      <c r="AD907" s="60">
        <v>0</v>
      </c>
      <c r="AG907" s="60">
        <v>0</v>
      </c>
      <c r="AJ907" s="60">
        <v>0</v>
      </c>
      <c r="AM907" s="60" t="s">
        <v>273</v>
      </c>
      <c r="AN907" s="60" t="s">
        <v>3281</v>
      </c>
      <c r="AQ907" s="60" t="s">
        <v>3277</v>
      </c>
      <c r="AR907" s="61">
        <v>44677</v>
      </c>
      <c r="AS907" s="60">
        <v>6002020568</v>
      </c>
      <c r="AT907" s="61">
        <v>44677</v>
      </c>
      <c r="AU907" s="60" t="s">
        <v>3279</v>
      </c>
      <c r="AV907" s="61">
        <v>44679</v>
      </c>
      <c r="AW907" s="91">
        <v>44681</v>
      </c>
      <c r="AX907" s="91">
        <v>44701</v>
      </c>
      <c r="AY907" s="99">
        <v>194400</v>
      </c>
      <c r="AZ907" s="99">
        <f>ROUNDDOWN(AY907+(AY907*MASTER!$A$2/100),0)</f>
        <v>213840</v>
      </c>
      <c r="BA907" s="60" t="s">
        <v>318</v>
      </c>
      <c r="BB907" s="64">
        <v>23000</v>
      </c>
      <c r="BC907" s="64">
        <v>25300</v>
      </c>
      <c r="BD907" s="60" t="s">
        <v>643</v>
      </c>
      <c r="BG907" s="64">
        <v>0</v>
      </c>
      <c r="BI907" s="60" t="s">
        <v>267</v>
      </c>
      <c r="BJ907" s="64">
        <v>60125</v>
      </c>
      <c r="BK907" s="64">
        <v>66137.5</v>
      </c>
      <c r="BL907" s="60" t="s">
        <v>2916</v>
      </c>
      <c r="BS907" s="64">
        <v>0</v>
      </c>
      <c r="BV907" s="65">
        <v>121000</v>
      </c>
      <c r="BW907" s="65">
        <v>91437.5</v>
      </c>
      <c r="BX907" s="65">
        <v>44627</v>
      </c>
      <c r="BY907" s="65">
        <v>29562.5</v>
      </c>
      <c r="BZ907" s="81">
        <v>24.431818181818183</v>
      </c>
    </row>
    <row r="908" spans="1:82" x14ac:dyDescent="0.15">
      <c r="A908" s="60">
        <v>2</v>
      </c>
      <c r="B908" s="61">
        <v>44673</v>
      </c>
      <c r="C908" s="61">
        <v>44678</v>
      </c>
      <c r="D908" s="61" t="s">
        <v>764</v>
      </c>
      <c r="E908" s="61">
        <v>44680</v>
      </c>
      <c r="F908" s="61">
        <v>44685</v>
      </c>
      <c r="G908" s="61">
        <v>44678</v>
      </c>
      <c r="H908" s="61">
        <v>44681</v>
      </c>
      <c r="I908" s="60" t="s">
        <v>511</v>
      </c>
      <c r="J908" s="60">
        <v>1</v>
      </c>
      <c r="L908" s="60">
        <v>0</v>
      </c>
      <c r="M908" s="61">
        <v>44627</v>
      </c>
      <c r="O908" s="62" t="s">
        <v>331</v>
      </c>
      <c r="P908" s="60" t="s">
        <v>26</v>
      </c>
      <c r="Q908" s="62" t="s">
        <v>135</v>
      </c>
      <c r="R908" s="62" t="s">
        <v>3236</v>
      </c>
      <c r="S908" s="63" t="s">
        <v>3237</v>
      </c>
      <c r="T908" s="63" t="s">
        <v>502</v>
      </c>
      <c r="U908" s="64">
        <v>23900</v>
      </c>
      <c r="V908" s="64">
        <v>26290</v>
      </c>
      <c r="W908" s="64">
        <v>14700</v>
      </c>
      <c r="X908" s="64">
        <v>16170</v>
      </c>
      <c r="Y908" s="64">
        <v>9200</v>
      </c>
      <c r="Z908" s="64">
        <v>10120</v>
      </c>
      <c r="AA908" s="61">
        <v>44676</v>
      </c>
      <c r="AB908" s="61">
        <v>44678</v>
      </c>
      <c r="AC908" s="61">
        <v>44678</v>
      </c>
      <c r="AD908" s="60">
        <v>0</v>
      </c>
      <c r="AG908" s="60">
        <v>0</v>
      </c>
      <c r="AJ908" s="60">
        <v>0</v>
      </c>
      <c r="AM908" s="60" t="s">
        <v>273</v>
      </c>
      <c r="AN908" s="60" t="s">
        <v>3238</v>
      </c>
      <c r="AQ908" s="60" t="s">
        <v>2794</v>
      </c>
      <c r="AR908" s="61">
        <v>44637</v>
      </c>
      <c r="AS908" s="60">
        <v>6002005815</v>
      </c>
      <c r="AT908" s="61">
        <v>44638</v>
      </c>
      <c r="AU908" s="60" t="s">
        <v>2840</v>
      </c>
      <c r="AV908" s="61">
        <v>44678</v>
      </c>
      <c r="AW908" s="91">
        <v>44681</v>
      </c>
      <c r="AX908" s="91">
        <v>44701</v>
      </c>
      <c r="AY908" s="99">
        <v>22944</v>
      </c>
      <c r="AZ908" s="99">
        <f>ROUNDDOWN(AY908+(AY908*MASTER!$A$2/100),0)</f>
        <v>25238</v>
      </c>
      <c r="BA908" s="60" t="s">
        <v>765</v>
      </c>
      <c r="BC908" s="64">
        <v>0</v>
      </c>
      <c r="BG908" s="64">
        <v>0</v>
      </c>
      <c r="BI908" s="60" t="s">
        <v>267</v>
      </c>
      <c r="BJ908" s="64">
        <v>5980</v>
      </c>
      <c r="BK908" s="64">
        <v>6578</v>
      </c>
      <c r="BL908" s="60" t="s">
        <v>2916</v>
      </c>
      <c r="BS908" s="64">
        <v>0</v>
      </c>
      <c r="BV908" s="65">
        <v>16170</v>
      </c>
      <c r="BW908" s="65">
        <v>6578</v>
      </c>
      <c r="BX908" s="65">
        <v>44627</v>
      </c>
      <c r="BY908" s="65">
        <v>9592</v>
      </c>
      <c r="BZ908" s="81">
        <v>59.319727891156461</v>
      </c>
    </row>
    <row r="909" spans="1:82" x14ac:dyDescent="0.15">
      <c r="A909" s="60">
        <v>2</v>
      </c>
      <c r="B909" s="61">
        <v>44673</v>
      </c>
      <c r="C909" s="61">
        <v>44680</v>
      </c>
      <c r="D909" s="61" t="s">
        <v>764</v>
      </c>
      <c r="E909" s="61">
        <v>44690</v>
      </c>
      <c r="F909" s="61">
        <v>44687</v>
      </c>
      <c r="G909" s="61">
        <v>44682</v>
      </c>
      <c r="H909" s="61">
        <v>44683</v>
      </c>
      <c r="I909" s="60" t="s">
        <v>511</v>
      </c>
      <c r="J909" s="60">
        <v>1</v>
      </c>
      <c r="L909" s="60">
        <v>0</v>
      </c>
      <c r="M909" s="61">
        <v>44627</v>
      </c>
      <c r="O909" s="62" t="s">
        <v>331</v>
      </c>
      <c r="P909" s="60" t="s">
        <v>26</v>
      </c>
      <c r="Q909" s="62" t="s">
        <v>135</v>
      </c>
      <c r="R909" s="62" t="s">
        <v>3239</v>
      </c>
      <c r="S909" s="63" t="s">
        <v>2376</v>
      </c>
      <c r="T909" s="63" t="s">
        <v>502</v>
      </c>
      <c r="U909" s="64">
        <v>23900</v>
      </c>
      <c r="V909" s="64">
        <v>26290</v>
      </c>
      <c r="W909" s="64">
        <v>14700</v>
      </c>
      <c r="X909" s="64">
        <v>16170</v>
      </c>
      <c r="Y909" s="64">
        <v>9200</v>
      </c>
      <c r="Z909" s="64">
        <v>10120</v>
      </c>
      <c r="AA909" s="61">
        <v>44678</v>
      </c>
      <c r="AB909" s="61">
        <v>44680</v>
      </c>
      <c r="AC909" s="61">
        <v>44680</v>
      </c>
      <c r="AD909" s="60">
        <v>0</v>
      </c>
      <c r="AG909" s="60">
        <v>0</v>
      </c>
      <c r="AJ909" s="60">
        <v>0</v>
      </c>
      <c r="AM909" s="60" t="s">
        <v>273</v>
      </c>
      <c r="AN909" s="60" t="s">
        <v>3240</v>
      </c>
      <c r="AQ909" s="60" t="s">
        <v>2795</v>
      </c>
      <c r="AR909" s="61">
        <v>44637</v>
      </c>
      <c r="AS909" s="60">
        <v>6002005815</v>
      </c>
      <c r="AT909" s="61">
        <v>44638</v>
      </c>
      <c r="AU909" s="60" t="s">
        <v>2840</v>
      </c>
      <c r="AV909" s="61">
        <v>44680</v>
      </c>
      <c r="AW909" s="91">
        <v>44681</v>
      </c>
      <c r="AX909" s="91">
        <v>44701</v>
      </c>
      <c r="AY909" s="99">
        <v>22944</v>
      </c>
      <c r="AZ909" s="99">
        <f>ROUNDDOWN(AY909+(AY909*MASTER!$A$2/100),0)</f>
        <v>25238</v>
      </c>
      <c r="BC909" s="64">
        <v>0</v>
      </c>
      <c r="BG909" s="64">
        <v>0</v>
      </c>
      <c r="BI909" s="60" t="s">
        <v>267</v>
      </c>
      <c r="BJ909" s="64">
        <v>5980</v>
      </c>
      <c r="BK909" s="64">
        <v>6578</v>
      </c>
      <c r="BL909" s="60" t="s">
        <v>2916</v>
      </c>
      <c r="BS909" s="64">
        <v>0</v>
      </c>
      <c r="BV909" s="65">
        <v>16170</v>
      </c>
      <c r="BW909" s="65">
        <v>6578</v>
      </c>
      <c r="BX909" s="65">
        <v>44627</v>
      </c>
      <c r="BY909" s="65">
        <v>9592</v>
      </c>
      <c r="BZ909" s="81">
        <v>59.319727891156461</v>
      </c>
    </row>
    <row r="910" spans="1:82" x14ac:dyDescent="0.15">
      <c r="A910" s="60">
        <v>2</v>
      </c>
      <c r="B910" s="61">
        <v>44673</v>
      </c>
      <c r="C910" s="61">
        <v>44679</v>
      </c>
      <c r="D910" s="61" t="s">
        <v>764</v>
      </c>
      <c r="E910" s="61">
        <v>44692</v>
      </c>
      <c r="F910" s="61">
        <v>44686</v>
      </c>
      <c r="G910" s="61">
        <v>44682</v>
      </c>
      <c r="H910" s="61">
        <v>44682</v>
      </c>
      <c r="I910" s="60" t="s">
        <v>511</v>
      </c>
      <c r="J910" s="60">
        <v>1</v>
      </c>
      <c r="L910" s="60">
        <v>0</v>
      </c>
      <c r="M910" s="61">
        <v>44627</v>
      </c>
      <c r="O910" s="62" t="s">
        <v>331</v>
      </c>
      <c r="P910" s="60" t="s">
        <v>26</v>
      </c>
      <c r="Q910" s="62" t="s">
        <v>135</v>
      </c>
      <c r="R910" s="62" t="s">
        <v>3241</v>
      </c>
      <c r="S910" s="63" t="s">
        <v>840</v>
      </c>
      <c r="T910" s="63" t="s">
        <v>3242</v>
      </c>
      <c r="U910" s="64">
        <v>23900</v>
      </c>
      <c r="V910" s="64">
        <v>26290</v>
      </c>
      <c r="W910" s="64">
        <v>14700</v>
      </c>
      <c r="X910" s="64">
        <v>16170</v>
      </c>
      <c r="Y910" s="64">
        <v>9200</v>
      </c>
      <c r="Z910" s="64">
        <v>10120</v>
      </c>
      <c r="AA910" s="61">
        <v>44678</v>
      </c>
      <c r="AB910" s="61">
        <v>44679</v>
      </c>
      <c r="AC910" s="61">
        <v>44679</v>
      </c>
      <c r="AD910" s="60">
        <v>0</v>
      </c>
      <c r="AG910" s="60">
        <v>0</v>
      </c>
      <c r="AJ910" s="60">
        <v>0</v>
      </c>
      <c r="AM910" s="60" t="s">
        <v>273</v>
      </c>
      <c r="AN910" s="60" t="s">
        <v>3243</v>
      </c>
      <c r="AQ910" s="60" t="s">
        <v>2949</v>
      </c>
      <c r="AR910" s="61">
        <v>44650</v>
      </c>
      <c r="AS910" s="60">
        <v>6002010499</v>
      </c>
      <c r="AT910" s="61">
        <v>44651</v>
      </c>
      <c r="AU910" s="60" t="s">
        <v>2967</v>
      </c>
      <c r="AV910" s="61">
        <v>44679</v>
      </c>
      <c r="AW910" s="91">
        <v>44681</v>
      </c>
      <c r="AX910" s="91">
        <v>44701</v>
      </c>
      <c r="AY910" s="99">
        <v>22944</v>
      </c>
      <c r="AZ910" s="99">
        <f>ROUNDDOWN(AY910+(AY910*MASTER!$A$2/100),0)</f>
        <v>25238</v>
      </c>
      <c r="BA910" s="60" t="s">
        <v>765</v>
      </c>
      <c r="BC910" s="64">
        <v>0</v>
      </c>
      <c r="BG910" s="64">
        <v>0</v>
      </c>
      <c r="BI910" s="60" t="s">
        <v>748</v>
      </c>
      <c r="BJ910" s="64">
        <v>5980</v>
      </c>
      <c r="BK910" s="64">
        <v>6578</v>
      </c>
      <c r="BL910" s="60" t="s">
        <v>643</v>
      </c>
      <c r="BS910" s="64">
        <v>0</v>
      </c>
      <c r="BV910" s="65">
        <v>16170</v>
      </c>
      <c r="BW910" s="65">
        <v>6578</v>
      </c>
      <c r="BX910" s="65">
        <v>44627</v>
      </c>
      <c r="BY910" s="65">
        <v>9592</v>
      </c>
      <c r="BZ910" s="81">
        <v>59.319727891156461</v>
      </c>
    </row>
    <row r="911" spans="1:82" x14ac:dyDescent="0.15">
      <c r="A911" s="60">
        <v>2</v>
      </c>
      <c r="B911" s="61">
        <v>44655</v>
      </c>
      <c r="C911" s="61">
        <v>44660</v>
      </c>
      <c r="D911" s="61">
        <v>44687</v>
      </c>
      <c r="E911" s="61">
        <v>44664</v>
      </c>
      <c r="F911" s="61">
        <v>44667</v>
      </c>
      <c r="G911" s="61">
        <v>44662</v>
      </c>
      <c r="H911" s="61">
        <v>44663</v>
      </c>
      <c r="I911" s="60" t="s">
        <v>511</v>
      </c>
      <c r="J911" s="60">
        <v>1</v>
      </c>
      <c r="L911" s="60">
        <v>0</v>
      </c>
      <c r="M911" s="61">
        <v>44627</v>
      </c>
      <c r="O911" s="62" t="s">
        <v>331</v>
      </c>
      <c r="P911" s="60" t="s">
        <v>26</v>
      </c>
      <c r="Q911" s="62" t="s">
        <v>135</v>
      </c>
      <c r="R911" s="62" t="s">
        <v>3004</v>
      </c>
      <c r="S911" s="63" t="s">
        <v>698</v>
      </c>
      <c r="T911" s="63" t="s">
        <v>3005</v>
      </c>
      <c r="U911" s="64">
        <v>50000</v>
      </c>
      <c r="V911" s="64">
        <v>55000</v>
      </c>
      <c r="W911" s="64">
        <v>47000</v>
      </c>
      <c r="X911" s="64">
        <v>51700</v>
      </c>
      <c r="Y911" s="64">
        <v>3000</v>
      </c>
      <c r="Z911" s="64">
        <v>3300</v>
      </c>
      <c r="AA911" s="61">
        <v>44659</v>
      </c>
      <c r="AB911" s="61">
        <v>44660</v>
      </c>
      <c r="AC911" s="61">
        <v>44660</v>
      </c>
      <c r="AD911" s="60">
        <v>0</v>
      </c>
      <c r="AG911" s="60">
        <v>0</v>
      </c>
      <c r="AJ911" s="60">
        <v>0</v>
      </c>
      <c r="AM911" s="60" t="s">
        <v>273</v>
      </c>
      <c r="AN911" s="60" t="s">
        <v>3006</v>
      </c>
      <c r="AQ911" s="60" t="s">
        <v>2865</v>
      </c>
      <c r="AR911" s="61">
        <v>44644</v>
      </c>
      <c r="AS911" s="60">
        <v>6002008442</v>
      </c>
      <c r="AT911" s="61">
        <v>44644</v>
      </c>
      <c r="AU911" s="60" t="s">
        <v>2888</v>
      </c>
      <c r="AV911" s="61">
        <v>44660</v>
      </c>
      <c r="AW911" s="91">
        <v>44681</v>
      </c>
      <c r="AX911" s="91">
        <v>44701</v>
      </c>
      <c r="AY911" s="99">
        <v>48000</v>
      </c>
      <c r="AZ911" s="99">
        <f>ROUNDDOWN(AY911+(AY911*MASTER!$A$2/100),0)</f>
        <v>52800</v>
      </c>
      <c r="BA911" s="60" t="s">
        <v>314</v>
      </c>
      <c r="BB911" s="64">
        <v>28000</v>
      </c>
      <c r="BC911" s="64">
        <v>30800</v>
      </c>
      <c r="BD911" s="60" t="s">
        <v>643</v>
      </c>
      <c r="BG911" s="64">
        <v>0</v>
      </c>
      <c r="BI911" s="60" t="s">
        <v>267</v>
      </c>
      <c r="BJ911" s="64">
        <v>1950</v>
      </c>
      <c r="BK911" s="64">
        <v>2145</v>
      </c>
      <c r="BL911" s="60" t="s">
        <v>2916</v>
      </c>
      <c r="BS911" s="64">
        <v>0</v>
      </c>
      <c r="BV911" s="65">
        <v>51700</v>
      </c>
      <c r="BW911" s="65">
        <v>32945</v>
      </c>
      <c r="BX911" s="65">
        <v>44627</v>
      </c>
      <c r="BY911" s="65">
        <v>18755</v>
      </c>
      <c r="BZ911" s="81">
        <v>36.276595744680847</v>
      </c>
    </row>
    <row r="912" spans="1:82" x14ac:dyDescent="0.15">
      <c r="A912" s="60">
        <v>2</v>
      </c>
      <c r="B912" s="61">
        <v>44673</v>
      </c>
      <c r="C912" s="61">
        <v>44678</v>
      </c>
      <c r="D912" s="61">
        <v>44690</v>
      </c>
      <c r="E912" s="61">
        <v>44681</v>
      </c>
      <c r="F912" s="61">
        <v>44685</v>
      </c>
      <c r="G912" s="61">
        <v>44678</v>
      </c>
      <c r="H912" s="61">
        <v>44681</v>
      </c>
      <c r="I912" s="60" t="s">
        <v>511</v>
      </c>
      <c r="J912" s="60">
        <v>1</v>
      </c>
      <c r="L912" s="60">
        <v>0</v>
      </c>
      <c r="M912" s="61">
        <v>44627</v>
      </c>
      <c r="O912" s="62" t="s">
        <v>331</v>
      </c>
      <c r="P912" s="60" t="s">
        <v>26</v>
      </c>
      <c r="Q912" s="62" t="s">
        <v>135</v>
      </c>
      <c r="R912" s="62" t="s">
        <v>3173</v>
      </c>
      <c r="S912" s="63" t="s">
        <v>655</v>
      </c>
      <c r="T912" s="63" t="s">
        <v>667</v>
      </c>
      <c r="U912" s="64">
        <v>59200</v>
      </c>
      <c r="V912" s="64">
        <v>65120</v>
      </c>
      <c r="W912" s="64">
        <v>47000</v>
      </c>
      <c r="X912" s="64">
        <v>51700</v>
      </c>
      <c r="Y912" s="64">
        <v>12200</v>
      </c>
      <c r="Z912" s="64">
        <v>13420</v>
      </c>
      <c r="AA912" s="61">
        <v>44676</v>
      </c>
      <c r="AB912" s="61">
        <v>44678</v>
      </c>
      <c r="AC912" s="61">
        <v>44678</v>
      </c>
      <c r="AD912" s="60">
        <v>0</v>
      </c>
      <c r="AG912" s="60">
        <v>0</v>
      </c>
      <c r="AJ912" s="60">
        <v>0</v>
      </c>
      <c r="AM912" s="60" t="s">
        <v>273</v>
      </c>
      <c r="AN912" s="60" t="s">
        <v>3174</v>
      </c>
      <c r="AQ912" s="60" t="s">
        <v>2867</v>
      </c>
      <c r="AR912" s="61">
        <v>44644</v>
      </c>
      <c r="AS912" s="60">
        <v>6002008442</v>
      </c>
      <c r="AT912" s="61">
        <v>44644</v>
      </c>
      <c r="AU912" s="60" t="s">
        <v>2888</v>
      </c>
      <c r="AV912" s="61">
        <v>44678</v>
      </c>
      <c r="AW912" s="91">
        <v>44681</v>
      </c>
      <c r="AX912" s="91">
        <v>44701</v>
      </c>
      <c r="AY912" s="99">
        <v>56832</v>
      </c>
      <c r="AZ912" s="99">
        <f>ROUNDDOWN(AY912+(AY912*MASTER!$A$2/100),0)</f>
        <v>62515</v>
      </c>
      <c r="BA912" s="60" t="s">
        <v>613</v>
      </c>
      <c r="BB912" s="64">
        <v>28000</v>
      </c>
      <c r="BC912" s="64">
        <v>30800</v>
      </c>
      <c r="BD912" s="60" t="s">
        <v>643</v>
      </c>
      <c r="BG912" s="64">
        <v>0</v>
      </c>
      <c r="BI912" s="60" t="s">
        <v>267</v>
      </c>
      <c r="BJ912" s="64">
        <v>7930</v>
      </c>
      <c r="BK912" s="64">
        <v>8723</v>
      </c>
      <c r="BL912" s="60" t="s">
        <v>2916</v>
      </c>
      <c r="BS912" s="64">
        <v>0</v>
      </c>
      <c r="BV912" s="65">
        <v>51700</v>
      </c>
      <c r="BW912" s="65">
        <v>39523</v>
      </c>
      <c r="BX912" s="65">
        <v>44627</v>
      </c>
      <c r="BY912" s="65">
        <v>12177</v>
      </c>
      <c r="BZ912" s="81">
        <v>23.553191489361701</v>
      </c>
    </row>
    <row r="913" spans="1:89" x14ac:dyDescent="0.15">
      <c r="A913" s="60">
        <v>2</v>
      </c>
      <c r="B913" s="61">
        <v>44699</v>
      </c>
      <c r="C913" s="61">
        <v>44711</v>
      </c>
      <c r="D913" s="61">
        <v>44718</v>
      </c>
      <c r="F913" s="61">
        <v>44715</v>
      </c>
      <c r="H913" s="61">
        <v>44711</v>
      </c>
      <c r="I913" s="60" t="s">
        <v>774</v>
      </c>
      <c r="J913" s="60">
        <v>2</v>
      </c>
      <c r="L913" s="60">
        <v>0</v>
      </c>
      <c r="M913" s="61">
        <v>44627</v>
      </c>
      <c r="O913" s="62" t="s">
        <v>331</v>
      </c>
      <c r="P913" s="60" t="s">
        <v>77</v>
      </c>
      <c r="Q913" s="62" t="s">
        <v>135</v>
      </c>
      <c r="R913" s="62" t="s">
        <v>2605</v>
      </c>
      <c r="S913" s="63" t="s">
        <v>1913</v>
      </c>
      <c r="T913" s="63" t="s">
        <v>346</v>
      </c>
      <c r="U913" s="64">
        <v>65000</v>
      </c>
      <c r="V913" s="64">
        <v>71500</v>
      </c>
      <c r="W913" s="64">
        <v>65000</v>
      </c>
      <c r="X913" s="64">
        <v>71500</v>
      </c>
      <c r="Y913" s="64">
        <v>0</v>
      </c>
      <c r="Z913" s="64">
        <v>0</v>
      </c>
      <c r="AA913" s="61">
        <v>44707</v>
      </c>
      <c r="AB913" s="61">
        <v>44708</v>
      </c>
      <c r="AC913" s="61">
        <v>44708</v>
      </c>
      <c r="AD913" s="60">
        <v>0</v>
      </c>
      <c r="AG913" s="60">
        <v>0</v>
      </c>
      <c r="AJ913" s="60">
        <v>0</v>
      </c>
      <c r="AQ913" s="60" t="s">
        <v>3401</v>
      </c>
      <c r="AR913" s="61">
        <v>44631</v>
      </c>
      <c r="AS913" s="60">
        <v>6002003324</v>
      </c>
      <c r="AT913" s="61">
        <v>44631</v>
      </c>
      <c r="AU913" s="60" t="s">
        <v>2710</v>
      </c>
      <c r="AV913" s="61">
        <v>44711</v>
      </c>
      <c r="AW913" s="91">
        <v>44712</v>
      </c>
      <c r="AX913" s="91">
        <v>44732</v>
      </c>
      <c r="AY913" s="107">
        <v>65000</v>
      </c>
      <c r="AZ913" s="107">
        <f>ROUNDDOWN(AY913+(AY913*MASTER!$A$2/100),0)</f>
        <v>71500</v>
      </c>
      <c r="BA913" s="60" t="s">
        <v>765</v>
      </c>
      <c r="BC913" s="64">
        <v>0</v>
      </c>
      <c r="BG913" s="64">
        <v>0</v>
      </c>
      <c r="BK913" s="64">
        <v>0</v>
      </c>
      <c r="BS913" s="64">
        <v>0</v>
      </c>
      <c r="BV913" s="65">
        <v>71500</v>
      </c>
      <c r="BW913" s="65">
        <v>0</v>
      </c>
      <c r="BX913" s="65">
        <v>44627</v>
      </c>
      <c r="BY913" s="65">
        <v>71500</v>
      </c>
      <c r="BZ913" s="81">
        <v>100</v>
      </c>
    </row>
    <row r="914" spans="1:89" x14ac:dyDescent="0.15">
      <c r="A914" s="60">
        <v>2</v>
      </c>
      <c r="B914" s="61">
        <v>44637</v>
      </c>
      <c r="C914" s="61">
        <v>44651</v>
      </c>
      <c r="D914" s="61">
        <v>44659</v>
      </c>
      <c r="F914" s="61" t="s">
        <v>309</v>
      </c>
      <c r="G914" s="61">
        <v>44659</v>
      </c>
      <c r="H914" s="61" t="s">
        <v>309</v>
      </c>
      <c r="I914" s="60" t="s">
        <v>774</v>
      </c>
      <c r="J914" s="60">
        <v>2</v>
      </c>
      <c r="L914" s="60">
        <v>0</v>
      </c>
      <c r="M914" s="61">
        <v>44627</v>
      </c>
      <c r="O914" s="62" t="s">
        <v>331</v>
      </c>
      <c r="P914" s="60" t="s">
        <v>26</v>
      </c>
      <c r="Q914" s="62" t="s">
        <v>135</v>
      </c>
      <c r="R914" s="62" t="s">
        <v>2752</v>
      </c>
      <c r="S914" s="63" t="s">
        <v>2485</v>
      </c>
      <c r="T914" s="63" t="s">
        <v>2753</v>
      </c>
      <c r="U914" s="64">
        <v>330000</v>
      </c>
      <c r="V914" s="64">
        <v>363000</v>
      </c>
      <c r="W914" s="64">
        <v>330000</v>
      </c>
      <c r="X914" s="64">
        <v>363000</v>
      </c>
      <c r="Y914" s="64">
        <v>0</v>
      </c>
      <c r="Z914" s="64">
        <v>0</v>
      </c>
      <c r="AA914" s="61">
        <v>44593</v>
      </c>
      <c r="AB914" s="61">
        <v>44649</v>
      </c>
      <c r="AD914" s="60">
        <v>0</v>
      </c>
      <c r="AG914" s="60">
        <v>0</v>
      </c>
      <c r="AJ914" s="60">
        <v>0</v>
      </c>
      <c r="AN914" s="60" t="s">
        <v>309</v>
      </c>
      <c r="AQ914" s="60" t="s">
        <v>2828</v>
      </c>
      <c r="AR914" s="61">
        <v>44635</v>
      </c>
      <c r="AS914" s="60">
        <v>6002004348</v>
      </c>
      <c r="AT914" s="61">
        <v>44636</v>
      </c>
      <c r="AU914" s="60" t="s">
        <v>2778</v>
      </c>
      <c r="AV914" s="61">
        <v>44651</v>
      </c>
      <c r="AW914" s="91">
        <v>44651</v>
      </c>
      <c r="AX914" s="91">
        <v>44671</v>
      </c>
      <c r="AY914" s="99">
        <v>316800</v>
      </c>
      <c r="AZ914" s="99">
        <f>ROUNDDOWN(AY914+(AY914*MASTER!$A$2/100),0)</f>
        <v>348480</v>
      </c>
      <c r="BA914" s="60" t="s">
        <v>317</v>
      </c>
      <c r="BB914" s="64">
        <v>99500</v>
      </c>
      <c r="BC914" s="64">
        <v>109450</v>
      </c>
      <c r="BD914" s="60" t="s">
        <v>2107</v>
      </c>
      <c r="BG914" s="64">
        <v>0</v>
      </c>
      <c r="BK914" s="64">
        <v>0</v>
      </c>
      <c r="BS914" s="64">
        <v>0</v>
      </c>
      <c r="BV914" s="65">
        <v>363000</v>
      </c>
      <c r="BW914" s="65">
        <v>109450</v>
      </c>
      <c r="BX914" s="65">
        <v>44627</v>
      </c>
      <c r="BY914" s="65">
        <v>253550</v>
      </c>
      <c r="BZ914" s="81">
        <v>69.848484848484844</v>
      </c>
    </row>
    <row r="915" spans="1:89" s="152" customFormat="1" x14ac:dyDescent="0.15">
      <c r="A915" s="142">
        <v>3</v>
      </c>
      <c r="B915" s="143"/>
      <c r="C915" s="143" t="s">
        <v>309</v>
      </c>
      <c r="D915" s="143"/>
      <c r="E915" s="143"/>
      <c r="F915" s="143" t="s">
        <v>309</v>
      </c>
      <c r="G915" s="143"/>
      <c r="H915" s="143" t="s">
        <v>309</v>
      </c>
      <c r="I915" s="142"/>
      <c r="J915" s="142">
        <v>2</v>
      </c>
      <c r="K915" s="143"/>
      <c r="L915" s="142">
        <v>0</v>
      </c>
      <c r="M915" s="143">
        <v>44627</v>
      </c>
      <c r="N915" s="143"/>
      <c r="O915" s="144" t="s">
        <v>331</v>
      </c>
      <c r="P915" s="142" t="s">
        <v>26</v>
      </c>
      <c r="Q915" s="144" t="s">
        <v>135</v>
      </c>
      <c r="R915" s="144" t="s">
        <v>2770</v>
      </c>
      <c r="S915" s="145" t="s">
        <v>342</v>
      </c>
      <c r="T915" s="145" t="s">
        <v>2753</v>
      </c>
      <c r="U915" s="146">
        <v>159000</v>
      </c>
      <c r="V915" s="146">
        <v>174900</v>
      </c>
      <c r="W915" s="146">
        <v>159000</v>
      </c>
      <c r="X915" s="146">
        <v>174900</v>
      </c>
      <c r="Y915" s="146"/>
      <c r="Z915" s="146">
        <v>0</v>
      </c>
      <c r="AA915" s="143"/>
      <c r="AB915" s="143"/>
      <c r="AC915" s="143"/>
      <c r="AD915" s="142">
        <v>0</v>
      </c>
      <c r="AE915" s="142"/>
      <c r="AF915" s="142"/>
      <c r="AG915" s="142">
        <v>0</v>
      </c>
      <c r="AH915" s="142"/>
      <c r="AI915" s="142"/>
      <c r="AJ915" s="142">
        <v>0</v>
      </c>
      <c r="AK915" s="142"/>
      <c r="AL915" s="142"/>
      <c r="AM915" s="142"/>
      <c r="AN915" s="142" t="s">
        <v>309</v>
      </c>
      <c r="AO915" s="143"/>
      <c r="AP915" s="142"/>
      <c r="AQ915" s="142"/>
      <c r="AR915" s="143"/>
      <c r="AS915" s="142"/>
      <c r="AT915" s="143"/>
      <c r="AU915" s="142"/>
      <c r="AV915" s="143"/>
      <c r="AW915" s="147"/>
      <c r="AX915" s="147"/>
      <c r="AY915" s="148">
        <v>152640</v>
      </c>
      <c r="AZ915" s="148">
        <f>ROUNDDOWN(AY915+(AY915*MASTER!$A$2/100),0)</f>
        <v>167904</v>
      </c>
      <c r="BA915" s="142"/>
      <c r="BB915" s="146"/>
      <c r="BC915" s="146">
        <v>0</v>
      </c>
      <c r="BD915" s="142"/>
      <c r="BE915" s="142"/>
      <c r="BF915" s="146"/>
      <c r="BG915" s="146">
        <v>0</v>
      </c>
      <c r="BH915" s="142"/>
      <c r="BI915" s="142"/>
      <c r="BJ915" s="146"/>
      <c r="BK915" s="146">
        <v>0</v>
      </c>
      <c r="BL915" s="142"/>
      <c r="BM915" s="146"/>
      <c r="BN915" s="146"/>
      <c r="BO915" s="146"/>
      <c r="BP915" s="146"/>
      <c r="BQ915" s="146"/>
      <c r="BR915" s="146"/>
      <c r="BS915" s="146">
        <v>0</v>
      </c>
      <c r="BT915" s="149"/>
      <c r="BU915" s="149"/>
      <c r="BV915" s="150">
        <v>174900</v>
      </c>
      <c r="BW915" s="150">
        <v>0</v>
      </c>
      <c r="BX915" s="150">
        <v>44627</v>
      </c>
      <c r="BY915" s="150">
        <v>174900</v>
      </c>
      <c r="BZ915" s="151">
        <v>100</v>
      </c>
      <c r="CA915" s="142"/>
      <c r="CB915" s="142"/>
      <c r="CC915" s="142"/>
      <c r="CD915" s="145"/>
      <c r="CE915" s="143"/>
      <c r="CF915" s="143"/>
      <c r="CG915" s="143"/>
      <c r="CH915" s="143"/>
      <c r="CI915" s="143"/>
      <c r="CJ915" s="143"/>
      <c r="CK915" s="146"/>
    </row>
    <row r="916" spans="1:89" s="152" customFormat="1" x14ac:dyDescent="0.15">
      <c r="A916" s="142">
        <v>3</v>
      </c>
      <c r="B916" s="143"/>
      <c r="C916" s="143" t="s">
        <v>309</v>
      </c>
      <c r="D916" s="143"/>
      <c r="E916" s="143"/>
      <c r="F916" s="143" t="s">
        <v>309</v>
      </c>
      <c r="G916" s="143"/>
      <c r="H916" s="143" t="s">
        <v>309</v>
      </c>
      <c r="I916" s="142"/>
      <c r="J916" s="142">
        <v>2</v>
      </c>
      <c r="K916" s="143"/>
      <c r="L916" s="142">
        <v>0</v>
      </c>
      <c r="M916" s="143">
        <v>44627</v>
      </c>
      <c r="N916" s="143"/>
      <c r="O916" s="144" t="s">
        <v>335</v>
      </c>
      <c r="P916" s="142" t="s">
        <v>349</v>
      </c>
      <c r="Q916" s="144" t="s">
        <v>2523</v>
      </c>
      <c r="R916" s="144" t="s">
        <v>2610</v>
      </c>
      <c r="S916" s="145" t="s">
        <v>1434</v>
      </c>
      <c r="T916" s="145" t="s">
        <v>2039</v>
      </c>
      <c r="U916" s="146">
        <v>159000</v>
      </c>
      <c r="V916" s="146">
        <v>174900</v>
      </c>
      <c r="W916" s="146">
        <v>159000</v>
      </c>
      <c r="X916" s="146">
        <v>174900</v>
      </c>
      <c r="Y916" s="146"/>
      <c r="Z916" s="146">
        <v>0</v>
      </c>
      <c r="AA916" s="143"/>
      <c r="AB916" s="143"/>
      <c r="AC916" s="143"/>
      <c r="AD916" s="142">
        <v>0</v>
      </c>
      <c r="AE916" s="142"/>
      <c r="AF916" s="142"/>
      <c r="AG916" s="142">
        <v>0</v>
      </c>
      <c r="AH916" s="142"/>
      <c r="AI916" s="142"/>
      <c r="AJ916" s="142">
        <v>0</v>
      </c>
      <c r="AK916" s="142"/>
      <c r="AL916" s="142"/>
      <c r="AM916" s="142"/>
      <c r="AN916" s="142" t="s">
        <v>309</v>
      </c>
      <c r="AO916" s="143"/>
      <c r="AP916" s="142"/>
      <c r="AQ916" s="142"/>
      <c r="AR916" s="143"/>
      <c r="AS916" s="142"/>
      <c r="AT916" s="143"/>
      <c r="AU916" s="142"/>
      <c r="AV916" s="143"/>
      <c r="AW916" s="147"/>
      <c r="AX916" s="147"/>
      <c r="AY916" s="148">
        <f>ROUNDDOWN((0.96*U916),0)</f>
        <v>152640</v>
      </c>
      <c r="AZ916" s="148">
        <f>ROUNDDOWN(AY916+(AY916*MASTER!$A$2/100),0)</f>
        <v>167904</v>
      </c>
      <c r="BA916" s="142"/>
      <c r="BB916" s="146"/>
      <c r="BC916" s="146">
        <v>0</v>
      </c>
      <c r="BD916" s="142"/>
      <c r="BE916" s="142"/>
      <c r="BF916" s="146"/>
      <c r="BG916" s="146">
        <v>0</v>
      </c>
      <c r="BH916" s="142"/>
      <c r="BI916" s="142"/>
      <c r="BJ916" s="146"/>
      <c r="BK916" s="146">
        <v>0</v>
      </c>
      <c r="BL916" s="142"/>
      <c r="BM916" s="146"/>
      <c r="BN916" s="146"/>
      <c r="BO916" s="146"/>
      <c r="BP916" s="146"/>
      <c r="BQ916" s="146"/>
      <c r="BR916" s="146"/>
      <c r="BS916" s="146">
        <v>0</v>
      </c>
      <c r="BT916" s="149"/>
      <c r="BU916" s="149"/>
      <c r="BV916" s="150">
        <v>174900</v>
      </c>
      <c r="BW916" s="150">
        <v>0</v>
      </c>
      <c r="BX916" s="150">
        <v>44627</v>
      </c>
      <c r="BY916" s="150">
        <v>174900</v>
      </c>
      <c r="BZ916" s="151">
        <v>100</v>
      </c>
      <c r="CA916" s="142"/>
      <c r="CB916" s="142"/>
      <c r="CC916" s="142"/>
      <c r="CD916" s="145"/>
      <c r="CE916" s="143"/>
      <c r="CF916" s="143"/>
      <c r="CG916" s="143"/>
      <c r="CH916" s="143"/>
      <c r="CI916" s="143"/>
      <c r="CJ916" s="143"/>
      <c r="CK916" s="146"/>
    </row>
    <row r="917" spans="1:89" x14ac:dyDescent="0.15">
      <c r="A917" s="60">
        <v>2</v>
      </c>
      <c r="B917" s="61">
        <v>44644</v>
      </c>
      <c r="C917" s="61">
        <v>44651</v>
      </c>
      <c r="D917" s="61" t="s">
        <v>764</v>
      </c>
      <c r="E917" s="61">
        <v>44658</v>
      </c>
      <c r="F917" s="61">
        <v>44658</v>
      </c>
      <c r="G917" s="61">
        <v>44651</v>
      </c>
      <c r="H917" s="61">
        <v>44654</v>
      </c>
      <c r="I917" s="60" t="s">
        <v>511</v>
      </c>
      <c r="J917" s="60">
        <v>1</v>
      </c>
      <c r="L917" s="60">
        <v>0</v>
      </c>
      <c r="M917" s="61">
        <v>44628</v>
      </c>
      <c r="O917" s="62" t="s">
        <v>331</v>
      </c>
      <c r="P917" s="60" t="s">
        <v>26</v>
      </c>
      <c r="Q917" s="62" t="s">
        <v>135</v>
      </c>
      <c r="R917" s="62" t="s">
        <v>2837</v>
      </c>
      <c r="S917" s="63" t="s">
        <v>1405</v>
      </c>
      <c r="T917" s="63" t="s">
        <v>1333</v>
      </c>
      <c r="U917" s="64">
        <v>23900</v>
      </c>
      <c r="V917" s="64">
        <v>26290</v>
      </c>
      <c r="W917" s="64">
        <v>14700</v>
      </c>
      <c r="X917" s="64">
        <v>16170</v>
      </c>
      <c r="Y917" s="64">
        <v>9200</v>
      </c>
      <c r="Z917" s="64">
        <v>10120</v>
      </c>
      <c r="AA917" s="61">
        <v>44650</v>
      </c>
      <c r="AB917" s="61">
        <v>44651</v>
      </c>
      <c r="AC917" s="61">
        <v>44651</v>
      </c>
      <c r="AD917" s="60">
        <v>0</v>
      </c>
      <c r="AG917" s="60">
        <v>0</v>
      </c>
      <c r="AJ917" s="60">
        <v>0</v>
      </c>
      <c r="AM917" s="60" t="s">
        <v>273</v>
      </c>
      <c r="AN917" s="60" t="s">
        <v>2838</v>
      </c>
      <c r="AQ917" s="60" t="s">
        <v>2777</v>
      </c>
      <c r="AR917" s="61">
        <v>44636</v>
      </c>
      <c r="AS917" s="60">
        <v>6002004937</v>
      </c>
      <c r="AT917" s="61">
        <v>44638</v>
      </c>
      <c r="AU917" s="60" t="s">
        <v>2839</v>
      </c>
      <c r="AV917" s="61">
        <v>44651</v>
      </c>
      <c r="AW917" s="91">
        <v>44651</v>
      </c>
      <c r="AX917" s="91">
        <v>44671</v>
      </c>
      <c r="AY917" s="99">
        <v>22944</v>
      </c>
      <c r="AZ917" s="99">
        <f>ROUNDDOWN(AY917+(AY917*MASTER!$A$2/100),0)</f>
        <v>25238</v>
      </c>
      <c r="BA917" s="60" t="s">
        <v>765</v>
      </c>
      <c r="BC917" s="64">
        <v>0</v>
      </c>
      <c r="BG917" s="64">
        <v>0</v>
      </c>
      <c r="BI917" s="60" t="s">
        <v>748</v>
      </c>
      <c r="BJ917" s="64">
        <v>5980</v>
      </c>
      <c r="BK917" s="64">
        <v>6578</v>
      </c>
      <c r="BL917" s="60" t="s">
        <v>2107</v>
      </c>
      <c r="BS917" s="64">
        <v>0</v>
      </c>
      <c r="BV917" s="65">
        <v>16170</v>
      </c>
      <c r="BW917" s="65">
        <v>6578</v>
      </c>
      <c r="BX917" s="65">
        <v>44628</v>
      </c>
      <c r="BY917" s="65">
        <v>9592</v>
      </c>
      <c r="BZ917" s="81">
        <v>59.319727891156461</v>
      </c>
    </row>
    <row r="918" spans="1:89" x14ac:dyDescent="0.15">
      <c r="A918" s="60">
        <v>2</v>
      </c>
      <c r="B918" s="61">
        <v>44655</v>
      </c>
      <c r="C918" s="61">
        <v>44656</v>
      </c>
      <c r="D918" s="61" t="s">
        <v>764</v>
      </c>
      <c r="E918" s="61">
        <v>44658</v>
      </c>
      <c r="F918" s="61">
        <v>44663</v>
      </c>
      <c r="G918" s="61">
        <v>44658</v>
      </c>
      <c r="H918" s="61">
        <v>44659</v>
      </c>
      <c r="I918" s="60" t="s">
        <v>511</v>
      </c>
      <c r="J918" s="60">
        <v>1</v>
      </c>
      <c r="L918" s="60">
        <v>0</v>
      </c>
      <c r="M918" s="61">
        <v>44628</v>
      </c>
      <c r="O918" s="62" t="s">
        <v>331</v>
      </c>
      <c r="P918" s="60" t="s">
        <v>26</v>
      </c>
      <c r="Q918" s="62" t="s">
        <v>135</v>
      </c>
      <c r="R918" s="62" t="s">
        <v>2996</v>
      </c>
      <c r="S918" s="63" t="s">
        <v>623</v>
      </c>
      <c r="T918" s="63" t="s">
        <v>502</v>
      </c>
      <c r="U918" s="64">
        <v>23900</v>
      </c>
      <c r="V918" s="64">
        <v>26290</v>
      </c>
      <c r="W918" s="64">
        <v>14700</v>
      </c>
      <c r="X918" s="64">
        <v>16170</v>
      </c>
      <c r="Y918" s="64">
        <v>9200</v>
      </c>
      <c r="Z918" s="64">
        <v>10120</v>
      </c>
      <c r="AA918" s="61">
        <v>44655</v>
      </c>
      <c r="AB918" s="61">
        <v>44656</v>
      </c>
      <c r="AC918" s="61">
        <v>44656</v>
      </c>
      <c r="AD918" s="60">
        <v>0</v>
      </c>
      <c r="AG918" s="60">
        <v>0</v>
      </c>
      <c r="AJ918" s="60">
        <v>0</v>
      </c>
      <c r="AM918" s="60" t="s">
        <v>273</v>
      </c>
      <c r="AN918" s="60" t="s">
        <v>2997</v>
      </c>
      <c r="AQ918" s="60" t="s">
        <v>2796</v>
      </c>
      <c r="AR918" s="61">
        <v>44637</v>
      </c>
      <c r="AS918" s="60">
        <v>6002005815</v>
      </c>
      <c r="AT918" s="61">
        <v>44638</v>
      </c>
      <c r="AU918" s="60" t="s">
        <v>2840</v>
      </c>
      <c r="AV918" s="61">
        <v>44656</v>
      </c>
      <c r="AW918" s="91">
        <v>44681</v>
      </c>
      <c r="AX918" s="91">
        <v>44701</v>
      </c>
      <c r="AY918" s="99">
        <v>22944</v>
      </c>
      <c r="AZ918" s="99">
        <f>ROUNDDOWN(AY918+(AY918*MASTER!$A$2/100),0)</f>
        <v>25238</v>
      </c>
      <c r="BA918" s="60" t="s">
        <v>765</v>
      </c>
      <c r="BC918" s="64">
        <v>0</v>
      </c>
      <c r="BG918" s="64">
        <v>0</v>
      </c>
      <c r="BI918" s="60" t="s">
        <v>267</v>
      </c>
      <c r="BJ918" s="64">
        <v>5980</v>
      </c>
      <c r="BK918" s="64">
        <v>6578</v>
      </c>
      <c r="BL918" s="60" t="s">
        <v>2916</v>
      </c>
      <c r="BS918" s="64">
        <v>0</v>
      </c>
      <c r="BV918" s="65">
        <v>16170</v>
      </c>
      <c r="BW918" s="65">
        <v>6578</v>
      </c>
      <c r="BX918" s="65">
        <v>44628</v>
      </c>
      <c r="BY918" s="65">
        <v>9592</v>
      </c>
      <c r="BZ918" s="81">
        <v>59.319727891156461</v>
      </c>
    </row>
    <row r="919" spans="1:89" x14ac:dyDescent="0.15">
      <c r="A919" s="60">
        <v>1</v>
      </c>
      <c r="B919" s="61">
        <v>44645</v>
      </c>
      <c r="C919" s="61">
        <v>44645</v>
      </c>
      <c r="F919" s="61" t="s">
        <v>309</v>
      </c>
      <c r="H919" s="61" t="s">
        <v>309</v>
      </c>
      <c r="J919" s="60">
        <v>2</v>
      </c>
      <c r="L919" s="60">
        <v>0</v>
      </c>
      <c r="M919" s="61">
        <v>44628</v>
      </c>
      <c r="O919" s="62" t="s">
        <v>331</v>
      </c>
      <c r="P919" s="60" t="s">
        <v>6</v>
      </c>
      <c r="Q919" s="62" t="s">
        <v>135</v>
      </c>
      <c r="R919" s="62" t="s">
        <v>2781</v>
      </c>
      <c r="S919" s="63" t="s">
        <v>451</v>
      </c>
      <c r="T919" s="63" t="s">
        <v>364</v>
      </c>
      <c r="U919" s="64">
        <v>51000</v>
      </c>
      <c r="V919" s="64">
        <v>56100</v>
      </c>
      <c r="W919" s="64">
        <v>51000</v>
      </c>
      <c r="X919" s="64">
        <v>56100</v>
      </c>
      <c r="Z919" s="64">
        <v>0</v>
      </c>
      <c r="AA919" s="61">
        <v>44635</v>
      </c>
      <c r="AB919" s="61">
        <v>44635</v>
      </c>
      <c r="AD919" s="60">
        <v>0</v>
      </c>
      <c r="AG919" s="60">
        <v>0</v>
      </c>
      <c r="AJ919" s="60">
        <v>0</v>
      </c>
      <c r="AN919" s="60" t="s">
        <v>309</v>
      </c>
      <c r="AQ919" s="60" t="s">
        <v>2859</v>
      </c>
      <c r="AR919" s="61">
        <v>44644</v>
      </c>
      <c r="AS919" s="60">
        <v>6002008442</v>
      </c>
      <c r="AT919" s="61">
        <v>44644</v>
      </c>
      <c r="AU919" s="60" t="s">
        <v>2888</v>
      </c>
      <c r="AV919" s="61">
        <v>44645</v>
      </c>
      <c r="AW919" s="91">
        <v>44651</v>
      </c>
      <c r="AX919" s="91">
        <v>44671</v>
      </c>
      <c r="AY919" s="99">
        <v>48960</v>
      </c>
      <c r="AZ919" s="99">
        <f>ROUNDDOWN(AY919+(AY919*MASTER!$A$2/100),0)</f>
        <v>53856</v>
      </c>
      <c r="BA919" s="60" t="s">
        <v>317</v>
      </c>
      <c r="BB919" s="64">
        <v>27000</v>
      </c>
      <c r="BC919" s="64">
        <v>29700</v>
      </c>
      <c r="BD919" s="60" t="s">
        <v>2107</v>
      </c>
      <c r="BG919" s="64">
        <v>0</v>
      </c>
      <c r="BK919" s="64">
        <v>0</v>
      </c>
      <c r="BS919" s="64">
        <v>0</v>
      </c>
      <c r="BV919" s="65">
        <v>56100</v>
      </c>
      <c r="BW919" s="65">
        <v>29700</v>
      </c>
      <c r="BX919" s="65">
        <v>44628</v>
      </c>
      <c r="BY919" s="65">
        <v>26400</v>
      </c>
      <c r="BZ919" s="81">
        <v>47.058823529411761</v>
      </c>
    </row>
    <row r="920" spans="1:89" x14ac:dyDescent="0.15">
      <c r="A920" s="60">
        <v>1</v>
      </c>
      <c r="B920" s="61">
        <v>44650</v>
      </c>
      <c r="C920" s="61">
        <v>44650</v>
      </c>
      <c r="F920" s="61" t="s">
        <v>309</v>
      </c>
      <c r="G920" s="61">
        <v>44629</v>
      </c>
      <c r="H920" s="61" t="s">
        <v>309</v>
      </c>
      <c r="J920" s="60">
        <v>2</v>
      </c>
      <c r="L920" s="60">
        <v>0</v>
      </c>
      <c r="M920" s="61">
        <v>44628</v>
      </c>
      <c r="O920" s="62" t="s">
        <v>331</v>
      </c>
      <c r="P920" s="60" t="s">
        <v>6</v>
      </c>
      <c r="Q920" s="62" t="s">
        <v>135</v>
      </c>
      <c r="R920" s="62" t="s">
        <v>2745</v>
      </c>
      <c r="S920" s="63" t="s">
        <v>2744</v>
      </c>
      <c r="T920" s="63" t="s">
        <v>364</v>
      </c>
      <c r="U920" s="64">
        <v>51000</v>
      </c>
      <c r="V920" s="64">
        <v>56100</v>
      </c>
      <c r="W920" s="64">
        <v>51000</v>
      </c>
      <c r="X920" s="64">
        <v>56100</v>
      </c>
      <c r="Z920" s="64">
        <v>0</v>
      </c>
      <c r="AA920" s="61">
        <v>44629</v>
      </c>
      <c r="AB920" s="61">
        <v>44629</v>
      </c>
      <c r="AD920" s="60">
        <v>0</v>
      </c>
      <c r="AG920" s="60">
        <v>0</v>
      </c>
      <c r="AJ920" s="60">
        <v>0</v>
      </c>
      <c r="AN920" s="60" t="s">
        <v>309</v>
      </c>
      <c r="AQ920" s="60" t="s">
        <v>2936</v>
      </c>
      <c r="AR920" s="61">
        <v>44649</v>
      </c>
      <c r="AS920" s="60">
        <v>6002010132</v>
      </c>
      <c r="AT920" s="61">
        <v>44649</v>
      </c>
      <c r="AU920" s="60" t="s">
        <v>2946</v>
      </c>
      <c r="AV920" s="61">
        <v>44650</v>
      </c>
      <c r="AW920" s="91">
        <v>44651</v>
      </c>
      <c r="AX920" s="91">
        <v>44671</v>
      </c>
      <c r="AY920" s="99">
        <v>48960</v>
      </c>
      <c r="AZ920" s="99">
        <f>ROUNDDOWN(AY920+(AY920*MASTER!$A$2/100),0)</f>
        <v>53856</v>
      </c>
      <c r="BA920" s="60" t="s">
        <v>317</v>
      </c>
      <c r="BB920" s="64">
        <v>21000</v>
      </c>
      <c r="BC920" s="64">
        <v>23100</v>
      </c>
      <c r="BD920" s="60" t="s">
        <v>2107</v>
      </c>
      <c r="BG920" s="64">
        <v>0</v>
      </c>
      <c r="BK920" s="64">
        <v>0</v>
      </c>
      <c r="BS920" s="64">
        <v>0</v>
      </c>
      <c r="BV920" s="65">
        <v>56100</v>
      </c>
      <c r="BW920" s="65">
        <v>23100</v>
      </c>
      <c r="BX920" s="65">
        <v>44628</v>
      </c>
      <c r="BY920" s="65">
        <v>33000</v>
      </c>
      <c r="BZ920" s="81">
        <v>58.82352941176471</v>
      </c>
    </row>
    <row r="921" spans="1:89" x14ac:dyDescent="0.15">
      <c r="A921" s="60">
        <v>1</v>
      </c>
      <c r="B921" s="61">
        <v>44644</v>
      </c>
      <c r="C921" s="61">
        <v>44644</v>
      </c>
      <c r="F921" s="61" t="s">
        <v>309</v>
      </c>
      <c r="G921" s="61">
        <v>44644</v>
      </c>
      <c r="H921" s="61" t="s">
        <v>309</v>
      </c>
      <c r="J921" s="60">
        <v>2</v>
      </c>
      <c r="L921" s="60">
        <v>0</v>
      </c>
      <c r="M921" s="61">
        <v>44628</v>
      </c>
      <c r="O921" s="62" t="s">
        <v>331</v>
      </c>
      <c r="P921" s="60" t="s">
        <v>6</v>
      </c>
      <c r="Q921" s="62" t="s">
        <v>135</v>
      </c>
      <c r="R921" s="62" t="s">
        <v>2882</v>
      </c>
      <c r="S921" s="63" t="s">
        <v>1608</v>
      </c>
      <c r="T921" s="63" t="s">
        <v>364</v>
      </c>
      <c r="U921" s="64">
        <v>23000</v>
      </c>
      <c r="V921" s="64">
        <v>25300</v>
      </c>
      <c r="W921" s="64">
        <v>23000</v>
      </c>
      <c r="X921" s="64">
        <v>25300</v>
      </c>
      <c r="Z921" s="64">
        <v>0</v>
      </c>
      <c r="AA921" s="61">
        <v>44643</v>
      </c>
      <c r="AB921" s="61">
        <v>44643</v>
      </c>
      <c r="AD921" s="60">
        <v>0</v>
      </c>
      <c r="AG921" s="60">
        <v>0</v>
      </c>
      <c r="AJ921" s="60">
        <v>0</v>
      </c>
      <c r="AN921" s="60" t="s">
        <v>309</v>
      </c>
      <c r="AQ921" s="60" t="s">
        <v>2649</v>
      </c>
      <c r="AR921" s="61">
        <v>44629</v>
      </c>
      <c r="AS921" s="60">
        <v>6002002319</v>
      </c>
      <c r="AT921" s="61">
        <v>44631</v>
      </c>
      <c r="AU921" s="60" t="s">
        <v>2707</v>
      </c>
      <c r="AV921" s="61">
        <v>44644</v>
      </c>
      <c r="AW921" s="91">
        <v>44651</v>
      </c>
      <c r="AX921" s="91">
        <v>44671</v>
      </c>
      <c r="AY921" s="99">
        <v>22080</v>
      </c>
      <c r="AZ921" s="99">
        <f>ROUNDDOWN(AY921+(AY921*MASTER!$A$2/100),0)</f>
        <v>24288</v>
      </c>
      <c r="BC921" s="64">
        <v>0</v>
      </c>
      <c r="BG921" s="64">
        <v>0</v>
      </c>
      <c r="BK921" s="64">
        <v>0</v>
      </c>
      <c r="BS921" s="64">
        <v>0</v>
      </c>
      <c r="BV921" s="65">
        <v>25300</v>
      </c>
      <c r="BW921" s="65">
        <v>0</v>
      </c>
      <c r="BX921" s="65">
        <v>44628</v>
      </c>
      <c r="BY921" s="65">
        <v>25300</v>
      </c>
      <c r="BZ921" s="81">
        <v>100</v>
      </c>
    </row>
    <row r="922" spans="1:89" x14ac:dyDescent="0.15">
      <c r="A922" s="60">
        <v>1</v>
      </c>
      <c r="B922" s="61">
        <v>44635</v>
      </c>
      <c r="C922" s="61">
        <v>44636</v>
      </c>
      <c r="F922" s="61" t="s">
        <v>309</v>
      </c>
      <c r="G922" s="61">
        <v>44635</v>
      </c>
      <c r="H922" s="61" t="s">
        <v>309</v>
      </c>
      <c r="J922" s="60">
        <v>2</v>
      </c>
      <c r="L922" s="60">
        <v>0</v>
      </c>
      <c r="M922" s="61">
        <v>44628</v>
      </c>
      <c r="O922" s="62" t="s">
        <v>331</v>
      </c>
      <c r="P922" s="60" t="s">
        <v>6</v>
      </c>
      <c r="Q922" s="62" t="s">
        <v>135</v>
      </c>
      <c r="R922" s="62" t="s">
        <v>2782</v>
      </c>
      <c r="S922" s="63" t="s">
        <v>1917</v>
      </c>
      <c r="T922" s="63" t="s">
        <v>364</v>
      </c>
      <c r="U922" s="64">
        <v>23000</v>
      </c>
      <c r="V922" s="64">
        <v>25300</v>
      </c>
      <c r="W922" s="64">
        <v>23000</v>
      </c>
      <c r="X922" s="64">
        <v>25300</v>
      </c>
      <c r="Z922" s="64">
        <v>0</v>
      </c>
      <c r="AA922" s="61">
        <v>44635</v>
      </c>
      <c r="AB922" s="61">
        <v>44635</v>
      </c>
      <c r="AD922" s="60">
        <v>0</v>
      </c>
      <c r="AG922" s="60">
        <v>0</v>
      </c>
      <c r="AJ922" s="60">
        <v>0</v>
      </c>
      <c r="AN922" s="60" t="s">
        <v>309</v>
      </c>
      <c r="AQ922" s="60" t="s">
        <v>1124</v>
      </c>
      <c r="AR922" s="61">
        <v>44629</v>
      </c>
      <c r="AS922" s="60">
        <v>6002002319</v>
      </c>
      <c r="AT922" s="61">
        <v>44631</v>
      </c>
      <c r="AU922" s="60" t="s">
        <v>2707</v>
      </c>
      <c r="AV922" s="61">
        <v>44636</v>
      </c>
      <c r="AW922" s="91">
        <v>44651</v>
      </c>
      <c r="AX922" s="91">
        <v>44671</v>
      </c>
      <c r="AY922" s="99">
        <v>22080</v>
      </c>
      <c r="AZ922" s="99">
        <f>ROUNDDOWN(AY922+(AY922*MASTER!$A$2/100),0)</f>
        <v>24288</v>
      </c>
      <c r="BA922" s="60" t="s">
        <v>317</v>
      </c>
      <c r="BB922" s="64">
        <v>21000</v>
      </c>
      <c r="BC922" s="64">
        <v>23100</v>
      </c>
      <c r="BD922" s="60" t="s">
        <v>2107</v>
      </c>
      <c r="BG922" s="64">
        <v>0</v>
      </c>
      <c r="BK922" s="64">
        <v>0</v>
      </c>
      <c r="BS922" s="64">
        <v>0</v>
      </c>
      <c r="BV922" s="65">
        <v>25300</v>
      </c>
      <c r="BW922" s="65">
        <v>23100</v>
      </c>
      <c r="BX922" s="65">
        <v>44628</v>
      </c>
      <c r="BY922" s="65">
        <v>2200</v>
      </c>
      <c r="BZ922" s="81">
        <v>8.695652173913043</v>
      </c>
    </row>
    <row r="923" spans="1:89" x14ac:dyDescent="0.15">
      <c r="A923" s="60">
        <v>2</v>
      </c>
      <c r="B923" s="61">
        <v>44645</v>
      </c>
      <c r="C923" s="61">
        <v>44650</v>
      </c>
      <c r="D923" s="61">
        <v>44664</v>
      </c>
      <c r="E923" s="61">
        <v>44651</v>
      </c>
      <c r="F923" s="61">
        <v>44657</v>
      </c>
      <c r="G923" s="61">
        <v>44650</v>
      </c>
      <c r="H923" s="61">
        <v>44653</v>
      </c>
      <c r="I923" s="60" t="s">
        <v>511</v>
      </c>
      <c r="J923" s="60">
        <v>1</v>
      </c>
      <c r="L923" s="60">
        <v>0</v>
      </c>
      <c r="M923" s="61">
        <v>44629</v>
      </c>
      <c r="O923" s="62" t="s">
        <v>331</v>
      </c>
      <c r="P923" s="60" t="s">
        <v>26</v>
      </c>
      <c r="Q923" s="62" t="s">
        <v>135</v>
      </c>
      <c r="R923" s="62" t="s">
        <v>2832</v>
      </c>
      <c r="S923" s="63" t="s">
        <v>846</v>
      </c>
      <c r="T923" s="63" t="s">
        <v>2833</v>
      </c>
      <c r="U923" s="64">
        <v>208700</v>
      </c>
      <c r="V923" s="64">
        <v>229570</v>
      </c>
      <c r="W923" s="64">
        <v>110000</v>
      </c>
      <c r="X923" s="64">
        <v>121000</v>
      </c>
      <c r="Y923" s="64">
        <v>98700</v>
      </c>
      <c r="Z923" s="64">
        <v>108570</v>
      </c>
      <c r="AA923" s="61">
        <v>44649</v>
      </c>
      <c r="AB923" s="61">
        <v>44650</v>
      </c>
      <c r="AC923" s="61">
        <v>44650</v>
      </c>
      <c r="AD923" s="60">
        <v>0</v>
      </c>
      <c r="AG923" s="60">
        <v>0</v>
      </c>
      <c r="AJ923" s="60">
        <v>0</v>
      </c>
      <c r="AM923" s="60" t="s">
        <v>273</v>
      </c>
      <c r="AN923" s="60" t="s">
        <v>2834</v>
      </c>
      <c r="AQ923" s="60" t="s">
        <v>2864</v>
      </c>
      <c r="AR923" s="61">
        <v>44644</v>
      </c>
      <c r="AS923" s="60">
        <v>6002008442</v>
      </c>
      <c r="AT923" s="61">
        <v>44644</v>
      </c>
      <c r="AU923" s="60" t="s">
        <v>2888</v>
      </c>
      <c r="AV923" s="61">
        <v>44650</v>
      </c>
      <c r="AW923" s="91">
        <v>44651</v>
      </c>
      <c r="AX923" s="91">
        <v>44671</v>
      </c>
      <c r="AY923" s="99">
        <v>200352</v>
      </c>
      <c r="AZ923" s="99">
        <f>ROUNDDOWN(AY923+(AY923*MASTER!$A$2/100),0)</f>
        <v>220387</v>
      </c>
      <c r="BA923" s="60" t="s">
        <v>319</v>
      </c>
      <c r="BB923" s="64">
        <v>38000</v>
      </c>
      <c r="BC923" s="64">
        <v>41800</v>
      </c>
      <c r="BD923" s="60" t="s">
        <v>2107</v>
      </c>
      <c r="BG923" s="64">
        <v>0</v>
      </c>
      <c r="BI923" s="60" t="s">
        <v>748</v>
      </c>
      <c r="BJ923" s="64">
        <v>64155</v>
      </c>
      <c r="BK923" s="64">
        <v>70570.5</v>
      </c>
      <c r="BL923" s="60" t="s">
        <v>2107</v>
      </c>
      <c r="BS923" s="64">
        <v>0</v>
      </c>
      <c r="BV923" s="65">
        <v>121000</v>
      </c>
      <c r="BW923" s="65">
        <v>112370.5</v>
      </c>
      <c r="BX923" s="65">
        <v>44629</v>
      </c>
      <c r="BY923" s="65">
        <v>8629.5</v>
      </c>
      <c r="BZ923" s="81">
        <v>7.1318181818181818</v>
      </c>
    </row>
    <row r="924" spans="1:89" x14ac:dyDescent="0.15">
      <c r="A924" s="60">
        <v>2</v>
      </c>
      <c r="B924" s="61">
        <v>44664</v>
      </c>
      <c r="C924" s="61">
        <v>44672</v>
      </c>
      <c r="D924" s="61">
        <v>44687</v>
      </c>
      <c r="E924" s="61">
        <v>44681</v>
      </c>
      <c r="F924" s="61">
        <v>44679</v>
      </c>
      <c r="G924" s="61">
        <v>44676</v>
      </c>
      <c r="H924" s="61">
        <v>44675</v>
      </c>
      <c r="I924" s="60" t="s">
        <v>511</v>
      </c>
      <c r="J924" s="60">
        <v>1</v>
      </c>
      <c r="L924" s="60">
        <v>0</v>
      </c>
      <c r="M924" s="61">
        <v>44629</v>
      </c>
      <c r="O924" s="62" t="s">
        <v>331</v>
      </c>
      <c r="P924" s="60" t="s">
        <v>26</v>
      </c>
      <c r="Q924" s="62" t="s">
        <v>135</v>
      </c>
      <c r="R924" s="62" t="s">
        <v>2616</v>
      </c>
      <c r="S924" s="63" t="s">
        <v>426</v>
      </c>
      <c r="T924" s="63" t="s">
        <v>2617</v>
      </c>
      <c r="U924" s="64">
        <v>466155</v>
      </c>
      <c r="V924" s="64">
        <v>512770.5</v>
      </c>
      <c r="W924" s="64">
        <v>396455</v>
      </c>
      <c r="X924" s="64">
        <v>436100.5</v>
      </c>
      <c r="Y924" s="64">
        <v>69700</v>
      </c>
      <c r="Z924" s="64">
        <v>76670</v>
      </c>
      <c r="AA924" s="61">
        <v>44669</v>
      </c>
      <c r="AB924" s="61">
        <v>44672</v>
      </c>
      <c r="AC924" s="61">
        <v>44672</v>
      </c>
      <c r="AD924" s="60">
        <v>0</v>
      </c>
      <c r="AG924" s="60">
        <v>0</v>
      </c>
      <c r="AJ924" s="60">
        <v>0</v>
      </c>
      <c r="AM924" s="60" t="s">
        <v>273</v>
      </c>
      <c r="AN924" s="60" t="s">
        <v>2618</v>
      </c>
      <c r="AQ924" s="60" t="s">
        <v>2866</v>
      </c>
      <c r="AR924" s="61">
        <v>44644</v>
      </c>
      <c r="AS924" s="60">
        <v>6002008442</v>
      </c>
      <c r="AT924" s="61">
        <v>44644</v>
      </c>
      <c r="AU924" s="60" t="s">
        <v>2888</v>
      </c>
      <c r="AV924" s="61">
        <v>44672</v>
      </c>
      <c r="AW924" s="91">
        <v>44681</v>
      </c>
      <c r="AX924" s="91">
        <v>44701</v>
      </c>
      <c r="AY924" s="99">
        <v>447509</v>
      </c>
      <c r="AZ924" s="99">
        <v>492260</v>
      </c>
      <c r="BA924" s="60" t="s">
        <v>314</v>
      </c>
      <c r="BB924" s="64">
        <v>166000</v>
      </c>
      <c r="BC924" s="64">
        <v>182600</v>
      </c>
      <c r="BD924" s="60" t="s">
        <v>643</v>
      </c>
      <c r="BG924" s="64">
        <v>0</v>
      </c>
      <c r="BI924" s="60" t="s">
        <v>267</v>
      </c>
      <c r="BJ924" s="64">
        <v>45305</v>
      </c>
      <c r="BK924" s="64">
        <v>49835.5</v>
      </c>
      <c r="BL924" s="60" t="s">
        <v>2916</v>
      </c>
      <c r="BS924" s="64">
        <v>0</v>
      </c>
      <c r="BV924" s="65">
        <v>436100.5</v>
      </c>
      <c r="BW924" s="65">
        <v>232435.5</v>
      </c>
      <c r="BX924" s="65">
        <v>44629</v>
      </c>
      <c r="BY924" s="65">
        <v>203665</v>
      </c>
      <c r="BZ924" s="81">
        <v>46.701391078432607</v>
      </c>
    </row>
    <row r="925" spans="1:89" x14ac:dyDescent="0.15">
      <c r="A925" s="60">
        <v>2</v>
      </c>
      <c r="B925" s="61">
        <v>44637</v>
      </c>
      <c r="C925" s="61">
        <v>44651</v>
      </c>
      <c r="D925" s="61">
        <v>44683</v>
      </c>
      <c r="F925" s="61" t="s">
        <v>309</v>
      </c>
      <c r="G925" s="61">
        <v>44676</v>
      </c>
      <c r="H925" s="61" t="s">
        <v>309</v>
      </c>
      <c r="I925" s="60" t="s">
        <v>774</v>
      </c>
      <c r="J925" s="60">
        <v>2</v>
      </c>
      <c r="L925" s="60">
        <v>0</v>
      </c>
      <c r="M925" s="61">
        <v>44629</v>
      </c>
      <c r="O925" s="62" t="s">
        <v>331</v>
      </c>
      <c r="P925" s="60" t="s">
        <v>26</v>
      </c>
      <c r="Q925" s="62" t="s">
        <v>135</v>
      </c>
      <c r="R925" s="62" t="s">
        <v>2767</v>
      </c>
      <c r="S925" s="63" t="s">
        <v>1647</v>
      </c>
      <c r="T925" s="63" t="s">
        <v>2619</v>
      </c>
      <c r="U925" s="64">
        <v>24000</v>
      </c>
      <c r="V925" s="64">
        <v>26400</v>
      </c>
      <c r="W925" s="64">
        <v>24000</v>
      </c>
      <c r="X925" s="64">
        <v>26400</v>
      </c>
      <c r="Z925" s="64">
        <v>0</v>
      </c>
      <c r="AD925" s="60">
        <v>0</v>
      </c>
      <c r="AG925" s="60">
        <v>0</v>
      </c>
      <c r="AJ925" s="60">
        <v>0</v>
      </c>
      <c r="AN925" s="60" t="s">
        <v>309</v>
      </c>
      <c r="AQ925" s="60" t="s">
        <v>2826</v>
      </c>
      <c r="AR925" s="61">
        <v>44635</v>
      </c>
      <c r="AS925" s="60">
        <v>6002004348</v>
      </c>
      <c r="AT925" s="61">
        <v>44636</v>
      </c>
      <c r="AU925" s="60" t="s">
        <v>2778</v>
      </c>
      <c r="AV925" s="61">
        <v>44651</v>
      </c>
      <c r="AW925" s="91">
        <v>44651</v>
      </c>
      <c r="AX925" s="91">
        <v>44671</v>
      </c>
      <c r="AY925" s="99">
        <v>23040</v>
      </c>
      <c r="AZ925" s="99">
        <f>ROUNDDOWN(AY925+(AY925*MASTER!$A$2/100),0)</f>
        <v>25344</v>
      </c>
      <c r="BA925" s="60" t="s">
        <v>765</v>
      </c>
      <c r="BC925" s="64">
        <v>0</v>
      </c>
      <c r="BG925" s="64">
        <v>0</v>
      </c>
      <c r="BK925" s="64">
        <v>0</v>
      </c>
      <c r="BS925" s="64">
        <v>0</v>
      </c>
      <c r="BV925" s="65">
        <v>26400</v>
      </c>
      <c r="BW925" s="65">
        <v>0</v>
      </c>
      <c r="BX925" s="65">
        <v>44629</v>
      </c>
      <c r="BY925" s="65">
        <v>26400</v>
      </c>
      <c r="BZ925" s="81">
        <v>100</v>
      </c>
    </row>
    <row r="926" spans="1:89" x14ac:dyDescent="0.15">
      <c r="A926" s="60">
        <v>2</v>
      </c>
      <c r="B926" s="61">
        <v>44637</v>
      </c>
      <c r="C926" s="61">
        <v>44651</v>
      </c>
      <c r="D926" s="61">
        <v>44659</v>
      </c>
      <c r="F926" s="61" t="s">
        <v>309</v>
      </c>
      <c r="G926" s="61">
        <v>44659</v>
      </c>
      <c r="H926" s="61" t="s">
        <v>309</v>
      </c>
      <c r="I926" s="60" t="s">
        <v>774</v>
      </c>
      <c r="J926" s="60">
        <v>2</v>
      </c>
      <c r="L926" s="60">
        <v>0</v>
      </c>
      <c r="M926" s="61">
        <v>44629</v>
      </c>
      <c r="O926" s="62" t="s">
        <v>331</v>
      </c>
      <c r="P926" s="60" t="s">
        <v>26</v>
      </c>
      <c r="Q926" s="62" t="s">
        <v>135</v>
      </c>
      <c r="R926" s="62" t="s">
        <v>2768</v>
      </c>
      <c r="S926" s="63" t="s">
        <v>2485</v>
      </c>
      <c r="T926" s="63" t="s">
        <v>2619</v>
      </c>
      <c r="U926" s="64">
        <v>24000</v>
      </c>
      <c r="V926" s="64">
        <v>26400</v>
      </c>
      <c r="W926" s="64">
        <v>24000</v>
      </c>
      <c r="X926" s="64">
        <v>26400</v>
      </c>
      <c r="Z926" s="64">
        <v>0</v>
      </c>
      <c r="AA926" s="61">
        <v>44640</v>
      </c>
      <c r="AB926" s="61">
        <v>44649</v>
      </c>
      <c r="AD926" s="60">
        <v>0</v>
      </c>
      <c r="AG926" s="60">
        <v>0</v>
      </c>
      <c r="AJ926" s="60">
        <v>0</v>
      </c>
      <c r="AN926" s="60" t="s">
        <v>309</v>
      </c>
      <c r="AQ926" s="60" t="s">
        <v>2829</v>
      </c>
      <c r="AR926" s="61">
        <v>44635</v>
      </c>
      <c r="AS926" s="60">
        <v>6002004348</v>
      </c>
      <c r="AT926" s="61">
        <v>44636</v>
      </c>
      <c r="AU926" s="60" t="s">
        <v>2778</v>
      </c>
      <c r="AV926" s="61">
        <v>44651</v>
      </c>
      <c r="AW926" s="91">
        <v>44651</v>
      </c>
      <c r="AX926" s="91">
        <v>44671</v>
      </c>
      <c r="AY926" s="99">
        <v>23040</v>
      </c>
      <c r="AZ926" s="99">
        <f>ROUNDDOWN(AY926+(AY926*MASTER!$A$2/100),0)</f>
        <v>25344</v>
      </c>
      <c r="BC926" s="64">
        <v>0</v>
      </c>
      <c r="BG926" s="64">
        <v>0</v>
      </c>
      <c r="BK926" s="64">
        <v>0</v>
      </c>
      <c r="BS926" s="64">
        <v>0</v>
      </c>
      <c r="BV926" s="65">
        <v>26400</v>
      </c>
      <c r="BW926" s="65">
        <v>0</v>
      </c>
      <c r="BX926" s="65">
        <v>44629</v>
      </c>
      <c r="BY926" s="65">
        <v>26400</v>
      </c>
      <c r="BZ926" s="81">
        <v>100</v>
      </c>
    </row>
    <row r="927" spans="1:89" x14ac:dyDescent="0.15">
      <c r="A927" s="60">
        <v>2</v>
      </c>
      <c r="B927" s="61">
        <v>44637</v>
      </c>
      <c r="C927" s="61">
        <v>44651</v>
      </c>
      <c r="D927" s="61">
        <v>44664</v>
      </c>
      <c r="F927" s="61" t="s">
        <v>309</v>
      </c>
      <c r="G927" s="61">
        <v>44664</v>
      </c>
      <c r="H927" s="61" t="s">
        <v>309</v>
      </c>
      <c r="J927" s="60">
        <v>2</v>
      </c>
      <c r="L927" s="60">
        <v>0</v>
      </c>
      <c r="M927" s="61">
        <v>44629</v>
      </c>
      <c r="O927" s="62" t="s">
        <v>331</v>
      </c>
      <c r="P927" s="60" t="s">
        <v>26</v>
      </c>
      <c r="Q927" s="62" t="s">
        <v>135</v>
      </c>
      <c r="R927" s="62" t="s">
        <v>2766</v>
      </c>
      <c r="S927" s="63" t="s">
        <v>342</v>
      </c>
      <c r="T927" s="63" t="s">
        <v>2619</v>
      </c>
      <c r="U927" s="64">
        <v>24000</v>
      </c>
      <c r="V927" s="64">
        <v>26400</v>
      </c>
      <c r="W927" s="64">
        <v>24000</v>
      </c>
      <c r="X927" s="64">
        <v>26400</v>
      </c>
      <c r="Y927" s="64">
        <v>0</v>
      </c>
      <c r="Z927" s="64">
        <v>0</v>
      </c>
      <c r="AA927" s="61">
        <v>44645</v>
      </c>
      <c r="AB927" s="61">
        <v>44661</v>
      </c>
      <c r="AD927" s="60">
        <v>0</v>
      </c>
      <c r="AG927" s="60">
        <v>0</v>
      </c>
      <c r="AJ927" s="60">
        <v>0</v>
      </c>
      <c r="AN927" s="60" t="s">
        <v>309</v>
      </c>
      <c r="AQ927" s="60" t="s">
        <v>2821</v>
      </c>
      <c r="AR927" s="61">
        <v>44635</v>
      </c>
      <c r="AS927" s="60">
        <v>6002004348</v>
      </c>
      <c r="AT927" s="61">
        <v>44636</v>
      </c>
      <c r="AU927" s="60" t="s">
        <v>2778</v>
      </c>
      <c r="AV927" s="61">
        <v>44651</v>
      </c>
      <c r="AW927" s="91">
        <v>44651</v>
      </c>
      <c r="AX927" s="91">
        <v>44671</v>
      </c>
      <c r="AY927" s="99">
        <v>23040</v>
      </c>
      <c r="AZ927" s="99">
        <f>ROUNDDOWN(AY927+(AY927*MASTER!$A$2/100),0)</f>
        <v>25344</v>
      </c>
      <c r="BC927" s="64">
        <v>0</v>
      </c>
      <c r="BG927" s="64">
        <v>0</v>
      </c>
      <c r="BK927" s="64">
        <v>0</v>
      </c>
      <c r="BS927" s="64">
        <v>0</v>
      </c>
      <c r="BV927" s="65">
        <v>26400</v>
      </c>
      <c r="BW927" s="65">
        <v>0</v>
      </c>
      <c r="BX927" s="65">
        <v>44629</v>
      </c>
      <c r="BY927" s="65">
        <v>26400</v>
      </c>
      <c r="BZ927" s="81">
        <v>100</v>
      </c>
    </row>
    <row r="928" spans="1:89" x14ac:dyDescent="0.15">
      <c r="A928" s="60">
        <v>2</v>
      </c>
      <c r="B928" s="61">
        <v>44637</v>
      </c>
      <c r="C928" s="61">
        <v>44651</v>
      </c>
      <c r="D928" s="61">
        <v>44664</v>
      </c>
      <c r="F928" s="61" t="s">
        <v>309</v>
      </c>
      <c r="G928" s="61">
        <v>44664</v>
      </c>
      <c r="H928" s="61" t="s">
        <v>309</v>
      </c>
      <c r="J928" s="60">
        <v>2</v>
      </c>
      <c r="L928" s="60">
        <v>0</v>
      </c>
      <c r="M928" s="61">
        <v>44629</v>
      </c>
      <c r="O928" s="62" t="s">
        <v>331</v>
      </c>
      <c r="P928" s="60" t="s">
        <v>26</v>
      </c>
      <c r="Q928" s="62" t="s">
        <v>135</v>
      </c>
      <c r="R928" s="62" t="s">
        <v>2620</v>
      </c>
      <c r="S928" s="63" t="s">
        <v>801</v>
      </c>
      <c r="T928" s="63" t="s">
        <v>2619</v>
      </c>
      <c r="U928" s="64">
        <v>24000</v>
      </c>
      <c r="V928" s="64">
        <v>26400</v>
      </c>
      <c r="W928" s="64">
        <v>24000</v>
      </c>
      <c r="X928" s="64">
        <v>26400</v>
      </c>
      <c r="Y928" s="64">
        <v>0</v>
      </c>
      <c r="Z928" s="64">
        <v>0</v>
      </c>
      <c r="AA928" s="61">
        <v>44644</v>
      </c>
      <c r="AB928" s="61">
        <v>44663</v>
      </c>
      <c r="AD928" s="60">
        <v>0</v>
      </c>
      <c r="AG928" s="60">
        <v>0</v>
      </c>
      <c r="AJ928" s="60">
        <v>0</v>
      </c>
      <c r="AN928" s="60" t="s">
        <v>309</v>
      </c>
      <c r="AQ928" s="60" t="s">
        <v>2822</v>
      </c>
      <c r="AR928" s="61">
        <v>44635</v>
      </c>
      <c r="AS928" s="60">
        <v>6002004348</v>
      </c>
      <c r="AT928" s="61">
        <v>44636</v>
      </c>
      <c r="AU928" s="60" t="s">
        <v>2778</v>
      </c>
      <c r="AV928" s="61">
        <v>44651</v>
      </c>
      <c r="AW928" s="91">
        <v>44651</v>
      </c>
      <c r="AX928" s="91">
        <v>44671</v>
      </c>
      <c r="AY928" s="99">
        <v>23040</v>
      </c>
      <c r="AZ928" s="99">
        <f>ROUNDDOWN(AY928+(AY928*MASTER!$A$2/100),0)</f>
        <v>25344</v>
      </c>
      <c r="BC928" s="64">
        <v>0</v>
      </c>
      <c r="BG928" s="64">
        <v>0</v>
      </c>
      <c r="BK928" s="64">
        <v>0</v>
      </c>
      <c r="BS928" s="64">
        <v>0</v>
      </c>
      <c r="BV928" s="65">
        <v>26400</v>
      </c>
      <c r="BW928" s="65">
        <v>0</v>
      </c>
      <c r="BX928" s="65">
        <v>44629</v>
      </c>
      <c r="BY928" s="65">
        <v>26400</v>
      </c>
      <c r="BZ928" s="81">
        <v>100</v>
      </c>
    </row>
    <row r="929" spans="1:89" x14ac:dyDescent="0.15">
      <c r="A929" s="60">
        <v>1</v>
      </c>
      <c r="B929" s="61">
        <v>44634</v>
      </c>
      <c r="C929" s="61">
        <v>44635</v>
      </c>
      <c r="F929" s="61" t="s">
        <v>309</v>
      </c>
      <c r="H929" s="61" t="s">
        <v>309</v>
      </c>
      <c r="J929" s="60">
        <v>2</v>
      </c>
      <c r="L929" s="60">
        <v>0</v>
      </c>
      <c r="M929" s="61">
        <v>44629</v>
      </c>
      <c r="O929" s="62" t="s">
        <v>331</v>
      </c>
      <c r="P929" s="60" t="s">
        <v>263</v>
      </c>
      <c r="Q929" s="62" t="s">
        <v>135</v>
      </c>
      <c r="R929" s="62" t="s">
        <v>2639</v>
      </c>
      <c r="S929" s="63" t="s">
        <v>326</v>
      </c>
      <c r="T929" s="63" t="s">
        <v>2640</v>
      </c>
      <c r="U929" s="64">
        <v>18900</v>
      </c>
      <c r="V929" s="64">
        <v>20790</v>
      </c>
      <c r="W929" s="64">
        <v>18900</v>
      </c>
      <c r="X929" s="64">
        <v>20790</v>
      </c>
      <c r="Z929" s="64">
        <v>0</v>
      </c>
      <c r="AD929" s="60">
        <v>0</v>
      </c>
      <c r="AG929" s="60">
        <v>0</v>
      </c>
      <c r="AJ929" s="60">
        <v>0</v>
      </c>
      <c r="AQ929" s="60" t="s">
        <v>2643</v>
      </c>
      <c r="AR929" s="61">
        <v>44629</v>
      </c>
      <c r="AS929" s="60">
        <v>6002002319</v>
      </c>
      <c r="AT929" s="61">
        <v>44631</v>
      </c>
      <c r="AU929" s="60" t="s">
        <v>2707</v>
      </c>
      <c r="AV929" s="61">
        <v>44635</v>
      </c>
      <c r="AW929" s="91">
        <v>44651</v>
      </c>
      <c r="AX929" s="91">
        <v>44671</v>
      </c>
      <c r="AY929" s="107">
        <v>18900</v>
      </c>
      <c r="AZ929" s="107">
        <v>20790</v>
      </c>
      <c r="BC929" s="64">
        <v>0</v>
      </c>
      <c r="BG929" s="64">
        <v>0</v>
      </c>
      <c r="BK929" s="64">
        <v>0</v>
      </c>
      <c r="BS929" s="64">
        <v>0</v>
      </c>
      <c r="BV929" s="65">
        <v>20790</v>
      </c>
      <c r="BW929" s="65">
        <v>0</v>
      </c>
      <c r="BX929" s="65">
        <v>44629</v>
      </c>
      <c r="BY929" s="65">
        <v>20790</v>
      </c>
      <c r="BZ929" s="81">
        <v>100</v>
      </c>
    </row>
    <row r="930" spans="1:89" x14ac:dyDescent="0.15">
      <c r="A930" s="60">
        <v>2</v>
      </c>
      <c r="B930" s="61">
        <v>44762</v>
      </c>
      <c r="C930" s="61">
        <v>44771</v>
      </c>
      <c r="D930" s="61">
        <v>44767</v>
      </c>
      <c r="E930" s="61">
        <v>44767</v>
      </c>
      <c r="F930" s="61" t="s">
        <v>309</v>
      </c>
      <c r="G930" s="61">
        <v>44767</v>
      </c>
      <c r="H930" s="61" t="s">
        <v>309</v>
      </c>
      <c r="I930" s="60" t="s">
        <v>774</v>
      </c>
      <c r="J930" s="60">
        <v>2</v>
      </c>
      <c r="L930" s="60">
        <v>0</v>
      </c>
      <c r="M930" s="61">
        <v>44629</v>
      </c>
      <c r="O930" s="62" t="s">
        <v>331</v>
      </c>
      <c r="P930" s="60" t="s">
        <v>26</v>
      </c>
      <c r="Q930" s="62" t="s">
        <v>135</v>
      </c>
      <c r="R930" s="62" t="s">
        <v>3342</v>
      </c>
      <c r="S930" s="63" t="s">
        <v>685</v>
      </c>
      <c r="T930" s="63" t="s">
        <v>656</v>
      </c>
      <c r="U930" s="64">
        <v>49500</v>
      </c>
      <c r="V930" s="64">
        <v>54450</v>
      </c>
      <c r="W930" s="64">
        <v>49500</v>
      </c>
      <c r="X930" s="64">
        <v>54450</v>
      </c>
      <c r="Y930" s="64">
        <v>0</v>
      </c>
      <c r="Z930" s="64">
        <v>0</v>
      </c>
      <c r="AA930" s="61">
        <v>44763</v>
      </c>
      <c r="AB930" s="61">
        <v>44764</v>
      </c>
      <c r="AD930" s="60">
        <v>0</v>
      </c>
      <c r="AG930" s="60">
        <v>0</v>
      </c>
      <c r="AJ930" s="60">
        <v>0</v>
      </c>
      <c r="AN930" s="60" t="s">
        <v>309</v>
      </c>
      <c r="AQ930" s="60" t="s">
        <v>3563</v>
      </c>
      <c r="AR930" s="61">
        <v>44719</v>
      </c>
      <c r="AS930" s="60">
        <v>6002036654</v>
      </c>
      <c r="AT930" s="61">
        <v>44720</v>
      </c>
      <c r="AU930" s="60" t="s">
        <v>3588</v>
      </c>
      <c r="AV930" s="61">
        <v>44771</v>
      </c>
      <c r="AW930" s="91">
        <v>44773</v>
      </c>
      <c r="AX930" s="91">
        <v>44793</v>
      </c>
      <c r="AY930" s="99">
        <v>47520</v>
      </c>
      <c r="AZ930" s="99">
        <f>ROUNDDOWN(AY930+(AY930*MASTER!$A$2/100),0)</f>
        <v>52272</v>
      </c>
      <c r="BA930" s="60" t="s">
        <v>317</v>
      </c>
      <c r="BB930" s="64">
        <v>33000</v>
      </c>
      <c r="BC930" s="64">
        <v>36300</v>
      </c>
      <c r="BD930" s="60" t="s">
        <v>3800</v>
      </c>
      <c r="BG930" s="64">
        <v>0</v>
      </c>
      <c r="BK930" s="64">
        <v>0</v>
      </c>
      <c r="BS930" s="64">
        <v>0</v>
      </c>
      <c r="BV930" s="65">
        <v>54450</v>
      </c>
      <c r="BW930" s="65">
        <v>36300</v>
      </c>
      <c r="BX930" s="65">
        <v>44629</v>
      </c>
      <c r="BY930" s="65">
        <v>18150</v>
      </c>
      <c r="BZ930" s="81">
        <v>33.333333333333329</v>
      </c>
      <c r="CD930" s="63" t="s">
        <v>3533</v>
      </c>
    </row>
    <row r="931" spans="1:89" x14ac:dyDescent="0.15">
      <c r="A931" s="60">
        <v>1</v>
      </c>
      <c r="B931" s="61">
        <v>44645</v>
      </c>
      <c r="C931" s="61">
        <v>44645</v>
      </c>
      <c r="F931" s="61" t="s">
        <v>309</v>
      </c>
      <c r="G931" s="61">
        <v>44637</v>
      </c>
      <c r="H931" s="61" t="s">
        <v>309</v>
      </c>
      <c r="J931" s="60">
        <v>2</v>
      </c>
      <c r="L931" s="60">
        <v>0</v>
      </c>
      <c r="M931" s="61">
        <v>44629</v>
      </c>
      <c r="O931" s="62" t="s">
        <v>331</v>
      </c>
      <c r="P931" s="60" t="s">
        <v>6</v>
      </c>
      <c r="Q931" s="62" t="s">
        <v>135</v>
      </c>
      <c r="R931" s="62" t="s">
        <v>2743</v>
      </c>
      <c r="S931" s="63" t="s">
        <v>2744</v>
      </c>
      <c r="T931" s="63" t="s">
        <v>2641</v>
      </c>
      <c r="U931" s="64">
        <v>16000</v>
      </c>
      <c r="V931" s="64">
        <v>17600</v>
      </c>
      <c r="W931" s="64">
        <v>16000</v>
      </c>
      <c r="X931" s="64">
        <v>17600</v>
      </c>
      <c r="Z931" s="64">
        <v>0</v>
      </c>
      <c r="AD931" s="60">
        <v>0</v>
      </c>
      <c r="AG931" s="60">
        <v>0</v>
      </c>
      <c r="AJ931" s="60">
        <v>0</v>
      </c>
      <c r="AN931" s="60" t="s">
        <v>309</v>
      </c>
      <c r="AQ931" s="60" t="s">
        <v>2855</v>
      </c>
      <c r="AR931" s="61">
        <v>44644</v>
      </c>
      <c r="AS931" s="60">
        <v>6002008442</v>
      </c>
      <c r="AT931" s="61">
        <v>44644</v>
      </c>
      <c r="AU931" s="60" t="s">
        <v>2888</v>
      </c>
      <c r="AV931" s="61">
        <v>44645</v>
      </c>
      <c r="AW931" s="91">
        <v>44651</v>
      </c>
      <c r="AX931" s="91">
        <v>44671</v>
      </c>
      <c r="AY931" s="99">
        <v>15360</v>
      </c>
      <c r="AZ931" s="99">
        <f>ROUNDDOWN(AY931+(AY931*MASTER!$A$2/100),0)</f>
        <v>16896</v>
      </c>
      <c r="BC931" s="64">
        <v>0</v>
      </c>
      <c r="BG931" s="64">
        <v>0</v>
      </c>
      <c r="BK931" s="64">
        <v>0</v>
      </c>
      <c r="BS931" s="64">
        <v>0</v>
      </c>
      <c r="BV931" s="65">
        <v>17600</v>
      </c>
      <c r="BW931" s="65">
        <v>0</v>
      </c>
      <c r="BX931" s="65">
        <v>44629</v>
      </c>
      <c r="BY931" s="65">
        <v>17600</v>
      </c>
      <c r="BZ931" s="81">
        <v>100</v>
      </c>
    </row>
    <row r="932" spans="1:89" x14ac:dyDescent="0.15">
      <c r="A932" s="60">
        <v>2</v>
      </c>
      <c r="B932" s="61">
        <v>44700</v>
      </c>
      <c r="C932" s="61">
        <v>44691</v>
      </c>
      <c r="D932" s="61">
        <v>44714</v>
      </c>
      <c r="F932" s="61">
        <v>44719</v>
      </c>
      <c r="G932" s="61">
        <v>44713</v>
      </c>
      <c r="H932" s="61">
        <v>44715</v>
      </c>
      <c r="I932" s="60" t="s">
        <v>774</v>
      </c>
      <c r="J932" s="60">
        <v>2</v>
      </c>
      <c r="L932" s="60">
        <v>0</v>
      </c>
      <c r="M932" s="61">
        <v>44629</v>
      </c>
      <c r="O932" s="62" t="s">
        <v>331</v>
      </c>
      <c r="P932" s="60" t="s">
        <v>26</v>
      </c>
      <c r="Q932" s="62" t="s">
        <v>135</v>
      </c>
      <c r="R932" s="62" t="s">
        <v>2764</v>
      </c>
      <c r="S932" s="63" t="s">
        <v>1071</v>
      </c>
      <c r="T932" s="63" t="s">
        <v>2765</v>
      </c>
      <c r="U932" s="64">
        <v>111000</v>
      </c>
      <c r="V932" s="64">
        <v>122100</v>
      </c>
      <c r="W932" s="64">
        <v>111000</v>
      </c>
      <c r="X932" s="64">
        <v>122100</v>
      </c>
      <c r="Y932" s="64">
        <v>0</v>
      </c>
      <c r="Z932" s="64">
        <v>0</v>
      </c>
      <c r="AA932" s="61">
        <v>44711</v>
      </c>
      <c r="AB932" s="61">
        <v>44712</v>
      </c>
      <c r="AC932" s="61">
        <v>44712</v>
      </c>
      <c r="AD932" s="60">
        <v>0</v>
      </c>
      <c r="AG932" s="60">
        <v>0</v>
      </c>
      <c r="AJ932" s="60">
        <v>0</v>
      </c>
      <c r="AN932" s="60" t="s">
        <v>309</v>
      </c>
      <c r="AQ932" s="60" t="s">
        <v>3423</v>
      </c>
      <c r="AR932" s="61">
        <v>44635</v>
      </c>
      <c r="AS932" s="60">
        <v>6002004348</v>
      </c>
      <c r="AT932" s="61">
        <v>44636</v>
      </c>
      <c r="AU932" s="60" t="s">
        <v>2778</v>
      </c>
      <c r="AV932" s="61">
        <v>44691</v>
      </c>
      <c r="AW932" s="91">
        <v>44712</v>
      </c>
      <c r="AX932" s="91">
        <v>44732</v>
      </c>
      <c r="AY932" s="99">
        <v>106560</v>
      </c>
      <c r="AZ932" s="99">
        <f>ROUNDDOWN(AY932+(AY932*MASTER!$A$2/100),0)</f>
        <v>117216</v>
      </c>
      <c r="BA932" s="60" t="s">
        <v>765</v>
      </c>
      <c r="BC932" s="64">
        <v>0</v>
      </c>
      <c r="BG932" s="64">
        <v>0</v>
      </c>
      <c r="BK932" s="64">
        <v>0</v>
      </c>
      <c r="BS932" s="64">
        <v>0</v>
      </c>
      <c r="BV932" s="65">
        <v>122100</v>
      </c>
      <c r="BW932" s="65">
        <v>0</v>
      </c>
      <c r="BX932" s="65">
        <v>44629</v>
      </c>
      <c r="BY932" s="65">
        <v>122100</v>
      </c>
      <c r="BZ932" s="81">
        <v>100</v>
      </c>
    </row>
    <row r="933" spans="1:89" s="152" customFormat="1" x14ac:dyDescent="0.15">
      <c r="A933" s="142">
        <v>3</v>
      </c>
      <c r="B933" s="143"/>
      <c r="C933" s="143" t="s">
        <v>309</v>
      </c>
      <c r="D933" s="143"/>
      <c r="E933" s="143"/>
      <c r="F933" s="143" t="s">
        <v>309</v>
      </c>
      <c r="G933" s="143"/>
      <c r="H933" s="143" t="s">
        <v>309</v>
      </c>
      <c r="I933" s="142"/>
      <c r="J933" s="142">
        <v>2</v>
      </c>
      <c r="K933" s="143"/>
      <c r="L933" s="142">
        <v>0</v>
      </c>
      <c r="M933" s="143">
        <v>44629</v>
      </c>
      <c r="N933" s="143"/>
      <c r="O933" s="144" t="s">
        <v>331</v>
      </c>
      <c r="P933" s="142" t="s">
        <v>26</v>
      </c>
      <c r="Q933" s="144" t="s">
        <v>135</v>
      </c>
      <c r="R933" s="144" t="s">
        <v>2652</v>
      </c>
      <c r="S933" s="145" t="s">
        <v>2485</v>
      </c>
      <c r="T933" s="145" t="s">
        <v>2651</v>
      </c>
      <c r="U933" s="146">
        <v>60500</v>
      </c>
      <c r="V933" s="146">
        <v>66550</v>
      </c>
      <c r="W933" s="146">
        <v>60500</v>
      </c>
      <c r="X933" s="146">
        <v>66550</v>
      </c>
      <c r="Y933" s="146">
        <v>0</v>
      </c>
      <c r="Z933" s="146">
        <v>0</v>
      </c>
      <c r="AA933" s="143"/>
      <c r="AB933" s="143"/>
      <c r="AC933" s="143"/>
      <c r="AD933" s="142">
        <v>0</v>
      </c>
      <c r="AE933" s="142"/>
      <c r="AF933" s="142"/>
      <c r="AG933" s="142">
        <v>0</v>
      </c>
      <c r="AH933" s="142"/>
      <c r="AI933" s="142"/>
      <c r="AJ933" s="142">
        <v>0</v>
      </c>
      <c r="AK933" s="142"/>
      <c r="AL933" s="142"/>
      <c r="AM933" s="142"/>
      <c r="AN933" s="142"/>
      <c r="AO933" s="143"/>
      <c r="AP933" s="142"/>
      <c r="AQ933" s="142"/>
      <c r="AR933" s="143"/>
      <c r="AS933" s="142"/>
      <c r="AT933" s="143"/>
      <c r="AU933" s="142"/>
      <c r="AV933" s="143"/>
      <c r="AW933" s="147"/>
      <c r="AX933" s="147"/>
      <c r="AY933" s="154">
        <v>60500</v>
      </c>
      <c r="AZ933" s="154">
        <f>ROUNDDOWN(AY933+(AY933*MASTER!$A$2/100),0)</f>
        <v>66550</v>
      </c>
      <c r="BA933" s="142"/>
      <c r="BB933" s="146"/>
      <c r="BC933" s="146">
        <v>0</v>
      </c>
      <c r="BD933" s="142"/>
      <c r="BE933" s="142"/>
      <c r="BF933" s="146"/>
      <c r="BG933" s="146">
        <v>0</v>
      </c>
      <c r="BH933" s="142"/>
      <c r="BI933" s="142"/>
      <c r="BJ933" s="146"/>
      <c r="BK933" s="146">
        <v>0</v>
      </c>
      <c r="BL933" s="142"/>
      <c r="BM933" s="146"/>
      <c r="BN933" s="146"/>
      <c r="BO933" s="146"/>
      <c r="BP933" s="146"/>
      <c r="BQ933" s="146"/>
      <c r="BR933" s="146"/>
      <c r="BS933" s="146">
        <v>0</v>
      </c>
      <c r="BT933" s="149"/>
      <c r="BU933" s="149"/>
      <c r="BV933" s="150">
        <v>66550</v>
      </c>
      <c r="BW933" s="150">
        <v>0</v>
      </c>
      <c r="BX933" s="150">
        <v>44629</v>
      </c>
      <c r="BY933" s="150">
        <v>66550</v>
      </c>
      <c r="BZ933" s="151">
        <v>100</v>
      </c>
      <c r="CA933" s="142"/>
      <c r="CB933" s="142"/>
      <c r="CC933" s="142"/>
      <c r="CD933" s="145" t="s">
        <v>2775</v>
      </c>
      <c r="CE933" s="143"/>
      <c r="CF933" s="143"/>
      <c r="CG933" s="143"/>
      <c r="CH933" s="143"/>
      <c r="CI933" s="143"/>
      <c r="CJ933" s="143"/>
      <c r="CK933" s="146"/>
    </row>
    <row r="934" spans="1:89" s="152" customFormat="1" x14ac:dyDescent="0.15">
      <c r="A934" s="142">
        <v>3</v>
      </c>
      <c r="B934" s="143"/>
      <c r="C934" s="143" t="s">
        <v>309</v>
      </c>
      <c r="D934" s="143"/>
      <c r="E934" s="143"/>
      <c r="F934" s="143" t="s">
        <v>309</v>
      </c>
      <c r="G934" s="143"/>
      <c r="H934" s="143" t="s">
        <v>309</v>
      </c>
      <c r="I934" s="142"/>
      <c r="J934" s="142">
        <v>2</v>
      </c>
      <c r="K934" s="143"/>
      <c r="L934" s="142">
        <v>0</v>
      </c>
      <c r="M934" s="143">
        <v>44629</v>
      </c>
      <c r="N934" s="143"/>
      <c r="O934" s="144" t="s">
        <v>331</v>
      </c>
      <c r="P934" s="142" t="s">
        <v>26</v>
      </c>
      <c r="Q934" s="144" t="s">
        <v>135</v>
      </c>
      <c r="R934" s="176" t="s">
        <v>2653</v>
      </c>
      <c r="S934" s="145" t="s">
        <v>1647</v>
      </c>
      <c r="T934" s="145" t="s">
        <v>2651</v>
      </c>
      <c r="U934" s="146">
        <v>60500</v>
      </c>
      <c r="V934" s="146">
        <v>66550</v>
      </c>
      <c r="W934" s="146">
        <v>60500</v>
      </c>
      <c r="X934" s="146">
        <v>66550</v>
      </c>
      <c r="Y934" s="146">
        <v>0</v>
      </c>
      <c r="Z934" s="146">
        <v>0</v>
      </c>
      <c r="AA934" s="143"/>
      <c r="AB934" s="143"/>
      <c r="AC934" s="143"/>
      <c r="AD934" s="142">
        <v>0</v>
      </c>
      <c r="AE934" s="142"/>
      <c r="AF934" s="142"/>
      <c r="AG934" s="142">
        <v>0</v>
      </c>
      <c r="AH934" s="142"/>
      <c r="AI934" s="142"/>
      <c r="AJ934" s="142">
        <v>0</v>
      </c>
      <c r="AK934" s="142"/>
      <c r="AL934" s="142"/>
      <c r="AM934" s="142"/>
      <c r="AN934" s="142"/>
      <c r="AO934" s="143"/>
      <c r="AP934" s="142"/>
      <c r="AQ934" s="142"/>
      <c r="AR934" s="143"/>
      <c r="AS934" s="142"/>
      <c r="AT934" s="143"/>
      <c r="AU934" s="142"/>
      <c r="AV934" s="143"/>
      <c r="AW934" s="147"/>
      <c r="AX934" s="147"/>
      <c r="AY934" s="154">
        <v>60500</v>
      </c>
      <c r="AZ934" s="154">
        <f>ROUNDDOWN(AY934+(AY934*MASTER!$A$2/100),0)</f>
        <v>66550</v>
      </c>
      <c r="BA934" s="142"/>
      <c r="BB934" s="146"/>
      <c r="BC934" s="146">
        <v>0</v>
      </c>
      <c r="BD934" s="142"/>
      <c r="BE934" s="142"/>
      <c r="BF934" s="146"/>
      <c r="BG934" s="146">
        <v>0</v>
      </c>
      <c r="BH934" s="142"/>
      <c r="BI934" s="142"/>
      <c r="BJ934" s="146"/>
      <c r="BK934" s="146">
        <v>0</v>
      </c>
      <c r="BL934" s="142"/>
      <c r="BM934" s="146"/>
      <c r="BN934" s="146"/>
      <c r="BO934" s="146"/>
      <c r="BP934" s="146"/>
      <c r="BQ934" s="146"/>
      <c r="BR934" s="146"/>
      <c r="BS934" s="146">
        <v>0</v>
      </c>
      <c r="BT934" s="149"/>
      <c r="BU934" s="149"/>
      <c r="BV934" s="150">
        <v>66550</v>
      </c>
      <c r="BW934" s="150">
        <v>0</v>
      </c>
      <c r="BX934" s="150">
        <v>44629</v>
      </c>
      <c r="BY934" s="150">
        <v>66550</v>
      </c>
      <c r="BZ934" s="151">
        <v>100</v>
      </c>
      <c r="CA934" s="142"/>
      <c r="CB934" s="142"/>
      <c r="CC934" s="142"/>
      <c r="CD934" s="145" t="s">
        <v>2655</v>
      </c>
      <c r="CE934" s="143"/>
      <c r="CF934" s="143"/>
      <c r="CG934" s="143"/>
      <c r="CH934" s="143"/>
      <c r="CI934" s="143"/>
      <c r="CJ934" s="143"/>
      <c r="CK934" s="146"/>
    </row>
    <row r="935" spans="1:89" s="152" customFormat="1" x14ac:dyDescent="0.15">
      <c r="A935" s="142">
        <v>3</v>
      </c>
      <c r="B935" s="143"/>
      <c r="C935" s="143" t="s">
        <v>309</v>
      </c>
      <c r="D935" s="143"/>
      <c r="E935" s="143"/>
      <c r="F935" s="143" t="s">
        <v>309</v>
      </c>
      <c r="G935" s="143"/>
      <c r="H935" s="143" t="s">
        <v>309</v>
      </c>
      <c r="I935" s="142"/>
      <c r="J935" s="142">
        <v>2</v>
      </c>
      <c r="K935" s="143"/>
      <c r="L935" s="142">
        <v>0</v>
      </c>
      <c r="M935" s="143">
        <v>44629</v>
      </c>
      <c r="N935" s="143"/>
      <c r="O935" s="144" t="s">
        <v>331</v>
      </c>
      <c r="P935" s="142" t="s">
        <v>26</v>
      </c>
      <c r="Q935" s="144" t="s">
        <v>135</v>
      </c>
      <c r="R935" s="176" t="s">
        <v>2654</v>
      </c>
      <c r="S935" s="145" t="s">
        <v>801</v>
      </c>
      <c r="T935" s="145" t="s">
        <v>2651</v>
      </c>
      <c r="U935" s="146">
        <v>65000</v>
      </c>
      <c r="V935" s="146">
        <v>71500</v>
      </c>
      <c r="W935" s="146">
        <v>65000</v>
      </c>
      <c r="X935" s="146">
        <v>71500</v>
      </c>
      <c r="Y935" s="146">
        <v>0</v>
      </c>
      <c r="Z935" s="146">
        <v>0</v>
      </c>
      <c r="AA935" s="143"/>
      <c r="AB935" s="143"/>
      <c r="AC935" s="143"/>
      <c r="AD935" s="142">
        <v>0</v>
      </c>
      <c r="AE935" s="142"/>
      <c r="AF935" s="142"/>
      <c r="AG935" s="142">
        <v>0</v>
      </c>
      <c r="AH935" s="142"/>
      <c r="AI935" s="142"/>
      <c r="AJ935" s="142">
        <v>0</v>
      </c>
      <c r="AK935" s="142"/>
      <c r="AL935" s="142"/>
      <c r="AM935" s="142"/>
      <c r="AN935" s="142"/>
      <c r="AO935" s="143"/>
      <c r="AP935" s="142"/>
      <c r="AQ935" s="142"/>
      <c r="AR935" s="143"/>
      <c r="AS935" s="142"/>
      <c r="AT935" s="143"/>
      <c r="AU935" s="142"/>
      <c r="AV935" s="143"/>
      <c r="AW935" s="147"/>
      <c r="AX935" s="147"/>
      <c r="AY935" s="154">
        <v>65000</v>
      </c>
      <c r="AZ935" s="154">
        <f>ROUNDDOWN(AY935+(AY935*MASTER!$A$2/100),0)</f>
        <v>71500</v>
      </c>
      <c r="BA935" s="142"/>
      <c r="BB935" s="146"/>
      <c r="BC935" s="146">
        <v>0</v>
      </c>
      <c r="BD935" s="142"/>
      <c r="BE935" s="142"/>
      <c r="BF935" s="146"/>
      <c r="BG935" s="146">
        <v>0</v>
      </c>
      <c r="BH935" s="142"/>
      <c r="BI935" s="142"/>
      <c r="BJ935" s="146"/>
      <c r="BK935" s="146">
        <v>0</v>
      </c>
      <c r="BL935" s="142"/>
      <c r="BM935" s="146"/>
      <c r="BN935" s="146"/>
      <c r="BO935" s="146"/>
      <c r="BP935" s="146"/>
      <c r="BQ935" s="146"/>
      <c r="BR935" s="146"/>
      <c r="BS935" s="146">
        <v>0</v>
      </c>
      <c r="BT935" s="149"/>
      <c r="BU935" s="149"/>
      <c r="BV935" s="150">
        <v>71500</v>
      </c>
      <c r="BW935" s="150">
        <v>0</v>
      </c>
      <c r="BX935" s="150">
        <v>44629</v>
      </c>
      <c r="BY935" s="150">
        <v>71500</v>
      </c>
      <c r="BZ935" s="151">
        <v>100</v>
      </c>
      <c r="CA935" s="142"/>
      <c r="CB935" s="142"/>
      <c r="CC935" s="142"/>
      <c r="CD935" s="145" t="s">
        <v>2655</v>
      </c>
      <c r="CE935" s="143"/>
      <c r="CF935" s="143"/>
      <c r="CG935" s="143"/>
      <c r="CH935" s="143"/>
      <c r="CI935" s="143"/>
      <c r="CJ935" s="143"/>
      <c r="CK935" s="146"/>
    </row>
    <row r="936" spans="1:89" x14ac:dyDescent="0.15">
      <c r="A936" s="60">
        <v>1</v>
      </c>
      <c r="B936" s="61">
        <v>44643</v>
      </c>
      <c r="C936" s="61">
        <v>44645</v>
      </c>
      <c r="F936" s="61" t="s">
        <v>309</v>
      </c>
      <c r="H936" s="61" t="s">
        <v>309</v>
      </c>
      <c r="J936" s="60">
        <v>2</v>
      </c>
      <c r="L936" s="60">
        <v>0</v>
      </c>
      <c r="M936" s="61">
        <v>44630</v>
      </c>
      <c r="O936" s="62" t="s">
        <v>331</v>
      </c>
      <c r="P936" s="60" t="s">
        <v>26</v>
      </c>
      <c r="Q936" s="62" t="s">
        <v>135</v>
      </c>
      <c r="R936" s="176" t="s">
        <v>2657</v>
      </c>
      <c r="S936" s="63" t="s">
        <v>354</v>
      </c>
      <c r="T936" s="63" t="s">
        <v>2656</v>
      </c>
      <c r="U936" s="64">
        <v>700000</v>
      </c>
      <c r="V936" s="64">
        <v>770000</v>
      </c>
      <c r="W936" s="64">
        <v>700000</v>
      </c>
      <c r="X936" s="64">
        <v>770000</v>
      </c>
      <c r="Y936" s="64">
        <v>0</v>
      </c>
      <c r="Z936" s="64">
        <v>0</v>
      </c>
      <c r="AD936" s="60">
        <v>0</v>
      </c>
      <c r="AG936" s="60">
        <v>0</v>
      </c>
      <c r="AJ936" s="60">
        <v>0</v>
      </c>
      <c r="AQ936" s="60" t="s">
        <v>2257</v>
      </c>
      <c r="AR936" s="61">
        <v>44637</v>
      </c>
      <c r="AS936" s="60">
        <v>6002005814</v>
      </c>
      <c r="AT936" s="61">
        <v>44638</v>
      </c>
      <c r="AU936" s="60" t="s">
        <v>2842</v>
      </c>
      <c r="AV936" s="61">
        <v>44645</v>
      </c>
      <c r="AW936" s="91">
        <v>44651</v>
      </c>
      <c r="AX936" s="91">
        <v>44671</v>
      </c>
      <c r="AY936" s="107">
        <v>700000</v>
      </c>
      <c r="AZ936" s="107">
        <f>ROUNDDOWN(AY936+(AY936*MASTER!$A$2/100),0)</f>
        <v>770000</v>
      </c>
      <c r="BC936" s="64">
        <v>0</v>
      </c>
      <c r="BG936" s="64">
        <v>0</v>
      </c>
      <c r="BK936" s="64">
        <v>0</v>
      </c>
      <c r="BS936" s="64">
        <v>0</v>
      </c>
      <c r="BV936" s="65">
        <v>770000</v>
      </c>
      <c r="BW936" s="65">
        <v>0</v>
      </c>
      <c r="BX936" s="65">
        <v>44630</v>
      </c>
      <c r="BY936" s="65">
        <v>770000</v>
      </c>
      <c r="BZ936" s="81">
        <v>100</v>
      </c>
      <c r="CD936" s="63" t="s">
        <v>2841</v>
      </c>
    </row>
    <row r="937" spans="1:89" x14ac:dyDescent="0.15">
      <c r="A937" s="60">
        <v>2</v>
      </c>
      <c r="B937" s="61">
        <v>44673</v>
      </c>
      <c r="C937" s="61">
        <v>44677</v>
      </c>
      <c r="D937" s="61" t="s">
        <v>764</v>
      </c>
      <c r="E937" s="61">
        <v>44680</v>
      </c>
      <c r="F937" s="61">
        <v>44684</v>
      </c>
      <c r="G937" s="61">
        <v>44678</v>
      </c>
      <c r="H937" s="61">
        <v>44680</v>
      </c>
      <c r="I937" s="60" t="s">
        <v>511</v>
      </c>
      <c r="J937" s="60">
        <v>1</v>
      </c>
      <c r="L937" s="60">
        <v>0</v>
      </c>
      <c r="M937" s="61">
        <v>44631</v>
      </c>
      <c r="O937" s="62" t="s">
        <v>331</v>
      </c>
      <c r="P937" s="60" t="s">
        <v>26</v>
      </c>
      <c r="Q937" s="62" t="s">
        <v>135</v>
      </c>
      <c r="R937" s="176" t="s">
        <v>2670</v>
      </c>
      <c r="S937" s="63" t="s">
        <v>550</v>
      </c>
      <c r="T937" s="63" t="s">
        <v>1093</v>
      </c>
      <c r="U937" s="64">
        <v>23900</v>
      </c>
      <c r="V937" s="64">
        <v>26290</v>
      </c>
      <c r="W937" s="64">
        <v>14700</v>
      </c>
      <c r="X937" s="64">
        <v>16170</v>
      </c>
      <c r="Y937" s="64">
        <v>9200</v>
      </c>
      <c r="Z937" s="64">
        <v>10120</v>
      </c>
      <c r="AA937" s="61">
        <v>44676</v>
      </c>
      <c r="AB937" s="61">
        <v>44677</v>
      </c>
      <c r="AC937" s="61">
        <v>44677</v>
      </c>
      <c r="AD937" s="60">
        <v>0</v>
      </c>
      <c r="AG937" s="60">
        <v>0</v>
      </c>
      <c r="AJ937" s="60">
        <v>0</v>
      </c>
      <c r="AM937" s="60" t="s">
        <v>273</v>
      </c>
      <c r="AN937" s="60" t="s">
        <v>3235</v>
      </c>
      <c r="AQ937" s="60" t="s">
        <v>2954</v>
      </c>
      <c r="AR937" s="61">
        <v>44650</v>
      </c>
      <c r="AS937" s="60">
        <v>6002010499</v>
      </c>
      <c r="AT937" s="61">
        <v>44651</v>
      </c>
      <c r="AU937" s="60" t="s">
        <v>2967</v>
      </c>
      <c r="AV937" s="61">
        <v>44677</v>
      </c>
      <c r="AW937" s="91">
        <v>44681</v>
      </c>
      <c r="AX937" s="91">
        <v>44701</v>
      </c>
      <c r="AY937" s="99">
        <v>22944</v>
      </c>
      <c r="AZ937" s="99">
        <f>ROUNDDOWN(AY937+(AY937*MASTER!$A$2/100),0)</f>
        <v>25238</v>
      </c>
      <c r="BA937" s="60" t="s">
        <v>765</v>
      </c>
      <c r="BC937" s="64">
        <v>0</v>
      </c>
      <c r="BG937" s="64">
        <v>0</v>
      </c>
      <c r="BI937" s="60" t="s">
        <v>267</v>
      </c>
      <c r="BJ937" s="64">
        <v>5980</v>
      </c>
      <c r="BK937" s="64">
        <v>6578</v>
      </c>
      <c r="BL937" s="60" t="s">
        <v>2916</v>
      </c>
      <c r="BS937" s="64">
        <v>0</v>
      </c>
      <c r="BV937" s="65">
        <v>16170</v>
      </c>
      <c r="BW937" s="65">
        <v>6578</v>
      </c>
      <c r="BX937" s="65">
        <v>44631</v>
      </c>
      <c r="BY937" s="65">
        <v>9592</v>
      </c>
      <c r="BZ937" s="81">
        <v>59.319727891156461</v>
      </c>
    </row>
    <row r="938" spans="1:89" x14ac:dyDescent="0.15">
      <c r="A938" s="60">
        <v>2</v>
      </c>
      <c r="B938" s="61">
        <v>44673</v>
      </c>
      <c r="C938" s="61">
        <v>44678</v>
      </c>
      <c r="D938" s="61" t="s">
        <v>764</v>
      </c>
      <c r="E938" s="61">
        <v>44692</v>
      </c>
      <c r="F938" s="61">
        <v>44685</v>
      </c>
      <c r="G938" s="61">
        <v>44678</v>
      </c>
      <c r="H938" s="61">
        <v>44681</v>
      </c>
      <c r="I938" s="60" t="s">
        <v>511</v>
      </c>
      <c r="J938" s="60">
        <v>1</v>
      </c>
      <c r="L938" s="60">
        <v>0</v>
      </c>
      <c r="M938" s="61">
        <v>44631</v>
      </c>
      <c r="O938" s="62" t="s">
        <v>331</v>
      </c>
      <c r="P938" s="60" t="s">
        <v>26</v>
      </c>
      <c r="Q938" s="62" t="s">
        <v>135</v>
      </c>
      <c r="R938" s="176" t="s">
        <v>3244</v>
      </c>
      <c r="S938" s="63" t="s">
        <v>617</v>
      </c>
      <c r="T938" s="63" t="s">
        <v>2455</v>
      </c>
      <c r="U938" s="64">
        <v>23900</v>
      </c>
      <c r="V938" s="64">
        <v>26290</v>
      </c>
      <c r="W938" s="64">
        <v>14700</v>
      </c>
      <c r="X938" s="64">
        <v>16170</v>
      </c>
      <c r="Y938" s="64">
        <v>9200</v>
      </c>
      <c r="Z938" s="64">
        <v>10120</v>
      </c>
      <c r="AA938" s="61">
        <v>44677</v>
      </c>
      <c r="AB938" s="61">
        <v>44678</v>
      </c>
      <c r="AC938" s="61">
        <v>44678</v>
      </c>
      <c r="AD938" s="60">
        <v>0</v>
      </c>
      <c r="AG938" s="60">
        <v>0</v>
      </c>
      <c r="AJ938" s="60">
        <v>0</v>
      </c>
      <c r="AM938" s="60" t="s">
        <v>273</v>
      </c>
      <c r="AN938" s="60">
        <v>6772</v>
      </c>
      <c r="AQ938" s="60" t="s">
        <v>2952</v>
      </c>
      <c r="AR938" s="61">
        <v>44650</v>
      </c>
      <c r="AS938" s="60">
        <v>6002010499</v>
      </c>
      <c r="AT938" s="61">
        <v>44651</v>
      </c>
      <c r="AU938" s="60" t="s">
        <v>2967</v>
      </c>
      <c r="AV938" s="61">
        <v>44678</v>
      </c>
      <c r="AW938" s="91">
        <v>44681</v>
      </c>
      <c r="AX938" s="91">
        <v>44701</v>
      </c>
      <c r="AY938" s="99">
        <v>22944</v>
      </c>
      <c r="AZ938" s="99">
        <f>ROUNDDOWN(AY938+(AY938*MASTER!$A$2/100),0)</f>
        <v>25238</v>
      </c>
      <c r="BA938" s="60" t="s">
        <v>765</v>
      </c>
      <c r="BC938" s="64">
        <v>0</v>
      </c>
      <c r="BG938" s="64">
        <v>0</v>
      </c>
      <c r="BI938" s="60" t="s">
        <v>748</v>
      </c>
      <c r="BJ938" s="64">
        <v>5980</v>
      </c>
      <c r="BK938" s="64">
        <v>6578</v>
      </c>
      <c r="BL938" s="60" t="s">
        <v>643</v>
      </c>
      <c r="BS938" s="64">
        <v>0</v>
      </c>
      <c r="BV938" s="65">
        <v>16170</v>
      </c>
      <c r="BW938" s="65">
        <v>6578</v>
      </c>
      <c r="BX938" s="65">
        <v>44631</v>
      </c>
      <c r="BY938" s="65">
        <v>9592</v>
      </c>
      <c r="BZ938" s="81">
        <v>59.319727891156461</v>
      </c>
    </row>
    <row r="939" spans="1:89" x14ac:dyDescent="0.15">
      <c r="A939" s="60">
        <v>2</v>
      </c>
      <c r="B939" s="61">
        <v>44666</v>
      </c>
      <c r="C939" s="61">
        <v>44674</v>
      </c>
      <c r="D939" s="61">
        <v>44690</v>
      </c>
      <c r="E939" s="61">
        <v>44681</v>
      </c>
      <c r="F939" s="61">
        <v>44681</v>
      </c>
      <c r="G939" s="61">
        <v>44676</v>
      </c>
      <c r="H939" s="61">
        <v>44677</v>
      </c>
      <c r="I939" s="60" t="s">
        <v>511</v>
      </c>
      <c r="J939" s="60">
        <v>1</v>
      </c>
      <c r="L939" s="60">
        <v>0</v>
      </c>
      <c r="M939" s="61">
        <v>44631</v>
      </c>
      <c r="O939" s="62" t="s">
        <v>331</v>
      </c>
      <c r="P939" s="60" t="s">
        <v>26</v>
      </c>
      <c r="Q939" s="62" t="s">
        <v>135</v>
      </c>
      <c r="R939" s="176" t="s">
        <v>2671</v>
      </c>
      <c r="S939" s="63" t="s">
        <v>497</v>
      </c>
      <c r="T939" s="63" t="s">
        <v>621</v>
      </c>
      <c r="U939" s="64">
        <v>59000</v>
      </c>
      <c r="V939" s="64">
        <v>64900</v>
      </c>
      <c r="W939" s="64">
        <v>47000</v>
      </c>
      <c r="X939" s="64">
        <v>51700</v>
      </c>
      <c r="Y939" s="64">
        <v>12000</v>
      </c>
      <c r="Z939" s="64">
        <v>13200</v>
      </c>
      <c r="AA939" s="61">
        <v>44668</v>
      </c>
      <c r="AB939" s="61">
        <v>44674</v>
      </c>
      <c r="AC939" s="61">
        <v>44674</v>
      </c>
      <c r="AD939" s="60">
        <v>0</v>
      </c>
      <c r="AG939" s="60">
        <v>0</v>
      </c>
      <c r="AJ939" s="60">
        <v>0</v>
      </c>
      <c r="AM939" s="60" t="s">
        <v>273</v>
      </c>
      <c r="AN939" s="60">
        <v>6771</v>
      </c>
      <c r="AQ939" s="60" t="s">
        <v>3045</v>
      </c>
      <c r="AR939" s="61">
        <v>44657</v>
      </c>
      <c r="AS939" s="60">
        <v>6002012588</v>
      </c>
      <c r="AT939" s="61">
        <v>44658</v>
      </c>
      <c r="AU939" s="60" t="s">
        <v>3060</v>
      </c>
      <c r="AV939" s="61">
        <v>44674</v>
      </c>
      <c r="AW939" s="91">
        <v>44681</v>
      </c>
      <c r="AX939" s="91">
        <v>44701</v>
      </c>
      <c r="AY939" s="99">
        <v>56640</v>
      </c>
      <c r="AZ939" s="99">
        <f>ROUNDDOWN(AY939+(AY939*MASTER!$A$2/100),0)</f>
        <v>62304</v>
      </c>
      <c r="BA939" s="60" t="s">
        <v>613</v>
      </c>
      <c r="BB939" s="64">
        <v>26000</v>
      </c>
      <c r="BC939" s="64">
        <v>28600</v>
      </c>
      <c r="BD939" s="60" t="s">
        <v>643</v>
      </c>
      <c r="BG939" s="64">
        <v>0</v>
      </c>
      <c r="BI939" s="60" t="s">
        <v>267</v>
      </c>
      <c r="BJ939" s="64">
        <v>7800</v>
      </c>
      <c r="BK939" s="64">
        <v>8580</v>
      </c>
      <c r="BL939" s="60" t="s">
        <v>2916</v>
      </c>
      <c r="BS939" s="64">
        <v>0</v>
      </c>
      <c r="BV939" s="65">
        <v>51700</v>
      </c>
      <c r="BW939" s="65">
        <v>37180</v>
      </c>
      <c r="BX939" s="65">
        <v>44631</v>
      </c>
      <c r="BY939" s="65">
        <v>14520</v>
      </c>
      <c r="BZ939" s="81">
        <v>28.085106382978726</v>
      </c>
    </row>
    <row r="940" spans="1:89" x14ac:dyDescent="0.15">
      <c r="A940" s="60">
        <v>2</v>
      </c>
      <c r="B940" s="61">
        <v>44645</v>
      </c>
      <c r="C940" s="61">
        <v>44651</v>
      </c>
      <c r="D940" s="61">
        <v>44658</v>
      </c>
      <c r="E940" s="61">
        <v>44655</v>
      </c>
      <c r="F940" s="61">
        <v>44657</v>
      </c>
      <c r="G940" s="61">
        <v>44651</v>
      </c>
      <c r="H940" s="61">
        <v>44653</v>
      </c>
      <c r="I940" s="60" t="s">
        <v>511</v>
      </c>
      <c r="J940" s="60">
        <v>1</v>
      </c>
      <c r="L940" s="60">
        <v>0</v>
      </c>
      <c r="M940" s="61">
        <v>44631</v>
      </c>
      <c r="O940" s="62" t="s">
        <v>331</v>
      </c>
      <c r="P940" s="60" t="s">
        <v>26</v>
      </c>
      <c r="Q940" s="62" t="s">
        <v>135</v>
      </c>
      <c r="R940" s="176" t="s">
        <v>2672</v>
      </c>
      <c r="S940" s="63" t="s">
        <v>2889</v>
      </c>
      <c r="T940" s="63" t="s">
        <v>1001</v>
      </c>
      <c r="U940" s="64">
        <v>56000</v>
      </c>
      <c r="V940" s="64">
        <v>61600</v>
      </c>
      <c r="W940" s="64">
        <v>47000</v>
      </c>
      <c r="X940" s="64">
        <v>51700</v>
      </c>
      <c r="Y940" s="64">
        <v>9000</v>
      </c>
      <c r="Z940" s="64">
        <v>9900</v>
      </c>
      <c r="AA940" s="61">
        <v>44649</v>
      </c>
      <c r="AB940" s="61">
        <v>44650</v>
      </c>
      <c r="AC940" s="61">
        <v>44650</v>
      </c>
      <c r="AD940" s="60">
        <v>0</v>
      </c>
      <c r="AG940" s="60">
        <v>0</v>
      </c>
      <c r="AJ940" s="60">
        <v>0</v>
      </c>
      <c r="AM940" s="60" t="s">
        <v>273</v>
      </c>
      <c r="AN940" s="60" t="s">
        <v>2890</v>
      </c>
      <c r="AQ940" s="60" t="s">
        <v>2858</v>
      </c>
      <c r="AR940" s="61">
        <v>44644</v>
      </c>
      <c r="AS940" s="60">
        <v>6002008442</v>
      </c>
      <c r="AT940" s="61">
        <v>44644</v>
      </c>
      <c r="AU940" s="60" t="s">
        <v>2888</v>
      </c>
      <c r="AV940" s="61">
        <v>44651</v>
      </c>
      <c r="AW940" s="91">
        <v>44651</v>
      </c>
      <c r="AX940" s="91">
        <v>44671</v>
      </c>
      <c r="AY940" s="99">
        <v>53760</v>
      </c>
      <c r="AZ940" s="99">
        <f>ROUNDDOWN(AY940+(AY940*MASTER!$A$2/100),0)</f>
        <v>59136</v>
      </c>
      <c r="BA940" s="60" t="s">
        <v>314</v>
      </c>
      <c r="BB940" s="64">
        <v>28000</v>
      </c>
      <c r="BC940" s="64">
        <v>30800</v>
      </c>
      <c r="BD940" s="60" t="s">
        <v>2107</v>
      </c>
      <c r="BG940" s="64">
        <v>0</v>
      </c>
      <c r="BI940" s="60" t="s">
        <v>748</v>
      </c>
      <c r="BJ940" s="64">
        <v>5850</v>
      </c>
      <c r="BK940" s="64">
        <v>6435</v>
      </c>
      <c r="BL940" s="60" t="s">
        <v>2107</v>
      </c>
      <c r="BS940" s="64">
        <v>0</v>
      </c>
      <c r="BV940" s="65">
        <v>51700</v>
      </c>
      <c r="BW940" s="65">
        <v>37235</v>
      </c>
      <c r="BX940" s="65">
        <v>44631</v>
      </c>
      <c r="BY940" s="65">
        <v>14465</v>
      </c>
      <c r="BZ940" s="81">
        <v>27.978723404255319</v>
      </c>
    </row>
    <row r="941" spans="1:89" x14ac:dyDescent="0.15">
      <c r="A941" s="60">
        <v>2</v>
      </c>
      <c r="B941" s="61">
        <v>44645</v>
      </c>
      <c r="C941" s="61">
        <v>44651</v>
      </c>
      <c r="D941" s="61">
        <v>44658</v>
      </c>
      <c r="E941" s="61">
        <v>44655</v>
      </c>
      <c r="F941" s="61">
        <v>44659</v>
      </c>
      <c r="G941" s="61">
        <v>44652</v>
      </c>
      <c r="H941" s="61">
        <v>44655</v>
      </c>
      <c r="I941" s="60" t="s">
        <v>511</v>
      </c>
      <c r="J941" s="60">
        <v>1</v>
      </c>
      <c r="L941" s="60">
        <v>0</v>
      </c>
      <c r="M941" s="61">
        <v>44631</v>
      </c>
      <c r="O941" s="62" t="s">
        <v>331</v>
      </c>
      <c r="P941" s="60" t="s">
        <v>26</v>
      </c>
      <c r="Q941" s="62" t="s">
        <v>135</v>
      </c>
      <c r="R941" s="176" t="s">
        <v>2673</v>
      </c>
      <c r="S941" s="63" t="s">
        <v>563</v>
      </c>
      <c r="T941" s="63" t="s">
        <v>1394</v>
      </c>
      <c r="U941" s="64">
        <v>59000</v>
      </c>
      <c r="V941" s="64">
        <v>64900</v>
      </c>
      <c r="W941" s="64">
        <v>47000</v>
      </c>
      <c r="X941" s="64">
        <v>51700</v>
      </c>
      <c r="Y941" s="64">
        <v>12000</v>
      </c>
      <c r="Z941" s="64">
        <v>13200</v>
      </c>
      <c r="AA941" s="61">
        <v>44648</v>
      </c>
      <c r="AB941" s="61">
        <v>44652</v>
      </c>
      <c r="AC941" s="61">
        <v>44652</v>
      </c>
      <c r="AD941" s="60">
        <v>0</v>
      </c>
      <c r="AG941" s="60">
        <v>0</v>
      </c>
      <c r="AJ941" s="60">
        <v>0</v>
      </c>
      <c r="AM941" s="60" t="s">
        <v>273</v>
      </c>
      <c r="AN941" s="60" t="s">
        <v>2891</v>
      </c>
      <c r="AQ941" s="60" t="s">
        <v>2862</v>
      </c>
      <c r="AR941" s="61">
        <v>44644</v>
      </c>
      <c r="AS941" s="60">
        <v>6002008442</v>
      </c>
      <c r="AT941" s="61">
        <v>44644</v>
      </c>
      <c r="AU941" s="60" t="s">
        <v>2888</v>
      </c>
      <c r="AV941" s="61">
        <v>44651</v>
      </c>
      <c r="AW941" s="91">
        <v>44651</v>
      </c>
      <c r="AX941" s="91">
        <v>44671</v>
      </c>
      <c r="AY941" s="99">
        <v>56640</v>
      </c>
      <c r="AZ941" s="99">
        <f>ROUNDDOWN(AY941+(AY941*MASTER!$A$2/100),0)</f>
        <v>62304</v>
      </c>
      <c r="BA941" s="60" t="s">
        <v>613</v>
      </c>
      <c r="BB941" s="64">
        <v>26000</v>
      </c>
      <c r="BC941" s="64">
        <v>28600</v>
      </c>
      <c r="BD941" s="60" t="s">
        <v>2107</v>
      </c>
      <c r="BG941" s="64">
        <v>0</v>
      </c>
      <c r="BI941" s="60" t="s">
        <v>267</v>
      </c>
      <c r="BJ941" s="64">
        <v>7800</v>
      </c>
      <c r="BK941" s="64">
        <v>8580</v>
      </c>
      <c r="BL941" s="60" t="s">
        <v>2916</v>
      </c>
      <c r="BS941" s="64">
        <v>0</v>
      </c>
      <c r="BV941" s="65">
        <v>51700</v>
      </c>
      <c r="BW941" s="65">
        <v>37180</v>
      </c>
      <c r="BX941" s="65">
        <v>44631</v>
      </c>
      <c r="BY941" s="65">
        <v>14520</v>
      </c>
      <c r="BZ941" s="81">
        <v>28.085106382978726</v>
      </c>
    </row>
    <row r="942" spans="1:89" x14ac:dyDescent="0.15">
      <c r="A942" s="60">
        <v>2</v>
      </c>
      <c r="B942" s="61">
        <v>44666</v>
      </c>
      <c r="C942" s="61">
        <v>44674</v>
      </c>
      <c r="D942" s="61">
        <v>44687</v>
      </c>
      <c r="E942" s="61">
        <v>44681</v>
      </c>
      <c r="F942" s="61">
        <v>44681</v>
      </c>
      <c r="G942" s="61">
        <v>44676</v>
      </c>
      <c r="H942" s="61">
        <v>44677</v>
      </c>
      <c r="I942" s="60" t="s">
        <v>511</v>
      </c>
      <c r="J942" s="60">
        <v>1</v>
      </c>
      <c r="L942" s="60">
        <v>0</v>
      </c>
      <c r="M942" s="61">
        <v>44631</v>
      </c>
      <c r="O942" s="62" t="s">
        <v>331</v>
      </c>
      <c r="P942" s="60" t="s">
        <v>26</v>
      </c>
      <c r="Q942" s="62" t="s">
        <v>135</v>
      </c>
      <c r="R942" s="176" t="s">
        <v>2675</v>
      </c>
      <c r="S942" s="63" t="s">
        <v>696</v>
      </c>
      <c r="T942" s="63" t="s">
        <v>2674</v>
      </c>
      <c r="U942" s="64">
        <v>50000</v>
      </c>
      <c r="V942" s="64">
        <v>55000</v>
      </c>
      <c r="W942" s="64">
        <v>47000</v>
      </c>
      <c r="X942" s="64">
        <v>51700</v>
      </c>
      <c r="Y942" s="64">
        <v>3000</v>
      </c>
      <c r="Z942" s="64">
        <v>3300</v>
      </c>
      <c r="AA942" s="61">
        <v>44673</v>
      </c>
      <c r="AB942" s="61">
        <v>44674</v>
      </c>
      <c r="AC942" s="61">
        <v>44674</v>
      </c>
      <c r="AD942" s="60">
        <v>0</v>
      </c>
      <c r="AG942" s="60">
        <v>0</v>
      </c>
      <c r="AJ942" s="60">
        <v>0</v>
      </c>
      <c r="AM942" s="60" t="s">
        <v>273</v>
      </c>
      <c r="AN942" s="60" t="s">
        <v>2676</v>
      </c>
      <c r="AQ942" s="60" t="s">
        <v>2951</v>
      </c>
      <c r="AR942" s="61">
        <v>44650</v>
      </c>
      <c r="AS942" s="60">
        <v>6002010499</v>
      </c>
      <c r="AT942" s="61">
        <v>44651</v>
      </c>
      <c r="AU942" s="60" t="s">
        <v>2967</v>
      </c>
      <c r="AV942" s="61">
        <v>44674</v>
      </c>
      <c r="AW942" s="91">
        <v>44681</v>
      </c>
      <c r="AX942" s="91">
        <v>44701</v>
      </c>
      <c r="AY942" s="99">
        <v>48000</v>
      </c>
      <c r="AZ942" s="99">
        <f>ROUNDDOWN(AY942+(AY942*MASTER!$A$2/100),0)</f>
        <v>52800</v>
      </c>
      <c r="BA942" s="60" t="s">
        <v>314</v>
      </c>
      <c r="BB942" s="64">
        <v>28000</v>
      </c>
      <c r="BC942" s="64">
        <v>30800</v>
      </c>
      <c r="BD942" s="60" t="s">
        <v>643</v>
      </c>
      <c r="BG942" s="64">
        <v>0</v>
      </c>
      <c r="BI942" s="60" t="s">
        <v>267</v>
      </c>
      <c r="BJ942" s="64">
        <v>1950</v>
      </c>
      <c r="BK942" s="64">
        <v>2145</v>
      </c>
      <c r="BL942" s="60" t="s">
        <v>2916</v>
      </c>
      <c r="BS942" s="64">
        <v>0</v>
      </c>
      <c r="BV942" s="65">
        <v>51700</v>
      </c>
      <c r="BW942" s="65">
        <v>32945</v>
      </c>
      <c r="BX942" s="65">
        <v>44631</v>
      </c>
      <c r="BY942" s="65">
        <v>18755</v>
      </c>
      <c r="BZ942" s="81">
        <v>36.276595744680847</v>
      </c>
    </row>
    <row r="943" spans="1:89" x14ac:dyDescent="0.15">
      <c r="A943" s="60">
        <v>2</v>
      </c>
      <c r="B943" s="61">
        <v>44664</v>
      </c>
      <c r="C943" s="61">
        <v>44669</v>
      </c>
      <c r="D943" s="61" t="s">
        <v>764</v>
      </c>
      <c r="E943" s="61">
        <v>44680</v>
      </c>
      <c r="F943" s="61">
        <v>44676</v>
      </c>
      <c r="G943" s="61">
        <v>44670</v>
      </c>
      <c r="H943" s="61">
        <v>44672</v>
      </c>
      <c r="I943" s="60" t="s">
        <v>511</v>
      </c>
      <c r="J943" s="60">
        <v>1</v>
      </c>
      <c r="L943" s="60">
        <v>0</v>
      </c>
      <c r="M943" s="61">
        <v>44631</v>
      </c>
      <c r="O943" s="62" t="s">
        <v>331</v>
      </c>
      <c r="P943" s="60" t="s">
        <v>26</v>
      </c>
      <c r="Q943" s="62" t="s">
        <v>135</v>
      </c>
      <c r="R943" s="176" t="s">
        <v>2677</v>
      </c>
      <c r="S943" s="63" t="s">
        <v>786</v>
      </c>
      <c r="T943" s="63" t="s">
        <v>2085</v>
      </c>
      <c r="U943" s="64">
        <v>23900</v>
      </c>
      <c r="V943" s="64">
        <v>26290</v>
      </c>
      <c r="W943" s="64">
        <v>14700</v>
      </c>
      <c r="X943" s="64">
        <v>16170</v>
      </c>
      <c r="Y943" s="64">
        <v>9200</v>
      </c>
      <c r="Z943" s="64">
        <v>10120</v>
      </c>
      <c r="AA943" s="61">
        <v>44668</v>
      </c>
      <c r="AB943" s="61">
        <v>44669</v>
      </c>
      <c r="AC943" s="61">
        <v>44669</v>
      </c>
      <c r="AD943" s="60">
        <v>0</v>
      </c>
      <c r="AG943" s="60">
        <v>0</v>
      </c>
      <c r="AJ943" s="60">
        <v>0</v>
      </c>
      <c r="AM943" s="60" t="s">
        <v>273</v>
      </c>
      <c r="AN943" s="60">
        <v>6775</v>
      </c>
      <c r="AQ943" s="60" t="s">
        <v>2953</v>
      </c>
      <c r="AR943" s="61">
        <v>44650</v>
      </c>
      <c r="AS943" s="60">
        <v>6002010499</v>
      </c>
      <c r="AT943" s="61">
        <v>44651</v>
      </c>
      <c r="AU943" s="60" t="s">
        <v>2967</v>
      </c>
      <c r="AV943" s="61">
        <v>44669</v>
      </c>
      <c r="AW943" s="91">
        <v>44671</v>
      </c>
      <c r="AX943" s="91">
        <v>44701</v>
      </c>
      <c r="AY943" s="99">
        <v>22944</v>
      </c>
      <c r="AZ943" s="99">
        <f>ROUNDDOWN(AY943+(AY943*MASTER!$A$2/100),0)</f>
        <v>25238</v>
      </c>
      <c r="BA943" s="60" t="s">
        <v>765</v>
      </c>
      <c r="BC943" s="64">
        <v>0</v>
      </c>
      <c r="BG943" s="64">
        <v>0</v>
      </c>
      <c r="BI943" s="60" t="s">
        <v>267</v>
      </c>
      <c r="BJ943" s="64">
        <v>5980</v>
      </c>
      <c r="BK943" s="64">
        <v>6578</v>
      </c>
      <c r="BL943" s="60" t="s">
        <v>2916</v>
      </c>
      <c r="BS943" s="64">
        <v>0</v>
      </c>
      <c r="BV943" s="65">
        <v>16170</v>
      </c>
      <c r="BW943" s="65">
        <v>6578</v>
      </c>
      <c r="BX943" s="65">
        <v>44631</v>
      </c>
      <c r="BY943" s="65">
        <v>9592</v>
      </c>
      <c r="BZ943" s="81">
        <v>59.319727891156461</v>
      </c>
    </row>
    <row r="944" spans="1:89" x14ac:dyDescent="0.15">
      <c r="A944" s="60">
        <v>2</v>
      </c>
      <c r="B944" s="61">
        <v>44645</v>
      </c>
      <c r="C944" s="61">
        <v>44645</v>
      </c>
      <c r="D944" s="61">
        <v>44638</v>
      </c>
      <c r="E944" s="61">
        <v>44638</v>
      </c>
      <c r="F944" s="61" t="s">
        <v>309</v>
      </c>
      <c r="G944" s="61">
        <v>44638</v>
      </c>
      <c r="H944" s="61" t="s">
        <v>309</v>
      </c>
      <c r="I944" s="60" t="s">
        <v>766</v>
      </c>
      <c r="J944" s="60">
        <v>2</v>
      </c>
      <c r="L944" s="60">
        <v>0</v>
      </c>
      <c r="M944" s="61">
        <v>44631</v>
      </c>
      <c r="O944" s="62" t="s">
        <v>331</v>
      </c>
      <c r="P944" s="60" t="s">
        <v>6</v>
      </c>
      <c r="Q944" s="62" t="s">
        <v>135</v>
      </c>
      <c r="R944" s="62" t="s">
        <v>2803</v>
      </c>
      <c r="S944" s="63" t="s">
        <v>2357</v>
      </c>
      <c r="T944" s="63" t="s">
        <v>364</v>
      </c>
      <c r="U944" s="64">
        <v>51000</v>
      </c>
      <c r="V944" s="64">
        <v>56100</v>
      </c>
      <c r="W944" s="64">
        <v>51000</v>
      </c>
      <c r="X944" s="64">
        <v>56100</v>
      </c>
      <c r="Z944" s="64">
        <v>0</v>
      </c>
      <c r="AA944" s="61">
        <v>44637</v>
      </c>
      <c r="AB944" s="61">
        <v>44637</v>
      </c>
      <c r="AD944" s="60">
        <v>0</v>
      </c>
      <c r="AG944" s="60">
        <v>0</v>
      </c>
      <c r="AJ944" s="60">
        <v>0</v>
      </c>
      <c r="AN944" s="60" t="s">
        <v>309</v>
      </c>
      <c r="AQ944" s="60" t="s">
        <v>2860</v>
      </c>
      <c r="AR944" s="61">
        <v>44644</v>
      </c>
      <c r="AS944" s="60">
        <v>6002008442</v>
      </c>
      <c r="AT944" s="61">
        <v>44644</v>
      </c>
      <c r="AU944" s="60" t="s">
        <v>2888</v>
      </c>
      <c r="AV944" s="61">
        <v>44645</v>
      </c>
      <c r="AW944" s="91">
        <v>44651</v>
      </c>
      <c r="AX944" s="91">
        <v>44671</v>
      </c>
      <c r="AY944" s="99">
        <v>48960</v>
      </c>
      <c r="AZ944" s="99">
        <f>ROUNDDOWN(AY944+(AY944*MASTER!$A$2/100),0)</f>
        <v>53856</v>
      </c>
      <c r="BA944" s="60" t="s">
        <v>14</v>
      </c>
      <c r="BB944" s="64">
        <v>33200</v>
      </c>
      <c r="BC944" s="64">
        <v>36520</v>
      </c>
      <c r="BD944" s="60" t="s">
        <v>2107</v>
      </c>
      <c r="BG944" s="64">
        <v>0</v>
      </c>
      <c r="BK944" s="64">
        <v>0</v>
      </c>
      <c r="BS944" s="64">
        <v>0</v>
      </c>
      <c r="BV944" s="65">
        <v>56100</v>
      </c>
      <c r="BW944" s="65">
        <v>36520</v>
      </c>
      <c r="BX944" s="65">
        <v>44631</v>
      </c>
      <c r="BY944" s="65">
        <v>19580</v>
      </c>
      <c r="BZ944" s="81">
        <v>34.901960784313722</v>
      </c>
    </row>
    <row r="945" spans="1:82" x14ac:dyDescent="0.15">
      <c r="A945" s="60">
        <v>1</v>
      </c>
      <c r="C945" s="61" t="s">
        <v>309</v>
      </c>
      <c r="F945" s="61" t="s">
        <v>309</v>
      </c>
      <c r="G945" s="61">
        <v>44638</v>
      </c>
      <c r="H945" s="61" t="s">
        <v>309</v>
      </c>
      <c r="J945" s="60">
        <v>4</v>
      </c>
      <c r="L945" s="60">
        <v>0</v>
      </c>
      <c r="M945" s="61">
        <v>44631</v>
      </c>
      <c r="O945" s="62" t="s">
        <v>331</v>
      </c>
      <c r="P945" s="60" t="s">
        <v>6</v>
      </c>
      <c r="Q945" s="62" t="s">
        <v>135</v>
      </c>
      <c r="R945" s="62" t="s">
        <v>2784</v>
      </c>
      <c r="S945" s="63" t="s">
        <v>1233</v>
      </c>
      <c r="T945" s="63" t="s">
        <v>2785</v>
      </c>
      <c r="U945" s="64">
        <v>0</v>
      </c>
      <c r="V945" s="64">
        <v>0</v>
      </c>
      <c r="W945" s="64">
        <v>0</v>
      </c>
      <c r="X945" s="64">
        <v>0</v>
      </c>
      <c r="Z945" s="64">
        <v>0</v>
      </c>
      <c r="AA945" s="61">
        <v>44630</v>
      </c>
      <c r="AB945" s="61">
        <v>44630</v>
      </c>
      <c r="AD945" s="60">
        <v>0</v>
      </c>
      <c r="AG945" s="60">
        <v>0</v>
      </c>
      <c r="AJ945" s="60">
        <v>0</v>
      </c>
      <c r="AN945" s="60" t="s">
        <v>309</v>
      </c>
      <c r="AY945" s="99">
        <v>0</v>
      </c>
      <c r="AZ945" s="99">
        <f>ROUNDDOWN(AY945+(AY945*MASTER!$A$2/100),0)</f>
        <v>0</v>
      </c>
      <c r="BA945" s="60" t="s">
        <v>318</v>
      </c>
      <c r="BB945" s="64">
        <v>44000</v>
      </c>
      <c r="BC945" s="64">
        <v>48400</v>
      </c>
      <c r="BD945" s="60" t="s">
        <v>2107</v>
      </c>
      <c r="BG945" s="64">
        <v>0</v>
      </c>
      <c r="BK945" s="64">
        <v>0</v>
      </c>
      <c r="BS945" s="64">
        <v>0</v>
      </c>
      <c r="BV945" s="65">
        <v>0</v>
      </c>
      <c r="BW945" s="65">
        <v>48400</v>
      </c>
      <c r="BX945" s="65">
        <v>44631</v>
      </c>
      <c r="BY945" s="65">
        <v>-48400</v>
      </c>
      <c r="BZ945" s="81" t="s">
        <v>309</v>
      </c>
      <c r="CD945" s="63" t="s">
        <v>428</v>
      </c>
    </row>
    <row r="946" spans="1:82" x14ac:dyDescent="0.15">
      <c r="A946" s="60">
        <v>1</v>
      </c>
      <c r="B946" s="61">
        <v>44634</v>
      </c>
      <c r="C946" s="61">
        <v>44643</v>
      </c>
      <c r="F946" s="61" t="s">
        <v>309</v>
      </c>
      <c r="H946" s="61" t="s">
        <v>309</v>
      </c>
      <c r="J946" s="60">
        <v>2</v>
      </c>
      <c r="L946" s="60">
        <v>0</v>
      </c>
      <c r="M946" s="61">
        <v>44631</v>
      </c>
      <c r="O946" s="62" t="s">
        <v>331</v>
      </c>
      <c r="P946" s="60" t="s">
        <v>77</v>
      </c>
      <c r="Q946" s="62" t="s">
        <v>135</v>
      </c>
      <c r="R946" s="62" t="s">
        <v>2678</v>
      </c>
      <c r="S946" s="63" t="s">
        <v>489</v>
      </c>
      <c r="T946" s="63" t="s">
        <v>490</v>
      </c>
      <c r="U946" s="64">
        <v>9880</v>
      </c>
      <c r="V946" s="64">
        <v>10868</v>
      </c>
      <c r="W946" s="64">
        <v>9880</v>
      </c>
      <c r="X946" s="64">
        <v>10868</v>
      </c>
      <c r="Y946" s="64">
        <v>0</v>
      </c>
      <c r="Z946" s="64">
        <v>0</v>
      </c>
      <c r="AD946" s="60">
        <v>0</v>
      </c>
      <c r="AG946" s="60">
        <v>0</v>
      </c>
      <c r="AJ946" s="60">
        <v>0</v>
      </c>
      <c r="AQ946" s="60" t="s">
        <v>2443</v>
      </c>
      <c r="AR946" s="61">
        <v>44631</v>
      </c>
      <c r="AS946" s="60">
        <v>6002003329</v>
      </c>
      <c r="AT946" s="61">
        <v>44631</v>
      </c>
      <c r="AU946" s="60" t="s">
        <v>2712</v>
      </c>
      <c r="AV946" s="61">
        <v>44643</v>
      </c>
      <c r="AW946" s="91">
        <v>44651</v>
      </c>
      <c r="AX946" s="91">
        <v>44671</v>
      </c>
      <c r="AY946" s="107">
        <v>9880</v>
      </c>
      <c r="AZ946" s="107">
        <f>ROUNDDOWN(AY946+(AY946*MASTER!$A$2/100),0)</f>
        <v>10868</v>
      </c>
      <c r="BC946" s="64">
        <v>0</v>
      </c>
      <c r="BG946" s="64">
        <v>0</v>
      </c>
      <c r="BK946" s="64">
        <v>0</v>
      </c>
      <c r="BS946" s="64">
        <v>0</v>
      </c>
      <c r="BV946" s="65">
        <v>10868</v>
      </c>
      <c r="BW946" s="65">
        <v>0</v>
      </c>
      <c r="BX946" s="65">
        <v>44631</v>
      </c>
      <c r="BY946" s="65">
        <v>10868</v>
      </c>
      <c r="BZ946" s="81">
        <v>100</v>
      </c>
    </row>
    <row r="947" spans="1:82" x14ac:dyDescent="0.15">
      <c r="A947" s="60">
        <v>1</v>
      </c>
      <c r="B947" s="61">
        <v>44634</v>
      </c>
      <c r="C947" s="61">
        <v>44637</v>
      </c>
      <c r="F947" s="61" t="s">
        <v>309</v>
      </c>
      <c r="H947" s="61" t="s">
        <v>309</v>
      </c>
      <c r="J947" s="60">
        <v>2</v>
      </c>
      <c r="L947" s="60">
        <v>0</v>
      </c>
      <c r="M947" s="61">
        <v>44631</v>
      </c>
      <c r="O947" s="62" t="s">
        <v>331</v>
      </c>
      <c r="P947" s="60" t="s">
        <v>77</v>
      </c>
      <c r="Q947" s="62" t="s">
        <v>135</v>
      </c>
      <c r="R947" s="62" t="s">
        <v>2679</v>
      </c>
      <c r="S947" s="63" t="s">
        <v>489</v>
      </c>
      <c r="T947" s="63" t="s">
        <v>490</v>
      </c>
      <c r="U947" s="64">
        <v>9880</v>
      </c>
      <c r="V947" s="64">
        <v>10868</v>
      </c>
      <c r="W947" s="64">
        <v>9880</v>
      </c>
      <c r="X947" s="64">
        <v>10868</v>
      </c>
      <c r="Y947" s="64">
        <v>0</v>
      </c>
      <c r="Z947" s="64">
        <v>0</v>
      </c>
      <c r="AD947" s="60">
        <v>0</v>
      </c>
      <c r="AG947" s="60">
        <v>0</v>
      </c>
      <c r="AJ947" s="60">
        <v>0</v>
      </c>
      <c r="AQ947" s="60" t="s">
        <v>2680</v>
      </c>
      <c r="AR947" s="61">
        <v>44631</v>
      </c>
      <c r="AS947" s="60">
        <v>6002003329</v>
      </c>
      <c r="AT947" s="61">
        <v>44631</v>
      </c>
      <c r="AU947" s="60" t="s">
        <v>2712</v>
      </c>
      <c r="AV947" s="61">
        <v>44637</v>
      </c>
      <c r="AW947" s="91">
        <v>44651</v>
      </c>
      <c r="AX947" s="91">
        <v>44671</v>
      </c>
      <c r="AY947" s="107">
        <v>9880</v>
      </c>
      <c r="AZ947" s="107">
        <f>ROUNDDOWN(AY947+(AY947*MASTER!$A$2/100),0)</f>
        <v>10868</v>
      </c>
      <c r="BC947" s="64">
        <v>0</v>
      </c>
      <c r="BG947" s="64">
        <v>0</v>
      </c>
      <c r="BK947" s="64">
        <v>0</v>
      </c>
      <c r="BS947" s="64">
        <v>0</v>
      </c>
      <c r="BV947" s="65">
        <v>10868</v>
      </c>
      <c r="BW947" s="65">
        <v>0</v>
      </c>
      <c r="BX947" s="65">
        <v>44631</v>
      </c>
      <c r="BY947" s="65">
        <v>10868</v>
      </c>
      <c r="BZ947" s="81">
        <v>100</v>
      </c>
    </row>
    <row r="948" spans="1:82" x14ac:dyDescent="0.15">
      <c r="A948" s="60">
        <v>1</v>
      </c>
      <c r="B948" s="61">
        <v>44645</v>
      </c>
      <c r="C948" s="61">
        <v>44701</v>
      </c>
      <c r="F948" s="61" t="s">
        <v>309</v>
      </c>
      <c r="G948" s="61">
        <v>44692</v>
      </c>
      <c r="H948" s="61" t="s">
        <v>309</v>
      </c>
      <c r="J948" s="60">
        <v>2</v>
      </c>
      <c r="L948" s="60">
        <v>0</v>
      </c>
      <c r="M948" s="61">
        <v>44634</v>
      </c>
      <c r="O948" s="62" t="s">
        <v>331</v>
      </c>
      <c r="P948" s="60" t="s">
        <v>26</v>
      </c>
      <c r="Q948" s="62" t="s">
        <v>135</v>
      </c>
      <c r="R948" s="62" t="s">
        <v>2892</v>
      </c>
      <c r="S948" s="63" t="s">
        <v>1239</v>
      </c>
      <c r="T948" s="63" t="s">
        <v>656</v>
      </c>
      <c r="U948" s="64">
        <v>49500</v>
      </c>
      <c r="V948" s="64">
        <v>54450</v>
      </c>
      <c r="W948" s="64">
        <v>49500</v>
      </c>
      <c r="X948" s="64">
        <v>54450</v>
      </c>
      <c r="Z948" s="64">
        <v>0</v>
      </c>
      <c r="AA948" s="61">
        <v>44692</v>
      </c>
      <c r="AB948" s="61">
        <v>44692</v>
      </c>
      <c r="AD948" s="60">
        <v>0</v>
      </c>
      <c r="AG948" s="60">
        <v>0</v>
      </c>
      <c r="AJ948" s="60">
        <v>0</v>
      </c>
      <c r="AN948" s="60" t="s">
        <v>309</v>
      </c>
      <c r="AQ948" s="60" t="s">
        <v>2854</v>
      </c>
      <c r="AR948" s="61">
        <v>44644</v>
      </c>
      <c r="AS948" s="60">
        <v>6002008442</v>
      </c>
      <c r="AT948" s="61">
        <v>44644</v>
      </c>
      <c r="AU948" s="60" t="s">
        <v>2888</v>
      </c>
      <c r="AV948" s="61">
        <v>44701</v>
      </c>
      <c r="AW948" s="91">
        <v>44712</v>
      </c>
      <c r="AX948" s="91">
        <v>44732</v>
      </c>
      <c r="AY948" s="99">
        <v>47520</v>
      </c>
      <c r="AZ948" s="99">
        <f>ROUNDDOWN(AY948+(AY948*MASTER!$A$2/100),0)</f>
        <v>52272</v>
      </c>
      <c r="BA948" s="60" t="s">
        <v>780</v>
      </c>
      <c r="BB948" s="64">
        <v>21000</v>
      </c>
      <c r="BC948" s="64">
        <v>23100</v>
      </c>
      <c r="BD948" s="60" t="s">
        <v>3360</v>
      </c>
      <c r="BG948" s="64">
        <v>0</v>
      </c>
      <c r="BK948" s="64">
        <v>0</v>
      </c>
      <c r="BS948" s="64">
        <v>0</v>
      </c>
      <c r="BV948" s="65">
        <v>54450</v>
      </c>
      <c r="BW948" s="65">
        <v>23100</v>
      </c>
      <c r="BX948" s="65">
        <v>44634</v>
      </c>
      <c r="BY948" s="65">
        <v>31350</v>
      </c>
      <c r="BZ948" s="81">
        <v>57.575757575757578</v>
      </c>
    </row>
    <row r="949" spans="1:82" x14ac:dyDescent="0.15">
      <c r="A949" s="60">
        <v>1</v>
      </c>
      <c r="B949" s="61">
        <v>44691</v>
      </c>
      <c r="C949" s="61">
        <v>44701</v>
      </c>
      <c r="F949" s="61" t="s">
        <v>309</v>
      </c>
      <c r="H949" s="61" t="s">
        <v>309</v>
      </c>
      <c r="J949" s="60">
        <v>3</v>
      </c>
      <c r="L949" s="60">
        <v>0</v>
      </c>
      <c r="M949" s="61">
        <v>44634</v>
      </c>
      <c r="O949" s="62" t="s">
        <v>331</v>
      </c>
      <c r="P949" s="60" t="s">
        <v>6</v>
      </c>
      <c r="Q949" s="62" t="s">
        <v>135</v>
      </c>
      <c r="R949" s="62" t="s">
        <v>3351</v>
      </c>
      <c r="S949" s="63" t="s">
        <v>1230</v>
      </c>
      <c r="T949" s="63" t="s">
        <v>463</v>
      </c>
      <c r="U949" s="64">
        <v>9000</v>
      </c>
      <c r="V949" s="64">
        <v>9900</v>
      </c>
      <c r="X949" s="64">
        <v>0</v>
      </c>
      <c r="Y949" s="64">
        <v>9000</v>
      </c>
      <c r="Z949" s="64">
        <v>9900</v>
      </c>
      <c r="AD949" s="60">
        <v>0</v>
      </c>
      <c r="AG949" s="60">
        <v>0</v>
      </c>
      <c r="AJ949" s="60">
        <v>0</v>
      </c>
      <c r="AN949" s="60" t="s">
        <v>309</v>
      </c>
      <c r="AQ949" s="60" t="s">
        <v>2793</v>
      </c>
      <c r="AR949" s="61">
        <v>44637</v>
      </c>
      <c r="AS949" s="60">
        <v>6002005815</v>
      </c>
      <c r="AT949" s="61">
        <v>44638</v>
      </c>
      <c r="AU949" s="60" t="s">
        <v>2840</v>
      </c>
      <c r="AV949" s="61">
        <v>44701</v>
      </c>
      <c r="AW949" s="91">
        <v>44712</v>
      </c>
      <c r="AX949" s="91">
        <v>44732</v>
      </c>
      <c r="AY949" s="99">
        <v>8640</v>
      </c>
      <c r="AZ949" s="99">
        <f>ROUNDDOWN(AY949+(AY949*MASTER!$A$2/100),0)</f>
        <v>9504</v>
      </c>
      <c r="BC949" s="64">
        <v>0</v>
      </c>
      <c r="BG949" s="64">
        <v>0</v>
      </c>
      <c r="BK949" s="64">
        <v>0</v>
      </c>
      <c r="BS949" s="64">
        <v>0</v>
      </c>
      <c r="BV949" s="65">
        <v>0</v>
      </c>
      <c r="BW949" s="65">
        <v>0</v>
      </c>
      <c r="BX949" s="65">
        <v>44634</v>
      </c>
      <c r="BY949" s="65">
        <v>0</v>
      </c>
      <c r="BZ949" s="81" t="s">
        <v>309</v>
      </c>
    </row>
    <row r="950" spans="1:82" x14ac:dyDescent="0.15">
      <c r="A950" s="60">
        <v>2</v>
      </c>
      <c r="B950" s="61">
        <v>44664</v>
      </c>
      <c r="C950" s="61">
        <v>44666</v>
      </c>
      <c r="D950" s="61">
        <v>44693</v>
      </c>
      <c r="E950" s="61">
        <v>44681</v>
      </c>
      <c r="F950" s="61">
        <v>44677</v>
      </c>
      <c r="G950" s="61">
        <v>44670</v>
      </c>
      <c r="H950" s="61">
        <v>44673</v>
      </c>
      <c r="I950" s="60" t="s">
        <v>511</v>
      </c>
      <c r="J950" s="60">
        <v>2</v>
      </c>
      <c r="L950" s="60">
        <v>0</v>
      </c>
      <c r="M950" s="61">
        <v>44634</v>
      </c>
      <c r="O950" s="62" t="s">
        <v>331</v>
      </c>
      <c r="P950" s="60" t="s">
        <v>26</v>
      </c>
      <c r="Q950" s="62" t="s">
        <v>135</v>
      </c>
      <c r="R950" s="62" t="s">
        <v>3109</v>
      </c>
      <c r="S950" s="63" t="s">
        <v>685</v>
      </c>
      <c r="T950" s="63" t="s">
        <v>3110</v>
      </c>
      <c r="U950" s="64">
        <v>174590</v>
      </c>
      <c r="V950" s="64">
        <v>192049</v>
      </c>
      <c r="W950" s="64">
        <v>174590</v>
      </c>
      <c r="X950" s="64">
        <v>192049</v>
      </c>
      <c r="Z950" s="64">
        <v>0</v>
      </c>
      <c r="AA950" s="61">
        <v>44668</v>
      </c>
      <c r="AB950" s="61">
        <v>44670</v>
      </c>
      <c r="AC950" s="61">
        <v>44670</v>
      </c>
      <c r="AD950" s="60">
        <v>0</v>
      </c>
      <c r="AG950" s="60">
        <v>0</v>
      </c>
      <c r="AJ950" s="60">
        <v>0</v>
      </c>
      <c r="AM950" s="60" t="s">
        <v>273</v>
      </c>
      <c r="AN950" s="60" t="s">
        <v>3111</v>
      </c>
      <c r="AQ950" s="60" t="s">
        <v>3028</v>
      </c>
      <c r="AR950" s="61">
        <v>44656</v>
      </c>
      <c r="AS950" s="60">
        <v>6002012142</v>
      </c>
      <c r="AT950" s="61">
        <v>44658</v>
      </c>
      <c r="AU950" s="60" t="s">
        <v>3059</v>
      </c>
      <c r="AV950" s="61">
        <v>44666</v>
      </c>
      <c r="AW950" s="91">
        <v>44681</v>
      </c>
      <c r="AX950" s="91">
        <v>44701</v>
      </c>
      <c r="AY950" s="99">
        <v>167606</v>
      </c>
      <c r="AZ950" s="99">
        <v>184367</v>
      </c>
      <c r="BA950" s="60" t="s">
        <v>317</v>
      </c>
      <c r="BB950" s="64">
        <v>55000</v>
      </c>
      <c r="BC950" s="64">
        <v>60500</v>
      </c>
      <c r="BD950" s="60" t="s">
        <v>643</v>
      </c>
      <c r="BG950" s="64">
        <v>0</v>
      </c>
      <c r="BK950" s="64">
        <v>0</v>
      </c>
      <c r="BS950" s="64">
        <v>0</v>
      </c>
      <c r="BV950" s="65">
        <v>192049</v>
      </c>
      <c r="BW950" s="65">
        <v>60500</v>
      </c>
      <c r="BX950" s="65">
        <v>44634</v>
      </c>
      <c r="BY950" s="65">
        <v>131549</v>
      </c>
      <c r="BZ950" s="81">
        <v>68.497623002462916</v>
      </c>
    </row>
    <row r="951" spans="1:82" x14ac:dyDescent="0.15">
      <c r="A951" s="60">
        <v>1</v>
      </c>
      <c r="B951" s="61">
        <v>44643</v>
      </c>
      <c r="C951" s="61">
        <v>44645</v>
      </c>
      <c r="F951" s="61" t="s">
        <v>309</v>
      </c>
      <c r="H951" s="61" t="s">
        <v>309</v>
      </c>
      <c r="J951" s="60">
        <v>2</v>
      </c>
      <c r="L951" s="60">
        <v>0</v>
      </c>
      <c r="M951" s="61">
        <v>44634</v>
      </c>
      <c r="O951" s="62" t="s">
        <v>331</v>
      </c>
      <c r="P951" s="60" t="s">
        <v>26</v>
      </c>
      <c r="Q951" s="62" t="s">
        <v>135</v>
      </c>
      <c r="R951" s="62" t="s">
        <v>2872</v>
      </c>
      <c r="S951" s="63" t="s">
        <v>354</v>
      </c>
      <c r="T951" s="63" t="s">
        <v>2873</v>
      </c>
      <c r="U951" s="64">
        <v>500000</v>
      </c>
      <c r="V951" s="64">
        <v>550000</v>
      </c>
      <c r="W951" s="64">
        <v>500000</v>
      </c>
      <c r="X951" s="64">
        <v>550000</v>
      </c>
      <c r="Z951" s="64">
        <v>0</v>
      </c>
      <c r="AD951" s="60">
        <v>0</v>
      </c>
      <c r="AG951" s="60">
        <v>0</v>
      </c>
      <c r="AJ951" s="60">
        <v>0</v>
      </c>
      <c r="AN951" s="60" t="s">
        <v>309</v>
      </c>
      <c r="AQ951" s="60" t="s">
        <v>2786</v>
      </c>
      <c r="AR951" s="61">
        <v>44637</v>
      </c>
      <c r="AS951" s="60">
        <v>6002005813</v>
      </c>
      <c r="AT951" s="61">
        <v>44638</v>
      </c>
      <c r="AU951" s="60" t="s">
        <v>2843</v>
      </c>
      <c r="AV951" s="61">
        <v>44645</v>
      </c>
      <c r="AW951" s="91">
        <v>44651</v>
      </c>
      <c r="AX951" s="91">
        <v>44671</v>
      </c>
      <c r="AY951" s="107">
        <v>500000</v>
      </c>
      <c r="AZ951" s="107">
        <f>ROUNDDOWN(AY951+(AY951*MASTER!$A$2/100),0)</f>
        <v>550000</v>
      </c>
      <c r="BC951" s="64">
        <v>0</v>
      </c>
      <c r="BG951" s="64">
        <v>0</v>
      </c>
      <c r="BK951" s="64">
        <v>0</v>
      </c>
      <c r="BS951" s="64">
        <v>0</v>
      </c>
      <c r="BV951" s="65">
        <v>550000</v>
      </c>
      <c r="BW951" s="65">
        <v>0</v>
      </c>
      <c r="BX951" s="65">
        <v>44634</v>
      </c>
      <c r="BY951" s="65">
        <v>550000</v>
      </c>
      <c r="BZ951" s="81">
        <v>100</v>
      </c>
    </row>
    <row r="952" spans="1:82" x14ac:dyDescent="0.15">
      <c r="A952" s="60">
        <v>1</v>
      </c>
      <c r="B952" s="61">
        <v>44643</v>
      </c>
      <c r="C952" s="61">
        <v>44645</v>
      </c>
      <c r="F952" s="61" t="s">
        <v>309</v>
      </c>
      <c r="H952" s="61" t="s">
        <v>309</v>
      </c>
      <c r="J952" s="60">
        <v>2</v>
      </c>
      <c r="L952" s="60">
        <v>0</v>
      </c>
      <c r="M952" s="61">
        <v>44634</v>
      </c>
      <c r="O952" s="62" t="s">
        <v>331</v>
      </c>
      <c r="P952" s="60" t="s">
        <v>26</v>
      </c>
      <c r="Q952" s="62" t="s">
        <v>135</v>
      </c>
      <c r="R952" s="62" t="s">
        <v>2713</v>
      </c>
      <c r="S952" s="63" t="s">
        <v>354</v>
      </c>
      <c r="T952" s="63" t="s">
        <v>2714</v>
      </c>
      <c r="U952" s="64">
        <v>500000</v>
      </c>
      <c r="V952" s="64">
        <v>550000</v>
      </c>
      <c r="W952" s="64">
        <v>500000</v>
      </c>
      <c r="X952" s="64">
        <v>550000</v>
      </c>
      <c r="Z952" s="64">
        <v>0</v>
      </c>
      <c r="AD952" s="60">
        <v>0</v>
      </c>
      <c r="AG952" s="60">
        <v>0</v>
      </c>
      <c r="AJ952" s="60">
        <v>0</v>
      </c>
      <c r="AN952" s="60" t="s">
        <v>309</v>
      </c>
      <c r="AQ952" s="60" t="s">
        <v>2787</v>
      </c>
      <c r="AR952" s="61">
        <v>44637</v>
      </c>
      <c r="AS952" s="60">
        <v>6002005813</v>
      </c>
      <c r="AT952" s="61">
        <v>44638</v>
      </c>
      <c r="AU952" s="60" t="s">
        <v>2843</v>
      </c>
      <c r="AV952" s="61">
        <v>44645</v>
      </c>
      <c r="AW952" s="91">
        <v>44651</v>
      </c>
      <c r="AX952" s="91">
        <v>44671</v>
      </c>
      <c r="AY952" s="107">
        <v>500000</v>
      </c>
      <c r="AZ952" s="107">
        <f>ROUNDDOWN(AY952+(AY952*MASTER!$A$2/100),0)</f>
        <v>550000</v>
      </c>
      <c r="BC952" s="64">
        <v>0</v>
      </c>
      <c r="BG952" s="64">
        <v>0</v>
      </c>
      <c r="BK952" s="64">
        <v>0</v>
      </c>
      <c r="BS952" s="64">
        <v>0</v>
      </c>
      <c r="BV952" s="65">
        <v>550000</v>
      </c>
      <c r="BW952" s="65">
        <v>0</v>
      </c>
      <c r="BX952" s="65">
        <v>44634</v>
      </c>
      <c r="BY952" s="65">
        <v>550000</v>
      </c>
      <c r="BZ952" s="81">
        <v>100</v>
      </c>
    </row>
    <row r="953" spans="1:82" x14ac:dyDescent="0.15">
      <c r="A953" s="60">
        <v>1</v>
      </c>
      <c r="B953" s="61">
        <v>44643</v>
      </c>
      <c r="C953" s="61">
        <v>44645</v>
      </c>
      <c r="F953" s="61" t="s">
        <v>309</v>
      </c>
      <c r="H953" s="61" t="s">
        <v>309</v>
      </c>
      <c r="J953" s="60">
        <v>2</v>
      </c>
      <c r="L953" s="60">
        <v>0</v>
      </c>
      <c r="M953" s="61">
        <v>44634</v>
      </c>
      <c r="O953" s="62" t="s">
        <v>331</v>
      </c>
      <c r="P953" s="60" t="s">
        <v>26</v>
      </c>
      <c r="Q953" s="62" t="s">
        <v>135</v>
      </c>
      <c r="R953" s="62" t="s">
        <v>2874</v>
      </c>
      <c r="S953" s="63" t="s">
        <v>354</v>
      </c>
      <c r="T953" s="63" t="s">
        <v>2875</v>
      </c>
      <c r="U953" s="64">
        <v>500000</v>
      </c>
      <c r="V953" s="64">
        <v>550000</v>
      </c>
      <c r="W953" s="64">
        <v>500000</v>
      </c>
      <c r="X953" s="64">
        <v>550000</v>
      </c>
      <c r="Z953" s="64">
        <v>0</v>
      </c>
      <c r="AD953" s="60">
        <v>0</v>
      </c>
      <c r="AG953" s="60">
        <v>0</v>
      </c>
      <c r="AJ953" s="60">
        <v>0</v>
      </c>
      <c r="AN953" s="60" t="s">
        <v>309</v>
      </c>
      <c r="AQ953" s="60" t="s">
        <v>2787</v>
      </c>
      <c r="AR953" s="61">
        <v>44637</v>
      </c>
      <c r="AS953" s="60">
        <v>6002005813</v>
      </c>
      <c r="AT953" s="61">
        <v>44638</v>
      </c>
      <c r="AU953" s="60" t="s">
        <v>2843</v>
      </c>
      <c r="AV953" s="61">
        <v>44645</v>
      </c>
      <c r="AW953" s="91">
        <v>44651</v>
      </c>
      <c r="AX953" s="91">
        <v>44671</v>
      </c>
      <c r="AY953" s="107">
        <v>500000</v>
      </c>
      <c r="AZ953" s="107">
        <f>ROUNDDOWN(AY953+(AY953*MASTER!$A$2/100),0)</f>
        <v>550000</v>
      </c>
      <c r="BC953" s="64">
        <v>0</v>
      </c>
      <c r="BG953" s="64">
        <v>0</v>
      </c>
      <c r="BK953" s="64">
        <v>0</v>
      </c>
      <c r="BS953" s="64">
        <v>0</v>
      </c>
      <c r="BV953" s="65">
        <v>550000</v>
      </c>
      <c r="BW953" s="65">
        <v>0</v>
      </c>
      <c r="BX953" s="65">
        <v>44634</v>
      </c>
      <c r="BY953" s="65">
        <v>550000</v>
      </c>
      <c r="BZ953" s="81">
        <v>100</v>
      </c>
    </row>
    <row r="954" spans="1:82" x14ac:dyDescent="0.15">
      <c r="A954" s="60">
        <v>1</v>
      </c>
      <c r="B954" s="61">
        <v>44643</v>
      </c>
      <c r="C954" s="61">
        <v>44645</v>
      </c>
      <c r="F954" s="61" t="s">
        <v>309</v>
      </c>
      <c r="H954" s="61" t="s">
        <v>309</v>
      </c>
      <c r="J954" s="60">
        <v>2</v>
      </c>
      <c r="L954" s="60">
        <v>0</v>
      </c>
      <c r="M954" s="61">
        <v>44634</v>
      </c>
      <c r="O954" s="62" t="s">
        <v>331</v>
      </c>
      <c r="P954" s="60" t="s">
        <v>26</v>
      </c>
      <c r="Q954" s="62" t="s">
        <v>135</v>
      </c>
      <c r="R954" s="62" t="s">
        <v>2876</v>
      </c>
      <c r="S954" s="63" t="s">
        <v>354</v>
      </c>
      <c r="T954" s="63" t="s">
        <v>2877</v>
      </c>
      <c r="U954" s="64">
        <v>500000</v>
      </c>
      <c r="V954" s="64">
        <v>550000</v>
      </c>
      <c r="W954" s="64">
        <v>500000</v>
      </c>
      <c r="X954" s="64">
        <v>550000</v>
      </c>
      <c r="Z954" s="64">
        <v>0</v>
      </c>
      <c r="AD954" s="60">
        <v>0</v>
      </c>
      <c r="AG954" s="60">
        <v>0</v>
      </c>
      <c r="AJ954" s="60">
        <v>0</v>
      </c>
      <c r="AN954" s="60" t="s">
        <v>309</v>
      </c>
      <c r="AQ954" s="60" t="s">
        <v>2787</v>
      </c>
      <c r="AR954" s="61">
        <v>44637</v>
      </c>
      <c r="AS954" s="60">
        <v>6002005813</v>
      </c>
      <c r="AT954" s="61">
        <v>44638</v>
      </c>
      <c r="AU954" s="60" t="s">
        <v>2843</v>
      </c>
      <c r="AV954" s="61">
        <v>44645</v>
      </c>
      <c r="AW954" s="91">
        <v>44651</v>
      </c>
      <c r="AX954" s="91">
        <v>44671</v>
      </c>
      <c r="AY954" s="107">
        <v>500000</v>
      </c>
      <c r="AZ954" s="107">
        <f>ROUNDDOWN(AY954+(AY954*MASTER!$A$2/100),0)</f>
        <v>550000</v>
      </c>
      <c r="BC954" s="64">
        <v>0</v>
      </c>
      <c r="BG954" s="64">
        <v>0</v>
      </c>
      <c r="BK954" s="64">
        <v>0</v>
      </c>
      <c r="BS954" s="64">
        <v>0</v>
      </c>
      <c r="BV954" s="65">
        <v>550000</v>
      </c>
      <c r="BW954" s="65">
        <v>0</v>
      </c>
      <c r="BX954" s="65">
        <v>44634</v>
      </c>
      <c r="BY954" s="65">
        <v>550000</v>
      </c>
      <c r="BZ954" s="81">
        <v>100</v>
      </c>
    </row>
    <row r="955" spans="1:82" x14ac:dyDescent="0.15">
      <c r="A955" s="60">
        <v>2</v>
      </c>
      <c r="B955" s="61">
        <v>44666</v>
      </c>
      <c r="C955" s="61">
        <v>44674</v>
      </c>
      <c r="D955" s="61">
        <v>44690</v>
      </c>
      <c r="E955" s="61">
        <v>44681</v>
      </c>
      <c r="F955" s="61">
        <v>44681</v>
      </c>
      <c r="G955" s="61">
        <v>44676</v>
      </c>
      <c r="H955" s="61">
        <v>44677</v>
      </c>
      <c r="I955" s="60" t="s">
        <v>511</v>
      </c>
      <c r="J955" s="60">
        <v>1</v>
      </c>
      <c r="L955" s="60">
        <v>0</v>
      </c>
      <c r="M955" s="61">
        <v>44634</v>
      </c>
      <c r="O955" s="62" t="s">
        <v>331</v>
      </c>
      <c r="P955" s="60" t="s">
        <v>26</v>
      </c>
      <c r="Q955" s="62" t="s">
        <v>135</v>
      </c>
      <c r="R955" s="62" t="s">
        <v>2746</v>
      </c>
      <c r="S955" s="63" t="s">
        <v>1113</v>
      </c>
      <c r="T955" s="63" t="s">
        <v>498</v>
      </c>
      <c r="U955" s="64">
        <v>50000</v>
      </c>
      <c r="V955" s="64">
        <v>55000</v>
      </c>
      <c r="W955" s="64">
        <v>47000</v>
      </c>
      <c r="X955" s="64">
        <v>51700</v>
      </c>
      <c r="Y955" s="64">
        <v>3000</v>
      </c>
      <c r="Z955" s="64">
        <v>3300</v>
      </c>
      <c r="AA955" s="61">
        <v>44673</v>
      </c>
      <c r="AB955" s="61">
        <v>44674</v>
      </c>
      <c r="AC955" s="61">
        <v>44674</v>
      </c>
      <c r="AD955" s="60">
        <v>0</v>
      </c>
      <c r="AG955" s="60">
        <v>0</v>
      </c>
      <c r="AJ955" s="60">
        <v>0</v>
      </c>
      <c r="AM955" s="60" t="s">
        <v>273</v>
      </c>
      <c r="AN955" s="60" t="s">
        <v>2747</v>
      </c>
      <c r="AQ955" s="60" t="s">
        <v>3030</v>
      </c>
      <c r="AR955" s="61">
        <v>44656</v>
      </c>
      <c r="AS955" s="60">
        <v>6002012142</v>
      </c>
      <c r="AT955" s="61">
        <v>44658</v>
      </c>
      <c r="AU955" s="60" t="s">
        <v>3059</v>
      </c>
      <c r="AV955" s="61">
        <v>44674</v>
      </c>
      <c r="AW955" s="91">
        <v>44681</v>
      </c>
      <c r="AX955" s="91">
        <v>44701</v>
      </c>
      <c r="AY955" s="99">
        <v>48000</v>
      </c>
      <c r="AZ955" s="99">
        <f>ROUNDDOWN(AY955+(AY955*MASTER!$A$2/100),0)</f>
        <v>52800</v>
      </c>
      <c r="BA955" s="60" t="s">
        <v>613</v>
      </c>
      <c r="BB955" s="64">
        <v>27000</v>
      </c>
      <c r="BC955" s="64">
        <v>29700</v>
      </c>
      <c r="BD955" s="60" t="s">
        <v>643</v>
      </c>
      <c r="BG955" s="64">
        <v>0</v>
      </c>
      <c r="BI955" s="60" t="s">
        <v>267</v>
      </c>
      <c r="BJ955" s="64">
        <v>1950</v>
      </c>
      <c r="BK955" s="64">
        <v>2145</v>
      </c>
      <c r="BL955" s="60" t="s">
        <v>2916</v>
      </c>
      <c r="BS955" s="64">
        <v>0</v>
      </c>
      <c r="BV955" s="65">
        <v>51700</v>
      </c>
      <c r="BW955" s="65">
        <v>31845</v>
      </c>
      <c r="BX955" s="65">
        <v>44634</v>
      </c>
      <c r="BY955" s="65">
        <v>19855</v>
      </c>
      <c r="BZ955" s="81">
        <v>38.404255319148938</v>
      </c>
    </row>
    <row r="956" spans="1:82" x14ac:dyDescent="0.15">
      <c r="A956" s="60">
        <v>2</v>
      </c>
      <c r="B956" s="61">
        <v>44645</v>
      </c>
      <c r="C956" s="61">
        <v>44649</v>
      </c>
      <c r="D956" s="61">
        <v>44658</v>
      </c>
      <c r="E956" s="61">
        <v>44659</v>
      </c>
      <c r="F956" s="61">
        <v>44656</v>
      </c>
      <c r="G956" s="61">
        <v>44649</v>
      </c>
      <c r="H956" s="61">
        <v>44652</v>
      </c>
      <c r="I956" s="60" t="s">
        <v>511</v>
      </c>
      <c r="J956" s="60">
        <v>1</v>
      </c>
      <c r="L956" s="60">
        <v>0</v>
      </c>
      <c r="M956" s="61">
        <v>44634</v>
      </c>
      <c r="O956" s="62" t="s">
        <v>331</v>
      </c>
      <c r="P956" s="60" t="s">
        <v>26</v>
      </c>
      <c r="Q956" s="62" t="s">
        <v>135</v>
      </c>
      <c r="R956" s="62" t="s">
        <v>2894</v>
      </c>
      <c r="S956" s="63" t="s">
        <v>1023</v>
      </c>
      <c r="T956" s="63" t="s">
        <v>2895</v>
      </c>
      <c r="U956" s="64">
        <v>50000</v>
      </c>
      <c r="V956" s="64">
        <v>55000</v>
      </c>
      <c r="W956" s="64">
        <v>47000</v>
      </c>
      <c r="X956" s="64">
        <v>51700</v>
      </c>
      <c r="Y956" s="64">
        <v>3000</v>
      </c>
      <c r="Z956" s="64">
        <v>3300</v>
      </c>
      <c r="AA956" s="61">
        <v>44648</v>
      </c>
      <c r="AB956" s="61">
        <v>44649</v>
      </c>
      <c r="AC956" s="61">
        <v>44649</v>
      </c>
      <c r="AD956" s="60">
        <v>0</v>
      </c>
      <c r="AG956" s="60">
        <v>0</v>
      </c>
      <c r="AJ956" s="60">
        <v>0</v>
      </c>
      <c r="AM956" s="60" t="s">
        <v>273</v>
      </c>
      <c r="AN956" s="60" t="s">
        <v>2896</v>
      </c>
      <c r="AQ956" s="60" t="s">
        <v>2863</v>
      </c>
      <c r="AR956" s="61">
        <v>44644</v>
      </c>
      <c r="AS956" s="60">
        <v>6002008442</v>
      </c>
      <c r="AT956" s="61">
        <v>44644</v>
      </c>
      <c r="AU956" s="60" t="s">
        <v>2888</v>
      </c>
      <c r="AV956" s="61">
        <v>44649</v>
      </c>
      <c r="AW956" s="91">
        <v>44651</v>
      </c>
      <c r="AX956" s="91">
        <v>44671</v>
      </c>
      <c r="AY956" s="99">
        <v>48000</v>
      </c>
      <c r="AZ956" s="99">
        <f>ROUNDDOWN(AY956+(AY956*MASTER!$A$2/100),0)</f>
        <v>52800</v>
      </c>
      <c r="BA956" s="60" t="s">
        <v>317</v>
      </c>
      <c r="BB956" s="64">
        <v>33000</v>
      </c>
      <c r="BC956" s="64">
        <v>36300</v>
      </c>
      <c r="BD956" s="60" t="s">
        <v>2107</v>
      </c>
      <c r="BG956" s="64">
        <v>0</v>
      </c>
      <c r="BI956" s="60" t="s">
        <v>748</v>
      </c>
      <c r="BJ956" s="64">
        <v>1950</v>
      </c>
      <c r="BK956" s="64">
        <v>2145</v>
      </c>
      <c r="BL956" s="60" t="s">
        <v>2107</v>
      </c>
      <c r="BS956" s="64">
        <v>0</v>
      </c>
      <c r="BV956" s="65">
        <v>51700</v>
      </c>
      <c r="BW956" s="65">
        <v>38445</v>
      </c>
      <c r="BX956" s="65">
        <v>44634</v>
      </c>
      <c r="BY956" s="65">
        <v>13255</v>
      </c>
      <c r="BZ956" s="81">
        <v>25.638297872340427</v>
      </c>
    </row>
    <row r="957" spans="1:82" x14ac:dyDescent="0.15">
      <c r="A957" s="60">
        <v>2</v>
      </c>
      <c r="B957" s="61">
        <v>44645</v>
      </c>
      <c r="C957" s="61">
        <v>44645</v>
      </c>
      <c r="D957" s="61">
        <v>44642</v>
      </c>
      <c r="E957" s="61">
        <v>44642</v>
      </c>
      <c r="F957" s="61" t="s">
        <v>309</v>
      </c>
      <c r="G957" s="61">
        <v>44642</v>
      </c>
      <c r="H957" s="61" t="s">
        <v>309</v>
      </c>
      <c r="I957" s="60" t="s">
        <v>494</v>
      </c>
      <c r="J957" s="60">
        <v>2</v>
      </c>
      <c r="L957" s="60">
        <v>0</v>
      </c>
      <c r="M957" s="61">
        <v>44635</v>
      </c>
      <c r="O957" s="62" t="s">
        <v>331</v>
      </c>
      <c r="P957" s="60" t="s">
        <v>6</v>
      </c>
      <c r="Q957" s="62" t="s">
        <v>135</v>
      </c>
      <c r="R957" s="62" t="s">
        <v>2844</v>
      </c>
      <c r="S957" s="63" t="s">
        <v>1085</v>
      </c>
      <c r="T957" s="63" t="s">
        <v>364</v>
      </c>
      <c r="U957" s="64">
        <v>35000</v>
      </c>
      <c r="V957" s="64">
        <v>38500</v>
      </c>
      <c r="W957" s="64">
        <v>35000</v>
      </c>
      <c r="X957" s="64">
        <v>38500</v>
      </c>
      <c r="Z957" s="64">
        <v>0</v>
      </c>
      <c r="AA957" s="61">
        <v>44637</v>
      </c>
      <c r="AB957" s="61">
        <v>44637</v>
      </c>
      <c r="AD957" s="60">
        <v>0</v>
      </c>
      <c r="AG957" s="60">
        <v>0</v>
      </c>
      <c r="AJ957" s="60">
        <v>0</v>
      </c>
      <c r="AN957" s="60" t="s">
        <v>309</v>
      </c>
      <c r="AQ957" s="60" t="s">
        <v>2861</v>
      </c>
      <c r="AR957" s="61">
        <v>44644</v>
      </c>
      <c r="AS957" s="60">
        <v>6002008442</v>
      </c>
      <c r="AT957" s="61">
        <v>44644</v>
      </c>
      <c r="AU957" s="60" t="s">
        <v>2888</v>
      </c>
      <c r="AV957" s="61">
        <v>44645</v>
      </c>
      <c r="AW957" s="91">
        <v>44651</v>
      </c>
      <c r="AX957" s="91">
        <v>44671</v>
      </c>
      <c r="AY957" s="99">
        <v>33600</v>
      </c>
      <c r="AZ957" s="99">
        <f>ROUNDDOWN(AY957+(AY957*MASTER!$A$2/100),0)</f>
        <v>36960</v>
      </c>
      <c r="BA957" s="60" t="s">
        <v>314</v>
      </c>
      <c r="BB957" s="64">
        <v>30000</v>
      </c>
      <c r="BC957" s="64">
        <v>33000</v>
      </c>
      <c r="BD957" s="60" t="s">
        <v>2107</v>
      </c>
      <c r="BG957" s="64">
        <v>0</v>
      </c>
      <c r="BK957" s="64">
        <v>0</v>
      </c>
      <c r="BS957" s="64">
        <v>0</v>
      </c>
      <c r="BV957" s="65">
        <v>38500</v>
      </c>
      <c r="BW957" s="65">
        <v>33000</v>
      </c>
      <c r="BX957" s="65">
        <v>44635</v>
      </c>
      <c r="BY957" s="65">
        <v>5500</v>
      </c>
      <c r="BZ957" s="81">
        <v>14.285714285714285</v>
      </c>
    </row>
    <row r="958" spans="1:82" x14ac:dyDescent="0.15">
      <c r="A958" s="60">
        <v>2</v>
      </c>
      <c r="B958" s="61">
        <v>44697</v>
      </c>
      <c r="C958" s="61">
        <v>44711</v>
      </c>
      <c r="D958" s="61">
        <v>44666</v>
      </c>
      <c r="E958" s="61">
        <v>44666</v>
      </c>
      <c r="F958" s="61" t="s">
        <v>309</v>
      </c>
      <c r="G958" s="61">
        <v>44666</v>
      </c>
      <c r="H958" s="61" t="s">
        <v>309</v>
      </c>
      <c r="I958" s="60" t="s">
        <v>766</v>
      </c>
      <c r="J958" s="60">
        <v>2</v>
      </c>
      <c r="K958" s="61">
        <v>44652</v>
      </c>
      <c r="L958" s="60" t="s">
        <v>529</v>
      </c>
      <c r="M958" s="61">
        <v>44635</v>
      </c>
      <c r="O958" s="62" t="s">
        <v>331</v>
      </c>
      <c r="P958" s="60" t="s">
        <v>6</v>
      </c>
      <c r="Q958" s="62" t="s">
        <v>135</v>
      </c>
      <c r="R958" s="62" t="s">
        <v>2988</v>
      </c>
      <c r="S958" s="63" t="s">
        <v>840</v>
      </c>
      <c r="T958" s="63" t="s">
        <v>364</v>
      </c>
      <c r="U958" s="64">
        <v>35000</v>
      </c>
      <c r="V958" s="64">
        <v>38500</v>
      </c>
      <c r="W958" s="64">
        <v>35000</v>
      </c>
      <c r="X958" s="64">
        <v>38500</v>
      </c>
      <c r="Y958" s="64">
        <v>0</v>
      </c>
      <c r="Z958" s="64">
        <v>0</v>
      </c>
      <c r="AA958" s="61">
        <v>44665</v>
      </c>
      <c r="AB958" s="61">
        <v>44665</v>
      </c>
      <c r="AD958" s="60">
        <v>0</v>
      </c>
      <c r="AG958" s="60">
        <v>0</v>
      </c>
      <c r="AJ958" s="60">
        <v>0</v>
      </c>
      <c r="AN958" s="60" t="s">
        <v>309</v>
      </c>
      <c r="AQ958" s="60" t="s">
        <v>3075</v>
      </c>
      <c r="AR958" s="61">
        <v>44662</v>
      </c>
      <c r="AS958" s="60">
        <v>6002014279</v>
      </c>
      <c r="AT958" s="61">
        <v>44662</v>
      </c>
      <c r="AU958" s="60" t="s">
        <v>3082</v>
      </c>
      <c r="AV958" s="61">
        <v>44711</v>
      </c>
      <c r="AW958" s="91">
        <v>44712</v>
      </c>
      <c r="AX958" s="91">
        <v>44732</v>
      </c>
      <c r="AY958" s="99">
        <v>33600</v>
      </c>
      <c r="AZ958" s="99">
        <f>ROUNDDOWN(AY958+(AY958*MASTER!$A$2/100),0)</f>
        <v>36960</v>
      </c>
      <c r="BA958" s="60" t="s">
        <v>314</v>
      </c>
      <c r="BB958" s="64">
        <v>26000</v>
      </c>
      <c r="BC958" s="64">
        <v>28600</v>
      </c>
      <c r="BD958" s="60" t="s">
        <v>643</v>
      </c>
      <c r="BG958" s="64">
        <v>0</v>
      </c>
      <c r="BK958" s="64">
        <v>0</v>
      </c>
      <c r="BS958" s="64">
        <v>0</v>
      </c>
      <c r="BV958" s="65">
        <v>38500</v>
      </c>
      <c r="BW958" s="65">
        <v>28600</v>
      </c>
      <c r="BX958" s="65">
        <v>0</v>
      </c>
      <c r="BY958" s="65">
        <v>44652</v>
      </c>
      <c r="BZ958" s="81">
        <v>25.714285714285712</v>
      </c>
    </row>
    <row r="959" spans="1:82" x14ac:dyDescent="0.15">
      <c r="A959" s="60">
        <v>1</v>
      </c>
      <c r="B959" s="61">
        <v>44644</v>
      </c>
      <c r="C959" s="61">
        <v>44645</v>
      </c>
      <c r="F959" s="61" t="s">
        <v>309</v>
      </c>
      <c r="H959" s="61" t="s">
        <v>309</v>
      </c>
      <c r="J959" s="60">
        <v>2</v>
      </c>
      <c r="L959" s="60">
        <v>0</v>
      </c>
      <c r="M959" s="61">
        <v>44635</v>
      </c>
      <c r="O959" s="62" t="s">
        <v>331</v>
      </c>
      <c r="P959" s="60" t="s">
        <v>26</v>
      </c>
      <c r="Q959" s="62" t="s">
        <v>135</v>
      </c>
      <c r="R959" s="62" t="s">
        <v>2879</v>
      </c>
      <c r="S959" s="63" t="s">
        <v>574</v>
      </c>
      <c r="T959" s="63" t="s">
        <v>2880</v>
      </c>
      <c r="U959" s="64">
        <v>35000</v>
      </c>
      <c r="V959" s="64">
        <v>38500</v>
      </c>
      <c r="W959" s="64">
        <v>35000</v>
      </c>
      <c r="X959" s="64">
        <v>38500</v>
      </c>
      <c r="Z959" s="64">
        <v>0</v>
      </c>
      <c r="AA959" s="61">
        <v>44631</v>
      </c>
      <c r="AB959" s="61">
        <v>44631</v>
      </c>
      <c r="AD959" s="60">
        <v>0</v>
      </c>
      <c r="AG959" s="60">
        <v>0</v>
      </c>
      <c r="AJ959" s="60">
        <v>0</v>
      </c>
      <c r="AN959" s="60" t="s">
        <v>309</v>
      </c>
      <c r="AQ959" s="60" t="s">
        <v>2776</v>
      </c>
      <c r="AR959" s="61">
        <v>44642</v>
      </c>
      <c r="AS959" s="60">
        <v>6002007217</v>
      </c>
      <c r="AT959" s="61">
        <v>44642</v>
      </c>
      <c r="AU959" s="60" t="s">
        <v>2847</v>
      </c>
      <c r="AV959" s="61">
        <v>44645</v>
      </c>
      <c r="AW959" s="91">
        <v>44651</v>
      </c>
      <c r="AX959" s="91">
        <v>44671</v>
      </c>
      <c r="AY959" s="107">
        <v>35000</v>
      </c>
      <c r="AZ959" s="107">
        <f>ROUNDDOWN(AY959+(AY959*MASTER!$A$2/100),0)</f>
        <v>38500</v>
      </c>
      <c r="BC959" s="64">
        <v>0</v>
      </c>
      <c r="BG959" s="64">
        <v>0</v>
      </c>
      <c r="BK959" s="64">
        <v>0</v>
      </c>
      <c r="BS959" s="64">
        <v>0</v>
      </c>
      <c r="BV959" s="65">
        <v>38500</v>
      </c>
      <c r="BW959" s="65">
        <v>0</v>
      </c>
      <c r="BX959" s="65">
        <v>44635</v>
      </c>
      <c r="BY959" s="65">
        <v>38500</v>
      </c>
      <c r="BZ959" s="81">
        <v>100</v>
      </c>
    </row>
    <row r="960" spans="1:82" x14ac:dyDescent="0.15">
      <c r="A960" s="60">
        <v>2</v>
      </c>
      <c r="B960" s="61">
        <v>44666</v>
      </c>
      <c r="C960" s="61">
        <v>44673</v>
      </c>
      <c r="D960" s="61">
        <v>44690</v>
      </c>
      <c r="E960" s="61">
        <v>44681</v>
      </c>
      <c r="F960" s="61">
        <v>44680</v>
      </c>
      <c r="G960" s="61">
        <v>44676</v>
      </c>
      <c r="H960" s="61">
        <v>44676</v>
      </c>
      <c r="I960" s="60" t="s">
        <v>511</v>
      </c>
      <c r="J960" s="60">
        <v>1</v>
      </c>
      <c r="L960" s="60">
        <v>0</v>
      </c>
      <c r="M960" s="61">
        <v>44635</v>
      </c>
      <c r="O960" s="62" t="s">
        <v>331</v>
      </c>
      <c r="P960" s="60" t="s">
        <v>26</v>
      </c>
      <c r="Q960" s="62" t="s">
        <v>135</v>
      </c>
      <c r="R960" s="62" t="s">
        <v>2907</v>
      </c>
      <c r="S960" s="63" t="s">
        <v>1062</v>
      </c>
      <c r="T960" s="63" t="s">
        <v>2908</v>
      </c>
      <c r="U960" s="64">
        <v>2263560</v>
      </c>
      <c r="V960" s="64">
        <v>2489916</v>
      </c>
      <c r="W960" s="64">
        <v>2168860</v>
      </c>
      <c r="X960" s="64">
        <v>2385746</v>
      </c>
      <c r="Y960" s="64">
        <v>94700</v>
      </c>
      <c r="Z960" s="64">
        <v>104170</v>
      </c>
      <c r="AA960" s="61">
        <v>44668</v>
      </c>
      <c r="AB960" s="61">
        <v>44673</v>
      </c>
      <c r="AC960" s="61">
        <v>44673</v>
      </c>
      <c r="AD960" s="60">
        <v>0</v>
      </c>
      <c r="AG960" s="60">
        <v>0</v>
      </c>
      <c r="AJ960" s="60">
        <v>0</v>
      </c>
      <c r="AM960" s="60" t="s">
        <v>273</v>
      </c>
      <c r="AN960" s="60" t="s">
        <v>2909</v>
      </c>
      <c r="AQ960" s="60" t="s">
        <v>2901</v>
      </c>
      <c r="AR960" s="61">
        <v>44645</v>
      </c>
      <c r="AS960" s="60">
        <v>6002009059</v>
      </c>
      <c r="AT960" s="61">
        <v>44645</v>
      </c>
      <c r="AU960" s="60" t="s">
        <v>2910</v>
      </c>
      <c r="AV960" s="61">
        <v>44673</v>
      </c>
      <c r="AW960" s="91">
        <v>44681</v>
      </c>
      <c r="AX960" s="91">
        <v>44701</v>
      </c>
      <c r="AY960" s="99">
        <v>2173018</v>
      </c>
      <c r="AZ960" s="99">
        <v>2390320</v>
      </c>
      <c r="BA960" s="60" t="s">
        <v>318</v>
      </c>
      <c r="BB960" s="64">
        <v>1227400</v>
      </c>
      <c r="BC960" s="64">
        <v>1350140</v>
      </c>
      <c r="BD960" s="60" t="s">
        <v>643</v>
      </c>
      <c r="BG960" s="64">
        <v>0</v>
      </c>
      <c r="BI960" s="60" t="s">
        <v>267</v>
      </c>
      <c r="BJ960" s="64">
        <v>61555</v>
      </c>
      <c r="BK960" s="64">
        <v>67710.5</v>
      </c>
      <c r="BL960" s="60" t="s">
        <v>2916</v>
      </c>
      <c r="BS960" s="64">
        <v>0</v>
      </c>
      <c r="BV960" s="65">
        <v>2385746</v>
      </c>
      <c r="BW960" s="65">
        <v>1417850.5</v>
      </c>
      <c r="BX960" s="65">
        <v>44635</v>
      </c>
      <c r="BY960" s="65">
        <v>967895.5</v>
      </c>
      <c r="BZ960" s="81">
        <v>40.569930747028394</v>
      </c>
    </row>
    <row r="961" spans="1:89" x14ac:dyDescent="0.15">
      <c r="A961" s="60">
        <v>2</v>
      </c>
      <c r="B961" s="61">
        <v>44690</v>
      </c>
      <c r="C961" s="61">
        <v>44691</v>
      </c>
      <c r="D961" s="61">
        <v>44718</v>
      </c>
      <c r="F961" s="61">
        <v>44697</v>
      </c>
      <c r="H961" s="61">
        <v>44693</v>
      </c>
      <c r="I961" s="60" t="s">
        <v>774</v>
      </c>
      <c r="J961" s="60">
        <v>2</v>
      </c>
      <c r="L961" s="60">
        <v>0</v>
      </c>
      <c r="M961" s="61">
        <v>44635</v>
      </c>
      <c r="O961" s="62" t="s">
        <v>331</v>
      </c>
      <c r="P961" s="60" t="s">
        <v>77</v>
      </c>
      <c r="Q961" s="62" t="s">
        <v>135</v>
      </c>
      <c r="R961" s="62" t="s">
        <v>2771</v>
      </c>
      <c r="S961" s="63" t="s">
        <v>685</v>
      </c>
      <c r="T961" s="63" t="s">
        <v>346</v>
      </c>
      <c r="U961" s="64">
        <v>65000</v>
      </c>
      <c r="V961" s="64">
        <v>71500</v>
      </c>
      <c r="W961" s="64">
        <v>65000</v>
      </c>
      <c r="X961" s="64">
        <v>71500</v>
      </c>
      <c r="Y961" s="64">
        <v>0</v>
      </c>
      <c r="Z961" s="64">
        <v>0</v>
      </c>
      <c r="AA961" s="61">
        <v>44689</v>
      </c>
      <c r="AB961" s="61">
        <v>44690</v>
      </c>
      <c r="AC961" s="61">
        <v>44690</v>
      </c>
      <c r="AD961" s="60">
        <v>0</v>
      </c>
      <c r="AG961" s="60">
        <v>0</v>
      </c>
      <c r="AJ961" s="60">
        <v>0</v>
      </c>
      <c r="AQ961" s="60" t="s">
        <v>2791</v>
      </c>
      <c r="AR961" s="61">
        <v>44637</v>
      </c>
      <c r="AS961" s="60">
        <v>6002005815</v>
      </c>
      <c r="AT961" s="61">
        <v>44638</v>
      </c>
      <c r="AU961" s="60" t="s">
        <v>2840</v>
      </c>
      <c r="AV961" s="61">
        <v>44691</v>
      </c>
      <c r="AW961" s="91">
        <v>44712</v>
      </c>
      <c r="AX961" s="91">
        <v>44732</v>
      </c>
      <c r="AY961" s="107">
        <v>65000</v>
      </c>
      <c r="AZ961" s="107">
        <f>ROUNDDOWN(AY961+(AY961*MASTER!$A$2/100),0)</f>
        <v>71500</v>
      </c>
      <c r="BA961" s="60" t="s">
        <v>765</v>
      </c>
      <c r="BC961" s="64">
        <v>0</v>
      </c>
      <c r="BG961" s="64">
        <v>0</v>
      </c>
      <c r="BK961" s="64">
        <v>0</v>
      </c>
      <c r="BS961" s="64">
        <v>0</v>
      </c>
      <c r="BV961" s="65">
        <v>71500</v>
      </c>
      <c r="BW961" s="65">
        <v>0</v>
      </c>
      <c r="BX961" s="65">
        <v>44635</v>
      </c>
      <c r="BY961" s="65">
        <v>71500</v>
      </c>
      <c r="BZ961" s="81">
        <v>100</v>
      </c>
    </row>
    <row r="962" spans="1:89" x14ac:dyDescent="0.15">
      <c r="A962" s="60">
        <v>2</v>
      </c>
      <c r="B962" s="61">
        <v>44643</v>
      </c>
      <c r="C962" s="61">
        <v>44646</v>
      </c>
      <c r="D962" s="61">
        <v>44655</v>
      </c>
      <c r="F962" s="61">
        <v>44653</v>
      </c>
      <c r="H962" s="61">
        <v>44649</v>
      </c>
      <c r="J962" s="60">
        <v>2</v>
      </c>
      <c r="L962" s="60">
        <v>0</v>
      </c>
      <c r="M962" s="61">
        <v>44635</v>
      </c>
      <c r="O962" s="62" t="s">
        <v>331</v>
      </c>
      <c r="P962" s="60" t="s">
        <v>77</v>
      </c>
      <c r="Q962" s="62" t="s">
        <v>135</v>
      </c>
      <c r="R962" s="62" t="s">
        <v>2772</v>
      </c>
      <c r="S962" s="63" t="s">
        <v>2029</v>
      </c>
      <c r="T962" s="63" t="s">
        <v>2773</v>
      </c>
      <c r="U962" s="64">
        <v>65000</v>
      </c>
      <c r="V962" s="64">
        <v>71500</v>
      </c>
      <c r="W962" s="64">
        <v>65000</v>
      </c>
      <c r="X962" s="64">
        <v>71500</v>
      </c>
      <c r="Y962" s="64">
        <v>0</v>
      </c>
      <c r="Z962" s="64">
        <v>0</v>
      </c>
      <c r="AA962" s="61">
        <v>44645</v>
      </c>
      <c r="AB962" s="61">
        <v>44646</v>
      </c>
      <c r="AC962" s="61">
        <v>44646</v>
      </c>
      <c r="AD962" s="60">
        <v>0</v>
      </c>
      <c r="AG962" s="60">
        <v>0</v>
      </c>
      <c r="AJ962" s="60">
        <v>0</v>
      </c>
      <c r="AQ962" s="60" t="s">
        <v>2792</v>
      </c>
      <c r="AR962" s="61">
        <v>44637</v>
      </c>
      <c r="AS962" s="60">
        <v>6002005815</v>
      </c>
      <c r="AT962" s="61">
        <v>44638</v>
      </c>
      <c r="AU962" s="60" t="s">
        <v>2840</v>
      </c>
      <c r="AV962" s="61">
        <v>44646</v>
      </c>
      <c r="AW962" s="91">
        <v>44651</v>
      </c>
      <c r="AX962" s="91">
        <v>44671</v>
      </c>
      <c r="AY962" s="107">
        <v>65000</v>
      </c>
      <c r="AZ962" s="107">
        <f>ROUNDDOWN(AY962+(AY962*MASTER!$A$2/100),0)</f>
        <v>71500</v>
      </c>
      <c r="BC962" s="64">
        <v>0</v>
      </c>
      <c r="BG962" s="64">
        <v>0</v>
      </c>
      <c r="BK962" s="64">
        <v>0</v>
      </c>
      <c r="BS962" s="64">
        <v>0</v>
      </c>
      <c r="BV962" s="65">
        <v>71500</v>
      </c>
      <c r="BW962" s="65">
        <v>0</v>
      </c>
      <c r="BX962" s="65">
        <v>44635</v>
      </c>
      <c r="BY962" s="65">
        <v>71500</v>
      </c>
      <c r="BZ962" s="81">
        <v>100</v>
      </c>
      <c r="CD962" s="63" t="s">
        <v>2871</v>
      </c>
    </row>
    <row r="963" spans="1:89" x14ac:dyDescent="0.15">
      <c r="A963" s="60">
        <v>1</v>
      </c>
      <c r="C963" s="61" t="s">
        <v>309</v>
      </c>
      <c r="F963" s="61" t="s">
        <v>309</v>
      </c>
      <c r="H963" s="61" t="s">
        <v>309</v>
      </c>
      <c r="J963" s="60">
        <v>4</v>
      </c>
      <c r="L963" s="60">
        <v>0</v>
      </c>
      <c r="M963" s="61">
        <v>44636</v>
      </c>
      <c r="O963" s="62" t="s">
        <v>331</v>
      </c>
      <c r="P963" s="60" t="s">
        <v>263</v>
      </c>
      <c r="Q963" s="62" t="s">
        <v>135</v>
      </c>
      <c r="R963" s="62" t="s">
        <v>2774</v>
      </c>
      <c r="S963" s="63" t="s">
        <v>326</v>
      </c>
      <c r="T963" s="63" t="s">
        <v>2878</v>
      </c>
      <c r="U963" s="64">
        <v>0</v>
      </c>
      <c r="V963" s="64">
        <v>0</v>
      </c>
      <c r="W963" s="64">
        <v>0</v>
      </c>
      <c r="X963" s="64">
        <v>0</v>
      </c>
      <c r="Y963" s="64">
        <v>0</v>
      </c>
      <c r="Z963" s="64">
        <v>0</v>
      </c>
      <c r="AB963" s="61">
        <v>44635</v>
      </c>
      <c r="AD963" s="60">
        <v>0</v>
      </c>
      <c r="AG963" s="60">
        <v>0</v>
      </c>
      <c r="AJ963" s="60">
        <v>0</v>
      </c>
      <c r="AY963" s="107">
        <v>70000</v>
      </c>
      <c r="AZ963" s="107">
        <f>ROUNDDOWN(AY963+(AY963*MASTER!$A$2/100),0)</f>
        <v>77000</v>
      </c>
      <c r="BC963" s="64">
        <v>0</v>
      </c>
      <c r="BG963" s="64">
        <v>0</v>
      </c>
      <c r="BI963" s="60" t="s">
        <v>267</v>
      </c>
      <c r="BJ963" s="64">
        <v>45500</v>
      </c>
      <c r="BK963" s="64">
        <v>50050</v>
      </c>
      <c r="BL963" s="60" t="s">
        <v>2154</v>
      </c>
      <c r="BS963" s="64">
        <v>0</v>
      </c>
      <c r="BV963" s="65">
        <v>0</v>
      </c>
      <c r="BW963" s="65">
        <v>50050</v>
      </c>
      <c r="BX963" s="65">
        <v>44636</v>
      </c>
      <c r="BY963" s="65">
        <v>-50050</v>
      </c>
      <c r="BZ963" s="81" t="s">
        <v>309</v>
      </c>
      <c r="CD963" s="63" t="s">
        <v>2969</v>
      </c>
    </row>
    <row r="964" spans="1:89" x14ac:dyDescent="0.15">
      <c r="A964" s="60">
        <v>2</v>
      </c>
      <c r="B964" s="61">
        <v>44664</v>
      </c>
      <c r="C964" s="61">
        <v>44669</v>
      </c>
      <c r="D964" s="61" t="s">
        <v>764</v>
      </c>
      <c r="E964" s="61">
        <v>44680</v>
      </c>
      <c r="F964" s="61">
        <v>44680</v>
      </c>
      <c r="G964" s="61">
        <v>44674</v>
      </c>
      <c r="H964" s="61">
        <v>44676</v>
      </c>
      <c r="I964" s="60" t="s">
        <v>511</v>
      </c>
      <c r="J964" s="60">
        <v>1</v>
      </c>
      <c r="L964" s="60">
        <v>0</v>
      </c>
      <c r="M964" s="61">
        <v>44637</v>
      </c>
      <c r="O964" s="62" t="s">
        <v>331</v>
      </c>
      <c r="P964" s="60" t="s">
        <v>26</v>
      </c>
      <c r="Q964" s="62" t="s">
        <v>135</v>
      </c>
      <c r="R964" s="62" t="s">
        <v>3115</v>
      </c>
      <c r="S964" s="63" t="s">
        <v>482</v>
      </c>
      <c r="T964" s="63" t="s">
        <v>3116</v>
      </c>
      <c r="U964" s="64">
        <v>23900</v>
      </c>
      <c r="V964" s="64">
        <v>26290</v>
      </c>
      <c r="W964" s="64">
        <v>14700</v>
      </c>
      <c r="X964" s="64">
        <v>16170</v>
      </c>
      <c r="Y964" s="64">
        <v>9200</v>
      </c>
      <c r="Z964" s="64">
        <v>10120</v>
      </c>
      <c r="AA964" s="61">
        <v>44672</v>
      </c>
      <c r="AB964" s="61">
        <v>44673</v>
      </c>
      <c r="AC964" s="61">
        <v>44673</v>
      </c>
      <c r="AD964" s="60">
        <v>0</v>
      </c>
      <c r="AG964" s="60">
        <v>0</v>
      </c>
      <c r="AJ964" s="60">
        <v>0</v>
      </c>
      <c r="AM964" s="60" t="s">
        <v>273</v>
      </c>
      <c r="AN964" s="60" t="s">
        <v>3117</v>
      </c>
      <c r="AQ964" s="60" t="s">
        <v>2950</v>
      </c>
      <c r="AR964" s="61">
        <v>44650</v>
      </c>
      <c r="AS964" s="60">
        <v>6002010499</v>
      </c>
      <c r="AT964" s="61">
        <v>44651</v>
      </c>
      <c r="AU964" s="60" t="s">
        <v>2967</v>
      </c>
      <c r="AV964" s="61">
        <v>44669</v>
      </c>
      <c r="AW964" s="91">
        <v>44681</v>
      </c>
      <c r="AX964" s="91">
        <v>44701</v>
      </c>
      <c r="AY964" s="99">
        <v>22944</v>
      </c>
      <c r="AZ964" s="99">
        <f>ROUNDDOWN(AY964+(AY964*MASTER!$A$2/100),0)</f>
        <v>25238</v>
      </c>
      <c r="BA964" s="60" t="s">
        <v>765</v>
      </c>
      <c r="BC964" s="64">
        <v>0</v>
      </c>
      <c r="BG964" s="64">
        <v>0</v>
      </c>
      <c r="BI964" s="60" t="s">
        <v>267</v>
      </c>
      <c r="BJ964" s="64">
        <v>5980</v>
      </c>
      <c r="BK964" s="64">
        <v>6578</v>
      </c>
      <c r="BL964" s="60" t="s">
        <v>2916</v>
      </c>
      <c r="BS964" s="64">
        <v>0</v>
      </c>
      <c r="BV964" s="65">
        <v>16170</v>
      </c>
      <c r="BW964" s="65">
        <v>6578</v>
      </c>
      <c r="BX964" s="65">
        <v>44637</v>
      </c>
      <c r="BY964" s="65">
        <v>9592</v>
      </c>
      <c r="BZ964" s="81">
        <v>59.319727891156461</v>
      </c>
    </row>
    <row r="965" spans="1:89" s="152" customFormat="1" x14ac:dyDescent="0.15">
      <c r="A965" s="142">
        <v>3</v>
      </c>
      <c r="B965" s="143"/>
      <c r="C965" s="143" t="s">
        <v>309</v>
      </c>
      <c r="D965" s="143"/>
      <c r="E965" s="143"/>
      <c r="F965" s="143" t="s">
        <v>309</v>
      </c>
      <c r="G965" s="143"/>
      <c r="H965" s="143" t="s">
        <v>309</v>
      </c>
      <c r="I965" s="142"/>
      <c r="J965" s="142">
        <v>1</v>
      </c>
      <c r="K965" s="143"/>
      <c r="L965" s="142">
        <v>0</v>
      </c>
      <c r="M965" s="143">
        <v>44637</v>
      </c>
      <c r="N965" s="143"/>
      <c r="O965" s="144" t="s">
        <v>331</v>
      </c>
      <c r="P965" s="142" t="s">
        <v>26</v>
      </c>
      <c r="Q965" s="144" t="s">
        <v>135</v>
      </c>
      <c r="R965" s="144" t="s">
        <v>3417</v>
      </c>
      <c r="S965" s="145" t="s">
        <v>1557</v>
      </c>
      <c r="T965" s="145" t="s">
        <v>3418</v>
      </c>
      <c r="U965" s="146">
        <v>59000</v>
      </c>
      <c r="V965" s="146">
        <v>64900</v>
      </c>
      <c r="W965" s="146">
        <v>47000</v>
      </c>
      <c r="X965" s="146">
        <v>51700</v>
      </c>
      <c r="Y965" s="146">
        <v>12000</v>
      </c>
      <c r="Z965" s="146">
        <v>13200</v>
      </c>
      <c r="AA965" s="143">
        <v>44655</v>
      </c>
      <c r="AB965" s="143">
        <v>44656</v>
      </c>
      <c r="AC965" s="143"/>
      <c r="AD965" s="142">
        <v>0</v>
      </c>
      <c r="AE965" s="142"/>
      <c r="AF965" s="142"/>
      <c r="AG965" s="142">
        <v>0</v>
      </c>
      <c r="AH965" s="142"/>
      <c r="AI965" s="142"/>
      <c r="AJ965" s="142">
        <v>0</v>
      </c>
      <c r="AK965" s="142"/>
      <c r="AL965" s="142"/>
      <c r="AM965" s="142" t="s">
        <v>273</v>
      </c>
      <c r="AN965" s="142" t="s">
        <v>3419</v>
      </c>
      <c r="AO965" s="143"/>
      <c r="AP965" s="142"/>
      <c r="AQ965" s="142"/>
      <c r="AR965" s="143"/>
      <c r="AS965" s="142"/>
      <c r="AT965" s="143"/>
      <c r="AU965" s="142"/>
      <c r="AV965" s="143"/>
      <c r="AW965" s="147"/>
      <c r="AX965" s="147"/>
      <c r="AY965" s="148">
        <v>56640</v>
      </c>
      <c r="AZ965" s="148">
        <f>ROUNDDOWN(AY965+(AY965*MASTER!$A$2/100),0)</f>
        <v>62304</v>
      </c>
      <c r="BA965" s="142"/>
      <c r="BB965" s="146"/>
      <c r="BC965" s="146">
        <v>0</v>
      </c>
      <c r="BD965" s="142"/>
      <c r="BE965" s="142"/>
      <c r="BF965" s="146"/>
      <c r="BG965" s="146">
        <v>0</v>
      </c>
      <c r="BH965" s="142"/>
      <c r="BI965" s="142"/>
      <c r="BJ965" s="146"/>
      <c r="BK965" s="146">
        <v>0</v>
      </c>
      <c r="BL965" s="142"/>
      <c r="BM965" s="146"/>
      <c r="BN965" s="146"/>
      <c r="BO965" s="146"/>
      <c r="BP965" s="146"/>
      <c r="BQ965" s="146"/>
      <c r="BR965" s="146"/>
      <c r="BS965" s="146">
        <v>0</v>
      </c>
      <c r="BT965" s="149"/>
      <c r="BU965" s="149"/>
      <c r="BV965" s="150">
        <v>51700</v>
      </c>
      <c r="BW965" s="150">
        <v>0</v>
      </c>
      <c r="BX965" s="150">
        <v>44637</v>
      </c>
      <c r="BY965" s="150">
        <v>51700</v>
      </c>
      <c r="BZ965" s="151">
        <v>100</v>
      </c>
      <c r="CA965" s="142"/>
      <c r="CB965" s="142"/>
      <c r="CC965" s="142"/>
      <c r="CD965" s="145" t="s">
        <v>3421</v>
      </c>
      <c r="CE965" s="143"/>
      <c r="CF965" s="143"/>
      <c r="CG965" s="143"/>
      <c r="CH965" s="143"/>
      <c r="CI965" s="143"/>
      <c r="CJ965" s="143"/>
      <c r="CK965" s="146"/>
    </row>
    <row r="966" spans="1:89" x14ac:dyDescent="0.15">
      <c r="A966" s="60">
        <v>1</v>
      </c>
      <c r="B966" s="61">
        <v>44655</v>
      </c>
      <c r="C966" s="61">
        <v>44658</v>
      </c>
      <c r="F966" s="61" t="s">
        <v>309</v>
      </c>
      <c r="G966" s="61">
        <v>44662</v>
      </c>
      <c r="H966" s="61" t="s">
        <v>309</v>
      </c>
      <c r="J966" s="60">
        <v>1</v>
      </c>
      <c r="L966" s="60">
        <v>0</v>
      </c>
      <c r="M966" s="61">
        <v>44637</v>
      </c>
      <c r="O966" s="62" t="s">
        <v>331</v>
      </c>
      <c r="P966" s="60" t="s">
        <v>26</v>
      </c>
      <c r="Q966" s="62" t="s">
        <v>135</v>
      </c>
      <c r="R966" s="62" t="s">
        <v>3001</v>
      </c>
      <c r="S966" s="63" t="s">
        <v>707</v>
      </c>
      <c r="T966" s="63" t="s">
        <v>502</v>
      </c>
      <c r="U966" s="64">
        <v>23900</v>
      </c>
      <c r="V966" s="64">
        <v>26290</v>
      </c>
      <c r="W966" s="64">
        <v>14700</v>
      </c>
      <c r="X966" s="64">
        <v>16170</v>
      </c>
      <c r="Y966" s="64">
        <v>9200</v>
      </c>
      <c r="Z966" s="64">
        <v>10120</v>
      </c>
      <c r="AA966" s="61">
        <v>44656</v>
      </c>
      <c r="AB966" s="61">
        <v>44658</v>
      </c>
      <c r="AD966" s="60">
        <v>0</v>
      </c>
      <c r="AG966" s="60">
        <v>0</v>
      </c>
      <c r="AJ966" s="60">
        <v>0</v>
      </c>
      <c r="AM966" s="60" t="s">
        <v>273</v>
      </c>
      <c r="AN966" s="60" t="s">
        <v>3002</v>
      </c>
      <c r="AQ966" s="60" t="s">
        <v>2948</v>
      </c>
      <c r="AR966" s="61">
        <v>44650</v>
      </c>
      <c r="AS966" s="60">
        <v>6002010499</v>
      </c>
      <c r="AT966" s="61">
        <v>44651</v>
      </c>
      <c r="AU966" s="60" t="s">
        <v>2967</v>
      </c>
      <c r="AV966" s="61">
        <v>44658</v>
      </c>
      <c r="AW966" s="91">
        <v>44681</v>
      </c>
      <c r="AX966" s="91">
        <v>44701</v>
      </c>
      <c r="AY966" s="99">
        <v>22944</v>
      </c>
      <c r="AZ966" s="99">
        <f>ROUNDDOWN(AY966+(AY966*MASTER!$A$2/100),0)</f>
        <v>25238</v>
      </c>
      <c r="BC966" s="64">
        <v>0</v>
      </c>
      <c r="BG966" s="64">
        <v>0</v>
      </c>
      <c r="BI966" s="60" t="s">
        <v>267</v>
      </c>
      <c r="BJ966" s="64">
        <v>5980</v>
      </c>
      <c r="BK966" s="64">
        <v>6578</v>
      </c>
      <c r="BL966" s="60" t="s">
        <v>2916</v>
      </c>
      <c r="BS966" s="64">
        <v>0</v>
      </c>
      <c r="BV966" s="65">
        <v>16170</v>
      </c>
      <c r="BW966" s="65">
        <v>6578</v>
      </c>
      <c r="BX966" s="65">
        <v>44637</v>
      </c>
      <c r="BY966" s="65">
        <v>9592</v>
      </c>
      <c r="BZ966" s="81">
        <v>59.319727891156461</v>
      </c>
    </row>
    <row r="967" spans="1:89" x14ac:dyDescent="0.15">
      <c r="A967" s="60">
        <v>1</v>
      </c>
      <c r="B967" s="61">
        <v>44645</v>
      </c>
      <c r="C967" s="61">
        <v>44651</v>
      </c>
      <c r="F967" s="61" t="s">
        <v>309</v>
      </c>
      <c r="H967" s="61" t="s">
        <v>309</v>
      </c>
      <c r="J967" s="60">
        <v>2</v>
      </c>
      <c r="L967" s="60">
        <v>0</v>
      </c>
      <c r="M967" s="61">
        <v>44637</v>
      </c>
      <c r="O967" s="62" t="s">
        <v>331</v>
      </c>
      <c r="P967" s="60" t="s">
        <v>26</v>
      </c>
      <c r="Q967" s="62" t="s">
        <v>135</v>
      </c>
      <c r="R967" s="62" t="s">
        <v>2897</v>
      </c>
      <c r="S967" s="63" t="s">
        <v>342</v>
      </c>
      <c r="T967" s="63" t="s">
        <v>2898</v>
      </c>
      <c r="U967" s="64">
        <v>36500</v>
      </c>
      <c r="V967" s="64">
        <v>40150</v>
      </c>
      <c r="W967" s="64">
        <v>36500</v>
      </c>
      <c r="X967" s="64">
        <v>40150</v>
      </c>
      <c r="Z967" s="64">
        <v>0</v>
      </c>
      <c r="AA967" s="61">
        <v>44652</v>
      </c>
      <c r="AB967" s="61">
        <v>44652</v>
      </c>
      <c r="AD967" s="60">
        <v>0</v>
      </c>
      <c r="AG967" s="60">
        <v>0</v>
      </c>
      <c r="AJ967" s="60">
        <v>0</v>
      </c>
      <c r="AM967" s="60" t="s">
        <v>273</v>
      </c>
      <c r="AN967" s="60" t="s">
        <v>2899</v>
      </c>
      <c r="AQ967" s="60" t="s">
        <v>2868</v>
      </c>
      <c r="AR967" s="61">
        <v>44644</v>
      </c>
      <c r="AS967" s="60">
        <v>6002008442</v>
      </c>
      <c r="AT967" s="61">
        <v>44644</v>
      </c>
      <c r="AU967" s="60" t="s">
        <v>2888</v>
      </c>
      <c r="AV967" s="61">
        <v>44651</v>
      </c>
      <c r="AW967" s="91">
        <v>44651</v>
      </c>
      <c r="AX967" s="91">
        <v>44671</v>
      </c>
      <c r="AY967" s="107">
        <v>36500</v>
      </c>
      <c r="AZ967" s="107">
        <v>40150</v>
      </c>
      <c r="BC967" s="64">
        <v>0</v>
      </c>
      <c r="BG967" s="64">
        <v>0</v>
      </c>
      <c r="BK967" s="64">
        <v>0</v>
      </c>
      <c r="BS967" s="64">
        <v>0</v>
      </c>
      <c r="BV967" s="65">
        <v>40150</v>
      </c>
      <c r="BW967" s="65">
        <v>0</v>
      </c>
      <c r="BX967" s="65">
        <v>44637</v>
      </c>
      <c r="BY967" s="65">
        <v>40150</v>
      </c>
      <c r="BZ967" s="81">
        <v>100</v>
      </c>
    </row>
    <row r="968" spans="1:89" x14ac:dyDescent="0.15">
      <c r="A968" s="60">
        <v>1</v>
      </c>
      <c r="C968" s="61" t="s">
        <v>309</v>
      </c>
      <c r="F968" s="61" t="s">
        <v>309</v>
      </c>
      <c r="G968" s="61">
        <v>44637</v>
      </c>
      <c r="H968" s="61" t="s">
        <v>309</v>
      </c>
      <c r="J968" s="60">
        <v>4</v>
      </c>
      <c r="L968" s="60">
        <v>0</v>
      </c>
      <c r="M968" s="61">
        <v>44637</v>
      </c>
      <c r="O968" s="62" t="s">
        <v>331</v>
      </c>
      <c r="P968" s="60" t="s">
        <v>6</v>
      </c>
      <c r="Q968" s="62" t="s">
        <v>135</v>
      </c>
      <c r="R968" s="62" t="s">
        <v>2780</v>
      </c>
      <c r="S968" s="63" t="s">
        <v>363</v>
      </c>
      <c r="T968" s="63" t="s">
        <v>972</v>
      </c>
      <c r="U968" s="64">
        <v>0</v>
      </c>
      <c r="V968" s="64">
        <v>0</v>
      </c>
      <c r="W968" s="64">
        <v>0</v>
      </c>
      <c r="X968" s="64">
        <v>0</v>
      </c>
      <c r="Z968" s="64">
        <v>0</v>
      </c>
      <c r="AA968" s="61">
        <v>44635</v>
      </c>
      <c r="AB968" s="61">
        <v>44635</v>
      </c>
      <c r="AD968" s="60">
        <v>0</v>
      </c>
      <c r="AG968" s="60">
        <v>0</v>
      </c>
      <c r="AJ968" s="60">
        <v>0</v>
      </c>
      <c r="AN968" s="60" t="s">
        <v>309</v>
      </c>
      <c r="AY968" s="99">
        <f>ROUNDDOWN((0.96*U968),0)</f>
        <v>0</v>
      </c>
      <c r="AZ968" s="99">
        <f>ROUNDDOWN(AY968+(AY968*MASTER!$A$2/100),0)</f>
        <v>0</v>
      </c>
      <c r="BA968" s="60" t="s">
        <v>582</v>
      </c>
      <c r="BB968" s="64">
        <v>33000</v>
      </c>
      <c r="BC968" s="64">
        <v>36300</v>
      </c>
      <c r="BD968" s="60" t="s">
        <v>2107</v>
      </c>
      <c r="BG968" s="64">
        <v>0</v>
      </c>
      <c r="BK968" s="64">
        <v>0</v>
      </c>
      <c r="BS968" s="64">
        <v>0</v>
      </c>
      <c r="BV968" s="65">
        <v>0</v>
      </c>
      <c r="BW968" s="65">
        <v>36300</v>
      </c>
      <c r="BX968" s="65">
        <v>44637</v>
      </c>
      <c r="BY968" s="65">
        <v>-36300</v>
      </c>
      <c r="BZ968" s="81" t="s">
        <v>309</v>
      </c>
    </row>
    <row r="969" spans="1:89" s="152" customFormat="1" x14ac:dyDescent="0.15">
      <c r="A969" s="142">
        <v>3</v>
      </c>
      <c r="B969" s="143"/>
      <c r="C969" s="143" t="s">
        <v>309</v>
      </c>
      <c r="D969" s="143"/>
      <c r="E969" s="143"/>
      <c r="F969" s="143" t="s">
        <v>309</v>
      </c>
      <c r="G969" s="143"/>
      <c r="H969" s="143" t="s">
        <v>309</v>
      </c>
      <c r="I969" s="142"/>
      <c r="J969" s="142">
        <v>2</v>
      </c>
      <c r="K969" s="143"/>
      <c r="L969" s="142">
        <v>0</v>
      </c>
      <c r="M969" s="143">
        <v>44637</v>
      </c>
      <c r="N969" s="143"/>
      <c r="O969" s="144" t="s">
        <v>331</v>
      </c>
      <c r="P969" s="142" t="s">
        <v>26</v>
      </c>
      <c r="Q969" s="144" t="s">
        <v>135</v>
      </c>
      <c r="R969" s="144" t="s">
        <v>3422</v>
      </c>
      <c r="S969" s="145" t="s">
        <v>517</v>
      </c>
      <c r="T969" s="145" t="s">
        <v>656</v>
      </c>
      <c r="U969" s="146">
        <v>49500</v>
      </c>
      <c r="V969" s="146">
        <v>54450</v>
      </c>
      <c r="W969" s="146">
        <v>49500</v>
      </c>
      <c r="X969" s="146">
        <v>54450</v>
      </c>
      <c r="Y969" s="146">
        <v>0</v>
      </c>
      <c r="Z969" s="146">
        <v>0</v>
      </c>
      <c r="AA969" s="143"/>
      <c r="AB969" s="143"/>
      <c r="AC969" s="143"/>
      <c r="AD969" s="142">
        <v>0</v>
      </c>
      <c r="AE969" s="142"/>
      <c r="AF969" s="142"/>
      <c r="AG969" s="142">
        <v>0</v>
      </c>
      <c r="AH969" s="142"/>
      <c r="AI969" s="142"/>
      <c r="AJ969" s="142">
        <v>0</v>
      </c>
      <c r="AK969" s="142"/>
      <c r="AL969" s="142"/>
      <c r="AM969" s="142"/>
      <c r="AN969" s="142" t="s">
        <v>309</v>
      </c>
      <c r="AO969" s="143"/>
      <c r="AP969" s="142"/>
      <c r="AQ969" s="142"/>
      <c r="AR969" s="143"/>
      <c r="AS969" s="142"/>
      <c r="AT969" s="143"/>
      <c r="AU969" s="142"/>
      <c r="AV969" s="143"/>
      <c r="AW969" s="147"/>
      <c r="AX969" s="147"/>
      <c r="AY969" s="148">
        <v>47520</v>
      </c>
      <c r="AZ969" s="148">
        <f>ROUNDDOWN(AY969+(AY969*MASTER!$A$2/100),0)</f>
        <v>52272</v>
      </c>
      <c r="BA969" s="142"/>
      <c r="BB969" s="146"/>
      <c r="BC969" s="146">
        <v>0</v>
      </c>
      <c r="BD969" s="142"/>
      <c r="BE969" s="142"/>
      <c r="BF969" s="146"/>
      <c r="BG969" s="146">
        <v>0</v>
      </c>
      <c r="BH969" s="142"/>
      <c r="BI969" s="142"/>
      <c r="BJ969" s="146"/>
      <c r="BK969" s="146">
        <v>0</v>
      </c>
      <c r="BL969" s="142"/>
      <c r="BM969" s="146"/>
      <c r="BN969" s="146"/>
      <c r="BO969" s="146"/>
      <c r="BP969" s="146"/>
      <c r="BQ969" s="146"/>
      <c r="BR969" s="146"/>
      <c r="BS969" s="146">
        <v>0</v>
      </c>
      <c r="BT969" s="149"/>
      <c r="BU969" s="149"/>
      <c r="BV969" s="150">
        <v>54450</v>
      </c>
      <c r="BW969" s="150">
        <v>0</v>
      </c>
      <c r="BX969" s="150">
        <v>44637</v>
      </c>
      <c r="BY969" s="150">
        <v>54450</v>
      </c>
      <c r="BZ969" s="151">
        <v>100</v>
      </c>
      <c r="CA969" s="142"/>
      <c r="CB969" s="142"/>
      <c r="CC969" s="142"/>
      <c r="CD969" s="145" t="s">
        <v>3420</v>
      </c>
      <c r="CE969" s="143"/>
      <c r="CF969" s="143"/>
      <c r="CG969" s="143"/>
      <c r="CH969" s="143"/>
      <c r="CI969" s="143"/>
      <c r="CJ969" s="143"/>
      <c r="CK969" s="146"/>
    </row>
    <row r="970" spans="1:89" x14ac:dyDescent="0.15">
      <c r="A970" s="60">
        <v>1</v>
      </c>
      <c r="B970" s="61">
        <v>44645</v>
      </c>
      <c r="C970" s="61">
        <v>44645</v>
      </c>
      <c r="F970" s="61" t="s">
        <v>309</v>
      </c>
      <c r="H970" s="61" t="s">
        <v>309</v>
      </c>
      <c r="J970" s="60">
        <v>3</v>
      </c>
      <c r="L970" s="60">
        <v>0</v>
      </c>
      <c r="M970" s="61">
        <v>44637</v>
      </c>
      <c r="O970" s="62" t="s">
        <v>331</v>
      </c>
      <c r="P970" s="60" t="s">
        <v>6</v>
      </c>
      <c r="Q970" s="62" t="s">
        <v>135</v>
      </c>
      <c r="R970" s="62" t="s">
        <v>2893</v>
      </c>
      <c r="S970" s="63" t="s">
        <v>737</v>
      </c>
      <c r="T970" s="63" t="s">
        <v>364</v>
      </c>
      <c r="U970" s="64">
        <v>3000</v>
      </c>
      <c r="V970" s="64">
        <v>3300</v>
      </c>
      <c r="X970" s="64">
        <v>0</v>
      </c>
      <c r="Y970" s="64">
        <v>3000</v>
      </c>
      <c r="Z970" s="64">
        <v>3300</v>
      </c>
      <c r="AA970" s="61">
        <v>44634</v>
      </c>
      <c r="AB970" s="61">
        <v>44634</v>
      </c>
      <c r="AD970" s="60">
        <v>0</v>
      </c>
      <c r="AG970" s="60">
        <v>0</v>
      </c>
      <c r="AJ970" s="60">
        <v>0</v>
      </c>
      <c r="AN970" s="60" t="s">
        <v>309</v>
      </c>
      <c r="AQ970" s="60" t="s">
        <v>2856</v>
      </c>
      <c r="AR970" s="61">
        <v>44644</v>
      </c>
      <c r="AS970" s="60">
        <v>6002008442</v>
      </c>
      <c r="AT970" s="61">
        <v>44644</v>
      </c>
      <c r="AU970" s="60" t="s">
        <v>2888</v>
      </c>
      <c r="AV970" s="61">
        <v>44645</v>
      </c>
      <c r="AW970" s="91">
        <v>44651</v>
      </c>
      <c r="AX970" s="91">
        <v>44671</v>
      </c>
      <c r="AY970" s="99">
        <v>2880</v>
      </c>
      <c r="AZ970" s="99">
        <f>ROUNDDOWN(AY970+(AY970*MASTER!$A$2/100),0)</f>
        <v>3168</v>
      </c>
      <c r="BC970" s="64">
        <v>0</v>
      </c>
      <c r="BG970" s="64">
        <v>0</v>
      </c>
      <c r="BK970" s="64">
        <v>0</v>
      </c>
      <c r="BS970" s="64">
        <v>0</v>
      </c>
      <c r="BV970" s="65">
        <v>0</v>
      </c>
      <c r="BW970" s="65">
        <v>0</v>
      </c>
      <c r="BX970" s="65">
        <v>44637</v>
      </c>
      <c r="BY970" s="65">
        <v>0</v>
      </c>
      <c r="BZ970" s="81" t="s">
        <v>309</v>
      </c>
    </row>
    <row r="971" spans="1:89" s="152" customFormat="1" x14ac:dyDescent="0.15">
      <c r="A971" s="142">
        <v>3</v>
      </c>
      <c r="B971" s="143"/>
      <c r="C971" s="143" t="s">
        <v>309</v>
      </c>
      <c r="D971" s="143"/>
      <c r="E971" s="143"/>
      <c r="F971" s="143" t="s">
        <v>309</v>
      </c>
      <c r="G971" s="143"/>
      <c r="H971" s="143" t="s">
        <v>309</v>
      </c>
      <c r="I971" s="142"/>
      <c r="J971" s="142">
        <v>2</v>
      </c>
      <c r="K971" s="143"/>
      <c r="L971" s="142">
        <v>0</v>
      </c>
      <c r="M971" s="143">
        <v>44637</v>
      </c>
      <c r="N971" s="143"/>
      <c r="O971" s="144" t="s">
        <v>331</v>
      </c>
      <c r="P971" s="142" t="s">
        <v>6</v>
      </c>
      <c r="Q971" s="144" t="s">
        <v>135</v>
      </c>
      <c r="R971" s="144" t="s">
        <v>3080</v>
      </c>
      <c r="S971" s="145" t="s">
        <v>1405</v>
      </c>
      <c r="T971" s="145" t="s">
        <v>364</v>
      </c>
      <c r="U971" s="146">
        <v>35000</v>
      </c>
      <c r="V971" s="146">
        <v>38500</v>
      </c>
      <c r="W971" s="146">
        <v>35000</v>
      </c>
      <c r="X971" s="146">
        <v>38500</v>
      </c>
      <c r="Y971" s="146">
        <v>0</v>
      </c>
      <c r="Z971" s="146">
        <v>0</v>
      </c>
      <c r="AA971" s="143"/>
      <c r="AB971" s="143"/>
      <c r="AC971" s="143"/>
      <c r="AD971" s="142">
        <v>0</v>
      </c>
      <c r="AE971" s="142"/>
      <c r="AF971" s="142"/>
      <c r="AG971" s="142">
        <v>0</v>
      </c>
      <c r="AH971" s="142"/>
      <c r="AI971" s="142"/>
      <c r="AJ971" s="142">
        <v>0</v>
      </c>
      <c r="AK971" s="142"/>
      <c r="AL971" s="142"/>
      <c r="AM971" s="142"/>
      <c r="AN971" s="142" t="s">
        <v>309</v>
      </c>
      <c r="AO971" s="143"/>
      <c r="AP971" s="142"/>
      <c r="AQ971" s="142"/>
      <c r="AR971" s="143"/>
      <c r="AS971" s="142"/>
      <c r="AT971" s="143"/>
      <c r="AU971" s="142"/>
      <c r="AV971" s="143"/>
      <c r="AW971" s="147"/>
      <c r="AX971" s="147"/>
      <c r="AY971" s="148">
        <v>33600</v>
      </c>
      <c r="AZ971" s="148">
        <f>ROUNDDOWN(AY971+(AY971*MASTER!$A$2/100),0)</f>
        <v>36960</v>
      </c>
      <c r="BA971" s="142"/>
      <c r="BB971" s="146"/>
      <c r="BC971" s="146">
        <v>0</v>
      </c>
      <c r="BD971" s="142"/>
      <c r="BE971" s="142"/>
      <c r="BF971" s="146"/>
      <c r="BG971" s="146">
        <v>0</v>
      </c>
      <c r="BH971" s="142"/>
      <c r="BI971" s="142"/>
      <c r="BJ971" s="146"/>
      <c r="BK971" s="146">
        <v>0</v>
      </c>
      <c r="BL971" s="142"/>
      <c r="BM971" s="146"/>
      <c r="BN971" s="146"/>
      <c r="BO971" s="146"/>
      <c r="BP971" s="146"/>
      <c r="BQ971" s="146"/>
      <c r="BR971" s="146"/>
      <c r="BS971" s="146">
        <v>0</v>
      </c>
      <c r="BT971" s="149"/>
      <c r="BU971" s="149"/>
      <c r="BV971" s="150">
        <v>38500</v>
      </c>
      <c r="BW971" s="150">
        <v>0</v>
      </c>
      <c r="BX971" s="150">
        <v>44637</v>
      </c>
      <c r="BY971" s="150">
        <v>38500</v>
      </c>
      <c r="BZ971" s="151">
        <v>100</v>
      </c>
      <c r="CA971" s="142"/>
      <c r="CB971" s="142"/>
      <c r="CC971" s="142"/>
      <c r="CD971" s="145" t="s">
        <v>3081</v>
      </c>
      <c r="CE971" s="143"/>
      <c r="CF971" s="143"/>
      <c r="CG971" s="143"/>
      <c r="CH971" s="143"/>
      <c r="CI971" s="143"/>
      <c r="CJ971" s="143"/>
      <c r="CK971" s="146"/>
    </row>
    <row r="972" spans="1:89" x14ac:dyDescent="0.15">
      <c r="A972" s="60">
        <v>2</v>
      </c>
      <c r="B972" s="61">
        <v>44662</v>
      </c>
      <c r="C972" s="61">
        <v>44665</v>
      </c>
      <c r="D972" s="61" t="s">
        <v>764</v>
      </c>
      <c r="E972" s="61">
        <v>44680</v>
      </c>
      <c r="F972" s="61">
        <v>44672</v>
      </c>
      <c r="G972" s="61">
        <v>44666</v>
      </c>
      <c r="H972" s="61">
        <v>44668</v>
      </c>
      <c r="I972" s="60" t="s">
        <v>511</v>
      </c>
      <c r="J972" s="60">
        <v>1</v>
      </c>
      <c r="L972" s="60">
        <v>0</v>
      </c>
      <c r="M972" s="61">
        <v>44638</v>
      </c>
      <c r="O972" s="62" t="s">
        <v>331</v>
      </c>
      <c r="P972" s="60" t="s">
        <v>26</v>
      </c>
      <c r="Q972" s="62" t="s">
        <v>135</v>
      </c>
      <c r="R972" s="62" t="s">
        <v>2797</v>
      </c>
      <c r="S972" s="63" t="s">
        <v>1239</v>
      </c>
      <c r="T972" s="63" t="s">
        <v>2798</v>
      </c>
      <c r="U972" s="64">
        <v>23900</v>
      </c>
      <c r="V972" s="64">
        <v>26290</v>
      </c>
      <c r="W972" s="64">
        <v>14700</v>
      </c>
      <c r="X972" s="64">
        <v>16170</v>
      </c>
      <c r="Y972" s="64">
        <v>9200</v>
      </c>
      <c r="Z972" s="64">
        <v>10120</v>
      </c>
      <c r="AA972" s="61">
        <v>44663</v>
      </c>
      <c r="AB972" s="61">
        <v>44665</v>
      </c>
      <c r="AC972" s="61">
        <v>44665</v>
      </c>
      <c r="AD972" s="60">
        <v>0</v>
      </c>
      <c r="AG972" s="60">
        <v>0</v>
      </c>
      <c r="AJ972" s="60">
        <v>0</v>
      </c>
      <c r="AM972" s="60" t="s">
        <v>273</v>
      </c>
      <c r="AN972" s="60" t="s">
        <v>2799</v>
      </c>
      <c r="AQ972" s="60" t="s">
        <v>3040</v>
      </c>
      <c r="AR972" s="61">
        <v>44657</v>
      </c>
      <c r="AS972" s="60">
        <v>6002012588</v>
      </c>
      <c r="AT972" s="61">
        <v>44658</v>
      </c>
      <c r="AU972" s="60" t="s">
        <v>3060</v>
      </c>
      <c r="AV972" s="61">
        <v>44665</v>
      </c>
      <c r="AW972" s="91">
        <v>44681</v>
      </c>
      <c r="AX972" s="91">
        <v>44701</v>
      </c>
      <c r="AY972" s="99">
        <v>22944</v>
      </c>
      <c r="AZ972" s="99">
        <f>ROUNDDOWN(AY972+(AY972*MASTER!$A$2/100),0)</f>
        <v>25238</v>
      </c>
      <c r="BA972" s="60" t="s">
        <v>765</v>
      </c>
      <c r="BC972" s="64">
        <v>0</v>
      </c>
      <c r="BG972" s="64">
        <v>0</v>
      </c>
      <c r="BI972" s="60" t="s">
        <v>267</v>
      </c>
      <c r="BJ972" s="64">
        <v>5980</v>
      </c>
      <c r="BK972" s="64">
        <v>6578</v>
      </c>
      <c r="BL972" s="60" t="s">
        <v>2916</v>
      </c>
      <c r="BS972" s="64">
        <v>0</v>
      </c>
      <c r="BV972" s="65">
        <v>16170</v>
      </c>
      <c r="BW972" s="65">
        <v>6578</v>
      </c>
      <c r="BX972" s="65">
        <v>44638</v>
      </c>
      <c r="BY972" s="65">
        <v>9592</v>
      </c>
      <c r="BZ972" s="81">
        <v>59.319727891156461</v>
      </c>
    </row>
    <row r="973" spans="1:89" s="152" customFormat="1" x14ac:dyDescent="0.15">
      <c r="A973" s="142">
        <v>3</v>
      </c>
      <c r="B973" s="143"/>
      <c r="C973" s="143" t="s">
        <v>309</v>
      </c>
      <c r="D973" s="143"/>
      <c r="E973" s="143"/>
      <c r="F973" s="143" t="s">
        <v>309</v>
      </c>
      <c r="G973" s="143"/>
      <c r="H973" s="143" t="s">
        <v>309</v>
      </c>
      <c r="I973" s="142"/>
      <c r="J973" s="142">
        <v>1</v>
      </c>
      <c r="K973" s="143"/>
      <c r="L973" s="142">
        <v>0</v>
      </c>
      <c r="M973" s="143">
        <v>44638</v>
      </c>
      <c r="N973" s="143"/>
      <c r="O973" s="144" t="s">
        <v>331</v>
      </c>
      <c r="P973" s="142" t="s">
        <v>26</v>
      </c>
      <c r="Q973" s="144" t="s">
        <v>135</v>
      </c>
      <c r="R973" s="144" t="s">
        <v>3414</v>
      </c>
      <c r="S973" s="145" t="s">
        <v>978</v>
      </c>
      <c r="T973" s="145" t="s">
        <v>2420</v>
      </c>
      <c r="U973" s="146">
        <v>23900</v>
      </c>
      <c r="V973" s="146">
        <v>26290</v>
      </c>
      <c r="W973" s="146">
        <v>14700</v>
      </c>
      <c r="X973" s="146">
        <v>16170</v>
      </c>
      <c r="Y973" s="146">
        <v>9200</v>
      </c>
      <c r="Z973" s="146">
        <v>10120</v>
      </c>
      <c r="AA973" s="143"/>
      <c r="AB973" s="143"/>
      <c r="AC973" s="143"/>
      <c r="AD973" s="142">
        <v>0</v>
      </c>
      <c r="AE973" s="142"/>
      <c r="AF973" s="142"/>
      <c r="AG973" s="142">
        <v>0</v>
      </c>
      <c r="AH973" s="142"/>
      <c r="AI973" s="142"/>
      <c r="AJ973" s="142">
        <v>0</v>
      </c>
      <c r="AK973" s="142"/>
      <c r="AL973" s="142"/>
      <c r="AM973" s="142" t="s">
        <v>273</v>
      </c>
      <c r="AN973" s="142" t="s">
        <v>3415</v>
      </c>
      <c r="AO973" s="143"/>
      <c r="AP973" s="142"/>
      <c r="AQ973" s="142"/>
      <c r="AR973" s="143"/>
      <c r="AS973" s="142"/>
      <c r="AT973" s="143"/>
      <c r="AU973" s="142"/>
      <c r="AV973" s="143"/>
      <c r="AW973" s="147"/>
      <c r="AX973" s="147"/>
      <c r="AY973" s="148">
        <v>22944</v>
      </c>
      <c r="AZ973" s="148">
        <f>ROUNDDOWN(AY973+(AY973*MASTER!$A$2/100),0)</f>
        <v>25238</v>
      </c>
      <c r="BA973" s="142"/>
      <c r="BB973" s="146"/>
      <c r="BC973" s="146">
        <v>0</v>
      </c>
      <c r="BD973" s="142"/>
      <c r="BE973" s="142"/>
      <c r="BF973" s="146"/>
      <c r="BG973" s="146">
        <v>0</v>
      </c>
      <c r="BH973" s="142"/>
      <c r="BI973" s="142"/>
      <c r="BJ973" s="146"/>
      <c r="BK973" s="146">
        <v>0</v>
      </c>
      <c r="BL973" s="142"/>
      <c r="BM973" s="146"/>
      <c r="BN973" s="146"/>
      <c r="BO973" s="146"/>
      <c r="BP973" s="146"/>
      <c r="BQ973" s="146"/>
      <c r="BR973" s="146"/>
      <c r="BS973" s="146">
        <v>0</v>
      </c>
      <c r="BT973" s="149"/>
      <c r="BU973" s="149"/>
      <c r="BV973" s="150">
        <v>16170</v>
      </c>
      <c r="BW973" s="150">
        <v>0</v>
      </c>
      <c r="BX973" s="150">
        <v>44638</v>
      </c>
      <c r="BY973" s="150">
        <v>16170</v>
      </c>
      <c r="BZ973" s="151">
        <v>100</v>
      </c>
      <c r="CA973" s="142"/>
      <c r="CB973" s="142"/>
      <c r="CC973" s="142"/>
      <c r="CD973" s="145" t="s">
        <v>3416</v>
      </c>
      <c r="CE973" s="143"/>
      <c r="CF973" s="143"/>
      <c r="CG973" s="143"/>
      <c r="CH973" s="143"/>
      <c r="CI973" s="143"/>
      <c r="CJ973" s="143"/>
      <c r="CK973" s="146"/>
    </row>
    <row r="974" spans="1:89" s="152" customFormat="1" x14ac:dyDescent="0.15">
      <c r="A974" s="142">
        <v>3</v>
      </c>
      <c r="B974" s="143"/>
      <c r="C974" s="143" t="s">
        <v>309</v>
      </c>
      <c r="D974" s="143"/>
      <c r="E974" s="143"/>
      <c r="F974" s="143" t="s">
        <v>309</v>
      </c>
      <c r="G974" s="143"/>
      <c r="H974" s="143" t="s">
        <v>309</v>
      </c>
      <c r="I974" s="142"/>
      <c r="J974" s="142">
        <v>2</v>
      </c>
      <c r="K974" s="143"/>
      <c r="L974" s="142">
        <v>0</v>
      </c>
      <c r="M974" s="143">
        <v>44638</v>
      </c>
      <c r="N974" s="143"/>
      <c r="O974" s="144" t="s">
        <v>331</v>
      </c>
      <c r="P974" s="142" t="s">
        <v>26</v>
      </c>
      <c r="Q974" s="144" t="s">
        <v>135</v>
      </c>
      <c r="R974" s="144" t="s">
        <v>2800</v>
      </c>
      <c r="S974" s="145" t="s">
        <v>1023</v>
      </c>
      <c r="T974" s="145" t="s">
        <v>2801</v>
      </c>
      <c r="U974" s="146">
        <v>65795</v>
      </c>
      <c r="V974" s="146">
        <v>72374.5</v>
      </c>
      <c r="W974" s="146">
        <v>65795</v>
      </c>
      <c r="X974" s="146">
        <v>72374.5</v>
      </c>
      <c r="Y974" s="146">
        <v>0</v>
      </c>
      <c r="Z974" s="146">
        <v>0</v>
      </c>
      <c r="AA974" s="143"/>
      <c r="AB974" s="143"/>
      <c r="AC974" s="143"/>
      <c r="AD974" s="142">
        <v>0</v>
      </c>
      <c r="AE974" s="142"/>
      <c r="AF974" s="142"/>
      <c r="AG974" s="142">
        <v>0</v>
      </c>
      <c r="AH974" s="142"/>
      <c r="AI974" s="142"/>
      <c r="AJ974" s="142">
        <v>0</v>
      </c>
      <c r="AK974" s="142"/>
      <c r="AL974" s="142"/>
      <c r="AM974" s="142" t="s">
        <v>273</v>
      </c>
      <c r="AN974" s="142" t="s">
        <v>2802</v>
      </c>
      <c r="AO974" s="143"/>
      <c r="AP974" s="142"/>
      <c r="AQ974" s="142"/>
      <c r="AR974" s="143"/>
      <c r="AS974" s="142"/>
      <c r="AT974" s="143"/>
      <c r="AU974" s="142"/>
      <c r="AV974" s="143"/>
      <c r="AW974" s="147"/>
      <c r="AX974" s="147"/>
      <c r="AY974" s="148">
        <v>63163</v>
      </c>
      <c r="AZ974" s="148">
        <f>ROUNDDOWN(AY974+(AY974*MASTER!$A$2/100),0)</f>
        <v>69479</v>
      </c>
      <c r="BA974" s="142"/>
      <c r="BB974" s="146"/>
      <c r="BC974" s="146">
        <v>0</v>
      </c>
      <c r="BD974" s="142"/>
      <c r="BE974" s="142"/>
      <c r="BF974" s="146"/>
      <c r="BG974" s="146">
        <v>0</v>
      </c>
      <c r="BH974" s="142"/>
      <c r="BI974" s="142"/>
      <c r="BJ974" s="146"/>
      <c r="BK974" s="146">
        <v>0</v>
      </c>
      <c r="BL974" s="142"/>
      <c r="BM974" s="146"/>
      <c r="BN974" s="146"/>
      <c r="BO974" s="146"/>
      <c r="BP974" s="146"/>
      <c r="BQ974" s="146"/>
      <c r="BR974" s="146"/>
      <c r="BS974" s="146">
        <v>0</v>
      </c>
      <c r="BT974" s="149"/>
      <c r="BU974" s="149"/>
      <c r="BV974" s="150">
        <v>72374.5</v>
      </c>
      <c r="BW974" s="150">
        <v>0</v>
      </c>
      <c r="BX974" s="150">
        <v>44638</v>
      </c>
      <c r="BY974" s="150">
        <v>72374.5</v>
      </c>
      <c r="BZ974" s="151">
        <v>100</v>
      </c>
      <c r="CA974" s="142"/>
      <c r="CB974" s="142"/>
      <c r="CC974" s="142"/>
      <c r="CD974" s="145" t="s">
        <v>3413</v>
      </c>
      <c r="CE974" s="143"/>
      <c r="CF974" s="143"/>
      <c r="CG974" s="143"/>
      <c r="CH974" s="143"/>
      <c r="CI974" s="143"/>
      <c r="CJ974" s="143"/>
      <c r="CK974" s="146"/>
    </row>
    <row r="975" spans="1:89" x14ac:dyDescent="0.15">
      <c r="A975" s="60">
        <v>2</v>
      </c>
      <c r="B975" s="61">
        <v>44664</v>
      </c>
      <c r="C975" s="61">
        <v>44669</v>
      </c>
      <c r="D975" s="61">
        <v>44693</v>
      </c>
      <c r="E975" s="61">
        <v>44669</v>
      </c>
      <c r="F975" s="61">
        <v>44676</v>
      </c>
      <c r="G975" s="61">
        <v>44670</v>
      </c>
      <c r="H975" s="61">
        <v>44672</v>
      </c>
      <c r="I975" s="60" t="s">
        <v>774</v>
      </c>
      <c r="J975" s="60">
        <v>1</v>
      </c>
      <c r="L975" s="60">
        <v>0</v>
      </c>
      <c r="M975" s="61">
        <v>44638</v>
      </c>
      <c r="O975" s="62" t="s">
        <v>331</v>
      </c>
      <c r="P975" s="60" t="s">
        <v>26</v>
      </c>
      <c r="Q975" s="62" t="s">
        <v>135</v>
      </c>
      <c r="R975" s="62" t="s">
        <v>3051</v>
      </c>
      <c r="S975" s="63" t="s">
        <v>1339</v>
      </c>
      <c r="T975" s="63" t="s">
        <v>3052</v>
      </c>
      <c r="U975" s="64">
        <v>161500</v>
      </c>
      <c r="V975" s="64">
        <v>177650</v>
      </c>
      <c r="W975" s="64">
        <v>94000</v>
      </c>
      <c r="X975" s="64">
        <v>103400</v>
      </c>
      <c r="Y975" s="64">
        <v>67500</v>
      </c>
      <c r="Z975" s="64">
        <v>74250</v>
      </c>
      <c r="AA975" s="61">
        <v>44668</v>
      </c>
      <c r="AB975" s="61">
        <v>44669</v>
      </c>
      <c r="AC975" s="61">
        <v>44669</v>
      </c>
      <c r="AD975" s="60">
        <v>0</v>
      </c>
      <c r="AG975" s="60">
        <v>0</v>
      </c>
      <c r="AJ975" s="60">
        <v>0</v>
      </c>
      <c r="AM975" s="60" t="s">
        <v>273</v>
      </c>
      <c r="AN975" s="60" t="s">
        <v>3053</v>
      </c>
      <c r="AQ975" s="60" t="s">
        <v>3054</v>
      </c>
      <c r="AR975" s="61">
        <v>44658</v>
      </c>
      <c r="AS975" s="60">
        <v>6002013389</v>
      </c>
      <c r="AT975" s="61">
        <v>44658</v>
      </c>
      <c r="AU975" s="60" t="s">
        <v>3058</v>
      </c>
      <c r="AV975" s="61">
        <v>44669</v>
      </c>
      <c r="AW975" s="91">
        <v>44681</v>
      </c>
      <c r="AX975" s="91">
        <v>44701</v>
      </c>
      <c r="AY975" s="99">
        <v>155040</v>
      </c>
      <c r="AZ975" s="99">
        <f>ROUNDDOWN(AY975+(AY975*MASTER!$A$2/100),0)</f>
        <v>170544</v>
      </c>
      <c r="BA975" s="60" t="s">
        <v>317</v>
      </c>
      <c r="BB975" s="64">
        <v>26000</v>
      </c>
      <c r="BC975" s="64">
        <v>28600</v>
      </c>
      <c r="BD975" s="60" t="s">
        <v>643</v>
      </c>
      <c r="BG975" s="64">
        <v>0</v>
      </c>
      <c r="BI975" s="60" t="s">
        <v>748</v>
      </c>
      <c r="BJ975" s="64">
        <v>43875</v>
      </c>
      <c r="BK975" s="64">
        <v>48262.5</v>
      </c>
      <c r="BL975" s="60" t="s">
        <v>643</v>
      </c>
      <c r="BS975" s="64">
        <v>0</v>
      </c>
      <c r="BV975" s="65">
        <v>103400</v>
      </c>
      <c r="BW975" s="65">
        <v>76862.5</v>
      </c>
      <c r="BX975" s="65">
        <v>44638</v>
      </c>
      <c r="BY975" s="65">
        <v>26537.5</v>
      </c>
      <c r="BZ975" s="81">
        <v>25.664893617021278</v>
      </c>
    </row>
    <row r="976" spans="1:89" x14ac:dyDescent="0.15">
      <c r="A976" s="60">
        <v>1</v>
      </c>
      <c r="C976" s="61" t="s">
        <v>309</v>
      </c>
      <c r="F976" s="61" t="s">
        <v>309</v>
      </c>
      <c r="H976" s="61" t="s">
        <v>309</v>
      </c>
      <c r="J976" s="60">
        <v>4</v>
      </c>
      <c r="L976" s="60">
        <v>0</v>
      </c>
      <c r="M976" s="61">
        <v>44638</v>
      </c>
      <c r="O976" s="62" t="s">
        <v>331</v>
      </c>
      <c r="P976" s="60" t="s">
        <v>6</v>
      </c>
      <c r="Q976" s="62" t="s">
        <v>135</v>
      </c>
      <c r="R976" s="62" t="s">
        <v>3010</v>
      </c>
      <c r="S976" s="63" t="s">
        <v>1233</v>
      </c>
      <c r="T976" s="63" t="s">
        <v>972</v>
      </c>
      <c r="U976" s="64">
        <v>0</v>
      </c>
      <c r="V976" s="64">
        <v>0</v>
      </c>
      <c r="W976" s="64">
        <v>0</v>
      </c>
      <c r="X976" s="64">
        <v>0</v>
      </c>
      <c r="Z976" s="64">
        <v>0</v>
      </c>
      <c r="AA976" s="61">
        <v>44637</v>
      </c>
      <c r="AB976" s="61">
        <v>44637</v>
      </c>
      <c r="AD976" s="60">
        <v>0</v>
      </c>
      <c r="AG976" s="60">
        <v>0</v>
      </c>
      <c r="AJ976" s="60">
        <v>0</v>
      </c>
      <c r="AN976" s="60" t="s">
        <v>309</v>
      </c>
      <c r="AY976" s="99">
        <v>0</v>
      </c>
      <c r="AZ976" s="99">
        <f>ROUNDDOWN(AY976+(AY976*MASTER!$A$2/100),0)</f>
        <v>0</v>
      </c>
      <c r="BA976" s="60" t="s">
        <v>318</v>
      </c>
      <c r="BB976" s="64">
        <v>44000</v>
      </c>
      <c r="BC976" s="64">
        <v>48400</v>
      </c>
      <c r="BD976" s="60" t="s">
        <v>2107</v>
      </c>
      <c r="BG976" s="64">
        <v>0</v>
      </c>
      <c r="BK976" s="64">
        <v>0</v>
      </c>
      <c r="BS976" s="64">
        <v>0</v>
      </c>
      <c r="BV976" s="65">
        <v>0</v>
      </c>
      <c r="BW976" s="65">
        <v>48400</v>
      </c>
      <c r="BX976" s="65">
        <v>44638</v>
      </c>
      <c r="BY976" s="65">
        <v>-48400</v>
      </c>
      <c r="BZ976" s="81" t="s">
        <v>309</v>
      </c>
    </row>
    <row r="977" spans="1:89" x14ac:dyDescent="0.15">
      <c r="A977" s="60">
        <v>2</v>
      </c>
      <c r="B977" s="61">
        <v>44673</v>
      </c>
      <c r="C977" s="61">
        <v>44678</v>
      </c>
      <c r="D977" s="61">
        <v>44693</v>
      </c>
      <c r="E977" s="61">
        <v>44671</v>
      </c>
      <c r="F977" s="61">
        <v>44677</v>
      </c>
      <c r="G977" s="61">
        <v>44670</v>
      </c>
      <c r="H977" s="61">
        <v>44673</v>
      </c>
      <c r="I977" s="60" t="s">
        <v>774</v>
      </c>
      <c r="J977" s="60">
        <v>1</v>
      </c>
      <c r="L977" s="60">
        <v>0</v>
      </c>
      <c r="M977" s="61">
        <v>44642</v>
      </c>
      <c r="O977" s="62" t="s">
        <v>331</v>
      </c>
      <c r="P977" s="60" t="s">
        <v>26</v>
      </c>
      <c r="Q977" s="62" t="s">
        <v>135</v>
      </c>
      <c r="R977" s="62" t="s">
        <v>3189</v>
      </c>
      <c r="S977" s="63" t="s">
        <v>702</v>
      </c>
      <c r="T977" s="63" t="s">
        <v>3190</v>
      </c>
      <c r="U977" s="64">
        <v>182500</v>
      </c>
      <c r="V977" s="64">
        <v>200750</v>
      </c>
      <c r="W977" s="64">
        <v>94000</v>
      </c>
      <c r="X977" s="64">
        <v>103400</v>
      </c>
      <c r="Y977" s="64">
        <v>88500</v>
      </c>
      <c r="Z977" s="64">
        <v>97350</v>
      </c>
      <c r="AA977" s="61">
        <v>44669</v>
      </c>
      <c r="AB977" s="61">
        <v>44670</v>
      </c>
      <c r="AC977" s="61">
        <v>44670</v>
      </c>
      <c r="AD977" s="60">
        <v>0</v>
      </c>
      <c r="AG977" s="60">
        <v>0</v>
      </c>
      <c r="AJ977" s="60">
        <v>0</v>
      </c>
      <c r="AM977" s="60" t="s">
        <v>273</v>
      </c>
      <c r="AN977" s="60" t="s">
        <v>3191</v>
      </c>
      <c r="AQ977" s="60" t="s">
        <v>3024</v>
      </c>
      <c r="AR977" s="61">
        <v>44656</v>
      </c>
      <c r="AS977" s="60">
        <v>6002012142</v>
      </c>
      <c r="AT977" s="61">
        <v>44658</v>
      </c>
      <c r="AU977" s="60" t="s">
        <v>3059</v>
      </c>
      <c r="AV977" s="61">
        <v>44678</v>
      </c>
      <c r="AW977" s="91">
        <v>44681</v>
      </c>
      <c r="AX977" s="91">
        <v>44701</v>
      </c>
      <c r="AY977" s="99">
        <v>175200</v>
      </c>
      <c r="AZ977" s="99">
        <f>ROUNDDOWN(AY977+(AY977*MASTER!$A$2/100),0)</f>
        <v>192720</v>
      </c>
      <c r="BA977" s="60" t="s">
        <v>317</v>
      </c>
      <c r="BB977" s="64">
        <v>44000</v>
      </c>
      <c r="BC977" s="64">
        <v>48400</v>
      </c>
      <c r="BD977" s="60" t="s">
        <v>643</v>
      </c>
      <c r="BG977" s="64">
        <v>0</v>
      </c>
      <c r="BI977" s="60" t="s">
        <v>748</v>
      </c>
      <c r="BJ977" s="64">
        <v>57525</v>
      </c>
      <c r="BK977" s="64">
        <v>63277.5</v>
      </c>
      <c r="BL977" s="60" t="s">
        <v>643</v>
      </c>
      <c r="BS977" s="64">
        <v>0</v>
      </c>
      <c r="BV977" s="65">
        <v>103400</v>
      </c>
      <c r="BW977" s="65">
        <v>111677.5</v>
      </c>
      <c r="BX977" s="65">
        <v>44642</v>
      </c>
      <c r="BY977" s="65">
        <v>-8277.5</v>
      </c>
      <c r="BZ977" s="81">
        <v>-8.0053191489361701</v>
      </c>
    </row>
    <row r="978" spans="1:89" x14ac:dyDescent="0.15">
      <c r="A978" s="60">
        <v>2</v>
      </c>
      <c r="B978" s="61">
        <v>44666</v>
      </c>
      <c r="C978" s="61">
        <v>44673</v>
      </c>
      <c r="D978" s="61">
        <v>44690</v>
      </c>
      <c r="E978" s="61">
        <v>44681</v>
      </c>
      <c r="F978" s="61">
        <v>44680</v>
      </c>
      <c r="G978" s="61">
        <v>44676</v>
      </c>
      <c r="H978" s="61">
        <v>44676</v>
      </c>
      <c r="I978" s="60" t="s">
        <v>511</v>
      </c>
      <c r="J978" s="60">
        <v>1</v>
      </c>
      <c r="L978" s="60">
        <v>0</v>
      </c>
      <c r="M978" s="61">
        <v>44642</v>
      </c>
      <c r="O978" s="62" t="s">
        <v>331</v>
      </c>
      <c r="P978" s="60" t="s">
        <v>26</v>
      </c>
      <c r="Q978" s="62" t="s">
        <v>135</v>
      </c>
      <c r="R978" s="62" t="s">
        <v>3148</v>
      </c>
      <c r="S978" s="63" t="s">
        <v>1096</v>
      </c>
      <c r="T978" s="63" t="s">
        <v>3149</v>
      </c>
      <c r="U978" s="64">
        <v>462390</v>
      </c>
      <c r="V978" s="64">
        <v>508629</v>
      </c>
      <c r="W978" s="64">
        <v>373890</v>
      </c>
      <c r="X978" s="64">
        <v>411279</v>
      </c>
      <c r="Y978" s="64">
        <v>88500</v>
      </c>
      <c r="Z978" s="64">
        <v>97350</v>
      </c>
      <c r="AA978" s="61">
        <v>44670</v>
      </c>
      <c r="AB978" s="61">
        <v>44673</v>
      </c>
      <c r="AC978" s="61">
        <v>44673</v>
      </c>
      <c r="AD978" s="60">
        <v>0</v>
      </c>
      <c r="AG978" s="60">
        <v>0</v>
      </c>
      <c r="AJ978" s="60">
        <v>0</v>
      </c>
      <c r="AM978" s="60" t="s">
        <v>273</v>
      </c>
      <c r="AN978" s="60" t="s">
        <v>3150</v>
      </c>
      <c r="AQ978" s="60" t="s">
        <v>3026</v>
      </c>
      <c r="AR978" s="61">
        <v>44656</v>
      </c>
      <c r="AS978" s="60">
        <v>6002012142</v>
      </c>
      <c r="AT978" s="61">
        <v>44658</v>
      </c>
      <c r="AU978" s="60" t="s">
        <v>3059</v>
      </c>
      <c r="AV978" s="61">
        <v>44673</v>
      </c>
      <c r="AW978" s="91">
        <v>44681</v>
      </c>
      <c r="AX978" s="91">
        <v>44701</v>
      </c>
      <c r="AY978" s="99">
        <v>443894</v>
      </c>
      <c r="AZ978" s="99">
        <f>ROUNDDOWN(AY978+(AY978*MASTER!$A$2/100),0)</f>
        <v>488283</v>
      </c>
      <c r="BA978" s="60" t="s">
        <v>319</v>
      </c>
      <c r="BB978" s="64">
        <v>149200</v>
      </c>
      <c r="BC978" s="64">
        <v>164120</v>
      </c>
      <c r="BD978" s="60" t="s">
        <v>643</v>
      </c>
      <c r="BG978" s="64">
        <v>0</v>
      </c>
      <c r="BI978" s="60" t="s">
        <v>267</v>
      </c>
      <c r="BJ978" s="64">
        <v>57525</v>
      </c>
      <c r="BK978" s="64">
        <v>63277.5</v>
      </c>
      <c r="BL978" s="60" t="s">
        <v>2916</v>
      </c>
      <c r="BS978" s="64">
        <v>0</v>
      </c>
      <c r="BV978" s="65">
        <v>411279</v>
      </c>
      <c r="BW978" s="65">
        <v>227397.5</v>
      </c>
      <c r="BX978" s="65">
        <v>44642</v>
      </c>
      <c r="BY978" s="65">
        <v>183881.5</v>
      </c>
      <c r="BZ978" s="81">
        <v>44.709673968279439</v>
      </c>
    </row>
    <row r="979" spans="1:89" x14ac:dyDescent="0.15">
      <c r="A979" s="60">
        <v>1</v>
      </c>
      <c r="B979" s="61">
        <v>44649</v>
      </c>
      <c r="C979" s="61">
        <v>44650</v>
      </c>
      <c r="F979" s="61" t="s">
        <v>309</v>
      </c>
      <c r="G979" s="61">
        <v>44648</v>
      </c>
      <c r="H979" s="61" t="s">
        <v>309</v>
      </c>
      <c r="J979" s="60">
        <v>2</v>
      </c>
      <c r="L979" s="60">
        <v>0</v>
      </c>
      <c r="M979" s="61">
        <v>44642</v>
      </c>
      <c r="O979" s="62" t="s">
        <v>331</v>
      </c>
      <c r="P979" s="60" t="s">
        <v>6</v>
      </c>
      <c r="Q979" s="62" t="s">
        <v>135</v>
      </c>
      <c r="R979" s="62" t="s">
        <v>2923</v>
      </c>
      <c r="S979" s="63" t="s">
        <v>406</v>
      </c>
      <c r="T979" s="63" t="s">
        <v>364</v>
      </c>
      <c r="U979" s="64">
        <v>35000</v>
      </c>
      <c r="V979" s="64">
        <v>38500</v>
      </c>
      <c r="W979" s="64">
        <v>35000</v>
      </c>
      <c r="X979" s="64">
        <v>38500</v>
      </c>
      <c r="Z979" s="64">
        <v>0</v>
      </c>
      <c r="AA979" s="61">
        <v>44645</v>
      </c>
      <c r="AB979" s="61">
        <v>44645</v>
      </c>
      <c r="AD979" s="60">
        <v>0</v>
      </c>
      <c r="AG979" s="60">
        <v>0</v>
      </c>
      <c r="AJ979" s="60">
        <v>0</v>
      </c>
      <c r="AN979" s="60" t="s">
        <v>309</v>
      </c>
      <c r="AQ979" s="60" t="s">
        <v>2925</v>
      </c>
      <c r="AR979" s="61">
        <v>44648</v>
      </c>
      <c r="AS979" s="60">
        <v>6002009734</v>
      </c>
      <c r="AT979" s="61">
        <v>44648</v>
      </c>
      <c r="AU979" s="60" t="s">
        <v>2928</v>
      </c>
      <c r="AV979" s="61">
        <v>44650</v>
      </c>
      <c r="AW979" s="91">
        <v>44651</v>
      </c>
      <c r="AX979" s="91">
        <v>44671</v>
      </c>
      <c r="AY979" s="99">
        <v>33600</v>
      </c>
      <c r="AZ979" s="99">
        <f>ROUNDDOWN(AY979+(AY979*MASTER!$A$2/100),0)</f>
        <v>36960</v>
      </c>
      <c r="BA979" s="60" t="s">
        <v>970</v>
      </c>
      <c r="BB979" s="64">
        <v>35000</v>
      </c>
      <c r="BC979" s="64">
        <v>38500</v>
      </c>
      <c r="BD979" s="60" t="s">
        <v>2154</v>
      </c>
      <c r="BG979" s="64">
        <v>0</v>
      </c>
      <c r="BK979" s="64">
        <v>0</v>
      </c>
      <c r="BS979" s="64">
        <v>0</v>
      </c>
      <c r="BV979" s="65">
        <v>38500</v>
      </c>
      <c r="BW979" s="65">
        <v>38500</v>
      </c>
      <c r="BX979" s="65">
        <v>44642</v>
      </c>
      <c r="BY979" s="65">
        <v>0</v>
      </c>
      <c r="BZ979" s="81">
        <v>0</v>
      </c>
    </row>
    <row r="980" spans="1:89" x14ac:dyDescent="0.15">
      <c r="A980" s="60">
        <v>1</v>
      </c>
      <c r="B980" s="61">
        <v>44645</v>
      </c>
      <c r="C980" s="61">
        <v>44648</v>
      </c>
      <c r="F980" s="61" t="s">
        <v>309</v>
      </c>
      <c r="H980" s="61" t="s">
        <v>309</v>
      </c>
      <c r="J980" s="60">
        <v>2</v>
      </c>
      <c r="K980" s="61">
        <v>44643</v>
      </c>
      <c r="L980" s="60" t="s">
        <v>529</v>
      </c>
      <c r="M980" s="61">
        <v>44642</v>
      </c>
      <c r="O980" s="62" t="s">
        <v>331</v>
      </c>
      <c r="P980" s="60" t="s">
        <v>26</v>
      </c>
      <c r="Q980" s="62" t="s">
        <v>135</v>
      </c>
      <c r="R980" s="62" t="s">
        <v>2845</v>
      </c>
      <c r="S980" s="63" t="s">
        <v>354</v>
      </c>
      <c r="T980" s="63" t="s">
        <v>2846</v>
      </c>
      <c r="U980" s="64">
        <v>224000</v>
      </c>
      <c r="V980" s="64">
        <v>246400</v>
      </c>
      <c r="W980" s="64">
        <v>224000</v>
      </c>
      <c r="X980" s="64">
        <v>246400</v>
      </c>
      <c r="Z980" s="64">
        <v>0</v>
      </c>
      <c r="AA980" s="61">
        <v>44648</v>
      </c>
      <c r="AB980" s="61">
        <v>44666</v>
      </c>
      <c r="AD980" s="60">
        <v>0</v>
      </c>
      <c r="AG980" s="60">
        <v>0</v>
      </c>
      <c r="AJ980" s="60">
        <v>0</v>
      </c>
      <c r="AN980" s="60" t="s">
        <v>309</v>
      </c>
      <c r="AQ980" s="60" t="s">
        <v>2776</v>
      </c>
      <c r="AR980" s="61">
        <v>44644</v>
      </c>
      <c r="AS980" s="60">
        <v>6002008442</v>
      </c>
      <c r="AT980" s="61">
        <v>44644</v>
      </c>
      <c r="AU980" s="60" t="s">
        <v>2888</v>
      </c>
      <c r="AV980" s="61">
        <v>44648</v>
      </c>
      <c r="AW980" s="91">
        <v>44651</v>
      </c>
      <c r="AX980" s="91">
        <v>44671</v>
      </c>
      <c r="AY980" s="107">
        <v>224000</v>
      </c>
      <c r="AZ980" s="107">
        <v>246400</v>
      </c>
      <c r="BC980" s="64">
        <v>0</v>
      </c>
      <c r="BG980" s="64">
        <v>0</v>
      </c>
      <c r="BK980" s="64">
        <v>0</v>
      </c>
      <c r="BS980" s="64">
        <v>0</v>
      </c>
      <c r="BV980" s="65">
        <v>246400</v>
      </c>
      <c r="BW980" s="65">
        <v>0</v>
      </c>
      <c r="BX980" s="65">
        <v>0</v>
      </c>
      <c r="BY980" s="65">
        <v>44643</v>
      </c>
      <c r="BZ980" s="81">
        <v>100</v>
      </c>
    </row>
    <row r="981" spans="1:89" x14ac:dyDescent="0.15">
      <c r="A981" s="60">
        <v>2</v>
      </c>
      <c r="B981" s="61">
        <v>44648</v>
      </c>
      <c r="C981" s="61">
        <v>44649</v>
      </c>
      <c r="D981" s="61">
        <v>44659</v>
      </c>
      <c r="E981" s="61">
        <v>44651</v>
      </c>
      <c r="F981" s="61">
        <v>44656</v>
      </c>
      <c r="G981" s="61">
        <v>44649</v>
      </c>
      <c r="H981" s="61">
        <v>44652</v>
      </c>
      <c r="I981" s="60" t="s">
        <v>511</v>
      </c>
      <c r="J981" s="60">
        <v>1</v>
      </c>
      <c r="L981" s="60">
        <v>0</v>
      </c>
      <c r="M981" s="61">
        <v>44642</v>
      </c>
      <c r="O981" s="62" t="s">
        <v>331</v>
      </c>
      <c r="P981" s="60" t="s">
        <v>26</v>
      </c>
      <c r="Q981" s="62" t="s">
        <v>135</v>
      </c>
      <c r="R981" s="62" t="s">
        <v>2911</v>
      </c>
      <c r="S981" s="63" t="s">
        <v>2255</v>
      </c>
      <c r="T981" s="63" t="s">
        <v>2912</v>
      </c>
      <c r="U981" s="64">
        <v>170500</v>
      </c>
      <c r="V981" s="64">
        <v>187550</v>
      </c>
      <c r="W981" s="64">
        <v>78000</v>
      </c>
      <c r="X981" s="64">
        <v>85800</v>
      </c>
      <c r="Y981" s="64">
        <v>92500</v>
      </c>
      <c r="Z981" s="64">
        <v>101750</v>
      </c>
      <c r="AA981" s="61">
        <v>44648</v>
      </c>
      <c r="AB981" s="61">
        <v>44649</v>
      </c>
      <c r="AC981" s="61">
        <v>44649</v>
      </c>
      <c r="AD981" s="60">
        <v>0</v>
      </c>
      <c r="AG981" s="60">
        <v>0</v>
      </c>
      <c r="AJ981" s="60">
        <v>0</v>
      </c>
      <c r="AM981" s="60" t="s">
        <v>273</v>
      </c>
      <c r="AN981" s="60" t="s">
        <v>2913</v>
      </c>
      <c r="AQ981" s="60" t="s">
        <v>2900</v>
      </c>
      <c r="AR981" s="61">
        <v>44645</v>
      </c>
      <c r="AS981" s="60">
        <v>6002009058</v>
      </c>
      <c r="AT981" s="61">
        <v>44645</v>
      </c>
      <c r="AU981" s="60" t="s">
        <v>2924</v>
      </c>
      <c r="AV981" s="61">
        <v>44649</v>
      </c>
      <c r="AW981" s="91">
        <v>44651</v>
      </c>
      <c r="AX981" s="91">
        <v>44671</v>
      </c>
      <c r="AY981" s="99">
        <v>163680</v>
      </c>
      <c r="AZ981" s="99">
        <f>ROUNDDOWN(AY981+(AY981*MASTER!$A$2/100),0)</f>
        <v>180048</v>
      </c>
      <c r="BA981" s="60" t="s">
        <v>318</v>
      </c>
      <c r="BB981" s="64">
        <v>38000</v>
      </c>
      <c r="BC981" s="64">
        <v>41800</v>
      </c>
      <c r="BD981" s="60" t="s">
        <v>2107</v>
      </c>
      <c r="BG981" s="64">
        <v>0</v>
      </c>
      <c r="BI981" s="60" t="s">
        <v>748</v>
      </c>
      <c r="BJ981" s="64">
        <v>60125</v>
      </c>
      <c r="BK981" s="64">
        <v>66137.5</v>
      </c>
      <c r="BL981" s="60" t="s">
        <v>2107</v>
      </c>
      <c r="BS981" s="64">
        <v>0</v>
      </c>
      <c r="BV981" s="65">
        <v>85800</v>
      </c>
      <c r="BW981" s="65">
        <v>107937.5</v>
      </c>
      <c r="BX981" s="65">
        <v>44642</v>
      </c>
      <c r="BY981" s="65">
        <v>-22137.5</v>
      </c>
      <c r="BZ981" s="81">
        <v>-25.801282051282055</v>
      </c>
    </row>
    <row r="982" spans="1:89" x14ac:dyDescent="0.15">
      <c r="A982" s="60">
        <v>2</v>
      </c>
      <c r="B982" s="61">
        <v>44650</v>
      </c>
      <c r="C982" s="61">
        <v>44651</v>
      </c>
      <c r="D982" s="61">
        <v>44648</v>
      </c>
      <c r="E982" s="61">
        <v>44648</v>
      </c>
      <c r="F982" s="61" t="s">
        <v>309</v>
      </c>
      <c r="G982" s="61">
        <v>44648</v>
      </c>
      <c r="H982" s="61" t="s">
        <v>309</v>
      </c>
      <c r="I982" s="60" t="s">
        <v>494</v>
      </c>
      <c r="J982" s="60">
        <v>2</v>
      </c>
      <c r="L982" s="60">
        <v>0</v>
      </c>
      <c r="M982" s="61">
        <v>44643</v>
      </c>
      <c r="O982" s="62" t="s">
        <v>331</v>
      </c>
      <c r="P982" s="60" t="s">
        <v>6</v>
      </c>
      <c r="Q982" s="62" t="s">
        <v>135</v>
      </c>
      <c r="R982" s="62" t="s">
        <v>2922</v>
      </c>
      <c r="S982" s="63" t="s">
        <v>988</v>
      </c>
      <c r="T982" s="63" t="s">
        <v>364</v>
      </c>
      <c r="U982" s="64">
        <v>51000</v>
      </c>
      <c r="V982" s="64">
        <v>56100</v>
      </c>
      <c r="W982" s="64">
        <v>51000</v>
      </c>
      <c r="X982" s="64">
        <v>56100</v>
      </c>
      <c r="Z982" s="64">
        <v>0</v>
      </c>
      <c r="AA982" s="61">
        <v>44648</v>
      </c>
      <c r="AB982" s="61">
        <v>44648</v>
      </c>
      <c r="AD982" s="60">
        <v>0</v>
      </c>
      <c r="AG982" s="60">
        <v>0</v>
      </c>
      <c r="AJ982" s="60">
        <v>0</v>
      </c>
      <c r="AN982" s="60" t="s">
        <v>309</v>
      </c>
      <c r="AQ982" s="60" t="s">
        <v>2937</v>
      </c>
      <c r="AR982" s="61">
        <v>44649</v>
      </c>
      <c r="AS982" s="60">
        <v>6002010132</v>
      </c>
      <c r="AT982" s="61">
        <v>44649</v>
      </c>
      <c r="AU982" s="60" t="s">
        <v>2946</v>
      </c>
      <c r="AV982" s="61">
        <v>44651</v>
      </c>
      <c r="AW982" s="91">
        <v>44651</v>
      </c>
      <c r="AX982" s="91">
        <v>44671</v>
      </c>
      <c r="AY982" s="99">
        <v>48960</v>
      </c>
      <c r="AZ982" s="99">
        <f>ROUNDDOWN(AY982+(AY982*MASTER!$A$2/100),0)</f>
        <v>53856</v>
      </c>
      <c r="BA982" s="60" t="s">
        <v>538</v>
      </c>
      <c r="BB982" s="64">
        <v>21000</v>
      </c>
      <c r="BC982" s="64">
        <v>23100</v>
      </c>
      <c r="BD982" s="60" t="s">
        <v>2154</v>
      </c>
      <c r="BG982" s="64">
        <v>0</v>
      </c>
      <c r="BK982" s="64">
        <v>0</v>
      </c>
      <c r="BS982" s="64">
        <v>0</v>
      </c>
      <c r="BV982" s="65">
        <v>56100</v>
      </c>
      <c r="BW982" s="65">
        <v>23100</v>
      </c>
      <c r="BX982" s="65">
        <v>44643</v>
      </c>
      <c r="BY982" s="65">
        <v>33000</v>
      </c>
      <c r="BZ982" s="81">
        <v>58.82352941176471</v>
      </c>
    </row>
    <row r="983" spans="1:89" x14ac:dyDescent="0.15">
      <c r="A983" s="60">
        <v>2</v>
      </c>
      <c r="B983" s="61">
        <v>44673</v>
      </c>
      <c r="C983" s="61">
        <v>44679</v>
      </c>
      <c r="D983" s="61" t="s">
        <v>764</v>
      </c>
      <c r="E983" s="61">
        <v>44692</v>
      </c>
      <c r="F983" s="61">
        <v>44686</v>
      </c>
      <c r="G983" s="61">
        <v>44682</v>
      </c>
      <c r="H983" s="61">
        <v>44682</v>
      </c>
      <c r="I983" s="60" t="s">
        <v>511</v>
      </c>
      <c r="J983" s="60">
        <v>1</v>
      </c>
      <c r="L983" s="60">
        <v>0</v>
      </c>
      <c r="M983" s="61">
        <v>44643</v>
      </c>
      <c r="O983" s="62" t="s">
        <v>331</v>
      </c>
      <c r="P983" s="60" t="s">
        <v>26</v>
      </c>
      <c r="Q983" s="62" t="s">
        <v>135</v>
      </c>
      <c r="R983" s="62" t="s">
        <v>3245</v>
      </c>
      <c r="S983" s="63" t="s">
        <v>3246</v>
      </c>
      <c r="T983" s="63" t="s">
        <v>502</v>
      </c>
      <c r="U983" s="64">
        <v>23900</v>
      </c>
      <c r="V983" s="64">
        <v>26290</v>
      </c>
      <c r="W983" s="64">
        <v>14700</v>
      </c>
      <c r="X983" s="64">
        <v>16170</v>
      </c>
      <c r="Y983" s="64">
        <v>9200</v>
      </c>
      <c r="Z983" s="64">
        <v>10120</v>
      </c>
      <c r="AA983" s="61">
        <v>44678</v>
      </c>
      <c r="AB983" s="61">
        <v>44679</v>
      </c>
      <c r="AC983" s="61">
        <v>44679</v>
      </c>
      <c r="AD983" s="60">
        <v>0</v>
      </c>
      <c r="AG983" s="60">
        <v>0</v>
      </c>
      <c r="AJ983" s="60">
        <v>0</v>
      </c>
      <c r="AM983" s="60" t="s">
        <v>273</v>
      </c>
      <c r="AN983" s="60" t="s">
        <v>3247</v>
      </c>
      <c r="AQ983" s="60" t="s">
        <v>3027</v>
      </c>
      <c r="AR983" s="61">
        <v>44656</v>
      </c>
      <c r="AS983" s="60">
        <v>6002012142</v>
      </c>
      <c r="AT983" s="61">
        <v>44658</v>
      </c>
      <c r="AU983" s="60" t="s">
        <v>3059</v>
      </c>
      <c r="AV983" s="61">
        <v>44679</v>
      </c>
      <c r="AW983" s="91">
        <v>44681</v>
      </c>
      <c r="AX983" s="91">
        <v>44701</v>
      </c>
      <c r="AY983" s="99">
        <v>22944</v>
      </c>
      <c r="AZ983" s="99">
        <f>ROUNDDOWN(AY983+(AY983*MASTER!$A$2/100),0)</f>
        <v>25238</v>
      </c>
      <c r="BA983" s="60" t="s">
        <v>765</v>
      </c>
      <c r="BC983" s="64">
        <v>0</v>
      </c>
      <c r="BG983" s="64">
        <v>0</v>
      </c>
      <c r="BI983" s="60" t="s">
        <v>748</v>
      </c>
      <c r="BJ983" s="64">
        <v>5980</v>
      </c>
      <c r="BK983" s="64">
        <v>6578</v>
      </c>
      <c r="BL983" s="60" t="s">
        <v>643</v>
      </c>
      <c r="BS983" s="64">
        <v>0</v>
      </c>
      <c r="BV983" s="65">
        <v>16170</v>
      </c>
      <c r="BW983" s="65">
        <v>6578</v>
      </c>
      <c r="BX983" s="65">
        <v>44643</v>
      </c>
      <c r="BY983" s="65">
        <v>9592</v>
      </c>
      <c r="BZ983" s="81">
        <v>59.319727891156461</v>
      </c>
    </row>
    <row r="984" spans="1:89" x14ac:dyDescent="0.15">
      <c r="A984" s="60">
        <v>2</v>
      </c>
      <c r="B984" s="61">
        <v>44673</v>
      </c>
      <c r="C984" s="61">
        <v>44678</v>
      </c>
      <c r="D984" s="61" t="s">
        <v>764</v>
      </c>
      <c r="E984" s="61">
        <v>44680</v>
      </c>
      <c r="F984" s="61">
        <v>44685</v>
      </c>
      <c r="G984" s="61">
        <v>44678</v>
      </c>
      <c r="H984" s="61">
        <v>44681</v>
      </c>
      <c r="I984" s="60" t="s">
        <v>511</v>
      </c>
      <c r="J984" s="60">
        <v>1</v>
      </c>
      <c r="L984" s="60">
        <v>0</v>
      </c>
      <c r="M984" s="61">
        <v>44643</v>
      </c>
      <c r="O984" s="62" t="s">
        <v>331</v>
      </c>
      <c r="P984" s="60" t="s">
        <v>26</v>
      </c>
      <c r="Q984" s="62" t="s">
        <v>135</v>
      </c>
      <c r="R984" s="62" t="s">
        <v>2849</v>
      </c>
      <c r="S984" s="63" t="s">
        <v>856</v>
      </c>
      <c r="T984" s="63" t="s">
        <v>2850</v>
      </c>
      <c r="U984" s="64">
        <v>23900</v>
      </c>
      <c r="V984" s="64">
        <v>26290</v>
      </c>
      <c r="W984" s="64">
        <v>14700</v>
      </c>
      <c r="X984" s="64">
        <v>16170</v>
      </c>
      <c r="Y984" s="64">
        <v>9200</v>
      </c>
      <c r="Z984" s="64">
        <v>10120</v>
      </c>
      <c r="AA984" s="61">
        <v>44676</v>
      </c>
      <c r="AB984" s="61">
        <v>44678</v>
      </c>
      <c r="AC984" s="61">
        <v>44678</v>
      </c>
      <c r="AD984" s="60">
        <v>0</v>
      </c>
      <c r="AG984" s="60">
        <v>0</v>
      </c>
      <c r="AJ984" s="60">
        <v>0</v>
      </c>
      <c r="AM984" s="60" t="s">
        <v>273</v>
      </c>
      <c r="AN984" s="60" t="s">
        <v>2851</v>
      </c>
      <c r="AQ984" s="60" t="s">
        <v>3031</v>
      </c>
      <c r="AR984" s="61">
        <v>44656</v>
      </c>
      <c r="AS984" s="60">
        <v>6002012142</v>
      </c>
      <c r="AT984" s="61">
        <v>44658</v>
      </c>
      <c r="AU984" s="60" t="s">
        <v>3059</v>
      </c>
      <c r="AV984" s="61">
        <v>44678</v>
      </c>
      <c r="AW984" s="91">
        <v>44681</v>
      </c>
      <c r="AX984" s="91">
        <v>44701</v>
      </c>
      <c r="AY984" s="99">
        <v>22944</v>
      </c>
      <c r="AZ984" s="99">
        <f>ROUNDDOWN(AY984+(AY984*MASTER!$A$2/100),0)</f>
        <v>25238</v>
      </c>
      <c r="BA984" s="60" t="s">
        <v>765</v>
      </c>
      <c r="BC984" s="64">
        <v>0</v>
      </c>
      <c r="BG984" s="64">
        <v>0</v>
      </c>
      <c r="BI984" s="60" t="s">
        <v>267</v>
      </c>
      <c r="BJ984" s="64">
        <v>5980</v>
      </c>
      <c r="BK984" s="64">
        <v>6578</v>
      </c>
      <c r="BL984" s="60" t="s">
        <v>2916</v>
      </c>
      <c r="BS984" s="64">
        <v>0</v>
      </c>
      <c r="BV984" s="65">
        <v>16170</v>
      </c>
      <c r="BW984" s="65">
        <v>6578</v>
      </c>
      <c r="BX984" s="65">
        <v>44643</v>
      </c>
      <c r="BY984" s="65">
        <v>9592</v>
      </c>
      <c r="BZ984" s="81">
        <v>59.319727891156461</v>
      </c>
    </row>
    <row r="985" spans="1:89" x14ac:dyDescent="0.15">
      <c r="A985" s="60">
        <v>2</v>
      </c>
      <c r="B985" s="61">
        <v>44673</v>
      </c>
      <c r="C985" s="61">
        <v>44679</v>
      </c>
      <c r="D985" s="61">
        <v>44690</v>
      </c>
      <c r="E985" s="61">
        <v>44681</v>
      </c>
      <c r="F985" s="61">
        <v>44684</v>
      </c>
      <c r="G985" s="61">
        <v>44678</v>
      </c>
      <c r="H985" s="61">
        <v>44680</v>
      </c>
      <c r="I985" s="60" t="s">
        <v>511</v>
      </c>
      <c r="J985" s="60">
        <v>1</v>
      </c>
      <c r="L985" s="60">
        <v>0</v>
      </c>
      <c r="M985" s="61">
        <v>44643</v>
      </c>
      <c r="O985" s="62" t="s">
        <v>331</v>
      </c>
      <c r="P985" s="60" t="s">
        <v>26</v>
      </c>
      <c r="Q985" s="62" t="s">
        <v>135</v>
      </c>
      <c r="R985" s="62" t="s">
        <v>3248</v>
      </c>
      <c r="S985" s="63" t="s">
        <v>1203</v>
      </c>
      <c r="T985" s="63" t="s">
        <v>498</v>
      </c>
      <c r="U985" s="64">
        <v>50000</v>
      </c>
      <c r="V985" s="64">
        <v>55000</v>
      </c>
      <c r="W985" s="64">
        <v>47000</v>
      </c>
      <c r="X985" s="64">
        <v>51700</v>
      </c>
      <c r="Y985" s="64">
        <v>3000</v>
      </c>
      <c r="Z985" s="64">
        <v>3300</v>
      </c>
      <c r="AA985" s="61">
        <v>44676</v>
      </c>
      <c r="AB985" s="61">
        <v>44677</v>
      </c>
      <c r="AC985" s="61">
        <v>44677</v>
      </c>
      <c r="AD985" s="60">
        <v>0</v>
      </c>
      <c r="AG985" s="60">
        <v>0</v>
      </c>
      <c r="AJ985" s="60">
        <v>0</v>
      </c>
      <c r="AM985" s="60" t="s">
        <v>273</v>
      </c>
      <c r="AN985" s="60" t="s">
        <v>3249</v>
      </c>
      <c r="AQ985" s="60" t="s">
        <v>3043</v>
      </c>
      <c r="AR985" s="61">
        <v>44657</v>
      </c>
      <c r="AS985" s="60">
        <v>6002012588</v>
      </c>
      <c r="AT985" s="61">
        <v>44658</v>
      </c>
      <c r="AU985" s="60" t="s">
        <v>3060</v>
      </c>
      <c r="AV985" s="61">
        <v>44679</v>
      </c>
      <c r="AW985" s="91">
        <v>44681</v>
      </c>
      <c r="AX985" s="91">
        <v>44701</v>
      </c>
      <c r="AY985" s="99">
        <v>48000</v>
      </c>
      <c r="AZ985" s="99">
        <f>ROUNDDOWN(AY985+(AY985*MASTER!$A$2/100),0)</f>
        <v>52800</v>
      </c>
      <c r="BA985" s="60" t="s">
        <v>613</v>
      </c>
      <c r="BB985" s="64">
        <v>32000</v>
      </c>
      <c r="BC985" s="64">
        <v>35200</v>
      </c>
      <c r="BD985" s="60" t="s">
        <v>643</v>
      </c>
      <c r="BG985" s="64">
        <v>0</v>
      </c>
      <c r="BI985" s="60" t="s">
        <v>267</v>
      </c>
      <c r="BJ985" s="64">
        <v>1950</v>
      </c>
      <c r="BK985" s="64">
        <v>2145</v>
      </c>
      <c r="BL985" s="60" t="s">
        <v>2916</v>
      </c>
      <c r="BS985" s="64">
        <v>0</v>
      </c>
      <c r="BV985" s="65">
        <v>51700</v>
      </c>
      <c r="BW985" s="65">
        <v>37345</v>
      </c>
      <c r="BX985" s="65">
        <v>44643</v>
      </c>
      <c r="BY985" s="65">
        <v>14355</v>
      </c>
      <c r="BZ985" s="81">
        <v>27.76595744680851</v>
      </c>
    </row>
    <row r="986" spans="1:89" x14ac:dyDescent="0.15">
      <c r="A986" s="60">
        <v>2</v>
      </c>
      <c r="B986" s="61">
        <v>44655</v>
      </c>
      <c r="C986" s="61">
        <v>44658</v>
      </c>
      <c r="D986" s="61">
        <v>44690</v>
      </c>
      <c r="E986" s="61">
        <v>44664</v>
      </c>
      <c r="F986" s="61">
        <v>44665</v>
      </c>
      <c r="G986" s="61">
        <v>44663</v>
      </c>
      <c r="H986" s="61">
        <v>44661</v>
      </c>
      <c r="I986" s="60" t="s">
        <v>511</v>
      </c>
      <c r="J986" s="60">
        <v>1</v>
      </c>
      <c r="L986" s="60">
        <v>0</v>
      </c>
      <c r="M986" s="61">
        <v>44643</v>
      </c>
      <c r="O986" s="62" t="s">
        <v>331</v>
      </c>
      <c r="P986" s="60" t="s">
        <v>26</v>
      </c>
      <c r="Q986" s="62" t="s">
        <v>135</v>
      </c>
      <c r="R986" s="62" t="s">
        <v>2998</v>
      </c>
      <c r="S986" s="63" t="s">
        <v>1584</v>
      </c>
      <c r="T986" s="63" t="s">
        <v>2999</v>
      </c>
      <c r="U986" s="64">
        <v>210500</v>
      </c>
      <c r="V986" s="64">
        <v>231550</v>
      </c>
      <c r="W986" s="64">
        <v>118000</v>
      </c>
      <c r="X986" s="64">
        <v>129800</v>
      </c>
      <c r="Y986" s="64">
        <v>92500</v>
      </c>
      <c r="Z986" s="64">
        <v>101750</v>
      </c>
      <c r="AA986" s="61">
        <v>44657</v>
      </c>
      <c r="AB986" s="61">
        <v>44658</v>
      </c>
      <c r="AC986" s="61">
        <v>44658</v>
      </c>
      <c r="AD986" s="60">
        <v>0</v>
      </c>
      <c r="AG986" s="60">
        <v>0</v>
      </c>
      <c r="AJ986" s="60">
        <v>0</v>
      </c>
      <c r="AM986" s="60" t="s">
        <v>273</v>
      </c>
      <c r="AN986" s="60" t="s">
        <v>3000</v>
      </c>
      <c r="AQ986" s="60" t="s">
        <v>2961</v>
      </c>
      <c r="AR986" s="61">
        <v>44651</v>
      </c>
      <c r="AS986" s="60">
        <v>6002010960</v>
      </c>
      <c r="AT986" s="61">
        <v>44651</v>
      </c>
      <c r="AU986" s="60" t="s">
        <v>2968</v>
      </c>
      <c r="AV986" s="61">
        <v>44658</v>
      </c>
      <c r="AW986" s="91">
        <v>44681</v>
      </c>
      <c r="AX986" s="91">
        <v>44701</v>
      </c>
      <c r="AY986" s="99">
        <v>202080</v>
      </c>
      <c r="AZ986" s="99">
        <f>ROUNDDOWN(AY986+(AY986*MASTER!$A$2/100),0)</f>
        <v>222288</v>
      </c>
      <c r="BA986" s="60" t="s">
        <v>318</v>
      </c>
      <c r="BB986" s="64">
        <v>32000</v>
      </c>
      <c r="BC986" s="64">
        <v>35200</v>
      </c>
      <c r="BD986" s="60" t="s">
        <v>643</v>
      </c>
      <c r="BG986" s="64">
        <v>0</v>
      </c>
      <c r="BI986" s="60" t="s">
        <v>267</v>
      </c>
      <c r="BJ986" s="64">
        <v>60125</v>
      </c>
      <c r="BK986" s="64">
        <v>66137.5</v>
      </c>
      <c r="BL986" s="60" t="s">
        <v>2916</v>
      </c>
      <c r="BS986" s="64">
        <v>0</v>
      </c>
      <c r="BV986" s="65">
        <v>129800</v>
      </c>
      <c r="BW986" s="65">
        <v>101337.5</v>
      </c>
      <c r="BX986" s="65">
        <v>44643</v>
      </c>
      <c r="BY986" s="65">
        <v>28462.5</v>
      </c>
      <c r="BZ986" s="81">
        <v>21.927966101694913</v>
      </c>
    </row>
    <row r="987" spans="1:89" x14ac:dyDescent="0.15">
      <c r="A987" s="60">
        <v>2</v>
      </c>
      <c r="B987" s="61">
        <v>44673</v>
      </c>
      <c r="C987" s="61">
        <v>44678</v>
      </c>
      <c r="D987" s="61">
        <v>44690</v>
      </c>
      <c r="E987" s="61">
        <v>44681</v>
      </c>
      <c r="F987" s="61">
        <v>44684</v>
      </c>
      <c r="G987" s="61">
        <v>44678</v>
      </c>
      <c r="H987" s="61">
        <v>44680</v>
      </c>
      <c r="I987" s="60" t="s">
        <v>511</v>
      </c>
      <c r="J987" s="60">
        <v>1</v>
      </c>
      <c r="L987" s="60">
        <v>0</v>
      </c>
      <c r="M987" s="61">
        <v>44643</v>
      </c>
      <c r="O987" s="62" t="s">
        <v>331</v>
      </c>
      <c r="P987" s="60" t="s">
        <v>26</v>
      </c>
      <c r="Q987" s="62" t="s">
        <v>135</v>
      </c>
      <c r="R987" s="62" t="s">
        <v>3175</v>
      </c>
      <c r="S987" s="63" t="s">
        <v>1387</v>
      </c>
      <c r="T987" s="63" t="s">
        <v>1320</v>
      </c>
      <c r="U987" s="64">
        <v>166500</v>
      </c>
      <c r="V987" s="64">
        <v>183150</v>
      </c>
      <c r="W987" s="64">
        <v>78000</v>
      </c>
      <c r="X987" s="64">
        <v>85800</v>
      </c>
      <c r="Y987" s="64">
        <v>88500</v>
      </c>
      <c r="Z987" s="64">
        <v>97350</v>
      </c>
      <c r="AA987" s="61">
        <v>44676</v>
      </c>
      <c r="AB987" s="61">
        <v>44677</v>
      </c>
      <c r="AC987" s="61">
        <v>44677</v>
      </c>
      <c r="AD987" s="60">
        <v>0</v>
      </c>
      <c r="AG987" s="60">
        <v>0</v>
      </c>
      <c r="AJ987" s="60">
        <v>0</v>
      </c>
      <c r="AM987" s="60" t="s">
        <v>273</v>
      </c>
      <c r="AN987" s="60" t="s">
        <v>3176</v>
      </c>
      <c r="AQ987" s="60" t="s">
        <v>3032</v>
      </c>
      <c r="AR987" s="61">
        <v>44656</v>
      </c>
      <c r="AS987" s="60">
        <v>6002012142</v>
      </c>
      <c r="AT987" s="61">
        <v>44658</v>
      </c>
      <c r="AU987" s="60" t="s">
        <v>3059</v>
      </c>
      <c r="AV987" s="61">
        <v>44678</v>
      </c>
      <c r="AW987" s="91">
        <v>44681</v>
      </c>
      <c r="AX987" s="91">
        <v>44701</v>
      </c>
      <c r="AY987" s="99">
        <v>159840</v>
      </c>
      <c r="AZ987" s="99">
        <f>ROUNDDOWN(AY987+(AY987*MASTER!$A$2/100),0)</f>
        <v>175824</v>
      </c>
      <c r="BA987" s="60" t="s">
        <v>613</v>
      </c>
      <c r="BB987" s="64">
        <v>30000</v>
      </c>
      <c r="BC987" s="64">
        <v>33000</v>
      </c>
      <c r="BD987" s="60" t="s">
        <v>643</v>
      </c>
      <c r="BG987" s="64">
        <v>0</v>
      </c>
      <c r="BI987" s="60" t="s">
        <v>267</v>
      </c>
      <c r="BJ987" s="64">
        <v>57525</v>
      </c>
      <c r="BK987" s="64">
        <v>63277.5</v>
      </c>
      <c r="BL987" s="60" t="s">
        <v>2916</v>
      </c>
      <c r="BS987" s="64">
        <v>0</v>
      </c>
      <c r="BV987" s="65">
        <v>85800</v>
      </c>
      <c r="BW987" s="65">
        <v>96277.5</v>
      </c>
      <c r="BX987" s="65">
        <v>44643</v>
      </c>
      <c r="BY987" s="65">
        <v>-10477.5</v>
      </c>
      <c r="BZ987" s="81">
        <v>-12.211538461538462</v>
      </c>
    </row>
    <row r="988" spans="1:89" x14ac:dyDescent="0.15">
      <c r="A988" s="60">
        <v>2</v>
      </c>
      <c r="B988" s="61">
        <v>44664</v>
      </c>
      <c r="C988" s="61">
        <v>44669</v>
      </c>
      <c r="D988" s="61">
        <v>44693</v>
      </c>
      <c r="E988" s="61">
        <v>44671</v>
      </c>
      <c r="F988" s="61">
        <v>44676</v>
      </c>
      <c r="G988" s="61">
        <v>44670</v>
      </c>
      <c r="H988" s="61">
        <v>44672</v>
      </c>
      <c r="I988" s="60" t="s">
        <v>774</v>
      </c>
      <c r="J988" s="60">
        <v>1</v>
      </c>
      <c r="L988" s="60">
        <v>0</v>
      </c>
      <c r="M988" s="61">
        <v>44643</v>
      </c>
      <c r="O988" s="62" t="s">
        <v>331</v>
      </c>
      <c r="P988" s="60" t="s">
        <v>26</v>
      </c>
      <c r="Q988" s="62" t="s">
        <v>135</v>
      </c>
      <c r="R988" s="62" t="s">
        <v>3112</v>
      </c>
      <c r="S988" s="63" t="s">
        <v>1016</v>
      </c>
      <c r="T988" s="63" t="s">
        <v>3113</v>
      </c>
      <c r="U988" s="64">
        <v>261500</v>
      </c>
      <c r="V988" s="64">
        <v>287650</v>
      </c>
      <c r="W988" s="64">
        <v>94000</v>
      </c>
      <c r="X988" s="64">
        <v>103400</v>
      </c>
      <c r="Y988" s="64">
        <v>167500</v>
      </c>
      <c r="Z988" s="64">
        <v>184250</v>
      </c>
      <c r="AA988" s="61">
        <v>44668</v>
      </c>
      <c r="AB988" s="61">
        <v>44669</v>
      </c>
      <c r="AC988" s="61">
        <v>44669</v>
      </c>
      <c r="AD988" s="60">
        <v>0</v>
      </c>
      <c r="AG988" s="60">
        <v>0</v>
      </c>
      <c r="AJ988" s="60">
        <v>0</v>
      </c>
      <c r="AM988" s="60" t="s">
        <v>273</v>
      </c>
      <c r="AN988" s="60" t="s">
        <v>3114</v>
      </c>
      <c r="AQ988" s="60" t="s">
        <v>3039</v>
      </c>
      <c r="AR988" s="61">
        <v>44657</v>
      </c>
      <c r="AS988" s="60">
        <v>6002012588</v>
      </c>
      <c r="AT988" s="61">
        <v>44658</v>
      </c>
      <c r="AU988" s="60" t="s">
        <v>3060</v>
      </c>
      <c r="AV988" s="61">
        <v>44669</v>
      </c>
      <c r="AW988" s="91">
        <v>44681</v>
      </c>
      <c r="AX988" s="91">
        <v>44701</v>
      </c>
      <c r="AY988" s="99">
        <v>251040</v>
      </c>
      <c r="AZ988" s="99">
        <f>ROUNDDOWN(AY988+(AY988*MASTER!$A$2/100),0)</f>
        <v>276144</v>
      </c>
      <c r="BA988" s="60" t="s">
        <v>317</v>
      </c>
      <c r="BB988" s="64">
        <v>35000</v>
      </c>
      <c r="BC988" s="64">
        <v>38500</v>
      </c>
      <c r="BD988" s="60" t="s">
        <v>643</v>
      </c>
      <c r="BG988" s="64">
        <v>0</v>
      </c>
      <c r="BI988" s="60" t="s">
        <v>748</v>
      </c>
      <c r="BJ988" s="64">
        <v>108875</v>
      </c>
      <c r="BK988" s="64">
        <v>119762.5</v>
      </c>
      <c r="BL988" s="60" t="s">
        <v>643</v>
      </c>
      <c r="BS988" s="64">
        <v>0</v>
      </c>
      <c r="BV988" s="65">
        <v>103400</v>
      </c>
      <c r="BW988" s="65">
        <v>158262.5</v>
      </c>
      <c r="BX988" s="65">
        <v>44643</v>
      </c>
      <c r="BY988" s="65">
        <v>-54862.5</v>
      </c>
      <c r="BZ988" s="81">
        <v>-53.058510638297875</v>
      </c>
    </row>
    <row r="989" spans="1:89" x14ac:dyDescent="0.15">
      <c r="A989" s="60">
        <v>1</v>
      </c>
      <c r="C989" s="61" t="s">
        <v>309</v>
      </c>
      <c r="F989" s="61" t="s">
        <v>309</v>
      </c>
      <c r="H989" s="61" t="s">
        <v>309</v>
      </c>
      <c r="J989" s="60">
        <v>2</v>
      </c>
      <c r="K989" s="61">
        <v>44754</v>
      </c>
      <c r="L989" s="60" t="s">
        <v>529</v>
      </c>
      <c r="M989" s="61">
        <v>44643</v>
      </c>
      <c r="O989" s="62" t="s">
        <v>331</v>
      </c>
      <c r="P989" s="60" t="s">
        <v>6</v>
      </c>
      <c r="Q989" s="62" t="s">
        <v>135</v>
      </c>
      <c r="R989" s="62" t="s">
        <v>3458</v>
      </c>
      <c r="S989" s="63" t="s">
        <v>1691</v>
      </c>
      <c r="T989" s="63" t="s">
        <v>656</v>
      </c>
      <c r="U989" s="64">
        <v>49500</v>
      </c>
      <c r="V989" s="64">
        <v>54450</v>
      </c>
      <c r="W989" s="64">
        <v>49500</v>
      </c>
      <c r="X989" s="64">
        <v>54450</v>
      </c>
      <c r="Y989" s="64">
        <v>0</v>
      </c>
      <c r="Z989" s="64">
        <v>0</v>
      </c>
      <c r="AD989" s="60">
        <v>0</v>
      </c>
      <c r="AG989" s="60">
        <v>0</v>
      </c>
      <c r="AJ989" s="60">
        <v>0</v>
      </c>
      <c r="AN989" s="60" t="s">
        <v>309</v>
      </c>
      <c r="AQ989" s="60" t="s">
        <v>4024</v>
      </c>
      <c r="AR989" s="61">
        <v>44757</v>
      </c>
      <c r="AS989" s="60">
        <v>6002052729</v>
      </c>
      <c r="AT989" s="61">
        <v>44761</v>
      </c>
      <c r="AU989" s="60" t="s">
        <v>4029</v>
      </c>
      <c r="AV989" s="61">
        <v>44885</v>
      </c>
      <c r="AY989" s="99">
        <v>47520</v>
      </c>
      <c r="AZ989" s="99">
        <f>ROUNDDOWN(AY989+(AY989*MASTER!$A$2/100),0)</f>
        <v>52272</v>
      </c>
      <c r="BC989" s="64">
        <v>0</v>
      </c>
      <c r="BG989" s="64">
        <v>0</v>
      </c>
      <c r="BK989" s="64">
        <v>0</v>
      </c>
      <c r="BS989" s="64">
        <v>0</v>
      </c>
      <c r="BV989" s="65">
        <v>54450</v>
      </c>
      <c r="BW989" s="65">
        <v>0</v>
      </c>
      <c r="BX989" s="65">
        <v>0</v>
      </c>
      <c r="BY989" s="65">
        <v>44754</v>
      </c>
      <c r="BZ989" s="81">
        <v>100</v>
      </c>
      <c r="CD989" s="63" t="s">
        <v>3965</v>
      </c>
    </row>
    <row r="990" spans="1:89" s="152" customFormat="1" x14ac:dyDescent="0.15">
      <c r="A990" s="142">
        <v>3</v>
      </c>
      <c r="B990" s="143"/>
      <c r="C990" s="143" t="s">
        <v>309</v>
      </c>
      <c r="D990" s="143"/>
      <c r="E990" s="143"/>
      <c r="F990" s="143" t="s">
        <v>309</v>
      </c>
      <c r="G990" s="143"/>
      <c r="H990" s="143" t="s">
        <v>309</v>
      </c>
      <c r="I990" s="142"/>
      <c r="J990" s="142">
        <v>2</v>
      </c>
      <c r="K990" s="143"/>
      <c r="L990" s="142">
        <v>0</v>
      </c>
      <c r="M990" s="143">
        <v>44643</v>
      </c>
      <c r="N990" s="143"/>
      <c r="O990" s="144" t="s">
        <v>331</v>
      </c>
      <c r="P990" s="142" t="s">
        <v>6</v>
      </c>
      <c r="Q990" s="144" t="s">
        <v>135</v>
      </c>
      <c r="R990" s="144" t="s">
        <v>3451</v>
      </c>
      <c r="S990" s="145" t="s">
        <v>696</v>
      </c>
      <c r="T990" s="145" t="s">
        <v>364</v>
      </c>
      <c r="U990" s="146">
        <v>35000</v>
      </c>
      <c r="V990" s="146">
        <v>38500</v>
      </c>
      <c r="W990" s="146">
        <v>35000</v>
      </c>
      <c r="X990" s="146">
        <v>38500</v>
      </c>
      <c r="Y990" s="146">
        <v>0</v>
      </c>
      <c r="Z990" s="146">
        <v>0</v>
      </c>
      <c r="AA990" s="143"/>
      <c r="AB990" s="143"/>
      <c r="AC990" s="143"/>
      <c r="AD990" s="142">
        <v>0</v>
      </c>
      <c r="AE990" s="142"/>
      <c r="AF990" s="142"/>
      <c r="AG990" s="142">
        <v>0</v>
      </c>
      <c r="AH990" s="142"/>
      <c r="AI990" s="142"/>
      <c r="AJ990" s="142">
        <v>0</v>
      </c>
      <c r="AK990" s="142"/>
      <c r="AL990" s="142"/>
      <c r="AM990" s="142"/>
      <c r="AN990" s="142" t="s">
        <v>309</v>
      </c>
      <c r="AO990" s="143"/>
      <c r="AP990" s="142"/>
      <c r="AQ990" s="142"/>
      <c r="AR990" s="143"/>
      <c r="AS990" s="142"/>
      <c r="AT990" s="143"/>
      <c r="AU990" s="142"/>
      <c r="AV990" s="143"/>
      <c r="AW990" s="147"/>
      <c r="AX990" s="147"/>
      <c r="AY990" s="148">
        <v>33600</v>
      </c>
      <c r="AZ990" s="148">
        <f>ROUNDDOWN(AY990+(AY990*MASTER!$A$2/100),0)</f>
        <v>36960</v>
      </c>
      <c r="BA990" s="142"/>
      <c r="BB990" s="146"/>
      <c r="BC990" s="146">
        <v>0</v>
      </c>
      <c r="BD990" s="142"/>
      <c r="BE990" s="142"/>
      <c r="BF990" s="146"/>
      <c r="BG990" s="146">
        <v>0</v>
      </c>
      <c r="BH990" s="142"/>
      <c r="BI990" s="142"/>
      <c r="BJ990" s="146"/>
      <c r="BK990" s="146">
        <v>0</v>
      </c>
      <c r="BL990" s="142"/>
      <c r="BM990" s="146"/>
      <c r="BN990" s="146"/>
      <c r="BO990" s="146"/>
      <c r="BP990" s="146"/>
      <c r="BQ990" s="146"/>
      <c r="BR990" s="146"/>
      <c r="BS990" s="146">
        <v>0</v>
      </c>
      <c r="BT990" s="149"/>
      <c r="BU990" s="149"/>
      <c r="BV990" s="150">
        <v>38500</v>
      </c>
      <c r="BW990" s="150">
        <v>0</v>
      </c>
      <c r="BX990" s="150">
        <v>44643</v>
      </c>
      <c r="BY990" s="150">
        <v>38500</v>
      </c>
      <c r="BZ990" s="151">
        <v>100</v>
      </c>
      <c r="CA990" s="142"/>
      <c r="CB990" s="142"/>
      <c r="CC990" s="142"/>
      <c r="CD990" s="145" t="s">
        <v>3452</v>
      </c>
      <c r="CE990" s="143"/>
      <c r="CF990" s="143"/>
      <c r="CG990" s="143"/>
      <c r="CH990" s="143"/>
      <c r="CI990" s="143"/>
      <c r="CJ990" s="143"/>
      <c r="CK990" s="146"/>
    </row>
    <row r="991" spans="1:89" x14ac:dyDescent="0.15">
      <c r="A991" s="60">
        <v>2</v>
      </c>
      <c r="C991" s="61" t="s">
        <v>309</v>
      </c>
      <c r="F991" s="61" t="s">
        <v>309</v>
      </c>
      <c r="H991" s="61" t="s">
        <v>309</v>
      </c>
      <c r="J991" s="60">
        <v>4</v>
      </c>
      <c r="L991" s="60">
        <v>0</v>
      </c>
      <c r="M991" s="61">
        <v>44643</v>
      </c>
      <c r="O991" s="62" t="s">
        <v>335</v>
      </c>
      <c r="P991" s="60" t="s">
        <v>430</v>
      </c>
      <c r="Q991" s="62" t="s">
        <v>2523</v>
      </c>
      <c r="R991" s="62" t="s">
        <v>2852</v>
      </c>
      <c r="S991" s="63" t="s">
        <v>602</v>
      </c>
      <c r="T991" s="63" t="s">
        <v>3297</v>
      </c>
      <c r="U991" s="64">
        <v>0</v>
      </c>
      <c r="V991" s="64">
        <v>0</v>
      </c>
      <c r="W991" s="64">
        <v>0</v>
      </c>
      <c r="X991" s="64">
        <v>0</v>
      </c>
      <c r="Y991" s="64">
        <v>0</v>
      </c>
      <c r="Z991" s="64">
        <v>0</v>
      </c>
      <c r="AA991" s="61">
        <v>44621</v>
      </c>
      <c r="AB991" s="61">
        <v>44651</v>
      </c>
      <c r="AD991" s="60">
        <v>0</v>
      </c>
      <c r="AG991" s="60">
        <v>0</v>
      </c>
      <c r="AJ991" s="60">
        <v>0</v>
      </c>
      <c r="AN991" s="60" t="s">
        <v>309</v>
      </c>
      <c r="AY991" s="99">
        <f>ROUNDDOWN((0.96*U991),0)</f>
        <v>0</v>
      </c>
      <c r="AZ991" s="99">
        <f>ROUNDDOWN(AY991+(AY991*MASTER!$A$2/100),0)</f>
        <v>0</v>
      </c>
      <c r="BA991" s="60" t="s">
        <v>603</v>
      </c>
      <c r="BB991" s="64">
        <v>4000</v>
      </c>
      <c r="BC991" s="64">
        <v>4400</v>
      </c>
      <c r="BD991" s="60" t="s">
        <v>2154</v>
      </c>
      <c r="BG991" s="64">
        <v>0</v>
      </c>
      <c r="BK991" s="64">
        <v>0</v>
      </c>
      <c r="BS991" s="64">
        <v>0</v>
      </c>
      <c r="BV991" s="65">
        <v>0</v>
      </c>
      <c r="BW991" s="65">
        <v>4400</v>
      </c>
      <c r="BX991" s="65">
        <v>44643</v>
      </c>
      <c r="BY991" s="65">
        <v>-4400</v>
      </c>
      <c r="BZ991" s="81" t="s">
        <v>309</v>
      </c>
    </row>
    <row r="992" spans="1:89" x14ac:dyDescent="0.15">
      <c r="A992" s="60">
        <v>2</v>
      </c>
      <c r="B992" s="61">
        <v>44655</v>
      </c>
      <c r="C992" s="61">
        <v>44655</v>
      </c>
      <c r="D992" s="61" t="s">
        <v>764</v>
      </c>
      <c r="E992" s="61">
        <v>44658</v>
      </c>
      <c r="F992" s="61">
        <v>44662</v>
      </c>
      <c r="G992" s="61">
        <v>44656</v>
      </c>
      <c r="H992" s="61">
        <v>44658</v>
      </c>
      <c r="I992" s="60" t="s">
        <v>511</v>
      </c>
      <c r="J992" s="60">
        <v>1</v>
      </c>
      <c r="L992" s="60">
        <v>0</v>
      </c>
      <c r="M992" s="61">
        <v>44644</v>
      </c>
      <c r="O992" s="62" t="s">
        <v>331</v>
      </c>
      <c r="P992" s="60" t="s">
        <v>26</v>
      </c>
      <c r="Q992" s="62" t="s">
        <v>135</v>
      </c>
      <c r="R992" s="62" t="s">
        <v>3007</v>
      </c>
      <c r="S992" s="63" t="s">
        <v>1255</v>
      </c>
      <c r="T992" s="63" t="s">
        <v>3008</v>
      </c>
      <c r="U992" s="64">
        <v>23900</v>
      </c>
      <c r="V992" s="64">
        <v>26290</v>
      </c>
      <c r="W992" s="64">
        <v>14700</v>
      </c>
      <c r="X992" s="64">
        <v>16170</v>
      </c>
      <c r="Y992" s="64">
        <v>9200</v>
      </c>
      <c r="Z992" s="64">
        <v>10120</v>
      </c>
      <c r="AA992" s="61">
        <v>44654</v>
      </c>
      <c r="AB992" s="61">
        <v>44655</v>
      </c>
      <c r="AC992" s="61">
        <v>44655</v>
      </c>
      <c r="AD992" s="60">
        <v>0</v>
      </c>
      <c r="AG992" s="60">
        <v>0</v>
      </c>
      <c r="AJ992" s="60">
        <v>0</v>
      </c>
      <c r="AM992" s="60" t="s">
        <v>273</v>
      </c>
      <c r="AN992" s="60" t="s">
        <v>3009</v>
      </c>
      <c r="AQ992" s="60" t="s">
        <v>2985</v>
      </c>
      <c r="AR992" s="61">
        <v>44652</v>
      </c>
      <c r="AS992" s="60">
        <v>6002011404</v>
      </c>
      <c r="AT992" s="61">
        <v>44652</v>
      </c>
      <c r="AU992" s="60" t="s">
        <v>2990</v>
      </c>
      <c r="AV992" s="61">
        <v>44655</v>
      </c>
      <c r="AW992" s="91">
        <v>44681</v>
      </c>
      <c r="AX992" s="91">
        <v>44701</v>
      </c>
      <c r="AY992" s="99">
        <v>22944</v>
      </c>
      <c r="AZ992" s="99">
        <f>ROUNDDOWN(AY992+(AY992*MASTER!$A$2/100),0)</f>
        <v>25238</v>
      </c>
      <c r="BA992" s="60" t="s">
        <v>765</v>
      </c>
      <c r="BC992" s="64">
        <v>0</v>
      </c>
      <c r="BG992" s="64">
        <v>0</v>
      </c>
      <c r="BI992" s="60" t="s">
        <v>267</v>
      </c>
      <c r="BJ992" s="64">
        <v>5980</v>
      </c>
      <c r="BK992" s="64">
        <v>6578</v>
      </c>
      <c r="BL992" s="60" t="s">
        <v>2916</v>
      </c>
      <c r="BS992" s="64">
        <v>0</v>
      </c>
      <c r="BV992" s="65">
        <v>16170</v>
      </c>
      <c r="BW992" s="65">
        <v>6578</v>
      </c>
      <c r="BX992" s="65">
        <v>44644</v>
      </c>
      <c r="BY992" s="65">
        <v>9592</v>
      </c>
      <c r="BZ992" s="81">
        <v>59.319727891156461</v>
      </c>
    </row>
    <row r="993" spans="1:89" x14ac:dyDescent="0.15">
      <c r="A993" s="60">
        <v>2</v>
      </c>
      <c r="B993" s="61">
        <v>44673</v>
      </c>
      <c r="C993" s="61">
        <v>44678</v>
      </c>
      <c r="D993" s="61" t="s">
        <v>764</v>
      </c>
      <c r="E993" s="61">
        <v>44681</v>
      </c>
      <c r="F993" s="61">
        <v>44686</v>
      </c>
      <c r="G993" s="61">
        <v>44681</v>
      </c>
      <c r="H993" s="61">
        <v>44682</v>
      </c>
      <c r="I993" s="60" t="s">
        <v>774</v>
      </c>
      <c r="J993" s="60">
        <v>1</v>
      </c>
      <c r="L993" s="60">
        <v>0</v>
      </c>
      <c r="M993" s="61">
        <v>44644</v>
      </c>
      <c r="O993" s="62" t="s">
        <v>331</v>
      </c>
      <c r="P993" s="60" t="s">
        <v>26</v>
      </c>
      <c r="Q993" s="62" t="s">
        <v>135</v>
      </c>
      <c r="R993" s="62" t="s">
        <v>3250</v>
      </c>
      <c r="S993" s="63" t="s">
        <v>1922</v>
      </c>
      <c r="T993" s="63" t="s">
        <v>2455</v>
      </c>
      <c r="U993" s="64">
        <v>23900</v>
      </c>
      <c r="V993" s="64">
        <v>26290</v>
      </c>
      <c r="W993" s="64">
        <v>14700</v>
      </c>
      <c r="X993" s="64">
        <v>16170</v>
      </c>
      <c r="Y993" s="64">
        <v>9200</v>
      </c>
      <c r="Z993" s="64">
        <v>10120</v>
      </c>
      <c r="AA993" s="61">
        <v>44678</v>
      </c>
      <c r="AB993" s="61">
        <v>44679</v>
      </c>
      <c r="AC993" s="61">
        <v>44679</v>
      </c>
      <c r="AD993" s="60">
        <v>0</v>
      </c>
      <c r="AG993" s="60">
        <v>0</v>
      </c>
      <c r="AJ993" s="60">
        <v>0</v>
      </c>
      <c r="AM993" s="60" t="s">
        <v>273</v>
      </c>
      <c r="AN993" s="60" t="s">
        <v>3251</v>
      </c>
      <c r="AQ993" s="60" t="s">
        <v>3158</v>
      </c>
      <c r="AR993" s="61">
        <v>44666</v>
      </c>
      <c r="AS993" s="60">
        <v>6002016773</v>
      </c>
      <c r="AT993" s="61">
        <v>44669</v>
      </c>
      <c r="AU993" s="60" t="s">
        <v>3179</v>
      </c>
      <c r="AV993" s="61">
        <v>44678</v>
      </c>
      <c r="AW993" s="91">
        <v>44681</v>
      </c>
      <c r="AX993" s="91">
        <v>44701</v>
      </c>
      <c r="AY993" s="99">
        <v>22944</v>
      </c>
      <c r="AZ993" s="99">
        <f>ROUNDDOWN(AY993+(AY993*MASTER!$A$2/100),0)</f>
        <v>25238</v>
      </c>
      <c r="BA993" s="60" t="s">
        <v>765</v>
      </c>
      <c r="BC993" s="64">
        <v>0</v>
      </c>
      <c r="BG993" s="64">
        <v>0</v>
      </c>
      <c r="BI993" s="60" t="s">
        <v>267</v>
      </c>
      <c r="BJ993" s="64">
        <v>5980</v>
      </c>
      <c r="BK993" s="64">
        <v>6578</v>
      </c>
      <c r="BL993" s="60" t="s">
        <v>2916</v>
      </c>
      <c r="BS993" s="64">
        <v>0</v>
      </c>
      <c r="BV993" s="65">
        <v>16170</v>
      </c>
      <c r="BW993" s="65">
        <v>6578</v>
      </c>
      <c r="BX993" s="65">
        <v>44644</v>
      </c>
      <c r="BY993" s="65">
        <v>9592</v>
      </c>
      <c r="BZ993" s="81">
        <v>59.319727891156461</v>
      </c>
    </row>
    <row r="994" spans="1:89" x14ac:dyDescent="0.15">
      <c r="A994" s="60">
        <v>2</v>
      </c>
      <c r="B994" s="61">
        <v>44664</v>
      </c>
      <c r="C994" s="61">
        <v>44670</v>
      </c>
      <c r="D994" s="61" t="s">
        <v>764</v>
      </c>
      <c r="E994" s="61">
        <v>44680</v>
      </c>
      <c r="F994" s="61">
        <v>44677</v>
      </c>
      <c r="G994" s="61">
        <v>44670</v>
      </c>
      <c r="H994" s="61">
        <v>44673</v>
      </c>
      <c r="I994" s="60" t="s">
        <v>511</v>
      </c>
      <c r="J994" s="60">
        <v>1</v>
      </c>
      <c r="L994" s="60">
        <v>0</v>
      </c>
      <c r="M994" s="61">
        <v>44644</v>
      </c>
      <c r="O994" s="62" t="s">
        <v>331</v>
      </c>
      <c r="P994" s="60" t="s">
        <v>26</v>
      </c>
      <c r="Q994" s="62" t="s">
        <v>135</v>
      </c>
      <c r="R994" s="62" t="s">
        <v>3118</v>
      </c>
      <c r="S994" s="63" t="s">
        <v>3119</v>
      </c>
      <c r="T994" s="63" t="s">
        <v>502</v>
      </c>
      <c r="U994" s="64">
        <v>23900</v>
      </c>
      <c r="V994" s="64">
        <v>26290</v>
      </c>
      <c r="W994" s="64">
        <v>14700</v>
      </c>
      <c r="X994" s="64">
        <v>16170</v>
      </c>
      <c r="Y994" s="64">
        <v>9200</v>
      </c>
      <c r="Z994" s="64">
        <v>10120</v>
      </c>
      <c r="AA994" s="61">
        <v>44669</v>
      </c>
      <c r="AB994" s="61">
        <v>44670</v>
      </c>
      <c r="AC994" s="61">
        <v>44670</v>
      </c>
      <c r="AD994" s="60">
        <v>0</v>
      </c>
      <c r="AG994" s="60">
        <v>0</v>
      </c>
      <c r="AJ994" s="60">
        <v>0</v>
      </c>
      <c r="AM994" s="60" t="s">
        <v>273</v>
      </c>
      <c r="AN994" s="60" t="s">
        <v>3120</v>
      </c>
      <c r="AQ994" s="60" t="s">
        <v>3033</v>
      </c>
      <c r="AR994" s="61">
        <v>44656</v>
      </c>
      <c r="AS994" s="60">
        <v>6002012142</v>
      </c>
      <c r="AT994" s="61">
        <v>44658</v>
      </c>
      <c r="AU994" s="60" t="s">
        <v>3059</v>
      </c>
      <c r="AV994" s="61">
        <v>44670</v>
      </c>
      <c r="AW994" s="91">
        <v>44681</v>
      </c>
      <c r="AX994" s="91">
        <v>44701</v>
      </c>
      <c r="AY994" s="99">
        <v>22944</v>
      </c>
      <c r="AZ994" s="99">
        <f>ROUNDDOWN(AY994+(AY994*MASTER!$A$2/100),0)</f>
        <v>25238</v>
      </c>
      <c r="BA994" s="60" t="s">
        <v>765</v>
      </c>
      <c r="BC994" s="64">
        <v>0</v>
      </c>
      <c r="BG994" s="64">
        <v>0</v>
      </c>
      <c r="BI994" s="60" t="s">
        <v>267</v>
      </c>
      <c r="BJ994" s="64">
        <v>5980</v>
      </c>
      <c r="BK994" s="64">
        <v>6578</v>
      </c>
      <c r="BL994" s="60" t="s">
        <v>2916</v>
      </c>
      <c r="BS994" s="64">
        <v>0</v>
      </c>
      <c r="BV994" s="65">
        <v>16170</v>
      </c>
      <c r="BW994" s="65">
        <v>6578</v>
      </c>
      <c r="BX994" s="65">
        <v>44644</v>
      </c>
      <c r="BY994" s="65">
        <v>9592</v>
      </c>
      <c r="BZ994" s="81">
        <v>59.319727891156461</v>
      </c>
    </row>
    <row r="995" spans="1:89" x14ac:dyDescent="0.15">
      <c r="A995" s="60">
        <v>2</v>
      </c>
      <c r="B995" s="61">
        <v>44673</v>
      </c>
      <c r="C995" s="61">
        <v>44677</v>
      </c>
      <c r="D995" s="61" t="s">
        <v>764</v>
      </c>
      <c r="E995" s="61">
        <v>44680</v>
      </c>
      <c r="F995" s="61">
        <v>44684</v>
      </c>
      <c r="G995" s="61">
        <v>44678</v>
      </c>
      <c r="H995" s="61">
        <v>44680</v>
      </c>
      <c r="I995" s="60" t="s">
        <v>511</v>
      </c>
      <c r="J995" s="60">
        <v>1</v>
      </c>
      <c r="L995" s="60">
        <v>0</v>
      </c>
      <c r="M995" s="61">
        <v>44644</v>
      </c>
      <c r="O995" s="62" t="s">
        <v>331</v>
      </c>
      <c r="P995" s="60" t="s">
        <v>26</v>
      </c>
      <c r="Q995" s="62" t="s">
        <v>135</v>
      </c>
      <c r="R995" s="62" t="s">
        <v>3252</v>
      </c>
      <c r="S995" s="63" t="s">
        <v>1767</v>
      </c>
      <c r="T995" s="63" t="s">
        <v>502</v>
      </c>
      <c r="U995" s="64">
        <v>23900</v>
      </c>
      <c r="V995" s="64">
        <v>26290</v>
      </c>
      <c r="W995" s="64">
        <v>14700</v>
      </c>
      <c r="X995" s="64">
        <v>16170</v>
      </c>
      <c r="Y995" s="64">
        <v>9200</v>
      </c>
      <c r="Z995" s="64">
        <v>10120</v>
      </c>
      <c r="AA995" s="61">
        <v>44676</v>
      </c>
      <c r="AB995" s="61">
        <v>44677</v>
      </c>
      <c r="AC995" s="61">
        <v>44677</v>
      </c>
      <c r="AD995" s="60">
        <v>0</v>
      </c>
      <c r="AG995" s="60">
        <v>0</v>
      </c>
      <c r="AJ995" s="60">
        <v>0</v>
      </c>
      <c r="AM995" s="60" t="s">
        <v>273</v>
      </c>
      <c r="AN995" s="60" t="s">
        <v>3253</v>
      </c>
      <c r="AQ995" s="60" t="s">
        <v>3044</v>
      </c>
      <c r="AR995" s="61">
        <v>44657</v>
      </c>
      <c r="AS995" s="60">
        <v>6002012588</v>
      </c>
      <c r="AT995" s="61">
        <v>44658</v>
      </c>
      <c r="AU995" s="60" t="s">
        <v>3060</v>
      </c>
      <c r="AV995" s="61">
        <v>44677</v>
      </c>
      <c r="AW995" s="91">
        <v>44681</v>
      </c>
      <c r="AX995" s="91">
        <v>44701</v>
      </c>
      <c r="AY995" s="99">
        <v>22944</v>
      </c>
      <c r="AZ995" s="99">
        <f>ROUNDDOWN(AY995+(AY995*MASTER!$A$2/100),0)</f>
        <v>25238</v>
      </c>
      <c r="BA995" s="60" t="s">
        <v>765</v>
      </c>
      <c r="BC995" s="64">
        <v>0</v>
      </c>
      <c r="BG995" s="64">
        <v>0</v>
      </c>
      <c r="BI995" s="60" t="s">
        <v>267</v>
      </c>
      <c r="BJ995" s="64">
        <v>5980</v>
      </c>
      <c r="BK995" s="64">
        <v>6578</v>
      </c>
      <c r="BL995" s="60" t="s">
        <v>2916</v>
      </c>
      <c r="BS995" s="64">
        <v>0</v>
      </c>
      <c r="BV995" s="65">
        <v>16170</v>
      </c>
      <c r="BW995" s="65">
        <v>6578</v>
      </c>
      <c r="BX995" s="65">
        <v>44644</v>
      </c>
      <c r="BY995" s="65">
        <v>9592</v>
      </c>
      <c r="BZ995" s="81">
        <v>59.319727891156461</v>
      </c>
    </row>
    <row r="996" spans="1:89" x14ac:dyDescent="0.15">
      <c r="A996" s="60">
        <v>2</v>
      </c>
      <c r="B996" s="61">
        <v>44673</v>
      </c>
      <c r="C996" s="61">
        <v>44680</v>
      </c>
      <c r="D996" s="61">
        <v>44690</v>
      </c>
      <c r="E996" s="61">
        <v>44690</v>
      </c>
      <c r="F996" s="61">
        <v>44687</v>
      </c>
      <c r="G996" s="61">
        <v>44682</v>
      </c>
      <c r="H996" s="61">
        <v>44683</v>
      </c>
      <c r="I996" s="60" t="s">
        <v>511</v>
      </c>
      <c r="J996" s="60">
        <v>1</v>
      </c>
      <c r="L996" s="60">
        <v>0</v>
      </c>
      <c r="M996" s="61">
        <v>44644</v>
      </c>
      <c r="O996" s="62" t="s">
        <v>331</v>
      </c>
      <c r="P996" s="60" t="s">
        <v>26</v>
      </c>
      <c r="Q996" s="62" t="s">
        <v>135</v>
      </c>
      <c r="R996" s="62" t="s">
        <v>3254</v>
      </c>
      <c r="S996" s="63" t="s">
        <v>560</v>
      </c>
      <c r="T996" s="63" t="s">
        <v>498</v>
      </c>
      <c r="U996" s="64">
        <v>50000</v>
      </c>
      <c r="V996" s="64">
        <v>55000</v>
      </c>
      <c r="W996" s="64">
        <v>47000</v>
      </c>
      <c r="X996" s="64">
        <v>51700</v>
      </c>
      <c r="Y996" s="64">
        <v>3000</v>
      </c>
      <c r="Z996" s="64">
        <v>3300</v>
      </c>
      <c r="AA996" s="61">
        <v>44679</v>
      </c>
      <c r="AB996" s="61">
        <v>44680</v>
      </c>
      <c r="AC996" s="61">
        <v>44680</v>
      </c>
      <c r="AD996" s="60">
        <v>0</v>
      </c>
      <c r="AG996" s="60">
        <v>0</v>
      </c>
      <c r="AJ996" s="60">
        <v>0</v>
      </c>
      <c r="AM996" s="60" t="s">
        <v>273</v>
      </c>
      <c r="AN996" s="60" t="s">
        <v>3255</v>
      </c>
      <c r="AQ996" s="60" t="s">
        <v>3029</v>
      </c>
      <c r="AR996" s="61">
        <v>44656</v>
      </c>
      <c r="AS996" s="60">
        <v>6002012142</v>
      </c>
      <c r="AT996" s="61">
        <v>44658</v>
      </c>
      <c r="AU996" s="60" t="s">
        <v>3059</v>
      </c>
      <c r="AV996" s="61">
        <v>44680</v>
      </c>
      <c r="AW996" s="91">
        <v>44681</v>
      </c>
      <c r="AX996" s="91">
        <v>44701</v>
      </c>
      <c r="AY996" s="99">
        <v>48000</v>
      </c>
      <c r="AZ996" s="99">
        <f>ROUNDDOWN(AY996+(AY996*MASTER!$A$2/100),0)</f>
        <v>52800</v>
      </c>
      <c r="BA996" s="60" t="s">
        <v>613</v>
      </c>
      <c r="BB996" s="64">
        <v>33000</v>
      </c>
      <c r="BC996" s="64">
        <v>36300</v>
      </c>
      <c r="BD996" s="60" t="s">
        <v>643</v>
      </c>
      <c r="BG996" s="64">
        <v>0</v>
      </c>
      <c r="BI996" s="60" t="s">
        <v>267</v>
      </c>
      <c r="BJ996" s="64">
        <v>1950</v>
      </c>
      <c r="BK996" s="64">
        <v>2145</v>
      </c>
      <c r="BL996" s="60" t="s">
        <v>2916</v>
      </c>
      <c r="BS996" s="64">
        <v>0</v>
      </c>
      <c r="BV996" s="65">
        <v>51700</v>
      </c>
      <c r="BW996" s="65">
        <v>38445</v>
      </c>
      <c r="BX996" s="65">
        <v>44644</v>
      </c>
      <c r="BY996" s="65">
        <v>13255</v>
      </c>
      <c r="BZ996" s="81">
        <v>25.638297872340427</v>
      </c>
    </row>
    <row r="997" spans="1:89" x14ac:dyDescent="0.15">
      <c r="A997" s="60">
        <v>2</v>
      </c>
      <c r="B997" s="61">
        <v>44673</v>
      </c>
      <c r="C997" s="61">
        <v>44678</v>
      </c>
      <c r="D997" s="61">
        <v>44692</v>
      </c>
      <c r="E997" s="61">
        <v>44681</v>
      </c>
      <c r="F997" s="61">
        <v>44685</v>
      </c>
      <c r="G997" s="61">
        <v>44678</v>
      </c>
      <c r="H997" s="61">
        <v>44681</v>
      </c>
      <c r="I997" s="60" t="s">
        <v>774</v>
      </c>
      <c r="J997" s="60">
        <v>1</v>
      </c>
      <c r="L997" s="60">
        <v>0</v>
      </c>
      <c r="M997" s="61">
        <v>44644</v>
      </c>
      <c r="O997" s="62" t="s">
        <v>331</v>
      </c>
      <c r="P997" s="60" t="s">
        <v>26</v>
      </c>
      <c r="Q997" s="62" t="s">
        <v>135</v>
      </c>
      <c r="R997" s="62" t="s">
        <v>3256</v>
      </c>
      <c r="S997" s="63" t="s">
        <v>1023</v>
      </c>
      <c r="T997" s="63" t="s">
        <v>3257</v>
      </c>
      <c r="U997" s="64">
        <v>194500</v>
      </c>
      <c r="V997" s="64">
        <v>213950</v>
      </c>
      <c r="W997" s="64">
        <v>102000</v>
      </c>
      <c r="X997" s="64">
        <v>112200</v>
      </c>
      <c r="Y997" s="64">
        <v>92500</v>
      </c>
      <c r="Z997" s="64">
        <v>101750</v>
      </c>
      <c r="AA997" s="61">
        <v>44677</v>
      </c>
      <c r="AB997" s="61">
        <v>44678</v>
      </c>
      <c r="AC997" s="61">
        <v>44678</v>
      </c>
      <c r="AD997" s="60">
        <v>0</v>
      </c>
      <c r="AG997" s="60">
        <v>0</v>
      </c>
      <c r="AJ997" s="60">
        <v>0</v>
      </c>
      <c r="AM997" s="60" t="s">
        <v>273</v>
      </c>
      <c r="AN997" s="60" t="s">
        <v>3258</v>
      </c>
      <c r="AQ997" s="60" t="s">
        <v>3025</v>
      </c>
      <c r="AR997" s="61">
        <v>44656</v>
      </c>
      <c r="AS997" s="60">
        <v>6002012142</v>
      </c>
      <c r="AT997" s="61">
        <v>44658</v>
      </c>
      <c r="AU997" s="60" t="s">
        <v>3059</v>
      </c>
      <c r="AV997" s="61">
        <v>44678</v>
      </c>
      <c r="AW997" s="91">
        <v>44681</v>
      </c>
      <c r="AX997" s="91">
        <v>44701</v>
      </c>
      <c r="AY997" s="99">
        <v>186720</v>
      </c>
      <c r="AZ997" s="99">
        <f>ROUNDDOWN(AY997+(AY997*MASTER!$A$2/100),0)</f>
        <v>205392</v>
      </c>
      <c r="BA997" s="60" t="s">
        <v>765</v>
      </c>
      <c r="BC997" s="64">
        <v>0</v>
      </c>
      <c r="BG997" s="64">
        <v>0</v>
      </c>
      <c r="BI997" s="60" t="s">
        <v>748</v>
      </c>
      <c r="BJ997" s="64">
        <v>60125</v>
      </c>
      <c r="BK997" s="64">
        <v>66137.5</v>
      </c>
      <c r="BL997" s="60" t="s">
        <v>643</v>
      </c>
      <c r="BS997" s="64">
        <v>0</v>
      </c>
      <c r="BV997" s="65">
        <v>112200</v>
      </c>
      <c r="BW997" s="65">
        <v>66137.5</v>
      </c>
      <c r="BX997" s="65">
        <v>44644</v>
      </c>
      <c r="BY997" s="65">
        <v>46062.5</v>
      </c>
      <c r="BZ997" s="81">
        <v>41.053921568627452</v>
      </c>
    </row>
    <row r="998" spans="1:89" x14ac:dyDescent="0.15">
      <c r="A998" s="60">
        <v>1</v>
      </c>
      <c r="B998" s="61">
        <v>44645</v>
      </c>
      <c r="C998" s="61">
        <v>44650</v>
      </c>
      <c r="F998" s="61" t="s">
        <v>309</v>
      </c>
      <c r="H998" s="61" t="s">
        <v>309</v>
      </c>
      <c r="J998" s="60">
        <v>2</v>
      </c>
      <c r="L998" s="60">
        <v>0</v>
      </c>
      <c r="M998" s="61">
        <v>44644</v>
      </c>
      <c r="O998" s="62" t="s">
        <v>331</v>
      </c>
      <c r="P998" s="60" t="s">
        <v>77</v>
      </c>
      <c r="Q998" s="62" t="s">
        <v>135</v>
      </c>
      <c r="R998" s="62" t="s">
        <v>2869</v>
      </c>
      <c r="S998" s="63" t="s">
        <v>489</v>
      </c>
      <c r="T998" s="63" t="s">
        <v>883</v>
      </c>
      <c r="U998" s="64">
        <v>7020</v>
      </c>
      <c r="V998" s="64">
        <v>7722</v>
      </c>
      <c r="W998" s="64">
        <v>7020</v>
      </c>
      <c r="X998" s="64">
        <v>7722</v>
      </c>
      <c r="Z998" s="64">
        <v>0</v>
      </c>
      <c r="AD998" s="60">
        <v>0</v>
      </c>
      <c r="AG998" s="60">
        <v>0</v>
      </c>
      <c r="AJ998" s="60">
        <v>0</v>
      </c>
      <c r="AQ998" s="60" t="s">
        <v>2870</v>
      </c>
      <c r="AR998" s="61">
        <v>44644</v>
      </c>
      <c r="AS998" s="60">
        <v>6002008447</v>
      </c>
      <c r="AT998" s="61">
        <v>44644</v>
      </c>
      <c r="AU998" s="60" t="s">
        <v>2887</v>
      </c>
      <c r="AV998" s="61">
        <v>44650</v>
      </c>
      <c r="AW998" s="91">
        <v>44651</v>
      </c>
      <c r="AX998" s="91">
        <v>44671</v>
      </c>
      <c r="AY998" s="107">
        <v>7020</v>
      </c>
      <c r="AZ998" s="107">
        <v>7722</v>
      </c>
      <c r="BC998" s="64">
        <v>0</v>
      </c>
      <c r="BG998" s="64">
        <v>0</v>
      </c>
      <c r="BK998" s="64">
        <v>0</v>
      </c>
      <c r="BS998" s="64">
        <v>0</v>
      </c>
      <c r="BV998" s="65">
        <v>7722</v>
      </c>
      <c r="BW998" s="65">
        <v>0</v>
      </c>
      <c r="BX998" s="65">
        <v>44644</v>
      </c>
      <c r="BY998" s="65">
        <v>7722</v>
      </c>
      <c r="BZ998" s="81">
        <v>100</v>
      </c>
    </row>
    <row r="999" spans="1:89" x14ac:dyDescent="0.15">
      <c r="A999" s="60">
        <v>2</v>
      </c>
      <c r="B999" s="61">
        <v>44673</v>
      </c>
      <c r="C999" s="61">
        <v>44678</v>
      </c>
      <c r="D999" s="61">
        <v>44701</v>
      </c>
      <c r="E999" s="61">
        <v>44681</v>
      </c>
      <c r="F999" s="61">
        <v>44685</v>
      </c>
      <c r="G999" s="61">
        <v>44678</v>
      </c>
      <c r="H999" s="61">
        <v>44681</v>
      </c>
      <c r="I999" s="60" t="s">
        <v>511</v>
      </c>
      <c r="J999" s="60">
        <v>1</v>
      </c>
      <c r="L999" s="60">
        <v>0</v>
      </c>
      <c r="M999" s="61">
        <v>44645</v>
      </c>
      <c r="O999" s="62" t="s">
        <v>331</v>
      </c>
      <c r="P999" s="60" t="s">
        <v>26</v>
      </c>
      <c r="Q999" s="62" t="s">
        <v>135</v>
      </c>
      <c r="R999" s="62" t="s">
        <v>3259</v>
      </c>
      <c r="S999" s="63" t="s">
        <v>1049</v>
      </c>
      <c r="T999" s="63" t="s">
        <v>3260</v>
      </c>
      <c r="U999" s="64">
        <v>208700</v>
      </c>
      <c r="V999" s="64">
        <v>229570</v>
      </c>
      <c r="W999" s="64">
        <v>110000</v>
      </c>
      <c r="X999" s="64">
        <v>121000</v>
      </c>
      <c r="Y999" s="64">
        <v>98700</v>
      </c>
      <c r="Z999" s="64">
        <v>108570</v>
      </c>
      <c r="AA999" s="61">
        <v>44676</v>
      </c>
      <c r="AB999" s="61">
        <v>44678</v>
      </c>
      <c r="AC999" s="61">
        <v>44678</v>
      </c>
      <c r="AD999" s="60">
        <v>0</v>
      </c>
      <c r="AG999" s="60">
        <v>0</v>
      </c>
      <c r="AJ999" s="60">
        <v>0</v>
      </c>
      <c r="AM999" s="60" t="s">
        <v>273</v>
      </c>
      <c r="AN999" s="60" t="s">
        <v>3261</v>
      </c>
      <c r="AQ999" s="60" t="s">
        <v>3073</v>
      </c>
      <c r="AR999" s="61">
        <v>44662</v>
      </c>
      <c r="AS999" s="60">
        <v>6002014279</v>
      </c>
      <c r="AT999" s="61">
        <v>44662</v>
      </c>
      <c r="AU999" s="60" t="s">
        <v>3082</v>
      </c>
      <c r="AV999" s="61">
        <v>44678</v>
      </c>
      <c r="AW999" s="91">
        <v>44681</v>
      </c>
      <c r="AX999" s="91">
        <v>44701</v>
      </c>
      <c r="AY999" s="99">
        <v>200352</v>
      </c>
      <c r="AZ999" s="99">
        <f>ROUNDDOWN(AY999+(AY999*MASTER!$A$2/100),0)</f>
        <v>220387</v>
      </c>
      <c r="BA999" s="60" t="s">
        <v>780</v>
      </c>
      <c r="BB999" s="64">
        <v>42000</v>
      </c>
      <c r="BC999" s="64">
        <v>46200</v>
      </c>
      <c r="BD999" s="60" t="s">
        <v>643</v>
      </c>
      <c r="BG999" s="64">
        <v>0</v>
      </c>
      <c r="BI999" s="60" t="s">
        <v>748</v>
      </c>
      <c r="BJ999" s="64">
        <v>64155</v>
      </c>
      <c r="BK999" s="64">
        <v>70570.5</v>
      </c>
      <c r="BL999" s="60" t="s">
        <v>643</v>
      </c>
      <c r="BS999" s="64">
        <v>0</v>
      </c>
      <c r="BV999" s="65">
        <v>121000</v>
      </c>
      <c r="BW999" s="65">
        <v>116770.5</v>
      </c>
      <c r="BX999" s="65">
        <v>44645</v>
      </c>
      <c r="BY999" s="65">
        <v>4229.5</v>
      </c>
      <c r="BZ999" s="81">
        <v>3.4954545454545451</v>
      </c>
    </row>
    <row r="1000" spans="1:89" x14ac:dyDescent="0.15">
      <c r="A1000" s="60">
        <v>1</v>
      </c>
      <c r="B1000" s="61">
        <v>44650</v>
      </c>
      <c r="C1000" s="61">
        <v>44651</v>
      </c>
      <c r="F1000" s="61">
        <v>44655</v>
      </c>
      <c r="G1000" s="61">
        <v>44650</v>
      </c>
      <c r="H1000" s="61">
        <v>44651</v>
      </c>
      <c r="J1000" s="60">
        <v>2</v>
      </c>
      <c r="L1000" s="60">
        <v>0</v>
      </c>
      <c r="M1000" s="61">
        <v>44645</v>
      </c>
      <c r="O1000" s="62" t="s">
        <v>331</v>
      </c>
      <c r="P1000" s="60" t="s">
        <v>6</v>
      </c>
      <c r="Q1000" s="62" t="s">
        <v>135</v>
      </c>
      <c r="R1000" s="62" t="s">
        <v>2945</v>
      </c>
      <c r="S1000" s="63" t="s">
        <v>1228</v>
      </c>
      <c r="T1000" s="63" t="s">
        <v>364</v>
      </c>
      <c r="U1000" s="64">
        <v>35000</v>
      </c>
      <c r="V1000" s="64">
        <v>38500</v>
      </c>
      <c r="W1000" s="64">
        <v>35000</v>
      </c>
      <c r="X1000" s="64">
        <v>38500</v>
      </c>
      <c r="Z1000" s="64">
        <v>0</v>
      </c>
      <c r="AA1000" s="61">
        <v>44648</v>
      </c>
      <c r="AB1000" s="61">
        <v>44648</v>
      </c>
      <c r="AC1000" s="61">
        <v>44648</v>
      </c>
      <c r="AD1000" s="60">
        <v>0</v>
      </c>
      <c r="AG1000" s="60">
        <v>0</v>
      </c>
      <c r="AJ1000" s="60">
        <v>0</v>
      </c>
      <c r="AN1000" s="60" t="s">
        <v>309</v>
      </c>
      <c r="AQ1000" s="60" t="s">
        <v>2938</v>
      </c>
      <c r="AR1000" s="61">
        <v>44649</v>
      </c>
      <c r="AS1000" s="60">
        <v>6002010132</v>
      </c>
      <c r="AT1000" s="61">
        <v>44649</v>
      </c>
      <c r="AU1000" s="60" t="s">
        <v>2946</v>
      </c>
      <c r="AV1000" s="61">
        <v>44651</v>
      </c>
      <c r="AW1000" s="91">
        <v>44651</v>
      </c>
      <c r="AX1000" s="91">
        <v>44671</v>
      </c>
      <c r="AY1000" s="99">
        <v>33600</v>
      </c>
      <c r="AZ1000" s="99">
        <f>ROUNDDOWN(AY1000+(AY1000*MASTER!$A$2/100),0)</f>
        <v>36960</v>
      </c>
      <c r="BA1000" s="60" t="s">
        <v>613</v>
      </c>
      <c r="BB1000" s="64">
        <v>26000</v>
      </c>
      <c r="BC1000" s="64">
        <v>28600</v>
      </c>
      <c r="BD1000" s="60" t="s">
        <v>2107</v>
      </c>
      <c r="BG1000" s="64">
        <v>0</v>
      </c>
      <c r="BK1000" s="64">
        <v>0</v>
      </c>
      <c r="BS1000" s="64">
        <v>0</v>
      </c>
      <c r="BV1000" s="65">
        <v>38500</v>
      </c>
      <c r="BW1000" s="65">
        <v>28600</v>
      </c>
      <c r="BX1000" s="65">
        <v>44645</v>
      </c>
      <c r="BY1000" s="65">
        <v>9900</v>
      </c>
      <c r="BZ1000" s="81">
        <v>25.714285714285712</v>
      </c>
    </row>
    <row r="1001" spans="1:89" x14ac:dyDescent="0.15">
      <c r="A1001" s="60">
        <v>1</v>
      </c>
      <c r="B1001" s="61">
        <v>44652</v>
      </c>
      <c r="C1001" s="61">
        <v>44655</v>
      </c>
      <c r="F1001" s="61" t="s">
        <v>309</v>
      </c>
      <c r="H1001" s="61" t="s">
        <v>309</v>
      </c>
      <c r="J1001" s="60">
        <v>2</v>
      </c>
      <c r="L1001" s="60">
        <v>0</v>
      </c>
      <c r="M1001" s="61">
        <v>44645</v>
      </c>
      <c r="O1001" s="62" t="s">
        <v>331</v>
      </c>
      <c r="P1001" s="60" t="s">
        <v>50</v>
      </c>
      <c r="Q1001" s="62" t="s">
        <v>135</v>
      </c>
      <c r="R1001" s="62" t="s">
        <v>2904</v>
      </c>
      <c r="S1001" s="63" t="s">
        <v>326</v>
      </c>
      <c r="T1001" s="63" t="s">
        <v>2902</v>
      </c>
      <c r="U1001" s="64">
        <v>180000</v>
      </c>
      <c r="V1001" s="64">
        <v>198000</v>
      </c>
      <c r="W1001" s="64">
        <v>180000</v>
      </c>
      <c r="X1001" s="64">
        <v>198000</v>
      </c>
      <c r="Y1001" s="64">
        <v>0</v>
      </c>
      <c r="Z1001" s="64">
        <v>0</v>
      </c>
      <c r="AA1001" s="61">
        <v>44660</v>
      </c>
      <c r="AB1001" s="61">
        <v>44661</v>
      </c>
      <c r="AD1001" s="60">
        <v>0</v>
      </c>
      <c r="AG1001" s="60">
        <v>0</v>
      </c>
      <c r="AJ1001" s="60">
        <v>0</v>
      </c>
      <c r="AQ1001" s="60" t="s">
        <v>2926</v>
      </c>
      <c r="AR1001" s="61">
        <v>44648</v>
      </c>
      <c r="AS1001" s="60">
        <v>6002009741</v>
      </c>
      <c r="AT1001" s="61">
        <v>44648</v>
      </c>
      <c r="AU1001" s="60" t="s">
        <v>2929</v>
      </c>
      <c r="AV1001" s="61">
        <v>44655</v>
      </c>
      <c r="AW1001" s="91">
        <v>44681</v>
      </c>
      <c r="AX1001" s="91">
        <v>44701</v>
      </c>
      <c r="AY1001" s="107">
        <v>180000</v>
      </c>
      <c r="AZ1001" s="107">
        <f>ROUNDDOWN(AY1001+(AY1001*MASTER!$A$2/100),0)</f>
        <v>198000</v>
      </c>
      <c r="BC1001" s="64">
        <v>0</v>
      </c>
      <c r="BG1001" s="64">
        <v>0</v>
      </c>
      <c r="BK1001" s="64">
        <v>0</v>
      </c>
      <c r="BS1001" s="64">
        <v>0</v>
      </c>
      <c r="BV1001" s="65">
        <v>198000</v>
      </c>
      <c r="BW1001" s="65">
        <v>0</v>
      </c>
      <c r="BX1001" s="65">
        <v>44645</v>
      </c>
      <c r="BY1001" s="65">
        <v>198000</v>
      </c>
      <c r="BZ1001" s="81">
        <v>100</v>
      </c>
    </row>
    <row r="1002" spans="1:89" x14ac:dyDescent="0.15">
      <c r="A1002" s="60">
        <v>1</v>
      </c>
      <c r="B1002" s="61">
        <v>44652</v>
      </c>
      <c r="C1002" s="61">
        <v>44655</v>
      </c>
      <c r="F1002" s="61" t="s">
        <v>309</v>
      </c>
      <c r="H1002" s="61" t="s">
        <v>309</v>
      </c>
      <c r="J1002" s="60">
        <v>2</v>
      </c>
      <c r="L1002" s="60">
        <v>0</v>
      </c>
      <c r="M1002" s="61">
        <v>44645</v>
      </c>
      <c r="O1002" s="62" t="s">
        <v>331</v>
      </c>
      <c r="P1002" s="60" t="s">
        <v>50</v>
      </c>
      <c r="Q1002" s="62" t="s">
        <v>135</v>
      </c>
      <c r="R1002" s="62" t="s">
        <v>2905</v>
      </c>
      <c r="S1002" s="63" t="s">
        <v>326</v>
      </c>
      <c r="T1002" s="63" t="s">
        <v>2903</v>
      </c>
      <c r="U1002" s="64">
        <v>180000</v>
      </c>
      <c r="V1002" s="64">
        <v>198000</v>
      </c>
      <c r="W1002" s="64">
        <v>180000</v>
      </c>
      <c r="X1002" s="64">
        <v>198000</v>
      </c>
      <c r="Y1002" s="64">
        <v>0</v>
      </c>
      <c r="Z1002" s="64">
        <v>0</v>
      </c>
      <c r="AA1002" s="61">
        <v>44660</v>
      </c>
      <c r="AB1002" s="61">
        <v>44661</v>
      </c>
      <c r="AD1002" s="60">
        <v>0</v>
      </c>
      <c r="AG1002" s="60">
        <v>0</v>
      </c>
      <c r="AJ1002" s="60">
        <v>0</v>
      </c>
      <c r="AQ1002" s="60" t="s">
        <v>2927</v>
      </c>
      <c r="AR1002" s="61">
        <v>44648</v>
      </c>
      <c r="AS1002" s="60">
        <v>6002009741</v>
      </c>
      <c r="AT1002" s="61">
        <v>44648</v>
      </c>
      <c r="AU1002" s="60" t="s">
        <v>2929</v>
      </c>
      <c r="AV1002" s="61">
        <v>44655</v>
      </c>
      <c r="AW1002" s="91">
        <v>44681</v>
      </c>
      <c r="AX1002" s="91">
        <v>44701</v>
      </c>
      <c r="AY1002" s="107">
        <v>180000</v>
      </c>
      <c r="AZ1002" s="107">
        <f>ROUNDDOWN(AY1002+(AY1002*MASTER!$A$2/100),0)</f>
        <v>198000</v>
      </c>
      <c r="BC1002" s="64">
        <v>0</v>
      </c>
      <c r="BG1002" s="64">
        <v>0</v>
      </c>
      <c r="BK1002" s="64">
        <v>0</v>
      </c>
      <c r="BS1002" s="64">
        <v>0</v>
      </c>
      <c r="BV1002" s="65">
        <v>198000</v>
      </c>
      <c r="BW1002" s="65">
        <v>0</v>
      </c>
      <c r="BX1002" s="65">
        <v>44645</v>
      </c>
      <c r="BY1002" s="65">
        <v>198000</v>
      </c>
      <c r="BZ1002" s="81">
        <v>100</v>
      </c>
      <c r="CD1002" s="63" t="s">
        <v>2983</v>
      </c>
    </row>
    <row r="1003" spans="1:89" x14ac:dyDescent="0.15">
      <c r="A1003" s="60">
        <v>2</v>
      </c>
      <c r="B1003" s="61">
        <v>44670</v>
      </c>
      <c r="C1003" s="61">
        <v>44670</v>
      </c>
      <c r="D1003" s="61">
        <v>44690</v>
      </c>
      <c r="E1003" s="61">
        <v>44658</v>
      </c>
      <c r="F1003" s="61">
        <v>44664</v>
      </c>
      <c r="G1003" s="61">
        <v>44658</v>
      </c>
      <c r="H1003" s="61">
        <v>44660</v>
      </c>
      <c r="I1003" s="60" t="s">
        <v>511</v>
      </c>
      <c r="J1003" s="60">
        <v>1</v>
      </c>
      <c r="L1003" s="60">
        <v>0</v>
      </c>
      <c r="M1003" s="61">
        <v>44648</v>
      </c>
      <c r="O1003" s="62" t="s">
        <v>331</v>
      </c>
      <c r="P1003" s="60" t="s">
        <v>26</v>
      </c>
      <c r="Q1003" s="62" t="s">
        <v>135</v>
      </c>
      <c r="R1003" s="62" t="s">
        <v>2917</v>
      </c>
      <c r="S1003" s="63" t="s">
        <v>2755</v>
      </c>
      <c r="T1003" s="63" t="s">
        <v>2918</v>
      </c>
      <c r="U1003" s="64">
        <v>35300</v>
      </c>
      <c r="V1003" s="64">
        <v>38830</v>
      </c>
      <c r="W1003" s="64">
        <v>32300</v>
      </c>
      <c r="X1003" s="64">
        <v>35530</v>
      </c>
      <c r="Y1003" s="64">
        <v>3000</v>
      </c>
      <c r="Z1003" s="64">
        <v>3300</v>
      </c>
      <c r="AA1003" s="61">
        <v>44655</v>
      </c>
      <c r="AB1003" s="61">
        <v>44657</v>
      </c>
      <c r="AC1003" s="61">
        <v>44657</v>
      </c>
      <c r="AD1003" s="60">
        <v>0</v>
      </c>
      <c r="AG1003" s="60">
        <v>0</v>
      </c>
      <c r="AJ1003" s="60">
        <v>0</v>
      </c>
      <c r="AM1003" s="60" t="s">
        <v>273</v>
      </c>
      <c r="AN1003" s="60" t="s">
        <v>2919</v>
      </c>
      <c r="AQ1003" s="60" t="s">
        <v>2757</v>
      </c>
      <c r="AR1003" s="61">
        <v>44666</v>
      </c>
      <c r="AS1003" s="60">
        <v>6002016773</v>
      </c>
      <c r="AT1003" s="61">
        <v>44669</v>
      </c>
      <c r="AU1003" s="60" t="s">
        <v>3179</v>
      </c>
      <c r="AV1003" s="61">
        <v>44670</v>
      </c>
      <c r="AW1003" s="91">
        <v>44681</v>
      </c>
      <c r="AX1003" s="91">
        <v>44701</v>
      </c>
      <c r="AY1003" s="99">
        <v>33888</v>
      </c>
      <c r="AZ1003" s="99">
        <v>37277</v>
      </c>
      <c r="BA1003" s="60" t="s">
        <v>319</v>
      </c>
      <c r="BB1003" s="64">
        <v>32000</v>
      </c>
      <c r="BC1003" s="64">
        <v>35200</v>
      </c>
      <c r="BD1003" s="60" t="s">
        <v>643</v>
      </c>
      <c r="BG1003" s="64">
        <v>0</v>
      </c>
      <c r="BK1003" s="64">
        <v>0</v>
      </c>
      <c r="BS1003" s="64">
        <v>0</v>
      </c>
      <c r="BV1003" s="65">
        <v>35530</v>
      </c>
      <c r="BW1003" s="65">
        <v>35200</v>
      </c>
      <c r="BX1003" s="65">
        <v>44648</v>
      </c>
      <c r="BY1003" s="65">
        <v>330</v>
      </c>
      <c r="BZ1003" s="81">
        <v>0.92879256965944268</v>
      </c>
      <c r="CD1003" s="63" t="s">
        <v>2921</v>
      </c>
    </row>
    <row r="1004" spans="1:89" x14ac:dyDescent="0.15">
      <c r="A1004" s="60">
        <v>1</v>
      </c>
      <c r="B1004" s="61">
        <v>44655</v>
      </c>
      <c r="C1004" s="61">
        <v>44657</v>
      </c>
      <c r="F1004" s="61" t="s">
        <v>309</v>
      </c>
      <c r="G1004" s="61">
        <v>44652</v>
      </c>
      <c r="H1004" s="61" t="s">
        <v>309</v>
      </c>
      <c r="J1004" s="60">
        <v>2</v>
      </c>
      <c r="L1004" s="60">
        <v>0</v>
      </c>
      <c r="M1004" s="61">
        <v>44648</v>
      </c>
      <c r="O1004" s="62" t="s">
        <v>331</v>
      </c>
      <c r="P1004" s="60" t="s">
        <v>6</v>
      </c>
      <c r="Q1004" s="62" t="s">
        <v>135</v>
      </c>
      <c r="R1004" s="62" t="s">
        <v>2947</v>
      </c>
      <c r="S1004" s="63" t="s">
        <v>1991</v>
      </c>
      <c r="T1004" s="63" t="s">
        <v>364</v>
      </c>
      <c r="U1004" s="64">
        <v>51000</v>
      </c>
      <c r="V1004" s="64">
        <v>56100</v>
      </c>
      <c r="W1004" s="64">
        <v>51000</v>
      </c>
      <c r="X1004" s="64">
        <v>56100</v>
      </c>
      <c r="Z1004" s="64">
        <v>0</v>
      </c>
      <c r="AA1004" s="61">
        <v>44650</v>
      </c>
      <c r="AB1004" s="61">
        <v>44650</v>
      </c>
      <c r="AD1004" s="60">
        <v>0</v>
      </c>
      <c r="AG1004" s="60">
        <v>0</v>
      </c>
      <c r="AJ1004" s="60">
        <v>0</v>
      </c>
      <c r="AN1004" s="60" t="s">
        <v>309</v>
      </c>
      <c r="AQ1004" s="60" t="s">
        <v>2984</v>
      </c>
      <c r="AR1004" s="61">
        <v>44652</v>
      </c>
      <c r="AS1004" s="60">
        <v>6002011404</v>
      </c>
      <c r="AT1004" s="61">
        <v>44652</v>
      </c>
      <c r="AU1004" s="60" t="s">
        <v>2990</v>
      </c>
      <c r="AV1004" s="61">
        <v>44657</v>
      </c>
      <c r="AW1004" s="91">
        <v>44681</v>
      </c>
      <c r="AX1004" s="91">
        <v>44701</v>
      </c>
      <c r="AY1004" s="99">
        <v>48960</v>
      </c>
      <c r="AZ1004" s="99">
        <f>ROUNDDOWN(AY1004+(AY1004*MASTER!$A$2/100),0)</f>
        <v>53856</v>
      </c>
      <c r="BA1004" s="60" t="s">
        <v>317</v>
      </c>
      <c r="BB1004" s="64">
        <v>26000</v>
      </c>
      <c r="BC1004" s="64">
        <v>28600</v>
      </c>
      <c r="BD1004" s="60" t="s">
        <v>2107</v>
      </c>
      <c r="BG1004" s="64">
        <v>0</v>
      </c>
      <c r="BK1004" s="64">
        <v>0</v>
      </c>
      <c r="BS1004" s="64">
        <v>0</v>
      </c>
      <c r="BV1004" s="65">
        <v>56100</v>
      </c>
      <c r="BW1004" s="65">
        <v>28600</v>
      </c>
      <c r="BX1004" s="65">
        <v>44648</v>
      </c>
      <c r="BY1004" s="65">
        <v>27500</v>
      </c>
      <c r="BZ1004" s="81">
        <v>49.019607843137251</v>
      </c>
    </row>
    <row r="1005" spans="1:89" x14ac:dyDescent="0.15">
      <c r="A1005" s="60">
        <v>2</v>
      </c>
      <c r="B1005" s="61">
        <v>44792</v>
      </c>
      <c r="C1005" s="61">
        <v>44798</v>
      </c>
      <c r="D1005" s="61">
        <v>44658</v>
      </c>
      <c r="E1005" s="61">
        <v>44658</v>
      </c>
      <c r="F1005" s="61" t="s">
        <v>309</v>
      </c>
      <c r="G1005" s="61">
        <v>44658</v>
      </c>
      <c r="H1005" s="61" t="s">
        <v>309</v>
      </c>
      <c r="I1005" s="60" t="s">
        <v>766</v>
      </c>
      <c r="J1005" s="60">
        <v>2</v>
      </c>
      <c r="L1005" s="60">
        <v>0</v>
      </c>
      <c r="M1005" s="61">
        <v>44648</v>
      </c>
      <c r="O1005" s="62" t="s">
        <v>331</v>
      </c>
      <c r="P1005" s="60" t="s">
        <v>6</v>
      </c>
      <c r="Q1005" s="62" t="s">
        <v>135</v>
      </c>
      <c r="R1005" s="62" t="s">
        <v>3062</v>
      </c>
      <c r="S1005" s="63" t="s">
        <v>4376</v>
      </c>
      <c r="T1005" s="63" t="s">
        <v>364</v>
      </c>
      <c r="U1005" s="64">
        <v>35000</v>
      </c>
      <c r="V1005" s="64">
        <v>38500</v>
      </c>
      <c r="W1005" s="64">
        <v>35000</v>
      </c>
      <c r="X1005" s="64">
        <v>38500</v>
      </c>
      <c r="Y1005" s="64">
        <v>0</v>
      </c>
      <c r="Z1005" s="64">
        <v>0</v>
      </c>
      <c r="AA1005" s="61">
        <v>44657</v>
      </c>
      <c r="AB1005" s="61">
        <v>44657</v>
      </c>
      <c r="AD1005" s="60">
        <v>0</v>
      </c>
      <c r="AG1005" s="60">
        <v>0</v>
      </c>
      <c r="AJ1005" s="60">
        <v>0</v>
      </c>
      <c r="AN1005" s="60" t="s">
        <v>309</v>
      </c>
      <c r="AQ1005" s="60" t="s">
        <v>4373</v>
      </c>
      <c r="AR1005" s="61">
        <v>44791</v>
      </c>
      <c r="AS1005" s="60">
        <v>6002062745</v>
      </c>
      <c r="AT1005" s="61">
        <v>44791</v>
      </c>
      <c r="AU1005" s="60" t="s">
        <v>4377</v>
      </c>
      <c r="AV1005" s="61">
        <v>44798</v>
      </c>
      <c r="AW1005" s="91">
        <v>44804</v>
      </c>
      <c r="AX1005" s="91">
        <v>44824</v>
      </c>
      <c r="AY1005" s="99">
        <v>33600</v>
      </c>
      <c r="AZ1005" s="99">
        <f>ROUNDDOWN(AY1005+(AY1005*MASTER!$A$2/100),0)</f>
        <v>36960</v>
      </c>
      <c r="BA1005" s="60" t="s">
        <v>317</v>
      </c>
      <c r="BB1005" s="64">
        <v>33000</v>
      </c>
      <c r="BC1005" s="64">
        <v>36300</v>
      </c>
      <c r="BD1005" s="60" t="s">
        <v>643</v>
      </c>
      <c r="BG1005" s="64">
        <v>0</v>
      </c>
      <c r="BK1005" s="64">
        <v>0</v>
      </c>
      <c r="BS1005" s="64">
        <v>0</v>
      </c>
      <c r="BV1005" s="65">
        <v>38500</v>
      </c>
      <c r="BW1005" s="65">
        <v>36300</v>
      </c>
      <c r="BX1005" s="65">
        <v>44648</v>
      </c>
      <c r="BY1005" s="65">
        <v>2200</v>
      </c>
      <c r="BZ1005" s="81">
        <v>5.7142857142857144</v>
      </c>
      <c r="CD1005" s="63" t="s">
        <v>4375</v>
      </c>
    </row>
    <row r="1006" spans="1:89" x14ac:dyDescent="0.15">
      <c r="A1006" s="60">
        <v>2</v>
      </c>
      <c r="B1006" s="61">
        <v>44664</v>
      </c>
      <c r="C1006" s="61">
        <v>44672</v>
      </c>
      <c r="D1006" s="61">
        <v>44655</v>
      </c>
      <c r="F1006" s="61" t="s">
        <v>309</v>
      </c>
      <c r="H1006" s="61" t="s">
        <v>309</v>
      </c>
      <c r="J1006" s="60">
        <v>2</v>
      </c>
      <c r="L1006" s="60">
        <v>0</v>
      </c>
      <c r="M1006" s="61">
        <v>44649</v>
      </c>
      <c r="O1006" s="62" t="s">
        <v>331</v>
      </c>
      <c r="P1006" s="60" t="s">
        <v>77</v>
      </c>
      <c r="Q1006" s="62" t="s">
        <v>135</v>
      </c>
      <c r="R1006" s="62" t="s">
        <v>3017</v>
      </c>
      <c r="S1006" s="63" t="s">
        <v>482</v>
      </c>
      <c r="T1006" s="63" t="s">
        <v>1231</v>
      </c>
      <c r="U1006" s="64">
        <v>35000</v>
      </c>
      <c r="V1006" s="64">
        <v>38500</v>
      </c>
      <c r="W1006" s="64">
        <v>35000</v>
      </c>
      <c r="X1006" s="64">
        <v>38500</v>
      </c>
      <c r="Z1006" s="64">
        <v>0</v>
      </c>
      <c r="AA1006" s="61">
        <v>44644</v>
      </c>
      <c r="AB1006" s="61">
        <v>44644</v>
      </c>
      <c r="AD1006" s="60">
        <v>0</v>
      </c>
      <c r="AG1006" s="60">
        <v>0</v>
      </c>
      <c r="AJ1006" s="60">
        <v>0</v>
      </c>
      <c r="AN1006" s="60" t="s">
        <v>309</v>
      </c>
      <c r="AQ1006" s="60" t="s">
        <v>3090</v>
      </c>
      <c r="AR1006" s="61">
        <v>44663</v>
      </c>
      <c r="AS1006" s="60">
        <v>6002015091</v>
      </c>
      <c r="AT1006" s="61">
        <v>44663</v>
      </c>
      <c r="AU1006" s="60" t="s">
        <v>3097</v>
      </c>
      <c r="AV1006" s="61">
        <v>44672</v>
      </c>
      <c r="AW1006" s="91">
        <v>44681</v>
      </c>
      <c r="AX1006" s="91">
        <v>44701</v>
      </c>
      <c r="AY1006" s="107">
        <v>35000</v>
      </c>
      <c r="AZ1006" s="107">
        <v>38500</v>
      </c>
      <c r="BC1006" s="64">
        <v>0</v>
      </c>
      <c r="BG1006" s="64">
        <v>0</v>
      </c>
      <c r="BK1006" s="64">
        <v>0</v>
      </c>
      <c r="BS1006" s="64">
        <v>0</v>
      </c>
      <c r="BV1006" s="65">
        <v>38500</v>
      </c>
      <c r="BW1006" s="65">
        <v>0</v>
      </c>
      <c r="BX1006" s="65">
        <v>44649</v>
      </c>
      <c r="BY1006" s="65">
        <v>38500</v>
      </c>
      <c r="BZ1006" s="81">
        <v>100</v>
      </c>
    </row>
    <row r="1007" spans="1:89" s="152" customFormat="1" x14ac:dyDescent="0.15">
      <c r="A1007" s="142">
        <v>3</v>
      </c>
      <c r="B1007" s="143"/>
      <c r="C1007" s="143" t="s">
        <v>309</v>
      </c>
      <c r="D1007" s="143"/>
      <c r="E1007" s="143"/>
      <c r="F1007" s="143" t="s">
        <v>309</v>
      </c>
      <c r="G1007" s="143"/>
      <c r="H1007" s="143" t="s">
        <v>309</v>
      </c>
      <c r="I1007" s="142"/>
      <c r="J1007" s="142">
        <v>2</v>
      </c>
      <c r="K1007" s="143"/>
      <c r="L1007" s="142">
        <v>0</v>
      </c>
      <c r="M1007" s="143">
        <v>44649</v>
      </c>
      <c r="N1007" s="143"/>
      <c r="O1007" s="144" t="s">
        <v>331</v>
      </c>
      <c r="P1007" s="142" t="s">
        <v>26</v>
      </c>
      <c r="Q1007" s="144" t="s">
        <v>135</v>
      </c>
      <c r="R1007" s="144" t="s">
        <v>3107</v>
      </c>
      <c r="S1007" s="145" t="s">
        <v>1028</v>
      </c>
      <c r="T1007" s="145" t="s">
        <v>3104</v>
      </c>
      <c r="U1007" s="146">
        <v>68000</v>
      </c>
      <c r="V1007" s="146">
        <v>74800</v>
      </c>
      <c r="W1007" s="146">
        <v>68000</v>
      </c>
      <c r="X1007" s="146">
        <v>74800</v>
      </c>
      <c r="Y1007" s="146">
        <v>0</v>
      </c>
      <c r="Z1007" s="146">
        <v>0</v>
      </c>
      <c r="AA1007" s="143">
        <v>44650</v>
      </c>
      <c r="AB1007" s="143">
        <v>44651</v>
      </c>
      <c r="AC1007" s="143"/>
      <c r="AD1007" s="142">
        <v>0</v>
      </c>
      <c r="AE1007" s="142"/>
      <c r="AF1007" s="142"/>
      <c r="AG1007" s="142">
        <v>0</v>
      </c>
      <c r="AH1007" s="142"/>
      <c r="AI1007" s="142"/>
      <c r="AJ1007" s="142">
        <v>0</v>
      </c>
      <c r="AK1007" s="142"/>
      <c r="AL1007" s="142"/>
      <c r="AM1007" s="142"/>
      <c r="AN1007" s="142" t="s">
        <v>309</v>
      </c>
      <c r="AO1007" s="143"/>
      <c r="AP1007" s="142"/>
      <c r="AQ1007" s="142"/>
      <c r="AR1007" s="143"/>
      <c r="AS1007" s="142"/>
      <c r="AT1007" s="143"/>
      <c r="AU1007" s="142"/>
      <c r="AV1007" s="143"/>
      <c r="AW1007" s="147"/>
      <c r="AX1007" s="147"/>
      <c r="AY1007" s="148">
        <v>65280</v>
      </c>
      <c r="AZ1007" s="148">
        <f>ROUNDDOWN(AY1007+(AY1007*MASTER!$A$2/100),0)</f>
        <v>71808</v>
      </c>
      <c r="BA1007" s="142"/>
      <c r="BB1007" s="146"/>
      <c r="BC1007" s="146">
        <v>0</v>
      </c>
      <c r="BD1007" s="142"/>
      <c r="BE1007" s="142"/>
      <c r="BF1007" s="146"/>
      <c r="BG1007" s="146">
        <v>0</v>
      </c>
      <c r="BH1007" s="142"/>
      <c r="BI1007" s="142"/>
      <c r="BJ1007" s="146"/>
      <c r="BK1007" s="146">
        <v>0</v>
      </c>
      <c r="BL1007" s="142"/>
      <c r="BM1007" s="146"/>
      <c r="BN1007" s="146"/>
      <c r="BO1007" s="146"/>
      <c r="BP1007" s="146"/>
      <c r="BQ1007" s="146"/>
      <c r="BR1007" s="146"/>
      <c r="BS1007" s="146">
        <v>0</v>
      </c>
      <c r="BT1007" s="149"/>
      <c r="BU1007" s="149"/>
      <c r="BV1007" s="150">
        <v>74800</v>
      </c>
      <c r="BW1007" s="150">
        <v>0</v>
      </c>
      <c r="BX1007" s="150">
        <v>44649</v>
      </c>
      <c r="BY1007" s="150">
        <v>74800</v>
      </c>
      <c r="BZ1007" s="151">
        <v>100</v>
      </c>
      <c r="CA1007" s="142"/>
      <c r="CB1007" s="142"/>
      <c r="CC1007" s="142"/>
      <c r="CD1007" s="145" t="s">
        <v>3108</v>
      </c>
      <c r="CE1007" s="143"/>
      <c r="CF1007" s="143"/>
      <c r="CG1007" s="143"/>
      <c r="CH1007" s="143"/>
      <c r="CI1007" s="143"/>
      <c r="CJ1007" s="143"/>
      <c r="CK1007" s="146"/>
    </row>
    <row r="1008" spans="1:89" x14ac:dyDescent="0.15">
      <c r="A1008" s="60">
        <v>2</v>
      </c>
      <c r="B1008" s="61">
        <v>44673</v>
      </c>
      <c r="C1008" s="61">
        <v>44681</v>
      </c>
      <c r="D1008" s="61">
        <v>44690</v>
      </c>
      <c r="E1008" s="61">
        <v>44690</v>
      </c>
      <c r="F1008" s="61">
        <v>44687</v>
      </c>
      <c r="G1008" s="61">
        <v>44682</v>
      </c>
      <c r="H1008" s="61">
        <v>44683</v>
      </c>
      <c r="I1008" s="60" t="s">
        <v>511</v>
      </c>
      <c r="J1008" s="60">
        <v>1</v>
      </c>
      <c r="L1008" s="60">
        <v>0</v>
      </c>
      <c r="M1008" s="61">
        <v>44649</v>
      </c>
      <c r="O1008" s="62" t="s">
        <v>331</v>
      </c>
      <c r="P1008" s="60" t="s">
        <v>26</v>
      </c>
      <c r="Q1008" s="62" t="s">
        <v>135</v>
      </c>
      <c r="R1008" s="62" t="s">
        <v>2933</v>
      </c>
      <c r="S1008" s="63" t="s">
        <v>2177</v>
      </c>
      <c r="T1008" s="63" t="s">
        <v>2934</v>
      </c>
      <c r="U1008" s="64">
        <v>59000</v>
      </c>
      <c r="V1008" s="64">
        <v>64900</v>
      </c>
      <c r="W1008" s="64">
        <v>47000</v>
      </c>
      <c r="X1008" s="64">
        <v>51700</v>
      </c>
      <c r="Y1008" s="64">
        <v>12000</v>
      </c>
      <c r="Z1008" s="64">
        <v>13200</v>
      </c>
      <c r="AA1008" s="61">
        <v>44679</v>
      </c>
      <c r="AB1008" s="61">
        <v>44680</v>
      </c>
      <c r="AC1008" s="61">
        <v>44680</v>
      </c>
      <c r="AD1008" s="60">
        <v>0</v>
      </c>
      <c r="AG1008" s="60">
        <v>0</v>
      </c>
      <c r="AJ1008" s="60">
        <v>0</v>
      </c>
      <c r="AM1008" s="60" t="s">
        <v>273</v>
      </c>
      <c r="AN1008" s="60" t="s">
        <v>2935</v>
      </c>
      <c r="AQ1008" s="60" t="s">
        <v>3087</v>
      </c>
      <c r="AR1008" s="61">
        <v>44663</v>
      </c>
      <c r="AS1008" s="60">
        <v>6002015091</v>
      </c>
      <c r="AT1008" s="61">
        <v>44663</v>
      </c>
      <c r="AU1008" s="60" t="s">
        <v>3097</v>
      </c>
      <c r="AV1008" s="61">
        <v>44681</v>
      </c>
      <c r="AW1008" s="91">
        <v>44681</v>
      </c>
      <c r="AX1008" s="91">
        <v>44701</v>
      </c>
      <c r="AY1008" s="99">
        <v>56640</v>
      </c>
      <c r="AZ1008" s="99">
        <f>ROUNDDOWN(AY1008+(AY1008*MASTER!$A$2/100),0)</f>
        <v>62304</v>
      </c>
      <c r="BA1008" s="60" t="s">
        <v>318</v>
      </c>
      <c r="BB1008" s="64">
        <v>26000</v>
      </c>
      <c r="BC1008" s="64">
        <v>28600</v>
      </c>
      <c r="BD1008" s="60" t="s">
        <v>643</v>
      </c>
      <c r="BG1008" s="64">
        <v>0</v>
      </c>
      <c r="BI1008" s="60" t="s">
        <v>267</v>
      </c>
      <c r="BJ1008" s="64">
        <v>7800</v>
      </c>
      <c r="BK1008" s="64">
        <v>8580</v>
      </c>
      <c r="BL1008" s="60" t="s">
        <v>2916</v>
      </c>
      <c r="BS1008" s="64">
        <v>0</v>
      </c>
      <c r="BV1008" s="65">
        <v>51700</v>
      </c>
      <c r="BW1008" s="65">
        <v>37180</v>
      </c>
      <c r="BX1008" s="65">
        <v>44649</v>
      </c>
      <c r="BY1008" s="65">
        <v>14520</v>
      </c>
      <c r="BZ1008" s="81">
        <v>28.085106382978726</v>
      </c>
    </row>
    <row r="1009" spans="1:89" x14ac:dyDescent="0.15">
      <c r="A1009" s="60">
        <v>2</v>
      </c>
      <c r="B1009" s="61">
        <v>44666</v>
      </c>
      <c r="C1009" s="61">
        <v>44670</v>
      </c>
      <c r="D1009" s="61">
        <v>44690</v>
      </c>
      <c r="E1009" s="61">
        <v>44681</v>
      </c>
      <c r="F1009" s="61">
        <v>44677</v>
      </c>
      <c r="G1009" s="61">
        <v>44670</v>
      </c>
      <c r="H1009" s="61">
        <v>44673</v>
      </c>
      <c r="I1009" s="60" t="s">
        <v>511</v>
      </c>
      <c r="J1009" s="60">
        <v>1</v>
      </c>
      <c r="L1009" s="60">
        <v>0</v>
      </c>
      <c r="M1009" s="61">
        <v>44649</v>
      </c>
      <c r="O1009" s="62" t="s">
        <v>331</v>
      </c>
      <c r="P1009" s="60" t="s">
        <v>26</v>
      </c>
      <c r="Q1009" s="62" t="s">
        <v>135</v>
      </c>
      <c r="R1009" s="62" t="s">
        <v>3143</v>
      </c>
      <c r="S1009" s="63" t="s">
        <v>388</v>
      </c>
      <c r="T1009" s="63" t="s">
        <v>2934</v>
      </c>
      <c r="U1009" s="64">
        <v>59000</v>
      </c>
      <c r="V1009" s="64">
        <v>64900</v>
      </c>
      <c r="W1009" s="64">
        <v>47000</v>
      </c>
      <c r="X1009" s="64">
        <v>51700</v>
      </c>
      <c r="Y1009" s="64">
        <v>12000</v>
      </c>
      <c r="Z1009" s="64">
        <v>13200</v>
      </c>
      <c r="AA1009" s="61">
        <v>44669</v>
      </c>
      <c r="AB1009" s="61">
        <v>44670</v>
      </c>
      <c r="AC1009" s="61">
        <v>44670</v>
      </c>
      <c r="AD1009" s="60">
        <v>0</v>
      </c>
      <c r="AG1009" s="60">
        <v>0</v>
      </c>
      <c r="AJ1009" s="60">
        <v>0</v>
      </c>
      <c r="AM1009" s="60" t="s">
        <v>273</v>
      </c>
      <c r="AN1009" s="60" t="s">
        <v>3144</v>
      </c>
      <c r="AQ1009" s="60" t="s">
        <v>3088</v>
      </c>
      <c r="AR1009" s="61">
        <v>44663</v>
      </c>
      <c r="AS1009" s="60">
        <v>6002015091</v>
      </c>
      <c r="AT1009" s="61">
        <v>44663</v>
      </c>
      <c r="AU1009" s="60" t="s">
        <v>3097</v>
      </c>
      <c r="AV1009" s="61">
        <v>44670</v>
      </c>
      <c r="AW1009" s="91">
        <v>44681</v>
      </c>
      <c r="AX1009" s="91">
        <v>44701</v>
      </c>
      <c r="AY1009" s="99">
        <v>56640</v>
      </c>
      <c r="AZ1009" s="99">
        <f>ROUNDDOWN(AY1009+(AY1009*MASTER!$A$2/100),0)</f>
        <v>62304</v>
      </c>
      <c r="BA1009" s="60" t="s">
        <v>319</v>
      </c>
      <c r="BB1009" s="64">
        <v>21000</v>
      </c>
      <c r="BC1009" s="64">
        <v>23100</v>
      </c>
      <c r="BD1009" s="60" t="s">
        <v>643</v>
      </c>
      <c r="BG1009" s="64">
        <v>0</v>
      </c>
      <c r="BI1009" s="60" t="s">
        <v>267</v>
      </c>
      <c r="BJ1009" s="64">
        <v>7800</v>
      </c>
      <c r="BK1009" s="64">
        <v>8580</v>
      </c>
      <c r="BL1009" s="60" t="s">
        <v>2916</v>
      </c>
      <c r="BS1009" s="64">
        <v>0</v>
      </c>
      <c r="BV1009" s="65">
        <v>51700</v>
      </c>
      <c r="BW1009" s="65">
        <v>31680</v>
      </c>
      <c r="BX1009" s="65">
        <v>44649</v>
      </c>
      <c r="BY1009" s="65">
        <v>20020</v>
      </c>
      <c r="BZ1009" s="81">
        <v>38.723404255319153</v>
      </c>
    </row>
    <row r="1010" spans="1:89" x14ac:dyDescent="0.15">
      <c r="A1010" s="60">
        <v>2</v>
      </c>
      <c r="B1010" s="61">
        <v>44714</v>
      </c>
      <c r="C1010" s="61">
        <v>44742</v>
      </c>
      <c r="D1010" s="61">
        <v>44714</v>
      </c>
      <c r="E1010" s="61">
        <v>44714</v>
      </c>
      <c r="F1010" s="61">
        <v>44721</v>
      </c>
      <c r="G1010" s="61">
        <v>44714</v>
      </c>
      <c r="H1010" s="61">
        <v>44717</v>
      </c>
      <c r="I1010" s="60" t="s">
        <v>511</v>
      </c>
      <c r="J1010" s="60">
        <v>2</v>
      </c>
      <c r="L1010" s="60">
        <v>0</v>
      </c>
      <c r="M1010" s="61">
        <v>44649</v>
      </c>
      <c r="O1010" s="62" t="s">
        <v>331</v>
      </c>
      <c r="P1010" s="60" t="s">
        <v>26</v>
      </c>
      <c r="Q1010" s="62" t="s">
        <v>135</v>
      </c>
      <c r="R1010" s="62" t="s">
        <v>3519</v>
      </c>
      <c r="S1010" s="63" t="s">
        <v>348</v>
      </c>
      <c r="T1010" s="63" t="s">
        <v>656</v>
      </c>
      <c r="U1010" s="64">
        <v>49500</v>
      </c>
      <c r="V1010" s="64">
        <v>54450</v>
      </c>
      <c r="W1010" s="64">
        <v>49500</v>
      </c>
      <c r="X1010" s="64">
        <v>54450</v>
      </c>
      <c r="Z1010" s="64">
        <v>0</v>
      </c>
      <c r="AA1010" s="61">
        <v>44713</v>
      </c>
      <c r="AB1010" s="61">
        <v>44714</v>
      </c>
      <c r="AC1010" s="61">
        <v>44714</v>
      </c>
      <c r="AD1010" s="60">
        <v>0</v>
      </c>
      <c r="AG1010" s="60">
        <v>0</v>
      </c>
      <c r="AJ1010" s="60">
        <v>0</v>
      </c>
      <c r="AN1010" s="60" t="s">
        <v>309</v>
      </c>
      <c r="AQ1010" s="60" t="s">
        <v>3034</v>
      </c>
      <c r="AR1010" s="61">
        <v>44656</v>
      </c>
      <c r="AS1010" s="60">
        <v>6002012142</v>
      </c>
      <c r="AT1010" s="61">
        <v>44658</v>
      </c>
      <c r="AU1010" s="60" t="s">
        <v>3059</v>
      </c>
      <c r="AV1010" s="61">
        <v>44742</v>
      </c>
      <c r="AW1010" s="91">
        <v>44742</v>
      </c>
      <c r="AX1010" s="91">
        <v>44762</v>
      </c>
      <c r="AY1010" s="99">
        <v>47520</v>
      </c>
      <c r="AZ1010" s="99">
        <f>ROUNDDOWN(AY1010+(AY1010*MASTER!$A$2/100),0)</f>
        <v>52272</v>
      </c>
      <c r="BA1010" s="60" t="s">
        <v>613</v>
      </c>
      <c r="BB1010" s="64">
        <v>21000</v>
      </c>
      <c r="BC1010" s="64">
        <v>23100</v>
      </c>
      <c r="BD1010" s="60" t="s">
        <v>3530</v>
      </c>
      <c r="BG1010" s="64">
        <v>0</v>
      </c>
      <c r="BK1010" s="64">
        <v>0</v>
      </c>
      <c r="BS1010" s="64">
        <v>0</v>
      </c>
      <c r="BV1010" s="65">
        <v>54450</v>
      </c>
      <c r="BW1010" s="65">
        <v>23100</v>
      </c>
      <c r="BX1010" s="65">
        <v>44649</v>
      </c>
      <c r="BY1010" s="65">
        <v>31350</v>
      </c>
      <c r="BZ1010" s="81">
        <v>57.575757575757578</v>
      </c>
    </row>
    <row r="1011" spans="1:89" x14ac:dyDescent="0.15">
      <c r="A1011" s="60">
        <v>2</v>
      </c>
      <c r="B1011" s="61">
        <v>44662</v>
      </c>
      <c r="C1011" s="61">
        <v>44666</v>
      </c>
      <c r="D1011" s="61">
        <v>44664</v>
      </c>
      <c r="F1011" s="61" t="s">
        <v>309</v>
      </c>
      <c r="G1011" s="61">
        <v>44664</v>
      </c>
      <c r="H1011" s="61" t="s">
        <v>309</v>
      </c>
      <c r="I1011" s="60" t="s">
        <v>1630</v>
      </c>
      <c r="J1011" s="60">
        <v>2</v>
      </c>
      <c r="L1011" s="60">
        <v>0</v>
      </c>
      <c r="M1011" s="61">
        <v>44649</v>
      </c>
      <c r="O1011" s="62" t="s">
        <v>331</v>
      </c>
      <c r="P1011" s="60" t="s">
        <v>26</v>
      </c>
      <c r="Q1011" s="62" t="s">
        <v>135</v>
      </c>
      <c r="R1011" s="62" t="s">
        <v>3076</v>
      </c>
      <c r="S1011" s="63" t="s">
        <v>3077</v>
      </c>
      <c r="T1011" s="63" t="s">
        <v>3078</v>
      </c>
      <c r="U1011" s="64">
        <v>152000</v>
      </c>
      <c r="V1011" s="64">
        <v>167200</v>
      </c>
      <c r="W1011" s="64">
        <v>152000</v>
      </c>
      <c r="X1011" s="64">
        <v>167200</v>
      </c>
      <c r="Z1011" s="64">
        <v>0</v>
      </c>
      <c r="AA1011" s="61">
        <v>44652</v>
      </c>
      <c r="AB1011" s="61">
        <v>44661</v>
      </c>
      <c r="AD1011" s="60">
        <v>0</v>
      </c>
      <c r="AG1011" s="60">
        <v>0</v>
      </c>
      <c r="AJ1011" s="60">
        <v>0</v>
      </c>
      <c r="AM1011" s="60" t="s">
        <v>273</v>
      </c>
      <c r="AN1011" s="60" t="s">
        <v>3079</v>
      </c>
      <c r="AQ1011" s="60" t="s">
        <v>3038</v>
      </c>
      <c r="AR1011" s="61">
        <v>44657</v>
      </c>
      <c r="AS1011" s="60">
        <v>6002012588</v>
      </c>
      <c r="AT1011" s="61">
        <v>44658</v>
      </c>
      <c r="AU1011" s="60" t="s">
        <v>3060</v>
      </c>
      <c r="AV1011" s="61">
        <v>44666</v>
      </c>
      <c r="AW1011" s="91">
        <v>44681</v>
      </c>
      <c r="AX1011" s="91">
        <v>44701</v>
      </c>
      <c r="AY1011" s="107">
        <v>152000</v>
      </c>
      <c r="AZ1011" s="107">
        <f>ROUNDDOWN(AY1011+(AY1011*MASTER!$A$2/100),0)</f>
        <v>167200</v>
      </c>
      <c r="BA1011" s="60" t="s">
        <v>613</v>
      </c>
      <c r="BB1011" s="64">
        <v>96000</v>
      </c>
      <c r="BC1011" s="64">
        <v>105600</v>
      </c>
      <c r="BD1011" s="60" t="s">
        <v>643</v>
      </c>
      <c r="BG1011" s="64">
        <v>0</v>
      </c>
      <c r="BK1011" s="64">
        <v>0</v>
      </c>
      <c r="BS1011" s="64">
        <v>0</v>
      </c>
      <c r="BV1011" s="65">
        <v>167200</v>
      </c>
      <c r="BW1011" s="65">
        <v>105600</v>
      </c>
      <c r="BX1011" s="65">
        <v>44649</v>
      </c>
      <c r="BY1011" s="65">
        <v>61600</v>
      </c>
      <c r="BZ1011" s="81">
        <v>36.84210526315789</v>
      </c>
    </row>
    <row r="1012" spans="1:89" s="152" customFormat="1" x14ac:dyDescent="0.15">
      <c r="A1012" s="142">
        <v>3</v>
      </c>
      <c r="B1012" s="143"/>
      <c r="C1012" s="143" t="s">
        <v>309</v>
      </c>
      <c r="D1012" s="143"/>
      <c r="E1012" s="143"/>
      <c r="F1012" s="143" t="s">
        <v>309</v>
      </c>
      <c r="G1012" s="143"/>
      <c r="H1012" s="143" t="s">
        <v>309</v>
      </c>
      <c r="I1012" s="142"/>
      <c r="J1012" s="142">
        <v>2</v>
      </c>
      <c r="K1012" s="143"/>
      <c r="L1012" s="142">
        <v>0</v>
      </c>
      <c r="M1012" s="143">
        <v>44649</v>
      </c>
      <c r="N1012" s="143"/>
      <c r="O1012" s="144" t="s">
        <v>331</v>
      </c>
      <c r="P1012" s="142" t="s">
        <v>77</v>
      </c>
      <c r="Q1012" s="144" t="s">
        <v>135</v>
      </c>
      <c r="R1012" s="144" t="s">
        <v>2939</v>
      </c>
      <c r="S1012" s="145" t="s">
        <v>846</v>
      </c>
      <c r="T1012" s="145" t="s">
        <v>2773</v>
      </c>
      <c r="U1012" s="146">
        <v>65000</v>
      </c>
      <c r="V1012" s="146">
        <v>71500</v>
      </c>
      <c r="W1012" s="146">
        <v>65000</v>
      </c>
      <c r="X1012" s="146">
        <v>71500</v>
      </c>
      <c r="Y1012" s="146">
        <v>0</v>
      </c>
      <c r="Z1012" s="146">
        <v>0</v>
      </c>
      <c r="AA1012" s="143"/>
      <c r="AB1012" s="143"/>
      <c r="AC1012" s="143"/>
      <c r="AD1012" s="142">
        <v>0</v>
      </c>
      <c r="AE1012" s="142"/>
      <c r="AF1012" s="142"/>
      <c r="AG1012" s="142">
        <v>0</v>
      </c>
      <c r="AH1012" s="142"/>
      <c r="AI1012" s="142"/>
      <c r="AJ1012" s="142">
        <v>0</v>
      </c>
      <c r="AK1012" s="142"/>
      <c r="AL1012" s="142"/>
      <c r="AM1012" s="142"/>
      <c r="AN1012" s="142"/>
      <c r="AO1012" s="143"/>
      <c r="AP1012" s="142"/>
      <c r="AQ1012" s="142"/>
      <c r="AR1012" s="143"/>
      <c r="AS1012" s="142"/>
      <c r="AT1012" s="143"/>
      <c r="AU1012" s="142"/>
      <c r="AV1012" s="143"/>
      <c r="AW1012" s="147"/>
      <c r="AX1012" s="147"/>
      <c r="AY1012" s="154">
        <v>65000</v>
      </c>
      <c r="AZ1012" s="154">
        <f>ROUNDDOWN(AY1012+(AY1012*MASTER!$A$2/100),0)</f>
        <v>71500</v>
      </c>
      <c r="BA1012" s="142"/>
      <c r="BB1012" s="146"/>
      <c r="BC1012" s="146">
        <v>0</v>
      </c>
      <c r="BD1012" s="142"/>
      <c r="BE1012" s="142"/>
      <c r="BF1012" s="146"/>
      <c r="BG1012" s="146">
        <v>0</v>
      </c>
      <c r="BH1012" s="142"/>
      <c r="BI1012" s="142"/>
      <c r="BJ1012" s="146"/>
      <c r="BK1012" s="146">
        <v>0</v>
      </c>
      <c r="BL1012" s="142"/>
      <c r="BM1012" s="146"/>
      <c r="BN1012" s="146"/>
      <c r="BO1012" s="146"/>
      <c r="BP1012" s="146"/>
      <c r="BQ1012" s="146"/>
      <c r="BR1012" s="146"/>
      <c r="BS1012" s="146">
        <v>0</v>
      </c>
      <c r="BT1012" s="149"/>
      <c r="BU1012" s="149"/>
      <c r="BV1012" s="150">
        <v>71500</v>
      </c>
      <c r="BW1012" s="150">
        <v>0</v>
      </c>
      <c r="BX1012" s="150">
        <v>44649</v>
      </c>
      <c r="BY1012" s="150">
        <v>71500</v>
      </c>
      <c r="BZ1012" s="151">
        <v>100</v>
      </c>
      <c r="CA1012" s="142"/>
      <c r="CB1012" s="142"/>
      <c r="CC1012" s="142"/>
      <c r="CD1012" s="145" t="s">
        <v>3137</v>
      </c>
      <c r="CE1012" s="143"/>
      <c r="CF1012" s="143"/>
      <c r="CG1012" s="143"/>
      <c r="CH1012" s="143"/>
      <c r="CI1012" s="143"/>
      <c r="CJ1012" s="143"/>
      <c r="CK1012" s="146"/>
    </row>
    <row r="1013" spans="1:89" x14ac:dyDescent="0.15">
      <c r="A1013" s="60">
        <v>2</v>
      </c>
      <c r="B1013" s="61">
        <v>44665</v>
      </c>
      <c r="C1013" s="61">
        <v>44680</v>
      </c>
      <c r="D1013" s="61">
        <v>44687</v>
      </c>
      <c r="F1013" s="61">
        <v>44677</v>
      </c>
      <c r="H1013" s="61">
        <v>44673</v>
      </c>
      <c r="I1013" s="60" t="s">
        <v>1630</v>
      </c>
      <c r="J1013" s="60">
        <v>2</v>
      </c>
      <c r="L1013" s="60">
        <v>0</v>
      </c>
      <c r="M1013" s="61">
        <v>44649</v>
      </c>
      <c r="O1013" s="62" t="s">
        <v>331</v>
      </c>
      <c r="P1013" s="60" t="s">
        <v>77</v>
      </c>
      <c r="Q1013" s="62" t="s">
        <v>135</v>
      </c>
      <c r="R1013" s="62" t="s">
        <v>2942</v>
      </c>
      <c r="S1013" s="63" t="s">
        <v>2943</v>
      </c>
      <c r="T1013" s="63" t="s">
        <v>2940</v>
      </c>
      <c r="U1013" s="64">
        <v>65000</v>
      </c>
      <c r="V1013" s="64">
        <v>71500</v>
      </c>
      <c r="W1013" s="64">
        <v>65000</v>
      </c>
      <c r="X1013" s="64">
        <v>71500</v>
      </c>
      <c r="Y1013" s="64">
        <v>0</v>
      </c>
      <c r="Z1013" s="64">
        <v>0</v>
      </c>
      <c r="AA1013" s="61">
        <v>44669</v>
      </c>
      <c r="AB1013" s="61">
        <v>44670</v>
      </c>
      <c r="AC1013" s="61">
        <v>44670</v>
      </c>
      <c r="AD1013" s="60">
        <v>0</v>
      </c>
      <c r="AG1013" s="60">
        <v>0</v>
      </c>
      <c r="AJ1013" s="60">
        <v>0</v>
      </c>
      <c r="AQ1013" s="60" t="s">
        <v>2986</v>
      </c>
      <c r="AR1013" s="61">
        <v>44652</v>
      </c>
      <c r="AS1013" s="60">
        <v>6002011404</v>
      </c>
      <c r="AT1013" s="61">
        <v>44652</v>
      </c>
      <c r="AU1013" s="60" t="s">
        <v>2990</v>
      </c>
      <c r="AV1013" s="61">
        <v>44680</v>
      </c>
      <c r="AW1013" s="91">
        <v>44681</v>
      </c>
      <c r="AX1013" s="91">
        <v>44701</v>
      </c>
      <c r="AY1013" s="107">
        <v>65000</v>
      </c>
      <c r="AZ1013" s="107">
        <f>ROUNDDOWN(AY1013+(AY1013*MASTER!$A$2/100),0)</f>
        <v>71500</v>
      </c>
      <c r="BA1013" s="60" t="s">
        <v>107</v>
      </c>
      <c r="BC1013" s="64">
        <v>0</v>
      </c>
      <c r="BG1013" s="64">
        <v>0</v>
      </c>
      <c r="BK1013" s="64">
        <v>0</v>
      </c>
      <c r="BS1013" s="64">
        <v>0</v>
      </c>
      <c r="BV1013" s="65">
        <v>71500</v>
      </c>
      <c r="BW1013" s="65">
        <v>0</v>
      </c>
      <c r="BX1013" s="65">
        <v>44649</v>
      </c>
      <c r="BY1013" s="65">
        <v>71500</v>
      </c>
      <c r="BZ1013" s="81">
        <v>100</v>
      </c>
    </row>
    <row r="1014" spans="1:89" x14ac:dyDescent="0.15">
      <c r="A1014" s="60">
        <v>2</v>
      </c>
      <c r="B1014" s="61">
        <v>44699</v>
      </c>
      <c r="C1014" s="61">
        <v>44711</v>
      </c>
      <c r="D1014" s="61">
        <v>44718</v>
      </c>
      <c r="F1014" s="61">
        <v>44714</v>
      </c>
      <c r="H1014" s="61">
        <v>44710</v>
      </c>
      <c r="I1014" s="60" t="s">
        <v>774</v>
      </c>
      <c r="J1014" s="60">
        <v>2</v>
      </c>
      <c r="L1014" s="60">
        <v>0</v>
      </c>
      <c r="M1014" s="61">
        <v>44649</v>
      </c>
      <c r="O1014" s="62" t="s">
        <v>331</v>
      </c>
      <c r="P1014" s="60" t="s">
        <v>77</v>
      </c>
      <c r="Q1014" s="62" t="s">
        <v>135</v>
      </c>
      <c r="R1014" s="62" t="s">
        <v>2944</v>
      </c>
      <c r="S1014" s="63" t="s">
        <v>2029</v>
      </c>
      <c r="T1014" s="63" t="s">
        <v>2941</v>
      </c>
      <c r="U1014" s="64">
        <v>65000</v>
      </c>
      <c r="V1014" s="64">
        <v>71500</v>
      </c>
      <c r="W1014" s="64">
        <v>65000</v>
      </c>
      <c r="X1014" s="64">
        <v>71500</v>
      </c>
      <c r="Y1014" s="64">
        <v>0</v>
      </c>
      <c r="Z1014" s="64">
        <v>0</v>
      </c>
      <c r="AA1014" s="61">
        <v>44706</v>
      </c>
      <c r="AB1014" s="61">
        <v>44707</v>
      </c>
      <c r="AC1014" s="61">
        <v>44707</v>
      </c>
      <c r="AD1014" s="60">
        <v>0</v>
      </c>
      <c r="AG1014" s="60">
        <v>0</v>
      </c>
      <c r="AJ1014" s="60">
        <v>0</v>
      </c>
      <c r="AQ1014" s="60" t="s">
        <v>2987</v>
      </c>
      <c r="AR1014" s="61">
        <v>44652</v>
      </c>
      <c r="AS1014" s="60">
        <v>6002011404</v>
      </c>
      <c r="AT1014" s="61">
        <v>44652</v>
      </c>
      <c r="AU1014" s="60" t="s">
        <v>2990</v>
      </c>
      <c r="AV1014" s="61">
        <v>44711</v>
      </c>
      <c r="AW1014" s="91">
        <v>44712</v>
      </c>
      <c r="AX1014" s="91">
        <v>44732</v>
      </c>
      <c r="AY1014" s="107">
        <v>65000</v>
      </c>
      <c r="AZ1014" s="107">
        <f>ROUNDDOWN(AY1014+(AY1014*MASTER!$A$2/100),0)</f>
        <v>71500</v>
      </c>
      <c r="BA1014" s="60" t="s">
        <v>765</v>
      </c>
      <c r="BC1014" s="64">
        <v>0</v>
      </c>
      <c r="BG1014" s="64">
        <v>0</v>
      </c>
      <c r="BK1014" s="64">
        <v>0</v>
      </c>
      <c r="BS1014" s="64">
        <v>0</v>
      </c>
      <c r="BV1014" s="65">
        <v>71500</v>
      </c>
      <c r="BW1014" s="65">
        <v>0</v>
      </c>
      <c r="BX1014" s="65">
        <v>44649</v>
      </c>
      <c r="BY1014" s="65">
        <v>71500</v>
      </c>
      <c r="BZ1014" s="81">
        <v>100</v>
      </c>
    </row>
    <row r="1015" spans="1:89" x14ac:dyDescent="0.15">
      <c r="A1015" s="60">
        <v>2</v>
      </c>
      <c r="B1015" s="61">
        <v>44690</v>
      </c>
      <c r="C1015" s="61">
        <v>44711</v>
      </c>
      <c r="E1015" s="61">
        <v>44699</v>
      </c>
      <c r="F1015" s="61">
        <v>44702</v>
      </c>
      <c r="G1015" s="61">
        <v>44699</v>
      </c>
      <c r="H1015" s="61">
        <v>44698</v>
      </c>
      <c r="I1015" s="60" t="s">
        <v>511</v>
      </c>
      <c r="J1015" s="60">
        <v>2</v>
      </c>
      <c r="L1015" s="60">
        <v>0</v>
      </c>
      <c r="M1015" s="61">
        <v>44650</v>
      </c>
      <c r="O1015" s="62" t="s">
        <v>331</v>
      </c>
      <c r="P1015" s="60" t="s">
        <v>26</v>
      </c>
      <c r="Q1015" s="62" t="s">
        <v>135</v>
      </c>
      <c r="R1015" s="62" t="s">
        <v>3350</v>
      </c>
      <c r="S1015" s="63" t="s">
        <v>406</v>
      </c>
      <c r="T1015" s="63" t="s">
        <v>656</v>
      </c>
      <c r="U1015" s="64">
        <v>49500</v>
      </c>
      <c r="V1015" s="64">
        <v>54450</v>
      </c>
      <c r="W1015" s="64">
        <v>49500</v>
      </c>
      <c r="X1015" s="64">
        <v>54450</v>
      </c>
      <c r="Z1015" s="64">
        <v>0</v>
      </c>
      <c r="AA1015" s="61">
        <v>44694</v>
      </c>
      <c r="AB1015" s="61">
        <v>44695</v>
      </c>
      <c r="AC1015" s="61">
        <v>44695</v>
      </c>
      <c r="AD1015" s="60">
        <v>0</v>
      </c>
      <c r="AG1015" s="60">
        <v>0</v>
      </c>
      <c r="AJ1015" s="60">
        <v>0</v>
      </c>
      <c r="AN1015" s="60" t="s">
        <v>309</v>
      </c>
      <c r="AQ1015" s="60" t="s">
        <v>3074</v>
      </c>
      <c r="AR1015" s="61">
        <v>44662</v>
      </c>
      <c r="AS1015" s="60">
        <v>6002014279</v>
      </c>
      <c r="AT1015" s="61">
        <v>44662</v>
      </c>
      <c r="AU1015" s="60" t="s">
        <v>3082</v>
      </c>
      <c r="AV1015" s="61">
        <v>44711</v>
      </c>
      <c r="AW1015" s="91">
        <v>44712</v>
      </c>
      <c r="AX1015" s="91">
        <v>44732</v>
      </c>
      <c r="AY1015" s="99">
        <v>47520</v>
      </c>
      <c r="AZ1015" s="99">
        <f>ROUNDDOWN(AY1015+(AY1015*MASTER!$A$2/100),0)</f>
        <v>52272</v>
      </c>
      <c r="BA1015" s="60" t="s">
        <v>582</v>
      </c>
      <c r="BB1015" s="64">
        <v>38000</v>
      </c>
      <c r="BC1015" s="64">
        <v>41800</v>
      </c>
      <c r="BD1015" s="60" t="s">
        <v>3360</v>
      </c>
      <c r="BG1015" s="64">
        <v>0</v>
      </c>
      <c r="BK1015" s="64">
        <v>0</v>
      </c>
      <c r="BS1015" s="64">
        <v>0</v>
      </c>
      <c r="BV1015" s="65">
        <v>54450</v>
      </c>
      <c r="BW1015" s="65">
        <v>41800</v>
      </c>
      <c r="BX1015" s="65">
        <v>44650</v>
      </c>
      <c r="BY1015" s="65">
        <v>12650</v>
      </c>
      <c r="BZ1015" s="81">
        <v>23.232323232323232</v>
      </c>
    </row>
    <row r="1016" spans="1:89" s="152" customFormat="1" x14ac:dyDescent="0.15">
      <c r="A1016" s="142">
        <v>3</v>
      </c>
      <c r="B1016" s="143"/>
      <c r="C1016" s="143" t="s">
        <v>309</v>
      </c>
      <c r="D1016" s="143"/>
      <c r="E1016" s="143"/>
      <c r="F1016" s="143" t="s">
        <v>309</v>
      </c>
      <c r="G1016" s="143"/>
      <c r="H1016" s="143" t="s">
        <v>309</v>
      </c>
      <c r="I1016" s="142"/>
      <c r="J1016" s="142">
        <v>1</v>
      </c>
      <c r="K1016" s="143"/>
      <c r="L1016" s="142">
        <v>0</v>
      </c>
      <c r="M1016" s="143">
        <v>44650</v>
      </c>
      <c r="N1016" s="143"/>
      <c r="O1016" s="144" t="s">
        <v>331</v>
      </c>
      <c r="P1016" s="142" t="s">
        <v>26</v>
      </c>
      <c r="Q1016" s="144" t="s">
        <v>135</v>
      </c>
      <c r="R1016" s="144" t="s">
        <v>3513</v>
      </c>
      <c r="S1016" s="145" t="s">
        <v>844</v>
      </c>
      <c r="T1016" s="145" t="s">
        <v>502</v>
      </c>
      <c r="U1016" s="146">
        <v>23900</v>
      </c>
      <c r="V1016" s="146">
        <v>26290</v>
      </c>
      <c r="W1016" s="146">
        <v>14700</v>
      </c>
      <c r="X1016" s="146">
        <v>16170</v>
      </c>
      <c r="Y1016" s="146">
        <v>9200</v>
      </c>
      <c r="Z1016" s="146">
        <v>10120</v>
      </c>
      <c r="AA1016" s="143">
        <v>44677</v>
      </c>
      <c r="AB1016" s="143">
        <v>44678</v>
      </c>
      <c r="AC1016" s="143"/>
      <c r="AD1016" s="142">
        <v>0</v>
      </c>
      <c r="AE1016" s="142"/>
      <c r="AF1016" s="142"/>
      <c r="AG1016" s="142">
        <v>0</v>
      </c>
      <c r="AH1016" s="142"/>
      <c r="AI1016" s="142"/>
      <c r="AJ1016" s="142">
        <v>0</v>
      </c>
      <c r="AK1016" s="142"/>
      <c r="AL1016" s="142"/>
      <c r="AM1016" s="142" t="s">
        <v>273</v>
      </c>
      <c r="AN1016" s="142" t="s">
        <v>3514</v>
      </c>
      <c r="AO1016" s="143"/>
      <c r="AP1016" s="142"/>
      <c r="AQ1016" s="142"/>
      <c r="AR1016" s="143"/>
      <c r="AS1016" s="142"/>
      <c r="AT1016" s="143"/>
      <c r="AU1016" s="142"/>
      <c r="AV1016" s="143"/>
      <c r="AW1016" s="147"/>
      <c r="AX1016" s="147"/>
      <c r="AY1016" s="148">
        <v>22944</v>
      </c>
      <c r="AZ1016" s="148">
        <f>ROUNDDOWN(AY1016+(AY1016*MASTER!$A$2/100),0)</f>
        <v>25238</v>
      </c>
      <c r="BA1016" s="142"/>
      <c r="BB1016" s="146"/>
      <c r="BC1016" s="146">
        <v>0</v>
      </c>
      <c r="BD1016" s="142"/>
      <c r="BE1016" s="142"/>
      <c r="BF1016" s="146"/>
      <c r="BG1016" s="146">
        <v>0</v>
      </c>
      <c r="BH1016" s="142"/>
      <c r="BI1016" s="142"/>
      <c r="BJ1016" s="146"/>
      <c r="BK1016" s="146">
        <v>0</v>
      </c>
      <c r="BL1016" s="142"/>
      <c r="BM1016" s="146"/>
      <c r="BN1016" s="146"/>
      <c r="BO1016" s="146"/>
      <c r="BP1016" s="146"/>
      <c r="BQ1016" s="146"/>
      <c r="BR1016" s="146"/>
      <c r="BS1016" s="146">
        <v>0</v>
      </c>
      <c r="BT1016" s="149"/>
      <c r="BU1016" s="149"/>
      <c r="BV1016" s="150">
        <v>16170</v>
      </c>
      <c r="BW1016" s="150">
        <v>0</v>
      </c>
      <c r="BX1016" s="150">
        <v>44650</v>
      </c>
      <c r="BY1016" s="150">
        <v>16170</v>
      </c>
      <c r="BZ1016" s="151">
        <v>100</v>
      </c>
      <c r="CA1016" s="142"/>
      <c r="CB1016" s="142"/>
      <c r="CC1016" s="142"/>
      <c r="CD1016" s="145" t="s">
        <v>3515</v>
      </c>
      <c r="CE1016" s="143"/>
      <c r="CF1016" s="143"/>
      <c r="CG1016" s="143"/>
      <c r="CH1016" s="143"/>
      <c r="CI1016" s="143"/>
      <c r="CJ1016" s="143"/>
      <c r="CK1016" s="146"/>
    </row>
    <row r="1017" spans="1:89" x14ac:dyDescent="0.15">
      <c r="A1017" s="60">
        <v>2</v>
      </c>
      <c r="B1017" s="61">
        <v>44673</v>
      </c>
      <c r="C1017" s="61">
        <v>44678</v>
      </c>
      <c r="D1017" s="61">
        <v>44693</v>
      </c>
      <c r="E1017" s="61">
        <v>44681</v>
      </c>
      <c r="F1017" s="61">
        <v>44685</v>
      </c>
      <c r="G1017" s="61">
        <v>44678</v>
      </c>
      <c r="H1017" s="61">
        <v>44681</v>
      </c>
      <c r="I1017" s="60" t="s">
        <v>774</v>
      </c>
      <c r="J1017" s="60">
        <v>1</v>
      </c>
      <c r="L1017" s="60">
        <v>0</v>
      </c>
      <c r="M1017" s="61">
        <v>44650</v>
      </c>
      <c r="O1017" s="62" t="s">
        <v>331</v>
      </c>
      <c r="P1017" s="60" t="s">
        <v>26</v>
      </c>
      <c r="Q1017" s="62" t="s">
        <v>135</v>
      </c>
      <c r="R1017" s="62" t="s">
        <v>3055</v>
      </c>
      <c r="S1017" s="63" t="s">
        <v>709</v>
      </c>
      <c r="T1017" s="63" t="s">
        <v>521</v>
      </c>
      <c r="U1017" s="64">
        <v>153500</v>
      </c>
      <c r="V1017" s="64">
        <v>168850</v>
      </c>
      <c r="W1017" s="64">
        <v>86000</v>
      </c>
      <c r="X1017" s="64">
        <v>94600</v>
      </c>
      <c r="Y1017" s="64">
        <v>67500</v>
      </c>
      <c r="Z1017" s="64">
        <v>74250</v>
      </c>
      <c r="AA1017" s="61">
        <v>44676</v>
      </c>
      <c r="AB1017" s="61">
        <v>44678</v>
      </c>
      <c r="AC1017" s="61">
        <v>44678</v>
      </c>
      <c r="AD1017" s="60">
        <v>0</v>
      </c>
      <c r="AG1017" s="60">
        <v>0</v>
      </c>
      <c r="AJ1017" s="60">
        <v>0</v>
      </c>
      <c r="AM1017" s="60" t="s">
        <v>273</v>
      </c>
      <c r="AN1017" s="60" t="s">
        <v>3056</v>
      </c>
      <c r="AQ1017" s="60" t="s">
        <v>3057</v>
      </c>
      <c r="AR1017" s="61">
        <v>44658</v>
      </c>
      <c r="AS1017" s="60">
        <v>6002013389</v>
      </c>
      <c r="AT1017" s="61">
        <v>44658</v>
      </c>
      <c r="AU1017" s="60" t="s">
        <v>3058</v>
      </c>
      <c r="AV1017" s="61">
        <v>44678</v>
      </c>
      <c r="AW1017" s="91">
        <v>44681</v>
      </c>
      <c r="AX1017" s="91">
        <v>44701</v>
      </c>
      <c r="AY1017" s="99">
        <v>147360</v>
      </c>
      <c r="AZ1017" s="99">
        <f>ROUNDDOWN(AY1017+(AY1017*MASTER!$A$2/100),0)</f>
        <v>162096</v>
      </c>
      <c r="BA1017" s="60" t="s">
        <v>317</v>
      </c>
      <c r="BB1017" s="64">
        <v>36000</v>
      </c>
      <c r="BC1017" s="64">
        <v>39600</v>
      </c>
      <c r="BD1017" s="60" t="s">
        <v>643</v>
      </c>
      <c r="BG1017" s="64">
        <v>0</v>
      </c>
      <c r="BI1017" s="60" t="s">
        <v>748</v>
      </c>
      <c r="BJ1017" s="64">
        <v>43875</v>
      </c>
      <c r="BK1017" s="64">
        <v>48262.5</v>
      </c>
      <c r="BL1017" s="60" t="s">
        <v>643</v>
      </c>
      <c r="BS1017" s="64">
        <v>0</v>
      </c>
      <c r="BV1017" s="65">
        <v>94600</v>
      </c>
      <c r="BW1017" s="65">
        <v>87862.5</v>
      </c>
      <c r="BX1017" s="65">
        <v>44650</v>
      </c>
      <c r="BY1017" s="65">
        <v>6737.5</v>
      </c>
      <c r="BZ1017" s="81">
        <v>7.1220930232558137</v>
      </c>
    </row>
    <row r="1018" spans="1:89" x14ac:dyDescent="0.15">
      <c r="A1018" s="60">
        <v>1</v>
      </c>
      <c r="B1018" s="61">
        <v>44659</v>
      </c>
      <c r="C1018" s="61">
        <v>44663</v>
      </c>
      <c r="F1018" s="61" t="s">
        <v>309</v>
      </c>
      <c r="H1018" s="61" t="s">
        <v>309</v>
      </c>
      <c r="J1018" s="60">
        <v>2</v>
      </c>
      <c r="L1018" s="60">
        <v>0</v>
      </c>
      <c r="M1018" s="61">
        <v>44650</v>
      </c>
      <c r="O1018" s="62" t="s">
        <v>331</v>
      </c>
      <c r="P1018" s="60" t="s">
        <v>77</v>
      </c>
      <c r="Q1018" s="62" t="s">
        <v>135</v>
      </c>
      <c r="R1018" s="62" t="s">
        <v>2956</v>
      </c>
      <c r="S1018" s="63" t="s">
        <v>489</v>
      </c>
      <c r="T1018" s="63" t="s">
        <v>490</v>
      </c>
      <c r="U1018" s="64">
        <v>9880</v>
      </c>
      <c r="V1018" s="64">
        <v>10868</v>
      </c>
      <c r="W1018" s="64">
        <v>9880</v>
      </c>
      <c r="X1018" s="64">
        <v>10868</v>
      </c>
      <c r="Z1018" s="64">
        <v>0</v>
      </c>
      <c r="AD1018" s="60">
        <v>0</v>
      </c>
      <c r="AG1018" s="60">
        <v>0</v>
      </c>
      <c r="AJ1018" s="60">
        <v>0</v>
      </c>
      <c r="AQ1018" s="60" t="s">
        <v>2957</v>
      </c>
      <c r="AR1018" s="61">
        <v>44650</v>
      </c>
      <c r="AS1018" s="60">
        <v>6002010501</v>
      </c>
      <c r="AT1018" s="61">
        <v>44651</v>
      </c>
      <c r="AU1018" s="60" t="s">
        <v>2966</v>
      </c>
      <c r="AV1018" s="61">
        <v>44663</v>
      </c>
      <c r="AW1018" s="91">
        <v>44681</v>
      </c>
      <c r="AX1018" s="91">
        <v>44701</v>
      </c>
      <c r="AY1018" s="107">
        <v>9880</v>
      </c>
      <c r="AZ1018" s="107">
        <f>ROUNDDOWN(AY1018+(AY1018*MASTER!$A$2/100),0)</f>
        <v>10868</v>
      </c>
      <c r="BC1018" s="64">
        <v>0</v>
      </c>
      <c r="BG1018" s="64">
        <v>0</v>
      </c>
      <c r="BK1018" s="64">
        <v>0</v>
      </c>
      <c r="BS1018" s="64">
        <v>0</v>
      </c>
      <c r="BV1018" s="65">
        <v>10868</v>
      </c>
      <c r="BW1018" s="65">
        <v>0</v>
      </c>
      <c r="BX1018" s="65">
        <v>44650</v>
      </c>
      <c r="BY1018" s="65">
        <v>10868</v>
      </c>
      <c r="BZ1018" s="81">
        <v>100</v>
      </c>
    </row>
    <row r="1019" spans="1:89" x14ac:dyDescent="0.15">
      <c r="A1019" s="60">
        <v>2</v>
      </c>
      <c r="B1019" s="61">
        <v>44673</v>
      </c>
      <c r="C1019" s="61">
        <v>44679</v>
      </c>
      <c r="D1019" s="61">
        <v>44690</v>
      </c>
      <c r="E1019" s="61">
        <v>44690</v>
      </c>
      <c r="F1019" s="61">
        <v>44686</v>
      </c>
      <c r="G1019" s="61">
        <v>44682</v>
      </c>
      <c r="H1019" s="61">
        <v>44682</v>
      </c>
      <c r="I1019" s="60" t="s">
        <v>511</v>
      </c>
      <c r="J1019" s="60">
        <v>1</v>
      </c>
      <c r="L1019" s="60">
        <v>0</v>
      </c>
      <c r="M1019" s="61">
        <v>44650</v>
      </c>
      <c r="O1019" s="62" t="s">
        <v>331</v>
      </c>
      <c r="P1019" s="60" t="s">
        <v>26</v>
      </c>
      <c r="Q1019" s="62" t="s">
        <v>135</v>
      </c>
      <c r="R1019" s="62" t="s">
        <v>3262</v>
      </c>
      <c r="S1019" s="63" t="s">
        <v>388</v>
      </c>
      <c r="T1019" s="63" t="s">
        <v>3263</v>
      </c>
      <c r="U1019" s="64">
        <v>255365</v>
      </c>
      <c r="V1019" s="64">
        <v>280901.5</v>
      </c>
      <c r="W1019" s="64">
        <v>187865</v>
      </c>
      <c r="X1019" s="64">
        <v>206651.5</v>
      </c>
      <c r="Y1019" s="64">
        <v>67500</v>
      </c>
      <c r="Z1019" s="64">
        <v>74250</v>
      </c>
      <c r="AA1019" s="61">
        <v>44678</v>
      </c>
      <c r="AB1019" s="61">
        <v>44679</v>
      </c>
      <c r="AC1019" s="61">
        <v>44679</v>
      </c>
      <c r="AD1019" s="60">
        <v>0</v>
      </c>
      <c r="AG1019" s="60">
        <v>0</v>
      </c>
      <c r="AJ1019" s="60">
        <v>0</v>
      </c>
      <c r="AM1019" s="60" t="s">
        <v>273</v>
      </c>
      <c r="AN1019" s="60" t="s">
        <v>3264</v>
      </c>
      <c r="AQ1019" s="60" t="s">
        <v>3151</v>
      </c>
      <c r="AR1019" s="61">
        <v>44666</v>
      </c>
      <c r="AS1019" s="60">
        <v>6002016773</v>
      </c>
      <c r="AT1019" s="61">
        <v>44669</v>
      </c>
      <c r="AU1019" s="60" t="s">
        <v>3179</v>
      </c>
      <c r="AV1019" s="61">
        <v>44679</v>
      </c>
      <c r="AW1019" s="91">
        <v>44681</v>
      </c>
      <c r="AX1019" s="91">
        <v>44701</v>
      </c>
      <c r="AY1019" s="99">
        <v>245150</v>
      </c>
      <c r="AZ1019" s="99">
        <f>ROUNDDOWN(AY1019+(AY1019*MASTER!$A$2/100),0)</f>
        <v>269665</v>
      </c>
      <c r="BA1019" s="60" t="s">
        <v>319</v>
      </c>
      <c r="BB1019" s="64">
        <v>82000</v>
      </c>
      <c r="BC1019" s="64">
        <v>90200</v>
      </c>
      <c r="BD1019" s="60" t="s">
        <v>643</v>
      </c>
      <c r="BG1019" s="64">
        <v>0</v>
      </c>
      <c r="BI1019" s="60" t="s">
        <v>267</v>
      </c>
      <c r="BJ1019" s="64">
        <v>43875</v>
      </c>
      <c r="BK1019" s="64">
        <v>48262.5</v>
      </c>
      <c r="BL1019" s="60" t="s">
        <v>2916</v>
      </c>
      <c r="BS1019" s="64">
        <v>0</v>
      </c>
      <c r="BV1019" s="65">
        <v>206651.5</v>
      </c>
      <c r="BW1019" s="65">
        <v>138462.5</v>
      </c>
      <c r="BX1019" s="65">
        <v>44650</v>
      </c>
      <c r="BY1019" s="65">
        <v>68189</v>
      </c>
      <c r="BZ1019" s="81">
        <v>32.997098980651003</v>
      </c>
    </row>
    <row r="1020" spans="1:89" s="152" customFormat="1" x14ac:dyDescent="0.15">
      <c r="A1020" s="142">
        <v>3</v>
      </c>
      <c r="B1020" s="143"/>
      <c r="C1020" s="143" t="s">
        <v>309</v>
      </c>
      <c r="D1020" s="143"/>
      <c r="E1020" s="143"/>
      <c r="F1020" s="143" t="s">
        <v>309</v>
      </c>
      <c r="G1020" s="143"/>
      <c r="H1020" s="143" t="s">
        <v>309</v>
      </c>
      <c r="I1020" s="142"/>
      <c r="J1020" s="142">
        <v>1</v>
      </c>
      <c r="K1020" s="143"/>
      <c r="L1020" s="142">
        <v>0</v>
      </c>
      <c r="M1020" s="143">
        <v>44650</v>
      </c>
      <c r="N1020" s="143"/>
      <c r="O1020" s="144" t="s">
        <v>331</v>
      </c>
      <c r="P1020" s="142" t="s">
        <v>26</v>
      </c>
      <c r="Q1020" s="144" t="s">
        <v>135</v>
      </c>
      <c r="R1020" s="144" t="s">
        <v>3282</v>
      </c>
      <c r="S1020" s="145" t="s">
        <v>623</v>
      </c>
      <c r="T1020" s="145" t="s">
        <v>442</v>
      </c>
      <c r="U1020" s="146">
        <v>59000</v>
      </c>
      <c r="V1020" s="146">
        <v>64900</v>
      </c>
      <c r="W1020" s="146">
        <v>47000</v>
      </c>
      <c r="X1020" s="146">
        <v>51700</v>
      </c>
      <c r="Y1020" s="146">
        <v>12000</v>
      </c>
      <c r="Z1020" s="146">
        <v>13200</v>
      </c>
      <c r="AA1020" s="143"/>
      <c r="AB1020" s="143"/>
      <c r="AC1020" s="143"/>
      <c r="AD1020" s="142">
        <v>0</v>
      </c>
      <c r="AE1020" s="142"/>
      <c r="AF1020" s="142"/>
      <c r="AG1020" s="142">
        <v>0</v>
      </c>
      <c r="AH1020" s="142"/>
      <c r="AI1020" s="142"/>
      <c r="AJ1020" s="142">
        <v>0</v>
      </c>
      <c r="AK1020" s="142"/>
      <c r="AL1020" s="142"/>
      <c r="AM1020" s="142" t="s">
        <v>273</v>
      </c>
      <c r="AN1020" s="142" t="s">
        <v>3283</v>
      </c>
      <c r="AO1020" s="143"/>
      <c r="AP1020" s="142"/>
      <c r="AQ1020" s="142"/>
      <c r="AR1020" s="143"/>
      <c r="AS1020" s="142"/>
      <c r="AT1020" s="143"/>
      <c r="AU1020" s="142"/>
      <c r="AV1020" s="143"/>
      <c r="AW1020" s="147"/>
      <c r="AX1020" s="147"/>
      <c r="AY1020" s="148">
        <v>56640</v>
      </c>
      <c r="AZ1020" s="148">
        <f>ROUNDDOWN(AY1020+(AY1020*MASTER!$A$2/100),0)</f>
        <v>62304</v>
      </c>
      <c r="BA1020" s="142"/>
      <c r="BB1020" s="146"/>
      <c r="BC1020" s="146">
        <v>0</v>
      </c>
      <c r="BD1020" s="142"/>
      <c r="BE1020" s="142"/>
      <c r="BF1020" s="146"/>
      <c r="BG1020" s="146">
        <v>0</v>
      </c>
      <c r="BH1020" s="142"/>
      <c r="BI1020" s="142"/>
      <c r="BJ1020" s="146"/>
      <c r="BK1020" s="146">
        <v>0</v>
      </c>
      <c r="BL1020" s="142"/>
      <c r="BM1020" s="146"/>
      <c r="BN1020" s="146"/>
      <c r="BO1020" s="146"/>
      <c r="BP1020" s="146"/>
      <c r="BQ1020" s="146"/>
      <c r="BR1020" s="146"/>
      <c r="BS1020" s="146">
        <v>0</v>
      </c>
      <c r="BT1020" s="149"/>
      <c r="BU1020" s="149"/>
      <c r="BV1020" s="150">
        <v>51700</v>
      </c>
      <c r="BW1020" s="150">
        <v>0</v>
      </c>
      <c r="BX1020" s="150">
        <v>44650</v>
      </c>
      <c r="BY1020" s="150">
        <v>51700</v>
      </c>
      <c r="BZ1020" s="151">
        <v>100</v>
      </c>
      <c r="CA1020" s="142"/>
      <c r="CB1020" s="142"/>
      <c r="CC1020" s="142"/>
      <c r="CD1020" s="145" t="s">
        <v>3534</v>
      </c>
      <c r="CE1020" s="143"/>
      <c r="CF1020" s="143"/>
      <c r="CG1020" s="143"/>
      <c r="CH1020" s="143"/>
      <c r="CI1020" s="143"/>
      <c r="CJ1020" s="143"/>
      <c r="CK1020" s="146"/>
    </row>
    <row r="1021" spans="1:89" x14ac:dyDescent="0.15">
      <c r="A1021" s="60">
        <v>2</v>
      </c>
      <c r="B1021" s="61">
        <v>44673</v>
      </c>
      <c r="C1021" s="61">
        <v>44677</v>
      </c>
      <c r="D1021" s="61">
        <v>44693</v>
      </c>
      <c r="E1021" s="61">
        <v>44681</v>
      </c>
      <c r="F1021" s="61">
        <v>44684</v>
      </c>
      <c r="G1021" s="61">
        <v>44678</v>
      </c>
      <c r="H1021" s="61">
        <v>44680</v>
      </c>
      <c r="I1021" s="60" t="s">
        <v>774</v>
      </c>
      <c r="J1021" s="60">
        <v>1</v>
      </c>
      <c r="L1021" s="60">
        <v>0</v>
      </c>
      <c r="M1021" s="61">
        <v>44651</v>
      </c>
      <c r="O1021" s="62" t="s">
        <v>331</v>
      </c>
      <c r="P1021" s="60" t="s">
        <v>26</v>
      </c>
      <c r="Q1021" s="62" t="s">
        <v>135</v>
      </c>
      <c r="R1021" s="62" t="s">
        <v>2958</v>
      </c>
      <c r="S1021" s="63" t="s">
        <v>689</v>
      </c>
      <c r="T1021" s="63" t="s">
        <v>2959</v>
      </c>
      <c r="U1021" s="64">
        <v>203500</v>
      </c>
      <c r="V1021" s="64">
        <v>223850</v>
      </c>
      <c r="W1021" s="64">
        <v>86000</v>
      </c>
      <c r="X1021" s="64">
        <v>94600</v>
      </c>
      <c r="Y1021" s="64">
        <v>117500</v>
      </c>
      <c r="Z1021" s="64">
        <v>129250</v>
      </c>
      <c r="AA1021" s="61">
        <v>44676</v>
      </c>
      <c r="AB1021" s="61">
        <v>44677</v>
      </c>
      <c r="AC1021" s="61">
        <v>44677</v>
      </c>
      <c r="AD1021" s="60">
        <v>0</v>
      </c>
      <c r="AG1021" s="60">
        <v>0</v>
      </c>
      <c r="AJ1021" s="60">
        <v>0</v>
      </c>
      <c r="AM1021" s="60" t="s">
        <v>273</v>
      </c>
      <c r="AN1021" s="60" t="s">
        <v>2960</v>
      </c>
      <c r="AQ1021" s="60" t="s">
        <v>3152</v>
      </c>
      <c r="AR1021" s="61">
        <v>44666</v>
      </c>
      <c r="AS1021" s="60">
        <v>6002016773</v>
      </c>
      <c r="AT1021" s="61">
        <v>44669</v>
      </c>
      <c r="AU1021" s="60" t="s">
        <v>3179</v>
      </c>
      <c r="AV1021" s="61">
        <v>44677</v>
      </c>
      <c r="AW1021" s="91">
        <v>44681</v>
      </c>
      <c r="AX1021" s="91">
        <v>44701</v>
      </c>
      <c r="AY1021" s="99">
        <v>195360</v>
      </c>
      <c r="AZ1021" s="99">
        <f>ROUNDDOWN(AY1021+(AY1021*MASTER!$A$2/100),0)</f>
        <v>214896</v>
      </c>
      <c r="BA1021" s="60" t="s">
        <v>317</v>
      </c>
      <c r="BB1021" s="64">
        <v>35000</v>
      </c>
      <c r="BC1021" s="64">
        <v>38500</v>
      </c>
      <c r="BD1021" s="60" t="s">
        <v>643</v>
      </c>
      <c r="BG1021" s="64">
        <v>0</v>
      </c>
      <c r="BI1021" s="60" t="s">
        <v>748</v>
      </c>
      <c r="BJ1021" s="64">
        <v>76375</v>
      </c>
      <c r="BK1021" s="64">
        <v>84012.5</v>
      </c>
      <c r="BL1021" s="60" t="s">
        <v>643</v>
      </c>
      <c r="BS1021" s="64">
        <v>0</v>
      </c>
      <c r="BV1021" s="65">
        <v>94600</v>
      </c>
      <c r="BW1021" s="65">
        <v>122512.5</v>
      </c>
      <c r="BX1021" s="65">
        <v>44651</v>
      </c>
      <c r="BY1021" s="65">
        <v>-27912.5</v>
      </c>
      <c r="BZ1021" s="81">
        <v>-29.505813953488374</v>
      </c>
    </row>
    <row r="1022" spans="1:89" x14ac:dyDescent="0.15">
      <c r="A1022" s="60">
        <v>1</v>
      </c>
      <c r="B1022" s="61">
        <v>44664</v>
      </c>
      <c r="C1022" s="61">
        <v>44672</v>
      </c>
      <c r="F1022" s="61" t="s">
        <v>309</v>
      </c>
      <c r="H1022" s="61" t="s">
        <v>309</v>
      </c>
      <c r="J1022" s="60">
        <v>2</v>
      </c>
      <c r="L1022" s="60">
        <v>0</v>
      </c>
      <c r="M1022" s="61">
        <v>44652</v>
      </c>
      <c r="O1022" s="62" t="s">
        <v>331</v>
      </c>
      <c r="P1022" s="60" t="s">
        <v>26</v>
      </c>
      <c r="Q1022" s="62" t="s">
        <v>136</v>
      </c>
      <c r="R1022" s="62" t="s">
        <v>3122</v>
      </c>
      <c r="S1022" s="63" t="s">
        <v>326</v>
      </c>
      <c r="T1022" s="63" t="s">
        <v>2962</v>
      </c>
      <c r="U1022" s="64">
        <v>438000</v>
      </c>
      <c r="V1022" s="64">
        <v>481800</v>
      </c>
      <c r="W1022" s="64">
        <v>438000</v>
      </c>
      <c r="X1022" s="64">
        <v>481800</v>
      </c>
      <c r="Y1022" s="64">
        <v>0</v>
      </c>
      <c r="Z1022" s="64">
        <v>0</v>
      </c>
      <c r="AA1022" s="61">
        <v>44652</v>
      </c>
      <c r="AB1022" s="61">
        <v>44681</v>
      </c>
      <c r="AD1022" s="60">
        <v>0</v>
      </c>
      <c r="AG1022" s="60">
        <v>0</v>
      </c>
      <c r="AJ1022" s="60">
        <v>0</v>
      </c>
      <c r="AQ1022" s="60" t="s">
        <v>3089</v>
      </c>
      <c r="AR1022" s="61">
        <v>44663</v>
      </c>
      <c r="AS1022" s="60">
        <v>6002015091</v>
      </c>
      <c r="AT1022" s="61">
        <v>44663</v>
      </c>
      <c r="AU1022" s="60" t="s">
        <v>3097</v>
      </c>
      <c r="AV1022" s="61">
        <v>44672</v>
      </c>
      <c r="AW1022" s="91">
        <v>44681</v>
      </c>
      <c r="AX1022" s="91">
        <v>44701</v>
      </c>
      <c r="AY1022" s="107">
        <v>438000</v>
      </c>
      <c r="AZ1022" s="107">
        <f>ROUNDDOWN(AY1022+(AY1022*MASTER!$A$2/100),0)</f>
        <v>481800</v>
      </c>
      <c r="BC1022" s="64">
        <v>0</v>
      </c>
      <c r="BG1022" s="64">
        <v>0</v>
      </c>
      <c r="BK1022" s="64">
        <v>0</v>
      </c>
      <c r="BS1022" s="64">
        <v>0</v>
      </c>
      <c r="BV1022" s="65">
        <v>481800</v>
      </c>
      <c r="BW1022" s="65">
        <v>0</v>
      </c>
      <c r="BX1022" s="65">
        <v>44652</v>
      </c>
      <c r="BY1022" s="65">
        <v>481800</v>
      </c>
      <c r="BZ1022" s="81">
        <v>100</v>
      </c>
    </row>
    <row r="1023" spans="1:89" x14ac:dyDescent="0.15">
      <c r="A1023" s="60">
        <v>1</v>
      </c>
      <c r="B1023" s="61">
        <v>44664</v>
      </c>
      <c r="C1023" s="61">
        <v>44672</v>
      </c>
      <c r="F1023" s="61" t="s">
        <v>309</v>
      </c>
      <c r="H1023" s="61" t="s">
        <v>309</v>
      </c>
      <c r="J1023" s="60">
        <v>2</v>
      </c>
      <c r="L1023" s="60">
        <v>0</v>
      </c>
      <c r="M1023" s="61">
        <v>44652</v>
      </c>
      <c r="O1023" s="62" t="s">
        <v>331</v>
      </c>
      <c r="P1023" s="60" t="s">
        <v>26</v>
      </c>
      <c r="Q1023" s="62" t="s">
        <v>136</v>
      </c>
      <c r="R1023" s="62" t="s">
        <v>3123</v>
      </c>
      <c r="S1023" s="63" t="s">
        <v>326</v>
      </c>
      <c r="T1023" s="63" t="s">
        <v>2963</v>
      </c>
      <c r="U1023" s="64">
        <v>438000</v>
      </c>
      <c r="V1023" s="64">
        <v>481800</v>
      </c>
      <c r="W1023" s="64">
        <v>438000</v>
      </c>
      <c r="X1023" s="64">
        <v>481800</v>
      </c>
      <c r="Y1023" s="64">
        <v>0</v>
      </c>
      <c r="Z1023" s="64">
        <v>0</v>
      </c>
      <c r="AA1023" s="61">
        <v>44652</v>
      </c>
      <c r="AB1023" s="61">
        <v>44681</v>
      </c>
      <c r="AD1023" s="60">
        <v>0</v>
      </c>
      <c r="AG1023" s="60">
        <v>0</v>
      </c>
      <c r="AJ1023" s="60">
        <v>0</v>
      </c>
      <c r="AQ1023" s="60" t="s">
        <v>3089</v>
      </c>
      <c r="AR1023" s="61">
        <v>44663</v>
      </c>
      <c r="AS1023" s="60">
        <v>6002015091</v>
      </c>
      <c r="AT1023" s="61">
        <v>44663</v>
      </c>
      <c r="AU1023" s="60" t="s">
        <v>3097</v>
      </c>
      <c r="AV1023" s="61">
        <v>44672</v>
      </c>
      <c r="AW1023" s="91">
        <v>44681</v>
      </c>
      <c r="AX1023" s="91">
        <v>44701</v>
      </c>
      <c r="AY1023" s="107">
        <v>438000</v>
      </c>
      <c r="AZ1023" s="107">
        <f>ROUNDDOWN(AY1023+(AY1023*MASTER!$A$2/100),0)</f>
        <v>481800</v>
      </c>
      <c r="BC1023" s="64">
        <v>0</v>
      </c>
      <c r="BG1023" s="64">
        <v>0</v>
      </c>
      <c r="BK1023" s="64">
        <v>0</v>
      </c>
      <c r="BS1023" s="64">
        <v>0</v>
      </c>
      <c r="BV1023" s="65">
        <v>481800</v>
      </c>
      <c r="BW1023" s="65">
        <v>0</v>
      </c>
      <c r="BX1023" s="65">
        <v>44652</v>
      </c>
      <c r="BY1023" s="65">
        <v>481800</v>
      </c>
      <c r="BZ1023" s="81">
        <v>100</v>
      </c>
    </row>
    <row r="1024" spans="1:89" x14ac:dyDescent="0.15">
      <c r="A1024" s="60">
        <v>1</v>
      </c>
      <c r="B1024" s="61">
        <v>44664</v>
      </c>
      <c r="C1024" s="61">
        <v>44672</v>
      </c>
      <c r="F1024" s="61" t="s">
        <v>309</v>
      </c>
      <c r="H1024" s="61" t="s">
        <v>309</v>
      </c>
      <c r="J1024" s="60">
        <v>2</v>
      </c>
      <c r="L1024" s="60">
        <v>0</v>
      </c>
      <c r="M1024" s="61">
        <v>44652</v>
      </c>
      <c r="O1024" s="62" t="s">
        <v>331</v>
      </c>
      <c r="P1024" s="60" t="s">
        <v>26</v>
      </c>
      <c r="Q1024" s="62" t="s">
        <v>136</v>
      </c>
      <c r="R1024" s="62" t="s">
        <v>3124</v>
      </c>
      <c r="S1024" s="63" t="s">
        <v>326</v>
      </c>
      <c r="T1024" s="63" t="s">
        <v>2964</v>
      </c>
      <c r="U1024" s="64">
        <v>262000</v>
      </c>
      <c r="V1024" s="64">
        <v>288200</v>
      </c>
      <c r="W1024" s="64">
        <v>262000</v>
      </c>
      <c r="X1024" s="64">
        <v>288200</v>
      </c>
      <c r="Y1024" s="64">
        <v>0</v>
      </c>
      <c r="Z1024" s="64">
        <v>0</v>
      </c>
      <c r="AA1024" s="61">
        <v>44652</v>
      </c>
      <c r="AB1024" s="61">
        <v>44681</v>
      </c>
      <c r="AD1024" s="60">
        <v>0</v>
      </c>
      <c r="AG1024" s="60">
        <v>0</v>
      </c>
      <c r="AJ1024" s="60">
        <v>0</v>
      </c>
      <c r="AQ1024" s="60" t="s">
        <v>3089</v>
      </c>
      <c r="AR1024" s="61">
        <v>44663</v>
      </c>
      <c r="AS1024" s="60">
        <v>6002015091</v>
      </c>
      <c r="AT1024" s="61">
        <v>44663</v>
      </c>
      <c r="AU1024" s="60" t="s">
        <v>3097</v>
      </c>
      <c r="AV1024" s="61">
        <v>44672</v>
      </c>
      <c r="AW1024" s="91">
        <v>44681</v>
      </c>
      <c r="AX1024" s="91">
        <v>44701</v>
      </c>
      <c r="AY1024" s="107">
        <v>262000</v>
      </c>
      <c r="AZ1024" s="107">
        <f>ROUNDDOWN(AY1024+(AY1024*MASTER!$A$2/100),0)</f>
        <v>288200</v>
      </c>
      <c r="BC1024" s="64">
        <v>0</v>
      </c>
      <c r="BG1024" s="64">
        <v>0</v>
      </c>
      <c r="BK1024" s="64">
        <v>0</v>
      </c>
      <c r="BS1024" s="64">
        <v>0</v>
      </c>
      <c r="BV1024" s="65">
        <v>288200</v>
      </c>
      <c r="BW1024" s="65">
        <v>0</v>
      </c>
      <c r="BX1024" s="65">
        <v>44652</v>
      </c>
      <c r="BY1024" s="65">
        <v>288200</v>
      </c>
      <c r="BZ1024" s="81">
        <v>100</v>
      </c>
    </row>
    <row r="1025" spans="1:82" x14ac:dyDescent="0.15">
      <c r="A1025" s="60">
        <v>1</v>
      </c>
      <c r="B1025" s="61">
        <v>44666</v>
      </c>
      <c r="C1025" s="61">
        <v>44672</v>
      </c>
      <c r="F1025" s="61" t="s">
        <v>309</v>
      </c>
      <c r="H1025" s="61" t="s">
        <v>309</v>
      </c>
      <c r="J1025" s="60">
        <v>2</v>
      </c>
      <c r="L1025" s="60">
        <v>0</v>
      </c>
      <c r="M1025" s="61">
        <v>44652</v>
      </c>
      <c r="O1025" s="62" t="s">
        <v>331</v>
      </c>
      <c r="P1025" s="60" t="s">
        <v>26</v>
      </c>
      <c r="Q1025" s="62" t="s">
        <v>136</v>
      </c>
      <c r="R1025" s="62" t="s">
        <v>3100</v>
      </c>
      <c r="S1025" s="63" t="s">
        <v>417</v>
      </c>
      <c r="T1025" s="63" t="s">
        <v>2965</v>
      </c>
      <c r="U1025" s="64">
        <v>66000</v>
      </c>
      <c r="V1025" s="64">
        <v>72600</v>
      </c>
      <c r="W1025" s="64">
        <v>66000</v>
      </c>
      <c r="X1025" s="64">
        <v>72600</v>
      </c>
      <c r="Y1025" s="64">
        <v>0</v>
      </c>
      <c r="Z1025" s="64">
        <v>0</v>
      </c>
      <c r="AA1025" s="61">
        <v>44652</v>
      </c>
      <c r="AB1025" s="61">
        <v>44681</v>
      </c>
      <c r="AD1025" s="60">
        <v>0</v>
      </c>
      <c r="AG1025" s="60">
        <v>0</v>
      </c>
      <c r="AJ1025" s="60">
        <v>0</v>
      </c>
      <c r="AQ1025" s="60" t="s">
        <v>3142</v>
      </c>
      <c r="AR1025" s="61">
        <v>44664</v>
      </c>
      <c r="AS1025" s="60">
        <v>6002015684</v>
      </c>
      <c r="AT1025" s="61">
        <v>44665</v>
      </c>
      <c r="AU1025" s="60" t="s">
        <v>3141</v>
      </c>
      <c r="AV1025" s="61">
        <v>44672</v>
      </c>
      <c r="AW1025" s="91">
        <v>44681</v>
      </c>
      <c r="AX1025" s="91">
        <v>44701</v>
      </c>
      <c r="AY1025" s="99">
        <v>63360</v>
      </c>
      <c r="AZ1025" s="99">
        <f>ROUNDDOWN(AY1025+(AY1025*MASTER!$A$2/100),0)</f>
        <v>69696</v>
      </c>
      <c r="BC1025" s="64">
        <v>0</v>
      </c>
      <c r="BG1025" s="64">
        <v>0</v>
      </c>
      <c r="BK1025" s="64">
        <v>0</v>
      </c>
      <c r="BS1025" s="64">
        <v>0</v>
      </c>
      <c r="BV1025" s="65">
        <v>72600</v>
      </c>
      <c r="BW1025" s="65">
        <v>0</v>
      </c>
      <c r="BX1025" s="65">
        <v>44652</v>
      </c>
      <c r="BY1025" s="65">
        <v>72600</v>
      </c>
      <c r="BZ1025" s="81">
        <v>100</v>
      </c>
    </row>
    <row r="1026" spans="1:82" x14ac:dyDescent="0.15">
      <c r="A1026" s="60">
        <v>1</v>
      </c>
      <c r="C1026" s="61" t="s">
        <v>309</v>
      </c>
      <c r="F1026" s="61" t="s">
        <v>309</v>
      </c>
      <c r="H1026" s="61" t="s">
        <v>309</v>
      </c>
      <c r="J1026" s="60">
        <v>4</v>
      </c>
      <c r="L1026" s="60">
        <v>0</v>
      </c>
      <c r="M1026" s="61">
        <v>44652</v>
      </c>
      <c r="O1026" s="62" t="s">
        <v>331</v>
      </c>
      <c r="P1026" s="60" t="s">
        <v>263</v>
      </c>
      <c r="Q1026" s="62" t="s">
        <v>136</v>
      </c>
      <c r="R1026" s="62" t="s">
        <v>2971</v>
      </c>
      <c r="S1026" s="63" t="s">
        <v>406</v>
      </c>
      <c r="T1026" s="63" t="s">
        <v>2972</v>
      </c>
      <c r="U1026" s="64">
        <v>0</v>
      </c>
      <c r="V1026" s="64">
        <v>0</v>
      </c>
      <c r="W1026" s="64">
        <v>0</v>
      </c>
      <c r="X1026" s="64">
        <v>0</v>
      </c>
      <c r="Y1026" s="64">
        <v>0</v>
      </c>
      <c r="Z1026" s="64">
        <v>0</v>
      </c>
      <c r="AA1026" s="61">
        <v>44616</v>
      </c>
      <c r="AD1026" s="60">
        <v>0</v>
      </c>
      <c r="AG1026" s="60">
        <v>0</v>
      </c>
      <c r="AJ1026" s="60">
        <v>0</v>
      </c>
      <c r="AY1026" s="99">
        <f t="shared" ref="AY1026:AY1031" si="5">ROUNDDOWN((0.96*U1026),0)</f>
        <v>0</v>
      </c>
      <c r="AZ1026" s="99">
        <f>ROUNDDOWN(AY1026+(AY1026*MASTER!$A$2/100),0)</f>
        <v>0</v>
      </c>
      <c r="BC1026" s="64">
        <v>0</v>
      </c>
      <c r="BG1026" s="64">
        <v>0</v>
      </c>
      <c r="BI1026" s="60" t="s">
        <v>748</v>
      </c>
      <c r="BJ1026" s="64">
        <v>44850</v>
      </c>
      <c r="BK1026" s="64">
        <v>49335</v>
      </c>
      <c r="BL1026" s="60" t="s">
        <v>2154</v>
      </c>
      <c r="BS1026" s="64">
        <v>0</v>
      </c>
      <c r="BV1026" s="65">
        <v>0</v>
      </c>
      <c r="BW1026" s="65">
        <v>49335</v>
      </c>
      <c r="BX1026" s="65">
        <v>44652</v>
      </c>
      <c r="BY1026" s="65">
        <v>-49335</v>
      </c>
      <c r="BZ1026" s="81" t="s">
        <v>309</v>
      </c>
      <c r="CD1026" s="63" t="s">
        <v>2982</v>
      </c>
    </row>
    <row r="1027" spans="1:82" x14ac:dyDescent="0.15">
      <c r="A1027" s="60">
        <v>1</v>
      </c>
      <c r="C1027" s="61" t="s">
        <v>309</v>
      </c>
      <c r="F1027" s="61" t="s">
        <v>309</v>
      </c>
      <c r="H1027" s="61" t="s">
        <v>309</v>
      </c>
      <c r="J1027" s="60">
        <v>4</v>
      </c>
      <c r="L1027" s="60">
        <v>0</v>
      </c>
      <c r="M1027" s="61">
        <v>44652</v>
      </c>
      <c r="O1027" s="62" t="s">
        <v>331</v>
      </c>
      <c r="P1027" s="60" t="s">
        <v>263</v>
      </c>
      <c r="Q1027" s="62" t="s">
        <v>136</v>
      </c>
      <c r="R1027" s="62" t="s">
        <v>2973</v>
      </c>
      <c r="S1027" s="63" t="s">
        <v>1239</v>
      </c>
      <c r="T1027" s="63" t="s">
        <v>2972</v>
      </c>
      <c r="U1027" s="64">
        <v>0</v>
      </c>
      <c r="V1027" s="64">
        <v>0</v>
      </c>
      <c r="W1027" s="64">
        <v>0</v>
      </c>
      <c r="X1027" s="64">
        <v>0</v>
      </c>
      <c r="Y1027" s="64">
        <v>0</v>
      </c>
      <c r="Z1027" s="64">
        <v>0</v>
      </c>
      <c r="AA1027" s="61">
        <v>44616</v>
      </c>
      <c r="AD1027" s="60">
        <v>0</v>
      </c>
      <c r="AG1027" s="60">
        <v>0</v>
      </c>
      <c r="AJ1027" s="60">
        <v>0</v>
      </c>
      <c r="AY1027" s="99">
        <f t="shared" si="5"/>
        <v>0</v>
      </c>
      <c r="AZ1027" s="99">
        <f>ROUNDDOWN(AY1027+(AY1027*MASTER!$A$2/100),0)</f>
        <v>0</v>
      </c>
      <c r="BC1027" s="64">
        <v>0</v>
      </c>
      <c r="BG1027" s="64">
        <v>0</v>
      </c>
      <c r="BI1027" s="60" t="s">
        <v>748</v>
      </c>
      <c r="BJ1027" s="64">
        <v>44850</v>
      </c>
      <c r="BK1027" s="64">
        <v>49335</v>
      </c>
      <c r="BL1027" s="60" t="s">
        <v>2154</v>
      </c>
      <c r="BS1027" s="64">
        <v>0</v>
      </c>
      <c r="BV1027" s="65">
        <v>0</v>
      </c>
      <c r="BW1027" s="65">
        <v>49335</v>
      </c>
      <c r="BX1027" s="65">
        <v>44652</v>
      </c>
      <c r="BY1027" s="65">
        <v>-49335</v>
      </c>
      <c r="BZ1027" s="81" t="s">
        <v>309</v>
      </c>
      <c r="CD1027" s="63" t="s">
        <v>2982</v>
      </c>
    </row>
    <row r="1028" spans="1:82" x14ac:dyDescent="0.15">
      <c r="A1028" s="60">
        <v>1</v>
      </c>
      <c r="C1028" s="61" t="s">
        <v>309</v>
      </c>
      <c r="F1028" s="61" t="s">
        <v>309</v>
      </c>
      <c r="H1028" s="61" t="s">
        <v>309</v>
      </c>
      <c r="J1028" s="60">
        <v>4</v>
      </c>
      <c r="L1028" s="60">
        <v>0</v>
      </c>
      <c r="M1028" s="61">
        <v>44652</v>
      </c>
      <c r="O1028" s="62" t="s">
        <v>331</v>
      </c>
      <c r="P1028" s="60" t="s">
        <v>263</v>
      </c>
      <c r="Q1028" s="62" t="s">
        <v>136</v>
      </c>
      <c r="R1028" s="62" t="s">
        <v>2974</v>
      </c>
      <c r="S1028" s="63" t="s">
        <v>1647</v>
      </c>
      <c r="T1028" s="63" t="s">
        <v>2975</v>
      </c>
      <c r="U1028" s="64">
        <v>0</v>
      </c>
      <c r="V1028" s="64">
        <v>0</v>
      </c>
      <c r="W1028" s="64">
        <v>0</v>
      </c>
      <c r="X1028" s="64">
        <v>0</v>
      </c>
      <c r="Y1028" s="64">
        <v>0</v>
      </c>
      <c r="Z1028" s="64">
        <v>0</v>
      </c>
      <c r="AA1028" s="61">
        <v>44624</v>
      </c>
      <c r="AB1028" s="61">
        <v>44627</v>
      </c>
      <c r="AD1028" s="60">
        <v>0</v>
      </c>
      <c r="AG1028" s="60">
        <v>0</v>
      </c>
      <c r="AJ1028" s="60">
        <v>0</v>
      </c>
      <c r="AY1028" s="99">
        <f t="shared" si="5"/>
        <v>0</v>
      </c>
      <c r="AZ1028" s="99">
        <f>ROUNDDOWN(AY1028+(AY1028*MASTER!$A$2/100),0)</f>
        <v>0</v>
      </c>
      <c r="BC1028" s="64">
        <v>0</v>
      </c>
      <c r="BG1028" s="64">
        <v>0</v>
      </c>
      <c r="BI1028" s="60" t="s">
        <v>748</v>
      </c>
      <c r="BJ1028" s="64">
        <v>22750</v>
      </c>
      <c r="BK1028" s="64">
        <v>25025</v>
      </c>
      <c r="BL1028" s="60" t="s">
        <v>2154</v>
      </c>
      <c r="BS1028" s="64">
        <v>0</v>
      </c>
      <c r="BV1028" s="65">
        <v>0</v>
      </c>
      <c r="BW1028" s="65">
        <v>25025</v>
      </c>
      <c r="BX1028" s="65">
        <v>44652</v>
      </c>
      <c r="BY1028" s="65">
        <v>-25025</v>
      </c>
      <c r="BZ1028" s="81" t="s">
        <v>309</v>
      </c>
      <c r="CD1028" s="63" t="s">
        <v>2980</v>
      </c>
    </row>
    <row r="1029" spans="1:82" x14ac:dyDescent="0.15">
      <c r="A1029" s="60">
        <v>1</v>
      </c>
      <c r="C1029" s="61" t="s">
        <v>309</v>
      </c>
      <c r="F1029" s="61" t="s">
        <v>309</v>
      </c>
      <c r="H1029" s="61" t="s">
        <v>309</v>
      </c>
      <c r="J1029" s="60">
        <v>4</v>
      </c>
      <c r="L1029" s="60">
        <v>0</v>
      </c>
      <c r="M1029" s="61">
        <v>44652</v>
      </c>
      <c r="O1029" s="62" t="s">
        <v>331</v>
      </c>
      <c r="P1029" s="60" t="s">
        <v>263</v>
      </c>
      <c r="Q1029" s="62" t="s">
        <v>136</v>
      </c>
      <c r="R1029" s="62" t="s">
        <v>2977</v>
      </c>
      <c r="S1029" s="63" t="s">
        <v>801</v>
      </c>
      <c r="T1029" s="63" t="s">
        <v>2975</v>
      </c>
      <c r="U1029" s="64">
        <v>0</v>
      </c>
      <c r="V1029" s="64">
        <v>0</v>
      </c>
      <c r="W1029" s="64">
        <v>0</v>
      </c>
      <c r="X1029" s="64">
        <v>0</v>
      </c>
      <c r="Y1029" s="64">
        <v>0</v>
      </c>
      <c r="Z1029" s="64">
        <v>0</v>
      </c>
      <c r="AA1029" s="61">
        <v>44624</v>
      </c>
      <c r="AB1029" s="61">
        <v>44627</v>
      </c>
      <c r="AD1029" s="60">
        <v>0</v>
      </c>
      <c r="AG1029" s="60">
        <v>0</v>
      </c>
      <c r="AJ1029" s="60">
        <v>0</v>
      </c>
      <c r="AY1029" s="99">
        <f t="shared" si="5"/>
        <v>0</v>
      </c>
      <c r="AZ1029" s="99">
        <f>ROUNDDOWN(AY1029+(AY1029*MASTER!$A$2/100),0)</f>
        <v>0</v>
      </c>
      <c r="BC1029" s="64">
        <v>0</v>
      </c>
      <c r="BG1029" s="64">
        <v>0</v>
      </c>
      <c r="BI1029" s="60" t="s">
        <v>748</v>
      </c>
      <c r="BJ1029" s="64">
        <v>22750</v>
      </c>
      <c r="BK1029" s="64">
        <v>25025</v>
      </c>
      <c r="BL1029" s="60" t="s">
        <v>2154</v>
      </c>
      <c r="BS1029" s="64">
        <v>0</v>
      </c>
      <c r="BV1029" s="65">
        <v>0</v>
      </c>
      <c r="BW1029" s="65">
        <v>25025</v>
      </c>
      <c r="BX1029" s="65">
        <v>44652</v>
      </c>
      <c r="BY1029" s="65">
        <v>-25025</v>
      </c>
      <c r="BZ1029" s="81" t="s">
        <v>309</v>
      </c>
      <c r="CD1029" s="63" t="s">
        <v>2980</v>
      </c>
    </row>
    <row r="1030" spans="1:82" x14ac:dyDescent="0.15">
      <c r="A1030" s="60">
        <v>1</v>
      </c>
      <c r="C1030" s="61" t="s">
        <v>309</v>
      </c>
      <c r="F1030" s="61" t="s">
        <v>309</v>
      </c>
      <c r="H1030" s="61" t="s">
        <v>309</v>
      </c>
      <c r="J1030" s="60">
        <v>4</v>
      </c>
      <c r="L1030" s="60">
        <v>0</v>
      </c>
      <c r="M1030" s="61">
        <v>44652</v>
      </c>
      <c r="O1030" s="62" t="s">
        <v>331</v>
      </c>
      <c r="P1030" s="60" t="s">
        <v>263</v>
      </c>
      <c r="Q1030" s="62" t="s">
        <v>136</v>
      </c>
      <c r="R1030" s="62" t="s">
        <v>2976</v>
      </c>
      <c r="S1030" s="63" t="s">
        <v>1647</v>
      </c>
      <c r="T1030" s="63" t="s">
        <v>2970</v>
      </c>
      <c r="U1030" s="64">
        <v>0</v>
      </c>
      <c r="V1030" s="64">
        <v>0</v>
      </c>
      <c r="W1030" s="64">
        <v>0</v>
      </c>
      <c r="X1030" s="64">
        <v>0</v>
      </c>
      <c r="Y1030" s="64">
        <v>0</v>
      </c>
      <c r="Z1030" s="64">
        <v>0</v>
      </c>
      <c r="AA1030" s="61">
        <v>44642</v>
      </c>
      <c r="AB1030" s="61">
        <v>44643</v>
      </c>
      <c r="AD1030" s="60">
        <v>0</v>
      </c>
      <c r="AG1030" s="60">
        <v>0</v>
      </c>
      <c r="AJ1030" s="60">
        <v>0</v>
      </c>
      <c r="AY1030" s="99">
        <f t="shared" si="5"/>
        <v>0</v>
      </c>
      <c r="AZ1030" s="99">
        <f>ROUNDDOWN(AY1030+(AY1030*MASTER!$A$2/100),0)</f>
        <v>0</v>
      </c>
      <c r="BC1030" s="64">
        <v>0</v>
      </c>
      <c r="BG1030" s="64">
        <v>0</v>
      </c>
      <c r="BI1030" s="60" t="s">
        <v>748</v>
      </c>
      <c r="BJ1030" s="64">
        <v>19500</v>
      </c>
      <c r="BK1030" s="64">
        <v>21450</v>
      </c>
      <c r="BL1030" s="60" t="s">
        <v>2154</v>
      </c>
      <c r="BS1030" s="64">
        <v>0</v>
      </c>
      <c r="BV1030" s="65">
        <v>0</v>
      </c>
      <c r="BW1030" s="65">
        <v>21450</v>
      </c>
      <c r="BX1030" s="65">
        <v>44652</v>
      </c>
      <c r="BY1030" s="65">
        <v>-21450</v>
      </c>
      <c r="BZ1030" s="81" t="s">
        <v>309</v>
      </c>
      <c r="CD1030" s="63" t="s">
        <v>2981</v>
      </c>
    </row>
    <row r="1031" spans="1:82" x14ac:dyDescent="0.15">
      <c r="A1031" s="60">
        <v>1</v>
      </c>
      <c r="C1031" s="61" t="s">
        <v>309</v>
      </c>
      <c r="F1031" s="61" t="s">
        <v>309</v>
      </c>
      <c r="H1031" s="61" t="s">
        <v>309</v>
      </c>
      <c r="J1031" s="60">
        <v>4</v>
      </c>
      <c r="L1031" s="60">
        <v>0</v>
      </c>
      <c r="M1031" s="61">
        <v>44652</v>
      </c>
      <c r="O1031" s="62" t="s">
        <v>331</v>
      </c>
      <c r="P1031" s="60" t="s">
        <v>263</v>
      </c>
      <c r="Q1031" s="62" t="s">
        <v>136</v>
      </c>
      <c r="R1031" s="62" t="s">
        <v>2978</v>
      </c>
      <c r="S1031" s="63" t="s">
        <v>1028</v>
      </c>
      <c r="T1031" s="63" t="s">
        <v>2979</v>
      </c>
      <c r="U1031" s="64">
        <v>0</v>
      </c>
      <c r="V1031" s="64">
        <v>0</v>
      </c>
      <c r="W1031" s="64">
        <v>0</v>
      </c>
      <c r="X1031" s="64">
        <v>0</v>
      </c>
      <c r="Y1031" s="64">
        <v>0</v>
      </c>
      <c r="Z1031" s="64">
        <v>0</v>
      </c>
      <c r="AA1031" s="61">
        <v>44648</v>
      </c>
      <c r="AB1031" s="61">
        <v>44649</v>
      </c>
      <c r="AD1031" s="60">
        <v>0</v>
      </c>
      <c r="AG1031" s="60">
        <v>0</v>
      </c>
      <c r="AJ1031" s="60">
        <v>0</v>
      </c>
      <c r="AY1031" s="99">
        <f t="shared" si="5"/>
        <v>0</v>
      </c>
      <c r="AZ1031" s="99">
        <f>ROUNDDOWN(AY1031+(AY1031*MASTER!$A$2/100),0)</f>
        <v>0</v>
      </c>
      <c r="BC1031" s="64">
        <v>0</v>
      </c>
      <c r="BG1031" s="64">
        <v>0</v>
      </c>
      <c r="BI1031" s="60" t="s">
        <v>748</v>
      </c>
      <c r="BJ1031" s="64">
        <v>7800</v>
      </c>
      <c r="BK1031" s="64">
        <v>8580</v>
      </c>
      <c r="BL1031" s="60" t="s">
        <v>2154</v>
      </c>
      <c r="BS1031" s="64">
        <v>0</v>
      </c>
      <c r="BV1031" s="65">
        <v>0</v>
      </c>
      <c r="BW1031" s="65">
        <v>8580</v>
      </c>
      <c r="BX1031" s="65">
        <v>44652</v>
      </c>
      <c r="BY1031" s="65">
        <v>-8580</v>
      </c>
      <c r="BZ1031" s="81" t="s">
        <v>309</v>
      </c>
      <c r="CD1031" s="63" t="s">
        <v>3050</v>
      </c>
    </row>
    <row r="1032" spans="1:82" x14ac:dyDescent="0.15">
      <c r="A1032" s="60">
        <v>2</v>
      </c>
      <c r="B1032" s="61">
        <v>44664</v>
      </c>
      <c r="C1032" s="61">
        <v>44665</v>
      </c>
      <c r="D1032" s="61">
        <v>44659</v>
      </c>
      <c r="E1032" s="61">
        <v>44659</v>
      </c>
      <c r="F1032" s="61" t="s">
        <v>309</v>
      </c>
      <c r="G1032" s="61">
        <v>44659</v>
      </c>
      <c r="H1032" s="61" t="s">
        <v>309</v>
      </c>
      <c r="I1032" s="60" t="s">
        <v>766</v>
      </c>
      <c r="J1032" s="60">
        <v>2</v>
      </c>
      <c r="L1032" s="60">
        <v>0</v>
      </c>
      <c r="M1032" s="61">
        <v>44652</v>
      </c>
      <c r="O1032" s="62" t="s">
        <v>331</v>
      </c>
      <c r="P1032" s="60" t="s">
        <v>6</v>
      </c>
      <c r="Q1032" s="62" t="s">
        <v>136</v>
      </c>
      <c r="R1032" s="62" t="s">
        <v>3061</v>
      </c>
      <c r="S1032" s="63" t="s">
        <v>2659</v>
      </c>
      <c r="T1032" s="63" t="s">
        <v>364</v>
      </c>
      <c r="U1032" s="64">
        <v>51000</v>
      </c>
      <c r="V1032" s="64">
        <v>56100</v>
      </c>
      <c r="W1032" s="64">
        <v>51000</v>
      </c>
      <c r="X1032" s="64">
        <v>56100</v>
      </c>
      <c r="Z1032" s="64">
        <v>0</v>
      </c>
      <c r="AA1032" s="61">
        <v>44659</v>
      </c>
      <c r="AB1032" s="61">
        <v>44659</v>
      </c>
      <c r="AD1032" s="60">
        <v>0</v>
      </c>
      <c r="AG1032" s="60">
        <v>0</v>
      </c>
      <c r="AJ1032" s="60">
        <v>0</v>
      </c>
      <c r="AN1032" s="60" t="s">
        <v>309</v>
      </c>
      <c r="AQ1032" s="60" t="s">
        <v>3085</v>
      </c>
      <c r="AR1032" s="61">
        <v>44663</v>
      </c>
      <c r="AS1032" s="60">
        <v>6002015091</v>
      </c>
      <c r="AT1032" s="61">
        <v>44663</v>
      </c>
      <c r="AU1032" s="60" t="s">
        <v>3097</v>
      </c>
      <c r="AV1032" s="61">
        <v>44665</v>
      </c>
      <c r="AW1032" s="91">
        <v>44681</v>
      </c>
      <c r="AX1032" s="91">
        <v>44701</v>
      </c>
      <c r="AY1032" s="99">
        <v>48960</v>
      </c>
      <c r="AZ1032" s="99">
        <f>ROUNDDOWN(AY1032+(AY1032*MASTER!$A$2/100),0)</f>
        <v>53856</v>
      </c>
      <c r="BA1032" s="60" t="s">
        <v>317</v>
      </c>
      <c r="BB1032" s="64">
        <v>22000</v>
      </c>
      <c r="BC1032" s="64">
        <v>24200</v>
      </c>
      <c r="BD1032" s="60" t="s">
        <v>643</v>
      </c>
      <c r="BG1032" s="64">
        <v>0</v>
      </c>
      <c r="BK1032" s="64">
        <v>0</v>
      </c>
      <c r="BS1032" s="64">
        <v>0</v>
      </c>
      <c r="BV1032" s="65">
        <v>56100</v>
      </c>
      <c r="BW1032" s="65">
        <v>24200</v>
      </c>
      <c r="BX1032" s="65">
        <v>44652</v>
      </c>
      <c r="BY1032" s="65">
        <v>31900</v>
      </c>
      <c r="BZ1032" s="81">
        <v>56.862745098039213</v>
      </c>
    </row>
    <row r="1033" spans="1:82" x14ac:dyDescent="0.15">
      <c r="A1033" s="60">
        <v>2</v>
      </c>
      <c r="B1033" s="61">
        <v>44659</v>
      </c>
      <c r="C1033" s="61">
        <v>44659</v>
      </c>
      <c r="D1033" s="61">
        <v>44655</v>
      </c>
      <c r="E1033" s="61">
        <v>44655</v>
      </c>
      <c r="F1033" s="61" t="s">
        <v>309</v>
      </c>
      <c r="G1033" s="61">
        <v>44655</v>
      </c>
      <c r="H1033" s="61" t="s">
        <v>309</v>
      </c>
      <c r="I1033" s="60" t="s">
        <v>494</v>
      </c>
      <c r="J1033" s="60">
        <v>2</v>
      </c>
      <c r="L1033" s="60">
        <v>0</v>
      </c>
      <c r="M1033" s="61">
        <v>44652</v>
      </c>
      <c r="O1033" s="62" t="s">
        <v>331</v>
      </c>
      <c r="P1033" s="60" t="s">
        <v>6</v>
      </c>
      <c r="Q1033" s="62" t="s">
        <v>136</v>
      </c>
      <c r="R1033" s="62" t="s">
        <v>2992</v>
      </c>
      <c r="S1033" s="63" t="s">
        <v>844</v>
      </c>
      <c r="T1033" s="63" t="s">
        <v>364</v>
      </c>
      <c r="U1033" s="64">
        <v>35000</v>
      </c>
      <c r="V1033" s="64">
        <v>38500</v>
      </c>
      <c r="W1033" s="64">
        <v>35000</v>
      </c>
      <c r="X1033" s="64">
        <v>38500</v>
      </c>
      <c r="Z1033" s="64">
        <v>0</v>
      </c>
      <c r="AA1033" s="61">
        <v>44653</v>
      </c>
      <c r="AB1033" s="61">
        <v>44653</v>
      </c>
      <c r="AD1033" s="60">
        <v>0</v>
      </c>
      <c r="AG1033" s="60">
        <v>0</v>
      </c>
      <c r="AJ1033" s="60">
        <v>0</v>
      </c>
      <c r="AN1033" s="60" t="s">
        <v>309</v>
      </c>
      <c r="AQ1033" s="60" t="s">
        <v>3041</v>
      </c>
      <c r="AR1033" s="61">
        <v>44657</v>
      </c>
      <c r="AS1033" s="60">
        <v>6002012588</v>
      </c>
      <c r="AT1033" s="61">
        <v>44658</v>
      </c>
      <c r="AU1033" s="60" t="s">
        <v>3060</v>
      </c>
      <c r="AV1033" s="61">
        <v>44659</v>
      </c>
      <c r="AW1033" s="91">
        <v>44681</v>
      </c>
      <c r="AX1033" s="91">
        <v>44701</v>
      </c>
      <c r="AY1033" s="99">
        <v>33600</v>
      </c>
      <c r="AZ1033" s="99">
        <f>ROUNDDOWN(AY1033+(AY1033*MASTER!$A$2/100),0)</f>
        <v>36960</v>
      </c>
      <c r="BA1033" s="60" t="s">
        <v>319</v>
      </c>
      <c r="BB1033" s="64">
        <v>28000</v>
      </c>
      <c r="BC1033" s="64">
        <v>30800</v>
      </c>
      <c r="BD1033" s="60" t="s">
        <v>643</v>
      </c>
      <c r="BG1033" s="64">
        <v>0</v>
      </c>
      <c r="BK1033" s="64">
        <v>0</v>
      </c>
      <c r="BS1033" s="64">
        <v>0</v>
      </c>
      <c r="BV1033" s="65">
        <v>38500</v>
      </c>
      <c r="BW1033" s="65">
        <v>30800</v>
      </c>
      <c r="BX1033" s="65">
        <v>44652</v>
      </c>
      <c r="BY1033" s="65">
        <v>7700</v>
      </c>
      <c r="BZ1033" s="81">
        <v>20</v>
      </c>
    </row>
    <row r="1034" spans="1:82" x14ac:dyDescent="0.15">
      <c r="A1034" s="60">
        <v>2</v>
      </c>
      <c r="B1034" s="61">
        <v>44664</v>
      </c>
      <c r="C1034" s="61">
        <v>44665</v>
      </c>
      <c r="D1034" s="61">
        <v>44655</v>
      </c>
      <c r="E1034" s="61">
        <v>44655</v>
      </c>
      <c r="F1034" s="61" t="s">
        <v>309</v>
      </c>
      <c r="G1034" s="61">
        <v>44655</v>
      </c>
      <c r="H1034" s="61" t="s">
        <v>309</v>
      </c>
      <c r="I1034" s="60" t="s">
        <v>766</v>
      </c>
      <c r="J1034" s="60">
        <v>2</v>
      </c>
      <c r="L1034" s="60">
        <v>0</v>
      </c>
      <c r="M1034" s="61">
        <v>44655</v>
      </c>
      <c r="O1034" s="62" t="s">
        <v>331</v>
      </c>
      <c r="P1034" s="60" t="s">
        <v>6</v>
      </c>
      <c r="Q1034" s="62" t="s">
        <v>136</v>
      </c>
      <c r="R1034" s="62" t="s">
        <v>2993</v>
      </c>
      <c r="S1034" s="63" t="s">
        <v>550</v>
      </c>
      <c r="T1034" s="63" t="s">
        <v>364</v>
      </c>
      <c r="U1034" s="64">
        <v>35000</v>
      </c>
      <c r="V1034" s="64">
        <v>38500</v>
      </c>
      <c r="W1034" s="64">
        <v>35000</v>
      </c>
      <c r="X1034" s="64">
        <v>38500</v>
      </c>
      <c r="Z1034" s="64">
        <v>0</v>
      </c>
      <c r="AA1034" s="61">
        <v>44653</v>
      </c>
      <c r="AB1034" s="61">
        <v>44653</v>
      </c>
      <c r="AD1034" s="60">
        <v>0</v>
      </c>
      <c r="AG1034" s="60">
        <v>0</v>
      </c>
      <c r="AJ1034" s="60">
        <v>0</v>
      </c>
      <c r="AN1034" s="60" t="s">
        <v>309</v>
      </c>
      <c r="AQ1034" s="60" t="s">
        <v>3086</v>
      </c>
      <c r="AR1034" s="61">
        <v>44663</v>
      </c>
      <c r="AS1034" s="60">
        <v>6002015091</v>
      </c>
      <c r="AT1034" s="61">
        <v>44663</v>
      </c>
      <c r="AU1034" s="60" t="s">
        <v>3097</v>
      </c>
      <c r="AV1034" s="61">
        <v>44665</v>
      </c>
      <c r="AW1034" s="91">
        <v>44681</v>
      </c>
      <c r="AX1034" s="91">
        <v>44701</v>
      </c>
      <c r="AY1034" s="99">
        <v>33600</v>
      </c>
      <c r="AZ1034" s="99">
        <f>ROUNDDOWN(AY1034+(AY1034*MASTER!$A$2/100),0)</f>
        <v>36960</v>
      </c>
      <c r="BA1034" s="60" t="s">
        <v>613</v>
      </c>
      <c r="BB1034" s="64">
        <v>21000</v>
      </c>
      <c r="BC1034" s="64">
        <v>23100</v>
      </c>
      <c r="BD1034" s="60" t="s">
        <v>643</v>
      </c>
      <c r="BG1034" s="64">
        <v>0</v>
      </c>
      <c r="BK1034" s="64">
        <v>0</v>
      </c>
      <c r="BS1034" s="64">
        <v>0</v>
      </c>
      <c r="BV1034" s="65">
        <v>38500</v>
      </c>
      <c r="BW1034" s="65">
        <v>23100</v>
      </c>
      <c r="BX1034" s="65">
        <v>44655</v>
      </c>
      <c r="BY1034" s="65">
        <v>15400</v>
      </c>
      <c r="BZ1034" s="81">
        <v>40</v>
      </c>
    </row>
    <row r="1035" spans="1:82" x14ac:dyDescent="0.15">
      <c r="A1035" s="60">
        <v>2</v>
      </c>
      <c r="C1035" s="61" t="s">
        <v>309</v>
      </c>
      <c r="D1035" s="61">
        <v>44655</v>
      </c>
      <c r="E1035" s="61">
        <v>44655</v>
      </c>
      <c r="F1035" s="61" t="s">
        <v>309</v>
      </c>
      <c r="G1035" s="61">
        <v>44655</v>
      </c>
      <c r="H1035" s="61" t="s">
        <v>309</v>
      </c>
      <c r="I1035" s="60" t="s">
        <v>494</v>
      </c>
      <c r="J1035" s="60">
        <v>4</v>
      </c>
      <c r="L1035" s="60">
        <v>0</v>
      </c>
      <c r="M1035" s="61">
        <v>44655</v>
      </c>
      <c r="O1035" s="62" t="s">
        <v>331</v>
      </c>
      <c r="P1035" s="60" t="s">
        <v>6</v>
      </c>
      <c r="Q1035" s="62" t="s">
        <v>136</v>
      </c>
      <c r="R1035" s="62" t="s">
        <v>2991</v>
      </c>
      <c r="S1035" s="63" t="s">
        <v>563</v>
      </c>
      <c r="T1035" s="63" t="s">
        <v>364</v>
      </c>
      <c r="U1035" s="64">
        <v>0</v>
      </c>
      <c r="V1035" s="64">
        <v>0</v>
      </c>
      <c r="W1035" s="64">
        <v>0</v>
      </c>
      <c r="X1035" s="64">
        <v>0</v>
      </c>
      <c r="Y1035" s="64">
        <v>0</v>
      </c>
      <c r="Z1035" s="64">
        <v>0</v>
      </c>
      <c r="AA1035" s="61">
        <v>44653</v>
      </c>
      <c r="AB1035" s="61">
        <v>44653</v>
      </c>
      <c r="AD1035" s="60">
        <v>0</v>
      </c>
      <c r="AG1035" s="60">
        <v>0</v>
      </c>
      <c r="AJ1035" s="60">
        <v>0</v>
      </c>
      <c r="AN1035" s="60" t="s">
        <v>309</v>
      </c>
      <c r="AY1035" s="99">
        <v>0</v>
      </c>
      <c r="AZ1035" s="99">
        <f>ROUNDDOWN(AY1035+(AY1035*MASTER!$A$2/100),0)</f>
        <v>0</v>
      </c>
      <c r="BA1035" s="60" t="s">
        <v>613</v>
      </c>
      <c r="BB1035" s="64">
        <v>26000</v>
      </c>
      <c r="BC1035" s="64">
        <v>28600</v>
      </c>
      <c r="BD1035" s="60" t="s">
        <v>2107</v>
      </c>
      <c r="BG1035" s="64">
        <v>0</v>
      </c>
      <c r="BK1035" s="64">
        <v>0</v>
      </c>
      <c r="BS1035" s="64">
        <v>0</v>
      </c>
      <c r="BV1035" s="65">
        <v>0</v>
      </c>
      <c r="BW1035" s="65">
        <v>28600</v>
      </c>
      <c r="BX1035" s="65">
        <v>44655</v>
      </c>
      <c r="BY1035" s="65">
        <v>-28600</v>
      </c>
      <c r="BZ1035" s="81" t="s">
        <v>309</v>
      </c>
      <c r="CD1035" s="63" t="s">
        <v>2994</v>
      </c>
    </row>
    <row r="1036" spans="1:82" x14ac:dyDescent="0.15">
      <c r="A1036" s="60">
        <v>2</v>
      </c>
      <c r="B1036" s="61">
        <v>44670</v>
      </c>
      <c r="C1036" s="61">
        <v>44671</v>
      </c>
      <c r="D1036" s="61">
        <v>44669</v>
      </c>
      <c r="E1036" s="61">
        <v>44669</v>
      </c>
      <c r="F1036" s="61" t="s">
        <v>309</v>
      </c>
      <c r="G1036" s="61">
        <v>44669</v>
      </c>
      <c r="H1036" s="61" t="s">
        <v>309</v>
      </c>
      <c r="I1036" s="60" t="s">
        <v>766</v>
      </c>
      <c r="J1036" s="60">
        <v>2</v>
      </c>
      <c r="L1036" s="60">
        <v>0</v>
      </c>
      <c r="M1036" s="61">
        <v>44655</v>
      </c>
      <c r="O1036" s="62" t="s">
        <v>331</v>
      </c>
      <c r="P1036" s="60" t="s">
        <v>6</v>
      </c>
      <c r="Q1036" s="62" t="s">
        <v>136</v>
      </c>
      <c r="R1036" s="62" t="s">
        <v>3167</v>
      </c>
      <c r="S1036" s="63" t="s">
        <v>664</v>
      </c>
      <c r="T1036" s="63" t="s">
        <v>364</v>
      </c>
      <c r="U1036" s="64">
        <v>35000</v>
      </c>
      <c r="V1036" s="64">
        <v>38500</v>
      </c>
      <c r="W1036" s="64">
        <v>35000</v>
      </c>
      <c r="X1036" s="64">
        <v>38500</v>
      </c>
      <c r="Z1036" s="64">
        <v>0</v>
      </c>
      <c r="AA1036" s="61">
        <v>44667</v>
      </c>
      <c r="AB1036" s="61">
        <v>44667</v>
      </c>
      <c r="AD1036" s="60">
        <v>0</v>
      </c>
      <c r="AG1036" s="60">
        <v>0</v>
      </c>
      <c r="AJ1036" s="60">
        <v>0</v>
      </c>
      <c r="AN1036" s="60" t="s">
        <v>309</v>
      </c>
      <c r="AQ1036" s="60" t="s">
        <v>3153</v>
      </c>
      <c r="AR1036" s="61">
        <v>44666</v>
      </c>
      <c r="AS1036" s="60">
        <v>6002016773</v>
      </c>
      <c r="AT1036" s="61">
        <v>44669</v>
      </c>
      <c r="AU1036" s="60" t="s">
        <v>3179</v>
      </c>
      <c r="AV1036" s="61">
        <v>44671</v>
      </c>
      <c r="AW1036" s="91">
        <v>44681</v>
      </c>
      <c r="AX1036" s="91">
        <v>44701</v>
      </c>
      <c r="AY1036" s="99">
        <v>33600</v>
      </c>
      <c r="AZ1036" s="99">
        <f>ROUNDDOWN(AY1036+(AY1036*MASTER!$A$2/100),0)</f>
        <v>36960</v>
      </c>
      <c r="BA1036" s="60" t="s">
        <v>613</v>
      </c>
      <c r="BB1036" s="64">
        <v>21000</v>
      </c>
      <c r="BC1036" s="64">
        <v>23100</v>
      </c>
      <c r="BD1036" s="60" t="s">
        <v>643</v>
      </c>
      <c r="BG1036" s="64">
        <v>0</v>
      </c>
      <c r="BK1036" s="64">
        <v>0</v>
      </c>
      <c r="BS1036" s="64">
        <v>0</v>
      </c>
      <c r="BV1036" s="65">
        <v>38500</v>
      </c>
      <c r="BW1036" s="65">
        <v>23100</v>
      </c>
      <c r="BX1036" s="65">
        <v>44655</v>
      </c>
      <c r="BY1036" s="65">
        <v>15400</v>
      </c>
      <c r="BZ1036" s="81">
        <v>40</v>
      </c>
    </row>
    <row r="1037" spans="1:82" x14ac:dyDescent="0.15">
      <c r="A1037" s="60">
        <v>1</v>
      </c>
      <c r="B1037" s="61">
        <v>44692</v>
      </c>
      <c r="C1037" s="61">
        <v>44694</v>
      </c>
      <c r="F1037" s="61" t="s">
        <v>309</v>
      </c>
      <c r="H1037" s="61" t="s">
        <v>309</v>
      </c>
      <c r="J1037" s="60">
        <v>3</v>
      </c>
      <c r="K1037" s="61">
        <v>44656</v>
      </c>
      <c r="L1037" s="60" t="s">
        <v>529</v>
      </c>
      <c r="M1037" s="61">
        <v>44655</v>
      </c>
      <c r="O1037" s="62" t="s">
        <v>331</v>
      </c>
      <c r="P1037" s="60" t="s">
        <v>6</v>
      </c>
      <c r="Q1037" s="62" t="s">
        <v>136</v>
      </c>
      <c r="R1037" s="62" t="s">
        <v>2995</v>
      </c>
      <c r="S1037" s="63" t="s">
        <v>1129</v>
      </c>
      <c r="T1037" s="63" t="s">
        <v>385</v>
      </c>
      <c r="U1037" s="64">
        <v>31000</v>
      </c>
      <c r="V1037" s="64">
        <v>34100</v>
      </c>
      <c r="X1037" s="64">
        <v>0</v>
      </c>
      <c r="Y1037" s="64">
        <v>31000</v>
      </c>
      <c r="Z1037" s="64">
        <v>34100</v>
      </c>
      <c r="AD1037" s="60">
        <v>0</v>
      </c>
      <c r="AG1037" s="60">
        <v>0</v>
      </c>
      <c r="AJ1037" s="60">
        <v>0</v>
      </c>
      <c r="AN1037" s="60" t="s">
        <v>309</v>
      </c>
      <c r="AQ1037" s="60" t="s">
        <v>3330</v>
      </c>
      <c r="AR1037" s="61">
        <v>44687</v>
      </c>
      <c r="AS1037" s="60">
        <v>6002022570</v>
      </c>
      <c r="AT1037" s="61">
        <v>44691</v>
      </c>
      <c r="AU1037" s="60" t="s">
        <v>3355</v>
      </c>
      <c r="AV1037" s="61">
        <v>44694</v>
      </c>
      <c r="AW1037" s="91">
        <v>44712</v>
      </c>
      <c r="AX1037" s="91">
        <v>44732</v>
      </c>
      <c r="AY1037" s="99">
        <v>29760</v>
      </c>
      <c r="AZ1037" s="99">
        <f>ROUNDDOWN(AY1037+(AY1037*MASTER!$A$2/100),0)</f>
        <v>32736</v>
      </c>
      <c r="BC1037" s="64">
        <v>0</v>
      </c>
      <c r="BG1037" s="64">
        <v>0</v>
      </c>
      <c r="BK1037" s="64">
        <v>0</v>
      </c>
      <c r="BS1037" s="64">
        <v>0</v>
      </c>
      <c r="BV1037" s="65">
        <v>0</v>
      </c>
      <c r="BW1037" s="65">
        <v>0</v>
      </c>
      <c r="BX1037" s="65">
        <v>0</v>
      </c>
      <c r="BY1037" s="65">
        <v>44656</v>
      </c>
      <c r="BZ1037" s="81" t="s">
        <v>309</v>
      </c>
    </row>
    <row r="1038" spans="1:82" x14ac:dyDescent="0.15">
      <c r="A1038" s="60">
        <v>2</v>
      </c>
      <c r="C1038" s="61" t="s">
        <v>309</v>
      </c>
      <c r="F1038" s="61" t="s">
        <v>309</v>
      </c>
      <c r="H1038" s="61" t="s">
        <v>309</v>
      </c>
      <c r="J1038" s="60">
        <v>4</v>
      </c>
      <c r="L1038" s="60">
        <v>0</v>
      </c>
      <c r="M1038" s="61">
        <v>44655</v>
      </c>
      <c r="O1038" s="62" t="s">
        <v>331</v>
      </c>
      <c r="P1038" s="60" t="s">
        <v>263</v>
      </c>
      <c r="Q1038" s="62" t="s">
        <v>136</v>
      </c>
      <c r="R1038" s="62" t="s">
        <v>3011</v>
      </c>
      <c r="S1038" s="63" t="s">
        <v>354</v>
      </c>
      <c r="T1038" s="63" t="s">
        <v>3012</v>
      </c>
      <c r="U1038" s="64">
        <v>0</v>
      </c>
      <c r="V1038" s="64">
        <v>0</v>
      </c>
      <c r="W1038" s="64">
        <v>0</v>
      </c>
      <c r="X1038" s="64">
        <v>0</v>
      </c>
      <c r="Y1038" s="64">
        <v>0</v>
      </c>
      <c r="Z1038" s="64">
        <v>0</v>
      </c>
      <c r="AA1038" s="61">
        <v>44621</v>
      </c>
      <c r="AB1038" s="61">
        <v>44651</v>
      </c>
      <c r="AD1038" s="60">
        <v>0</v>
      </c>
      <c r="AG1038" s="60">
        <v>0</v>
      </c>
      <c r="AJ1038" s="60">
        <v>0</v>
      </c>
      <c r="AN1038" s="60" t="s">
        <v>309</v>
      </c>
      <c r="AY1038" s="99">
        <f>ROUNDDOWN((0.96*U1038),0)</f>
        <v>0</v>
      </c>
      <c r="AZ1038" s="99">
        <f>ROUNDDOWN(AY1038+(AY1038*MASTER!$A$2/100),0)</f>
        <v>0</v>
      </c>
      <c r="BA1038" s="60" t="s">
        <v>14</v>
      </c>
      <c r="BB1038" s="64">
        <v>503020</v>
      </c>
      <c r="BC1038" s="64">
        <v>553322</v>
      </c>
      <c r="BD1038" s="60" t="s">
        <v>2107</v>
      </c>
      <c r="BG1038" s="64">
        <v>0</v>
      </c>
      <c r="BK1038" s="64">
        <v>0</v>
      </c>
      <c r="BS1038" s="64">
        <v>0</v>
      </c>
      <c r="BV1038" s="65">
        <v>0</v>
      </c>
      <c r="BW1038" s="65">
        <v>553322</v>
      </c>
      <c r="BX1038" s="65">
        <v>44655</v>
      </c>
      <c r="BY1038" s="65">
        <v>-553322</v>
      </c>
      <c r="BZ1038" s="81" t="s">
        <v>309</v>
      </c>
    </row>
    <row r="1039" spans="1:82" x14ac:dyDescent="0.15">
      <c r="A1039" s="60">
        <v>2</v>
      </c>
      <c r="C1039" s="61" t="s">
        <v>309</v>
      </c>
      <c r="F1039" s="61" t="s">
        <v>309</v>
      </c>
      <c r="H1039" s="61" t="s">
        <v>309</v>
      </c>
      <c r="J1039" s="60">
        <v>4</v>
      </c>
      <c r="L1039" s="60">
        <v>0</v>
      </c>
      <c r="M1039" s="61">
        <v>44655</v>
      </c>
      <c r="O1039" s="62" t="s">
        <v>331</v>
      </c>
      <c r="P1039" s="60" t="s">
        <v>77</v>
      </c>
      <c r="Q1039" s="62" t="s">
        <v>136</v>
      </c>
      <c r="R1039" s="62" t="s">
        <v>3013</v>
      </c>
      <c r="S1039" s="63" t="s">
        <v>354</v>
      </c>
      <c r="T1039" s="63" t="s">
        <v>3014</v>
      </c>
      <c r="U1039" s="64">
        <v>0</v>
      </c>
      <c r="V1039" s="64">
        <v>0</v>
      </c>
      <c r="W1039" s="64">
        <v>0</v>
      </c>
      <c r="X1039" s="64">
        <v>0</v>
      </c>
      <c r="Y1039" s="64">
        <v>0</v>
      </c>
      <c r="Z1039" s="64">
        <v>0</v>
      </c>
      <c r="AA1039" s="61">
        <v>44621</v>
      </c>
      <c r="AB1039" s="61">
        <v>44651</v>
      </c>
      <c r="AD1039" s="60">
        <v>0</v>
      </c>
      <c r="AG1039" s="60">
        <v>0</v>
      </c>
      <c r="AJ1039" s="60">
        <v>0</v>
      </c>
      <c r="AN1039" s="60" t="s">
        <v>309</v>
      </c>
      <c r="AY1039" s="99">
        <v>0</v>
      </c>
      <c r="AZ1039" s="99">
        <f>ROUNDDOWN(AY1039+(AY1039*MASTER!$A$2/100),0)</f>
        <v>0</v>
      </c>
      <c r="BA1039" s="60" t="s">
        <v>321</v>
      </c>
      <c r="BB1039" s="64">
        <v>726204</v>
      </c>
      <c r="BC1039" s="64">
        <v>798824.4</v>
      </c>
      <c r="BG1039" s="64">
        <v>0</v>
      </c>
      <c r="BK1039" s="64">
        <v>0</v>
      </c>
      <c r="BS1039" s="64">
        <v>0</v>
      </c>
      <c r="BV1039" s="65">
        <v>0</v>
      </c>
      <c r="BW1039" s="65">
        <v>798824.4</v>
      </c>
      <c r="BX1039" s="65">
        <v>44655</v>
      </c>
      <c r="BY1039" s="65">
        <v>-798824.4</v>
      </c>
      <c r="BZ1039" s="81" t="s">
        <v>309</v>
      </c>
    </row>
    <row r="1040" spans="1:82" x14ac:dyDescent="0.15">
      <c r="A1040" s="60">
        <v>2</v>
      </c>
      <c r="C1040" s="61" t="s">
        <v>309</v>
      </c>
      <c r="F1040" s="61" t="s">
        <v>309</v>
      </c>
      <c r="H1040" s="61" t="s">
        <v>309</v>
      </c>
      <c r="J1040" s="60">
        <v>4</v>
      </c>
      <c r="L1040" s="60">
        <v>0</v>
      </c>
      <c r="M1040" s="61">
        <v>44655</v>
      </c>
      <c r="O1040" s="62" t="s">
        <v>331</v>
      </c>
      <c r="P1040" s="60" t="s">
        <v>77</v>
      </c>
      <c r="Q1040" s="62" t="s">
        <v>136</v>
      </c>
      <c r="R1040" s="62" t="s">
        <v>3015</v>
      </c>
      <c r="S1040" s="63" t="s">
        <v>354</v>
      </c>
      <c r="T1040" s="63" t="s">
        <v>3016</v>
      </c>
      <c r="U1040" s="64">
        <v>0</v>
      </c>
      <c r="V1040" s="64">
        <v>0</v>
      </c>
      <c r="W1040" s="64">
        <v>0</v>
      </c>
      <c r="X1040" s="64">
        <v>0</v>
      </c>
      <c r="Y1040" s="64">
        <v>0</v>
      </c>
      <c r="Z1040" s="64">
        <v>0</v>
      </c>
      <c r="AA1040" s="61">
        <v>44621</v>
      </c>
      <c r="AB1040" s="61">
        <v>44651</v>
      </c>
      <c r="AD1040" s="60">
        <v>0</v>
      </c>
      <c r="AG1040" s="60">
        <v>0</v>
      </c>
      <c r="AJ1040" s="60">
        <v>0</v>
      </c>
      <c r="AN1040" s="60" t="s">
        <v>309</v>
      </c>
      <c r="AY1040" s="99">
        <f>ROUNDDOWN((0.96*U1040),0)</f>
        <v>0</v>
      </c>
      <c r="AZ1040" s="99">
        <f>ROUNDDOWN(AY1040+(AY1040*MASTER!$A$2/100),0)</f>
        <v>0</v>
      </c>
      <c r="BA1040" s="60" t="s">
        <v>272</v>
      </c>
      <c r="BB1040" s="64">
        <v>435362</v>
      </c>
      <c r="BC1040" s="64">
        <v>478898.2</v>
      </c>
      <c r="BD1040" s="60" t="s">
        <v>2107</v>
      </c>
      <c r="BG1040" s="64">
        <v>0</v>
      </c>
      <c r="BK1040" s="64">
        <v>0</v>
      </c>
      <c r="BS1040" s="64">
        <v>0</v>
      </c>
      <c r="BV1040" s="65">
        <v>0</v>
      </c>
      <c r="BW1040" s="65">
        <v>478898.2</v>
      </c>
      <c r="BX1040" s="65">
        <v>44655</v>
      </c>
      <c r="BY1040" s="65">
        <v>-478898.2</v>
      </c>
      <c r="BZ1040" s="81" t="s">
        <v>309</v>
      </c>
    </row>
    <row r="1041" spans="1:89" s="152" customFormat="1" x14ac:dyDescent="0.15">
      <c r="A1041" s="142">
        <v>3</v>
      </c>
      <c r="B1041" s="143"/>
      <c r="C1041" s="143" t="s">
        <v>309</v>
      </c>
      <c r="D1041" s="143"/>
      <c r="E1041" s="143"/>
      <c r="F1041" s="143" t="s">
        <v>309</v>
      </c>
      <c r="G1041" s="143"/>
      <c r="H1041" s="143" t="s">
        <v>309</v>
      </c>
      <c r="I1041" s="142"/>
      <c r="J1041" s="142">
        <v>2</v>
      </c>
      <c r="K1041" s="143"/>
      <c r="L1041" s="142">
        <v>0</v>
      </c>
      <c r="M1041" s="143">
        <v>44656</v>
      </c>
      <c r="N1041" s="143"/>
      <c r="O1041" s="144" t="s">
        <v>331</v>
      </c>
      <c r="P1041" s="142" t="s">
        <v>6</v>
      </c>
      <c r="Q1041" s="144" t="s">
        <v>136</v>
      </c>
      <c r="R1041" s="144" t="s">
        <v>3018</v>
      </c>
      <c r="S1041" s="145" t="s">
        <v>3019</v>
      </c>
      <c r="T1041" s="145" t="s">
        <v>364</v>
      </c>
      <c r="U1041" s="146">
        <v>51000</v>
      </c>
      <c r="V1041" s="146">
        <v>56100</v>
      </c>
      <c r="W1041" s="146">
        <v>51000</v>
      </c>
      <c r="X1041" s="146">
        <v>56100</v>
      </c>
      <c r="Y1041" s="146"/>
      <c r="Z1041" s="146">
        <v>0</v>
      </c>
      <c r="AA1041" s="143"/>
      <c r="AB1041" s="143"/>
      <c r="AC1041" s="143"/>
      <c r="AD1041" s="142">
        <v>0</v>
      </c>
      <c r="AE1041" s="142"/>
      <c r="AF1041" s="142"/>
      <c r="AG1041" s="142">
        <v>0</v>
      </c>
      <c r="AH1041" s="142"/>
      <c r="AI1041" s="142"/>
      <c r="AJ1041" s="142">
        <v>0</v>
      </c>
      <c r="AK1041" s="142"/>
      <c r="AL1041" s="142"/>
      <c r="AM1041" s="142"/>
      <c r="AN1041" s="142" t="s">
        <v>309</v>
      </c>
      <c r="AO1041" s="143"/>
      <c r="AP1041" s="142"/>
      <c r="AQ1041" s="142"/>
      <c r="AR1041" s="143"/>
      <c r="AS1041" s="142"/>
      <c r="AT1041" s="143"/>
      <c r="AU1041" s="142"/>
      <c r="AV1041" s="143"/>
      <c r="AW1041" s="147"/>
      <c r="AX1041" s="147"/>
      <c r="AY1041" s="148">
        <v>48960</v>
      </c>
      <c r="AZ1041" s="148">
        <f>ROUNDDOWN(AY1041+(AY1041*MASTER!$A$2/100),0)</f>
        <v>53856</v>
      </c>
      <c r="BA1041" s="142"/>
      <c r="BB1041" s="146"/>
      <c r="BC1041" s="146">
        <v>0</v>
      </c>
      <c r="BD1041" s="142"/>
      <c r="BE1041" s="142"/>
      <c r="BF1041" s="146"/>
      <c r="BG1041" s="146">
        <v>0</v>
      </c>
      <c r="BH1041" s="142"/>
      <c r="BI1041" s="142"/>
      <c r="BJ1041" s="146"/>
      <c r="BK1041" s="146">
        <v>0</v>
      </c>
      <c r="BL1041" s="142"/>
      <c r="BM1041" s="146"/>
      <c r="BN1041" s="146"/>
      <c r="BO1041" s="146"/>
      <c r="BP1041" s="146"/>
      <c r="BQ1041" s="146"/>
      <c r="BR1041" s="146"/>
      <c r="BS1041" s="146">
        <v>0</v>
      </c>
      <c r="BT1041" s="149"/>
      <c r="BU1041" s="149"/>
      <c r="BV1041" s="150">
        <v>56100</v>
      </c>
      <c r="BW1041" s="150">
        <v>0</v>
      </c>
      <c r="BX1041" s="150">
        <v>44656</v>
      </c>
      <c r="BY1041" s="150">
        <v>56100</v>
      </c>
      <c r="BZ1041" s="151">
        <v>100</v>
      </c>
      <c r="CA1041" s="142"/>
      <c r="CB1041" s="142"/>
      <c r="CC1041" s="142"/>
      <c r="CD1041" s="145" t="s">
        <v>3557</v>
      </c>
      <c r="CE1041" s="143"/>
      <c r="CF1041" s="143"/>
      <c r="CG1041" s="143"/>
      <c r="CH1041" s="143"/>
      <c r="CI1041" s="143"/>
      <c r="CJ1041" s="143"/>
      <c r="CK1041" s="146"/>
    </row>
    <row r="1042" spans="1:89" x14ac:dyDescent="0.15">
      <c r="A1042" s="60">
        <v>1</v>
      </c>
      <c r="B1042" s="61">
        <v>44659</v>
      </c>
      <c r="C1042" s="61">
        <v>44662</v>
      </c>
      <c r="F1042" s="61" t="s">
        <v>309</v>
      </c>
      <c r="H1042" s="61" t="s">
        <v>309</v>
      </c>
      <c r="J1042" s="60">
        <v>2</v>
      </c>
      <c r="L1042" s="60">
        <v>0</v>
      </c>
      <c r="M1042" s="61">
        <v>44656</v>
      </c>
      <c r="O1042" s="62" t="s">
        <v>331</v>
      </c>
      <c r="P1042" s="60" t="s">
        <v>263</v>
      </c>
      <c r="Q1042" s="62" t="s">
        <v>136</v>
      </c>
      <c r="R1042" s="62" t="s">
        <v>3021</v>
      </c>
      <c r="S1042" s="63" t="s">
        <v>326</v>
      </c>
      <c r="T1042" s="63" t="s">
        <v>2260</v>
      </c>
      <c r="U1042" s="64">
        <v>6300</v>
      </c>
      <c r="V1042" s="64">
        <v>6930</v>
      </c>
      <c r="W1042" s="64">
        <v>6300</v>
      </c>
      <c r="X1042" s="64">
        <v>6930</v>
      </c>
      <c r="Z1042" s="64">
        <v>0</v>
      </c>
      <c r="AD1042" s="60">
        <v>0</v>
      </c>
      <c r="AG1042" s="60">
        <v>0</v>
      </c>
      <c r="AJ1042" s="60">
        <v>0</v>
      </c>
      <c r="AQ1042" s="60" t="s">
        <v>3023</v>
      </c>
      <c r="AR1042" s="61">
        <v>44656</v>
      </c>
      <c r="AS1042" s="60">
        <v>6002012142</v>
      </c>
      <c r="AT1042" s="61">
        <v>44658</v>
      </c>
      <c r="AU1042" s="60" t="s">
        <v>3059</v>
      </c>
      <c r="AV1042" s="61">
        <v>44662</v>
      </c>
      <c r="AW1042" s="91">
        <v>44681</v>
      </c>
      <c r="AX1042" s="91">
        <v>44701</v>
      </c>
      <c r="AY1042" s="107">
        <v>6300</v>
      </c>
      <c r="AZ1042" s="107">
        <v>6930</v>
      </c>
      <c r="BC1042" s="64">
        <v>0</v>
      </c>
      <c r="BG1042" s="64">
        <v>0</v>
      </c>
      <c r="BK1042" s="64">
        <v>0</v>
      </c>
      <c r="BS1042" s="64">
        <v>0</v>
      </c>
      <c r="BV1042" s="65">
        <v>6930</v>
      </c>
      <c r="BW1042" s="65">
        <v>0</v>
      </c>
      <c r="BX1042" s="65">
        <v>44656</v>
      </c>
      <c r="BY1042" s="65">
        <v>6930</v>
      </c>
      <c r="BZ1042" s="81">
        <v>100</v>
      </c>
    </row>
    <row r="1043" spans="1:89" x14ac:dyDescent="0.15">
      <c r="A1043" s="60">
        <v>1</v>
      </c>
      <c r="B1043" s="61">
        <v>44659</v>
      </c>
      <c r="C1043" s="61">
        <v>44669</v>
      </c>
      <c r="F1043" s="61" t="s">
        <v>309</v>
      </c>
      <c r="H1043" s="61" t="s">
        <v>309</v>
      </c>
      <c r="J1043" s="60">
        <v>2</v>
      </c>
      <c r="L1043" s="60">
        <v>0</v>
      </c>
      <c r="M1043" s="61">
        <v>44656</v>
      </c>
      <c r="O1043" s="62" t="s">
        <v>331</v>
      </c>
      <c r="P1043" s="60" t="s">
        <v>77</v>
      </c>
      <c r="Q1043" s="62" t="s">
        <v>136</v>
      </c>
      <c r="R1043" s="62" t="s">
        <v>3022</v>
      </c>
      <c r="S1043" s="63" t="s">
        <v>489</v>
      </c>
      <c r="T1043" s="63" t="s">
        <v>490</v>
      </c>
      <c r="U1043" s="64">
        <v>9880</v>
      </c>
      <c r="V1043" s="64">
        <v>10868</v>
      </c>
      <c r="W1043" s="64">
        <v>9880</v>
      </c>
      <c r="X1043" s="64">
        <v>10868</v>
      </c>
      <c r="Z1043" s="64">
        <v>0</v>
      </c>
      <c r="AD1043" s="60">
        <v>0</v>
      </c>
      <c r="AG1043" s="60">
        <v>0</v>
      </c>
      <c r="AJ1043" s="60">
        <v>0</v>
      </c>
      <c r="AQ1043" s="60" t="s">
        <v>3035</v>
      </c>
      <c r="AR1043" s="61">
        <v>44656</v>
      </c>
      <c r="AS1043" s="60">
        <v>6002012150</v>
      </c>
      <c r="AT1043" s="61">
        <v>44656</v>
      </c>
      <c r="AU1043" s="60" t="s">
        <v>3037</v>
      </c>
      <c r="AV1043" s="61">
        <v>44669</v>
      </c>
      <c r="AW1043" s="91">
        <v>44681</v>
      </c>
      <c r="AX1043" s="91">
        <v>44701</v>
      </c>
      <c r="AY1043" s="107">
        <v>9880</v>
      </c>
      <c r="AZ1043" s="107">
        <v>10868</v>
      </c>
      <c r="BC1043" s="64">
        <v>0</v>
      </c>
      <c r="BG1043" s="64">
        <v>0</v>
      </c>
      <c r="BK1043" s="64">
        <v>0</v>
      </c>
      <c r="BS1043" s="64">
        <v>0</v>
      </c>
      <c r="BV1043" s="65">
        <v>10868</v>
      </c>
      <c r="BW1043" s="65">
        <v>0</v>
      </c>
      <c r="BX1043" s="65">
        <v>44656</v>
      </c>
      <c r="BY1043" s="65">
        <v>10868</v>
      </c>
      <c r="BZ1043" s="81">
        <v>100</v>
      </c>
    </row>
    <row r="1044" spans="1:89" x14ac:dyDescent="0.15">
      <c r="A1044" s="60">
        <v>2</v>
      </c>
      <c r="B1044" s="61">
        <v>44714</v>
      </c>
      <c r="C1044" s="61">
        <v>44722</v>
      </c>
      <c r="D1044" s="61">
        <v>44750</v>
      </c>
      <c r="E1044" s="61">
        <v>44726</v>
      </c>
      <c r="F1044" s="61">
        <v>44728</v>
      </c>
      <c r="G1044" s="61">
        <v>44725</v>
      </c>
      <c r="H1044" s="61">
        <v>44724</v>
      </c>
      <c r="I1044" s="60" t="s">
        <v>511</v>
      </c>
      <c r="J1044" s="60">
        <v>2</v>
      </c>
      <c r="L1044" s="60">
        <v>0</v>
      </c>
      <c r="M1044" s="61">
        <v>44656</v>
      </c>
      <c r="O1044" s="62" t="s">
        <v>331</v>
      </c>
      <c r="P1044" s="60" t="s">
        <v>26</v>
      </c>
      <c r="Q1044" s="62" t="s">
        <v>136</v>
      </c>
      <c r="R1044" s="62" t="s">
        <v>3036</v>
      </c>
      <c r="S1044" s="63" t="s">
        <v>666</v>
      </c>
      <c r="T1044" s="63" t="s">
        <v>656</v>
      </c>
      <c r="U1044" s="64">
        <v>49500</v>
      </c>
      <c r="V1044" s="64">
        <v>54450</v>
      </c>
      <c r="W1044" s="64">
        <v>49500</v>
      </c>
      <c r="X1044" s="64">
        <v>54450</v>
      </c>
      <c r="Y1044" s="64">
        <v>0</v>
      </c>
      <c r="Z1044" s="64">
        <v>0</v>
      </c>
      <c r="AA1044" s="61">
        <v>44720</v>
      </c>
      <c r="AB1044" s="61">
        <v>44721</v>
      </c>
      <c r="AC1044" s="61">
        <v>44721</v>
      </c>
      <c r="AD1044" s="60">
        <v>0</v>
      </c>
      <c r="AG1044" s="60">
        <v>0</v>
      </c>
      <c r="AJ1044" s="60">
        <v>0</v>
      </c>
      <c r="AN1044" s="60" t="s">
        <v>309</v>
      </c>
      <c r="AQ1044" s="60" t="s">
        <v>3102</v>
      </c>
      <c r="AR1044" s="61">
        <v>44664</v>
      </c>
      <c r="AS1044" s="60">
        <v>6002015683</v>
      </c>
      <c r="AT1044" s="61">
        <v>44665</v>
      </c>
      <c r="AU1044" s="60" t="s">
        <v>3140</v>
      </c>
      <c r="AV1044" s="61">
        <v>44722</v>
      </c>
      <c r="AW1044" s="91">
        <v>44742</v>
      </c>
      <c r="AX1044" s="91">
        <v>44762</v>
      </c>
      <c r="AY1044" s="99">
        <v>47520</v>
      </c>
      <c r="AZ1044" s="99">
        <f>ROUNDDOWN(AY1044+(AY1044*MASTER!$A$2/100),0)</f>
        <v>52272</v>
      </c>
      <c r="BA1044" s="60" t="s">
        <v>314</v>
      </c>
      <c r="BB1044" s="64">
        <v>24000</v>
      </c>
      <c r="BC1044" s="64">
        <v>26400</v>
      </c>
      <c r="BD1044" s="60" t="s">
        <v>3530</v>
      </c>
      <c r="BG1044" s="64">
        <v>0</v>
      </c>
      <c r="BK1044" s="64">
        <v>0</v>
      </c>
      <c r="BS1044" s="64">
        <v>0</v>
      </c>
      <c r="BV1044" s="65">
        <v>54450</v>
      </c>
      <c r="BW1044" s="65">
        <v>26400</v>
      </c>
      <c r="BX1044" s="65">
        <v>44656</v>
      </c>
      <c r="BY1044" s="65">
        <v>28050</v>
      </c>
      <c r="BZ1044" s="81">
        <v>51.515151515151516</v>
      </c>
    </row>
    <row r="1045" spans="1:89" x14ac:dyDescent="0.15">
      <c r="A1045" s="60">
        <v>2</v>
      </c>
      <c r="B1045" s="61">
        <v>44666</v>
      </c>
      <c r="C1045" s="61">
        <v>44666</v>
      </c>
      <c r="E1045" s="61">
        <v>44664</v>
      </c>
      <c r="F1045" s="61">
        <v>44665</v>
      </c>
      <c r="G1045" s="61">
        <v>44659</v>
      </c>
      <c r="H1045" s="61">
        <v>44661</v>
      </c>
      <c r="I1045" s="60" t="s">
        <v>511</v>
      </c>
      <c r="J1045" s="60">
        <v>1</v>
      </c>
      <c r="L1045" s="60">
        <v>0</v>
      </c>
      <c r="M1045" s="61">
        <v>44657</v>
      </c>
      <c r="O1045" s="62" t="s">
        <v>331</v>
      </c>
      <c r="P1045" s="60" t="s">
        <v>26</v>
      </c>
      <c r="Q1045" s="62" t="s">
        <v>136</v>
      </c>
      <c r="R1045" s="62" t="s">
        <v>3093</v>
      </c>
      <c r="S1045" s="63" t="s">
        <v>685</v>
      </c>
      <c r="T1045" s="63" t="s">
        <v>3094</v>
      </c>
      <c r="U1045" s="64">
        <v>166000</v>
      </c>
      <c r="V1045" s="64">
        <v>182600</v>
      </c>
      <c r="W1045" s="64">
        <v>73500</v>
      </c>
      <c r="X1045" s="64">
        <v>80850</v>
      </c>
      <c r="Y1045" s="64">
        <v>92500</v>
      </c>
      <c r="Z1045" s="64">
        <v>101750</v>
      </c>
      <c r="AA1045" s="61">
        <v>44656</v>
      </c>
      <c r="AB1045" s="61">
        <v>44658</v>
      </c>
      <c r="AC1045" s="61">
        <v>44658</v>
      </c>
      <c r="AD1045" s="60">
        <v>0</v>
      </c>
      <c r="AG1045" s="60">
        <v>0</v>
      </c>
      <c r="AJ1045" s="60">
        <v>0</v>
      </c>
      <c r="AM1045" s="60" t="s">
        <v>273</v>
      </c>
      <c r="AN1045" s="60" t="s">
        <v>3095</v>
      </c>
      <c r="AQ1045" s="60" t="s">
        <v>3003</v>
      </c>
      <c r="AR1045" s="61">
        <v>44664</v>
      </c>
      <c r="AS1045" s="60">
        <v>6002015684</v>
      </c>
      <c r="AT1045" s="61">
        <v>44665</v>
      </c>
      <c r="AU1045" s="60" t="s">
        <v>3141</v>
      </c>
      <c r="AV1045" s="61">
        <v>44666</v>
      </c>
      <c r="AW1045" s="91">
        <v>44681</v>
      </c>
      <c r="AX1045" s="91">
        <v>44701</v>
      </c>
      <c r="AY1045" s="99">
        <v>159360</v>
      </c>
      <c r="AZ1045" s="99">
        <f>ROUNDDOWN(AY1045+(AY1045*MASTER!$A$2/100),0)</f>
        <v>175296</v>
      </c>
      <c r="BA1045" s="60" t="s">
        <v>765</v>
      </c>
      <c r="BC1045" s="64">
        <v>0</v>
      </c>
      <c r="BG1045" s="64">
        <v>0</v>
      </c>
      <c r="BI1045" s="60" t="s">
        <v>267</v>
      </c>
      <c r="BJ1045" s="64">
        <v>60125</v>
      </c>
      <c r="BK1045" s="64">
        <v>66137.5</v>
      </c>
      <c r="BL1045" s="60" t="s">
        <v>2916</v>
      </c>
      <c r="BS1045" s="64">
        <v>0</v>
      </c>
      <c r="BV1045" s="65">
        <v>80850</v>
      </c>
      <c r="BW1045" s="65">
        <v>66137.5</v>
      </c>
      <c r="BX1045" s="65">
        <v>44657</v>
      </c>
      <c r="BY1045" s="65">
        <v>14712.5</v>
      </c>
      <c r="BZ1045" s="81">
        <v>18.197278911564627</v>
      </c>
    </row>
    <row r="1046" spans="1:89" x14ac:dyDescent="0.15">
      <c r="A1046" s="60">
        <v>2</v>
      </c>
      <c r="C1046" s="61">
        <v>44742</v>
      </c>
      <c r="D1046" s="61">
        <v>44750</v>
      </c>
      <c r="F1046" s="61">
        <v>44744</v>
      </c>
      <c r="H1046" s="61">
        <v>44740</v>
      </c>
      <c r="I1046" s="60" t="s">
        <v>774</v>
      </c>
      <c r="J1046" s="60">
        <v>2</v>
      </c>
      <c r="L1046" s="60">
        <v>0</v>
      </c>
      <c r="M1046" s="61">
        <v>44657</v>
      </c>
      <c r="O1046" s="62" t="s">
        <v>331</v>
      </c>
      <c r="P1046" s="60" t="s">
        <v>77</v>
      </c>
      <c r="Q1046" s="62" t="s">
        <v>136</v>
      </c>
      <c r="R1046" s="62" t="s">
        <v>3047</v>
      </c>
      <c r="S1046" s="63" t="s">
        <v>371</v>
      </c>
      <c r="T1046" s="63" t="s">
        <v>3046</v>
      </c>
      <c r="U1046" s="64">
        <v>65000</v>
      </c>
      <c r="V1046" s="64">
        <v>71500</v>
      </c>
      <c r="W1046" s="64">
        <v>65000</v>
      </c>
      <c r="X1046" s="64">
        <v>71500</v>
      </c>
      <c r="Y1046" s="64">
        <v>0</v>
      </c>
      <c r="Z1046" s="64">
        <v>0</v>
      </c>
      <c r="AA1046" s="61">
        <v>44736</v>
      </c>
      <c r="AB1046" s="61">
        <v>44737</v>
      </c>
      <c r="AC1046" s="61">
        <v>44737</v>
      </c>
      <c r="AD1046" s="60">
        <v>0</v>
      </c>
      <c r="AG1046" s="60">
        <v>0</v>
      </c>
      <c r="AJ1046" s="60">
        <v>0</v>
      </c>
      <c r="AQ1046" s="60" t="s">
        <v>3072</v>
      </c>
      <c r="AR1046" s="61">
        <v>44662</v>
      </c>
      <c r="AS1046" s="60">
        <v>6002014279</v>
      </c>
      <c r="AT1046" s="61">
        <v>44662</v>
      </c>
      <c r="AU1046" s="60" t="s">
        <v>3082</v>
      </c>
      <c r="AV1046" s="61">
        <v>44742</v>
      </c>
      <c r="AW1046" s="91">
        <v>44742</v>
      </c>
      <c r="AX1046" s="91">
        <v>44762</v>
      </c>
      <c r="AY1046" s="107">
        <v>65000</v>
      </c>
      <c r="AZ1046" s="107">
        <f>ROUNDDOWN(AY1046+(AY1046*MASTER!$A$2/100),0)</f>
        <v>71500</v>
      </c>
      <c r="BA1046" s="60" t="s">
        <v>765</v>
      </c>
      <c r="BC1046" s="64">
        <v>0</v>
      </c>
      <c r="BG1046" s="64">
        <v>0</v>
      </c>
      <c r="BK1046" s="64">
        <v>0</v>
      </c>
      <c r="BS1046" s="64">
        <v>0</v>
      </c>
      <c r="BV1046" s="65">
        <v>71500</v>
      </c>
      <c r="BW1046" s="65">
        <v>0</v>
      </c>
      <c r="BX1046" s="65">
        <v>44657</v>
      </c>
      <c r="BY1046" s="65">
        <v>71500</v>
      </c>
      <c r="BZ1046" s="81">
        <v>100</v>
      </c>
    </row>
    <row r="1047" spans="1:89" x14ac:dyDescent="0.15">
      <c r="A1047" s="60">
        <v>1</v>
      </c>
      <c r="C1047" s="61" t="s">
        <v>309</v>
      </c>
      <c r="F1047" s="61" t="s">
        <v>309</v>
      </c>
      <c r="H1047" s="61" t="s">
        <v>309</v>
      </c>
      <c r="J1047" s="60">
        <v>4</v>
      </c>
      <c r="L1047" s="60">
        <v>0</v>
      </c>
      <c r="M1047" s="61">
        <v>44657</v>
      </c>
      <c r="O1047" s="62" t="s">
        <v>331</v>
      </c>
      <c r="P1047" s="60" t="s">
        <v>26</v>
      </c>
      <c r="Q1047" s="62" t="s">
        <v>136</v>
      </c>
      <c r="R1047" s="62" t="s">
        <v>3049</v>
      </c>
      <c r="S1047" s="63" t="s">
        <v>326</v>
      </c>
      <c r="T1047" s="63" t="s">
        <v>1157</v>
      </c>
      <c r="U1047" s="64">
        <v>0</v>
      </c>
      <c r="V1047" s="64">
        <v>0</v>
      </c>
      <c r="W1047" s="64">
        <v>0</v>
      </c>
      <c r="X1047" s="64">
        <v>0</v>
      </c>
      <c r="Y1047" s="64">
        <v>0</v>
      </c>
      <c r="Z1047" s="64">
        <v>0</v>
      </c>
      <c r="AD1047" s="60">
        <v>0</v>
      </c>
      <c r="AG1047" s="60">
        <v>0</v>
      </c>
      <c r="AJ1047" s="60">
        <v>0</v>
      </c>
      <c r="AY1047" s="99">
        <v>0</v>
      </c>
      <c r="AZ1047" s="99">
        <f>ROUNDDOWN(AY1047+(AY1047*MASTER!$A$2/100),0)</f>
        <v>0</v>
      </c>
      <c r="BC1047" s="64">
        <v>0</v>
      </c>
      <c r="BG1047" s="64">
        <v>0</v>
      </c>
      <c r="BI1047" s="60" t="s">
        <v>748</v>
      </c>
      <c r="BJ1047" s="64">
        <v>45500</v>
      </c>
      <c r="BK1047" s="64">
        <v>50050</v>
      </c>
      <c r="BL1047" s="60" t="s">
        <v>2916</v>
      </c>
      <c r="BS1047" s="64">
        <v>0</v>
      </c>
      <c r="BV1047" s="65">
        <v>0</v>
      </c>
      <c r="BW1047" s="65">
        <v>50050</v>
      </c>
      <c r="BX1047" s="65">
        <v>44657</v>
      </c>
      <c r="BY1047" s="65">
        <v>-50050</v>
      </c>
      <c r="BZ1047" s="81" t="s">
        <v>309</v>
      </c>
      <c r="CD1047" s="63" t="s">
        <v>3335</v>
      </c>
    </row>
    <row r="1048" spans="1:89" x14ac:dyDescent="0.15">
      <c r="A1048" s="60">
        <v>1</v>
      </c>
      <c r="C1048" s="61" t="s">
        <v>309</v>
      </c>
      <c r="F1048" s="61" t="s">
        <v>309</v>
      </c>
      <c r="H1048" s="61" t="s">
        <v>309</v>
      </c>
      <c r="J1048" s="60">
        <v>4</v>
      </c>
      <c r="L1048" s="60">
        <v>0</v>
      </c>
      <c r="M1048" s="61">
        <v>44657</v>
      </c>
      <c r="O1048" s="62" t="s">
        <v>331</v>
      </c>
      <c r="P1048" s="60" t="s">
        <v>26</v>
      </c>
      <c r="Q1048" s="62" t="s">
        <v>136</v>
      </c>
      <c r="R1048" s="62" t="s">
        <v>3364</v>
      </c>
      <c r="S1048" s="63" t="s">
        <v>326</v>
      </c>
      <c r="T1048" s="63" t="s">
        <v>1158</v>
      </c>
      <c r="U1048" s="64">
        <v>0</v>
      </c>
      <c r="V1048" s="64">
        <v>0</v>
      </c>
      <c r="W1048" s="64">
        <v>0</v>
      </c>
      <c r="X1048" s="64">
        <v>0</v>
      </c>
      <c r="Y1048" s="64">
        <v>0</v>
      </c>
      <c r="Z1048" s="64">
        <v>0</v>
      </c>
      <c r="AD1048" s="60">
        <v>0</v>
      </c>
      <c r="AG1048" s="60">
        <v>0</v>
      </c>
      <c r="AJ1048" s="60">
        <v>0</v>
      </c>
      <c r="AY1048" s="99">
        <v>0</v>
      </c>
      <c r="AZ1048" s="99">
        <f>ROUNDDOWN(AY1048+(AY1048*MASTER!$A$2/100),0)</f>
        <v>0</v>
      </c>
      <c r="BC1048" s="64">
        <v>0</v>
      </c>
      <c r="BG1048" s="64">
        <v>0</v>
      </c>
      <c r="BI1048" s="60" t="s">
        <v>748</v>
      </c>
      <c r="BJ1048" s="64">
        <v>45500</v>
      </c>
      <c r="BK1048" s="64">
        <v>50050</v>
      </c>
      <c r="BL1048" s="60" t="s">
        <v>2916</v>
      </c>
      <c r="BS1048" s="64">
        <v>0</v>
      </c>
      <c r="BV1048" s="65">
        <v>0</v>
      </c>
      <c r="BW1048" s="65">
        <v>50050</v>
      </c>
      <c r="BX1048" s="65">
        <v>44657</v>
      </c>
      <c r="BY1048" s="65">
        <v>-50050</v>
      </c>
      <c r="BZ1048" s="81" t="s">
        <v>309</v>
      </c>
      <c r="CD1048" s="63" t="s">
        <v>3335</v>
      </c>
    </row>
    <row r="1049" spans="1:89" x14ac:dyDescent="0.15">
      <c r="A1049" s="60">
        <v>1</v>
      </c>
      <c r="C1049" s="61" t="s">
        <v>309</v>
      </c>
      <c r="F1049" s="61" t="s">
        <v>309</v>
      </c>
      <c r="H1049" s="61" t="s">
        <v>309</v>
      </c>
      <c r="J1049" s="60">
        <v>4</v>
      </c>
      <c r="L1049" s="60">
        <v>0</v>
      </c>
      <c r="M1049" s="61">
        <v>44657</v>
      </c>
      <c r="O1049" s="62" t="s">
        <v>331</v>
      </c>
      <c r="P1049" s="60" t="s">
        <v>26</v>
      </c>
      <c r="Q1049" s="62" t="s">
        <v>136</v>
      </c>
      <c r="R1049" s="62" t="s">
        <v>3333</v>
      </c>
      <c r="S1049" s="63" t="s">
        <v>326</v>
      </c>
      <c r="T1049" s="63" t="s">
        <v>3334</v>
      </c>
      <c r="U1049" s="64">
        <v>0</v>
      </c>
      <c r="V1049" s="64">
        <v>0</v>
      </c>
      <c r="W1049" s="64">
        <v>0</v>
      </c>
      <c r="X1049" s="64">
        <v>0</v>
      </c>
      <c r="Y1049" s="64">
        <v>0</v>
      </c>
      <c r="Z1049" s="64">
        <v>0</v>
      </c>
      <c r="AD1049" s="60">
        <v>0</v>
      </c>
      <c r="AG1049" s="60">
        <v>0</v>
      </c>
      <c r="AJ1049" s="60">
        <v>0</v>
      </c>
      <c r="AY1049" s="99">
        <v>0</v>
      </c>
      <c r="AZ1049" s="99">
        <f>ROUNDDOWN(AY1049+(AY1049*MASTER!$A$2/100),0)</f>
        <v>0</v>
      </c>
      <c r="BC1049" s="64">
        <v>0</v>
      </c>
      <c r="BG1049" s="64">
        <v>0</v>
      </c>
      <c r="BI1049" s="60" t="s">
        <v>1519</v>
      </c>
      <c r="BK1049" s="64">
        <v>0</v>
      </c>
      <c r="BS1049" s="64">
        <v>0</v>
      </c>
      <c r="BV1049" s="65">
        <v>0</v>
      </c>
      <c r="BW1049" s="65">
        <v>0</v>
      </c>
      <c r="BX1049" s="65">
        <v>44657</v>
      </c>
      <c r="BY1049" s="65">
        <v>0</v>
      </c>
      <c r="BZ1049" s="81" t="s">
        <v>309</v>
      </c>
      <c r="CD1049" s="63" t="s">
        <v>3335</v>
      </c>
    </row>
    <row r="1050" spans="1:89" x14ac:dyDescent="0.15">
      <c r="A1050" s="60">
        <v>1</v>
      </c>
      <c r="B1050" s="61">
        <v>44670</v>
      </c>
      <c r="C1050" s="61">
        <v>44673</v>
      </c>
      <c r="F1050" s="61" t="s">
        <v>309</v>
      </c>
      <c r="H1050" s="61" t="s">
        <v>309</v>
      </c>
      <c r="J1050" s="60">
        <v>3</v>
      </c>
      <c r="L1050" s="60">
        <v>0</v>
      </c>
      <c r="M1050" s="61">
        <v>44658</v>
      </c>
      <c r="O1050" s="62" t="s">
        <v>331</v>
      </c>
      <c r="P1050" s="60" t="s">
        <v>6</v>
      </c>
      <c r="Q1050" s="62" t="s">
        <v>136</v>
      </c>
      <c r="R1050" s="62" t="s">
        <v>3180</v>
      </c>
      <c r="S1050" s="63" t="s">
        <v>567</v>
      </c>
      <c r="T1050" s="63" t="s">
        <v>385</v>
      </c>
      <c r="U1050" s="64">
        <v>18000</v>
      </c>
      <c r="V1050" s="64">
        <v>19800</v>
      </c>
      <c r="X1050" s="64">
        <v>0</v>
      </c>
      <c r="Y1050" s="64">
        <v>18000</v>
      </c>
      <c r="Z1050" s="64">
        <v>19800</v>
      </c>
      <c r="AD1050" s="60">
        <v>0</v>
      </c>
      <c r="AG1050" s="60">
        <v>0</v>
      </c>
      <c r="AJ1050" s="60">
        <v>0</v>
      </c>
      <c r="AN1050" s="60" t="s">
        <v>309</v>
      </c>
      <c r="AQ1050" s="60" t="s">
        <v>3154</v>
      </c>
      <c r="AR1050" s="61">
        <v>44666</v>
      </c>
      <c r="AS1050" s="60">
        <v>6002016773</v>
      </c>
      <c r="AT1050" s="61">
        <v>44669</v>
      </c>
      <c r="AU1050" s="60" t="s">
        <v>3179</v>
      </c>
      <c r="AV1050" s="61">
        <v>44673</v>
      </c>
      <c r="AW1050" s="91">
        <v>44681</v>
      </c>
      <c r="AX1050" s="91">
        <v>44701</v>
      </c>
      <c r="AY1050" s="99">
        <v>17280</v>
      </c>
      <c r="AZ1050" s="99">
        <f>ROUNDDOWN(AY1050+(AY1050*MASTER!$A$2/100),0)</f>
        <v>19008</v>
      </c>
      <c r="BC1050" s="64">
        <v>0</v>
      </c>
      <c r="BG1050" s="64">
        <v>0</v>
      </c>
      <c r="BK1050" s="64">
        <v>0</v>
      </c>
      <c r="BS1050" s="64">
        <v>0</v>
      </c>
      <c r="BV1050" s="65">
        <v>0</v>
      </c>
      <c r="BW1050" s="65">
        <v>0</v>
      </c>
      <c r="BX1050" s="65">
        <v>44658</v>
      </c>
      <c r="BY1050" s="65">
        <v>0</v>
      </c>
      <c r="BZ1050" s="81" t="s">
        <v>309</v>
      </c>
    </row>
    <row r="1051" spans="1:89" x14ac:dyDescent="0.15">
      <c r="A1051" s="60">
        <v>1</v>
      </c>
      <c r="B1051" s="61">
        <v>44673</v>
      </c>
      <c r="C1051" s="61">
        <v>44673</v>
      </c>
      <c r="F1051" s="61" t="s">
        <v>309</v>
      </c>
      <c r="H1051" s="61" t="s">
        <v>309</v>
      </c>
      <c r="J1051" s="60">
        <v>3</v>
      </c>
      <c r="L1051" s="60">
        <v>0</v>
      </c>
      <c r="M1051" s="61">
        <v>44659</v>
      </c>
      <c r="O1051" s="62" t="s">
        <v>331</v>
      </c>
      <c r="P1051" s="60" t="s">
        <v>6</v>
      </c>
      <c r="Q1051" s="62" t="s">
        <v>136</v>
      </c>
      <c r="R1051" s="62" t="s">
        <v>3265</v>
      </c>
      <c r="S1051" s="63" t="s">
        <v>2029</v>
      </c>
      <c r="T1051" s="63" t="s">
        <v>385</v>
      </c>
      <c r="U1051" s="64">
        <v>15000</v>
      </c>
      <c r="V1051" s="64">
        <v>16500</v>
      </c>
      <c r="X1051" s="64">
        <v>0</v>
      </c>
      <c r="Y1051" s="64">
        <v>15000</v>
      </c>
      <c r="Z1051" s="64">
        <v>16500</v>
      </c>
      <c r="AD1051" s="60">
        <v>0</v>
      </c>
      <c r="AG1051" s="60">
        <v>0</v>
      </c>
      <c r="AJ1051" s="60">
        <v>0</v>
      </c>
      <c r="AN1051" s="60" t="s">
        <v>309</v>
      </c>
      <c r="AQ1051" s="60" t="s">
        <v>3155</v>
      </c>
      <c r="AR1051" s="61">
        <v>44666</v>
      </c>
      <c r="AS1051" s="60">
        <v>6002016773</v>
      </c>
      <c r="AT1051" s="61">
        <v>44669</v>
      </c>
      <c r="AU1051" s="60" t="s">
        <v>3179</v>
      </c>
      <c r="AV1051" s="61">
        <v>44673</v>
      </c>
      <c r="AW1051" s="91">
        <v>44681</v>
      </c>
      <c r="AX1051" s="91">
        <v>44701</v>
      </c>
      <c r="AY1051" s="99">
        <v>14400</v>
      </c>
      <c r="AZ1051" s="99">
        <f>ROUNDDOWN(AY1051+(AY1051*MASTER!$A$2/100),0)</f>
        <v>15840</v>
      </c>
      <c r="BC1051" s="64">
        <v>0</v>
      </c>
      <c r="BG1051" s="64">
        <v>0</v>
      </c>
      <c r="BK1051" s="64">
        <v>0</v>
      </c>
      <c r="BS1051" s="64">
        <v>0</v>
      </c>
      <c r="BV1051" s="65">
        <v>0</v>
      </c>
      <c r="BW1051" s="65">
        <v>0</v>
      </c>
      <c r="BX1051" s="65">
        <v>44659</v>
      </c>
      <c r="BY1051" s="65">
        <v>0</v>
      </c>
      <c r="BZ1051" s="81" t="s">
        <v>309</v>
      </c>
    </row>
    <row r="1052" spans="1:89" x14ac:dyDescent="0.15">
      <c r="A1052" s="60">
        <v>1</v>
      </c>
      <c r="C1052" s="61" t="s">
        <v>309</v>
      </c>
      <c r="F1052" s="61" t="s">
        <v>309</v>
      </c>
      <c r="H1052" s="61" t="s">
        <v>309</v>
      </c>
      <c r="J1052" s="60">
        <v>4</v>
      </c>
      <c r="L1052" s="60">
        <v>0</v>
      </c>
      <c r="M1052" s="61">
        <v>44659</v>
      </c>
      <c r="O1052" s="62" t="s">
        <v>331</v>
      </c>
      <c r="P1052" s="60" t="s">
        <v>263</v>
      </c>
      <c r="Q1052" s="62" t="s">
        <v>136</v>
      </c>
      <c r="R1052" s="62" t="s">
        <v>3064</v>
      </c>
      <c r="S1052" s="63" t="s">
        <v>354</v>
      </c>
      <c r="T1052" s="63" t="s">
        <v>3065</v>
      </c>
      <c r="U1052" s="64">
        <v>0</v>
      </c>
      <c r="V1052" s="64">
        <v>0</v>
      </c>
      <c r="W1052" s="64">
        <v>0</v>
      </c>
      <c r="X1052" s="64">
        <v>0</v>
      </c>
      <c r="Y1052" s="64">
        <v>0</v>
      </c>
      <c r="Z1052" s="64">
        <v>0</v>
      </c>
      <c r="AD1052" s="60">
        <v>0</v>
      </c>
      <c r="AG1052" s="60">
        <v>0</v>
      </c>
      <c r="AJ1052" s="60">
        <v>0</v>
      </c>
      <c r="AN1052" s="60" t="s">
        <v>309</v>
      </c>
      <c r="AY1052" s="99">
        <f>ROUNDDOWN((0.96*U1052),0)</f>
        <v>0</v>
      </c>
      <c r="AZ1052" s="99">
        <f>ROUNDDOWN(AY1052+(AY1052*MASTER!$A$2/100),0)</f>
        <v>0</v>
      </c>
      <c r="BA1052" s="60" t="s">
        <v>356</v>
      </c>
      <c r="BC1052" s="64">
        <v>0</v>
      </c>
      <c r="BG1052" s="64">
        <v>0</v>
      </c>
      <c r="BK1052" s="64">
        <v>0</v>
      </c>
      <c r="BS1052" s="64">
        <v>0</v>
      </c>
      <c r="BV1052" s="65">
        <v>0</v>
      </c>
      <c r="BW1052" s="65">
        <v>0</v>
      </c>
      <c r="BX1052" s="65">
        <v>44659</v>
      </c>
      <c r="BY1052" s="65">
        <v>0</v>
      </c>
      <c r="BZ1052" s="81" t="s">
        <v>309</v>
      </c>
    </row>
    <row r="1053" spans="1:89" x14ac:dyDescent="0.15">
      <c r="A1053" s="60">
        <v>1</v>
      </c>
      <c r="B1053" s="61">
        <v>44666</v>
      </c>
      <c r="C1053" s="61">
        <v>44666</v>
      </c>
      <c r="F1053" s="61" t="s">
        <v>309</v>
      </c>
      <c r="H1053" s="61" t="s">
        <v>309</v>
      </c>
      <c r="J1053" s="60">
        <v>2</v>
      </c>
      <c r="L1053" s="60">
        <v>0</v>
      </c>
      <c r="M1053" s="61">
        <v>44662</v>
      </c>
      <c r="O1053" s="62" t="s">
        <v>331</v>
      </c>
      <c r="P1053" s="60" t="s">
        <v>26</v>
      </c>
      <c r="Q1053" s="62" t="s">
        <v>136</v>
      </c>
      <c r="R1053" s="62" t="s">
        <v>3103</v>
      </c>
      <c r="S1053" s="63" t="s">
        <v>1028</v>
      </c>
      <c r="T1053" s="63" t="s">
        <v>3104</v>
      </c>
      <c r="U1053" s="64">
        <v>68000</v>
      </c>
      <c r="V1053" s="64">
        <v>74800</v>
      </c>
      <c r="W1053" s="64">
        <v>68000</v>
      </c>
      <c r="X1053" s="64">
        <v>74800</v>
      </c>
      <c r="Y1053" s="64">
        <v>0</v>
      </c>
      <c r="Z1053" s="64">
        <v>0</v>
      </c>
      <c r="AA1053" s="61">
        <v>44650</v>
      </c>
      <c r="AB1053" s="61">
        <v>44651</v>
      </c>
      <c r="AD1053" s="60">
        <v>0</v>
      </c>
      <c r="AG1053" s="60">
        <v>0</v>
      </c>
      <c r="AJ1053" s="60">
        <v>0</v>
      </c>
      <c r="AN1053" s="60" t="s">
        <v>309</v>
      </c>
      <c r="AQ1053" s="60" t="s">
        <v>3003</v>
      </c>
      <c r="AR1053" s="61">
        <v>44664</v>
      </c>
      <c r="AS1053" s="60">
        <v>6002015683</v>
      </c>
      <c r="AT1053" s="61">
        <v>44665</v>
      </c>
      <c r="AU1053" s="60" t="s">
        <v>3140</v>
      </c>
      <c r="AV1053" s="61">
        <v>44666</v>
      </c>
      <c r="AW1053" s="91">
        <v>44681</v>
      </c>
      <c r="AX1053" s="91">
        <v>44701</v>
      </c>
      <c r="AY1053" s="99">
        <v>65280</v>
      </c>
      <c r="AZ1053" s="99">
        <f>ROUNDDOWN(AY1053+(AY1053*MASTER!$A$2/100),0)</f>
        <v>71808</v>
      </c>
      <c r="BC1053" s="64">
        <v>0</v>
      </c>
      <c r="BG1053" s="64">
        <v>0</v>
      </c>
      <c r="BK1053" s="64">
        <v>0</v>
      </c>
      <c r="BS1053" s="64">
        <v>0</v>
      </c>
      <c r="BV1053" s="65">
        <v>74800</v>
      </c>
      <c r="BW1053" s="65">
        <v>0</v>
      </c>
      <c r="BX1053" s="65">
        <v>44662</v>
      </c>
      <c r="BY1053" s="65">
        <v>74800</v>
      </c>
      <c r="BZ1053" s="81">
        <v>100</v>
      </c>
    </row>
    <row r="1054" spans="1:89" x14ac:dyDescent="0.15">
      <c r="A1054" s="60">
        <v>1</v>
      </c>
      <c r="B1054" s="61">
        <v>44666</v>
      </c>
      <c r="C1054" s="61">
        <v>44673</v>
      </c>
      <c r="F1054" s="61" t="s">
        <v>309</v>
      </c>
      <c r="H1054" s="61" t="s">
        <v>309</v>
      </c>
      <c r="J1054" s="60">
        <v>3</v>
      </c>
      <c r="L1054" s="60">
        <v>0</v>
      </c>
      <c r="M1054" s="61">
        <v>44662</v>
      </c>
      <c r="O1054" s="62" t="s">
        <v>331</v>
      </c>
      <c r="P1054" s="60" t="s">
        <v>26</v>
      </c>
      <c r="Q1054" s="62" t="s">
        <v>136</v>
      </c>
      <c r="R1054" s="62" t="s">
        <v>3069</v>
      </c>
      <c r="S1054" s="63" t="s">
        <v>326</v>
      </c>
      <c r="T1054" s="63" t="s">
        <v>3070</v>
      </c>
      <c r="U1054" s="64">
        <v>35000</v>
      </c>
      <c r="V1054" s="64">
        <v>38500</v>
      </c>
      <c r="W1054" s="64">
        <v>0</v>
      </c>
      <c r="X1054" s="64">
        <v>0</v>
      </c>
      <c r="Y1054" s="64">
        <v>35000</v>
      </c>
      <c r="Z1054" s="64">
        <v>38500</v>
      </c>
      <c r="AD1054" s="60">
        <v>0</v>
      </c>
      <c r="AG1054" s="60">
        <v>0</v>
      </c>
      <c r="AJ1054" s="60">
        <v>0</v>
      </c>
      <c r="AN1054" s="60" t="s">
        <v>309</v>
      </c>
      <c r="AQ1054" s="60" t="s">
        <v>2901</v>
      </c>
      <c r="AR1054" s="61">
        <v>44664</v>
      </c>
      <c r="AS1054" s="60">
        <v>6002015683</v>
      </c>
      <c r="AT1054" s="61">
        <v>44665</v>
      </c>
      <c r="AU1054" s="60" t="s">
        <v>3140</v>
      </c>
      <c r="AV1054" s="61">
        <v>44673</v>
      </c>
      <c r="AW1054" s="91">
        <v>44681</v>
      </c>
      <c r="AX1054" s="91">
        <v>44701</v>
      </c>
      <c r="AY1054" s="107">
        <v>35000</v>
      </c>
      <c r="AZ1054" s="107">
        <f>ROUNDDOWN(AY1054+(AY1054*MASTER!$A$2/100),0)</f>
        <v>38500</v>
      </c>
      <c r="BC1054" s="64">
        <v>0</v>
      </c>
      <c r="BG1054" s="64">
        <v>0</v>
      </c>
      <c r="BK1054" s="64">
        <v>0</v>
      </c>
      <c r="BS1054" s="64">
        <v>0</v>
      </c>
      <c r="BV1054" s="65">
        <v>0</v>
      </c>
      <c r="BW1054" s="65">
        <v>0</v>
      </c>
      <c r="BX1054" s="65">
        <v>44662</v>
      </c>
      <c r="BY1054" s="65">
        <v>0</v>
      </c>
      <c r="BZ1054" s="81" t="s">
        <v>309</v>
      </c>
    </row>
    <row r="1055" spans="1:89" s="152" customFormat="1" x14ac:dyDescent="0.15">
      <c r="A1055" s="142">
        <v>3</v>
      </c>
      <c r="B1055" s="143"/>
      <c r="C1055" s="143" t="s">
        <v>309</v>
      </c>
      <c r="D1055" s="143"/>
      <c r="E1055" s="143"/>
      <c r="F1055" s="143" t="s">
        <v>309</v>
      </c>
      <c r="G1055" s="143"/>
      <c r="H1055" s="143" t="s">
        <v>309</v>
      </c>
      <c r="I1055" s="142"/>
      <c r="J1055" s="142">
        <v>2</v>
      </c>
      <c r="K1055" s="143"/>
      <c r="L1055" s="142">
        <v>0</v>
      </c>
      <c r="M1055" s="143">
        <v>44662</v>
      </c>
      <c r="N1055" s="143"/>
      <c r="O1055" s="144" t="s">
        <v>331</v>
      </c>
      <c r="P1055" s="142" t="s">
        <v>26</v>
      </c>
      <c r="Q1055" s="144" t="s">
        <v>136</v>
      </c>
      <c r="R1055" s="144" t="s">
        <v>3633</v>
      </c>
      <c r="S1055" s="145" t="s">
        <v>2357</v>
      </c>
      <c r="T1055" s="145" t="s">
        <v>656</v>
      </c>
      <c r="U1055" s="146">
        <v>49500</v>
      </c>
      <c r="V1055" s="146">
        <v>54450</v>
      </c>
      <c r="W1055" s="146">
        <v>49500</v>
      </c>
      <c r="X1055" s="146">
        <v>54450</v>
      </c>
      <c r="Y1055" s="146">
        <v>0</v>
      </c>
      <c r="Z1055" s="146">
        <v>0</v>
      </c>
      <c r="AA1055" s="143"/>
      <c r="AB1055" s="143"/>
      <c r="AC1055" s="143"/>
      <c r="AD1055" s="142">
        <v>0</v>
      </c>
      <c r="AE1055" s="142"/>
      <c r="AF1055" s="142"/>
      <c r="AG1055" s="142">
        <v>0</v>
      </c>
      <c r="AH1055" s="142"/>
      <c r="AI1055" s="142"/>
      <c r="AJ1055" s="142">
        <v>0</v>
      </c>
      <c r="AK1055" s="142"/>
      <c r="AL1055" s="142"/>
      <c r="AM1055" s="142"/>
      <c r="AN1055" s="142" t="s">
        <v>309</v>
      </c>
      <c r="AO1055" s="143"/>
      <c r="AP1055" s="142"/>
      <c r="AQ1055" s="142"/>
      <c r="AR1055" s="143"/>
      <c r="AS1055" s="142"/>
      <c r="AT1055" s="143"/>
      <c r="AU1055" s="142"/>
      <c r="AV1055" s="143"/>
      <c r="AW1055" s="147"/>
      <c r="AX1055" s="147"/>
      <c r="AY1055" s="148">
        <v>47520</v>
      </c>
      <c r="AZ1055" s="148">
        <f>ROUNDDOWN(AY1055+(AY1055*MASTER!$A$2/100),0)</f>
        <v>52272</v>
      </c>
      <c r="BA1055" s="142"/>
      <c r="BB1055" s="146"/>
      <c r="BC1055" s="146">
        <v>0</v>
      </c>
      <c r="BD1055" s="142"/>
      <c r="BE1055" s="142"/>
      <c r="BF1055" s="146"/>
      <c r="BG1055" s="146">
        <v>0</v>
      </c>
      <c r="BH1055" s="142"/>
      <c r="BI1055" s="142"/>
      <c r="BJ1055" s="146"/>
      <c r="BK1055" s="146">
        <v>0</v>
      </c>
      <c r="BL1055" s="142"/>
      <c r="BM1055" s="146"/>
      <c r="BN1055" s="146"/>
      <c r="BO1055" s="146"/>
      <c r="BP1055" s="146"/>
      <c r="BQ1055" s="146"/>
      <c r="BR1055" s="146"/>
      <c r="BS1055" s="146">
        <v>0</v>
      </c>
      <c r="BT1055" s="149"/>
      <c r="BU1055" s="149"/>
      <c r="BV1055" s="150">
        <v>54450</v>
      </c>
      <c r="BW1055" s="150">
        <v>0</v>
      </c>
      <c r="BX1055" s="150">
        <v>44662</v>
      </c>
      <c r="BY1055" s="150">
        <v>54450</v>
      </c>
      <c r="BZ1055" s="151">
        <v>100</v>
      </c>
      <c r="CA1055" s="142"/>
      <c r="CB1055" s="142"/>
      <c r="CC1055" s="142"/>
      <c r="CD1055" s="145" t="s">
        <v>3634</v>
      </c>
      <c r="CE1055" s="143"/>
      <c r="CF1055" s="143"/>
      <c r="CG1055" s="143"/>
      <c r="CH1055" s="143"/>
      <c r="CI1055" s="143"/>
      <c r="CJ1055" s="143"/>
      <c r="CK1055" s="146"/>
    </row>
    <row r="1056" spans="1:89" x14ac:dyDescent="0.15">
      <c r="A1056" s="60">
        <v>2</v>
      </c>
      <c r="B1056" s="61">
        <v>44666</v>
      </c>
      <c r="C1056" s="61">
        <v>44671</v>
      </c>
      <c r="F1056" s="61" t="s">
        <v>309</v>
      </c>
      <c r="G1056" s="61">
        <v>44664</v>
      </c>
      <c r="H1056" s="61" t="s">
        <v>309</v>
      </c>
      <c r="J1056" s="60">
        <v>2</v>
      </c>
      <c r="L1056" s="60">
        <v>0</v>
      </c>
      <c r="M1056" s="61">
        <v>44662</v>
      </c>
      <c r="O1056" s="62" t="s">
        <v>331</v>
      </c>
      <c r="P1056" s="60" t="s">
        <v>6</v>
      </c>
      <c r="Q1056" s="62" t="s">
        <v>136</v>
      </c>
      <c r="R1056" s="62" t="s">
        <v>3096</v>
      </c>
      <c r="S1056" s="63" t="s">
        <v>515</v>
      </c>
      <c r="T1056" s="63" t="s">
        <v>364</v>
      </c>
      <c r="U1056" s="64">
        <v>35000</v>
      </c>
      <c r="V1056" s="64">
        <v>38500</v>
      </c>
      <c r="W1056" s="64">
        <v>35000</v>
      </c>
      <c r="X1056" s="64">
        <v>38500</v>
      </c>
      <c r="Y1056" s="64">
        <v>0</v>
      </c>
      <c r="Z1056" s="64">
        <v>0</v>
      </c>
      <c r="AA1056" s="61">
        <v>44664</v>
      </c>
      <c r="AB1056" s="61">
        <v>44664</v>
      </c>
      <c r="AD1056" s="60">
        <v>0</v>
      </c>
      <c r="AG1056" s="60">
        <v>0</v>
      </c>
      <c r="AJ1056" s="60">
        <v>0</v>
      </c>
      <c r="AN1056" s="60" t="s">
        <v>309</v>
      </c>
      <c r="AQ1056" s="60" t="s">
        <v>3099</v>
      </c>
      <c r="AR1056" s="61">
        <v>44664</v>
      </c>
      <c r="AS1056" s="60">
        <v>6002015684</v>
      </c>
      <c r="AT1056" s="61">
        <v>44665</v>
      </c>
      <c r="AU1056" s="60" t="s">
        <v>3141</v>
      </c>
      <c r="AV1056" s="61">
        <v>44671</v>
      </c>
      <c r="AW1056" s="91">
        <v>44681</v>
      </c>
      <c r="AX1056" s="91">
        <v>44701</v>
      </c>
      <c r="AY1056" s="99">
        <v>33600</v>
      </c>
      <c r="AZ1056" s="99">
        <f>ROUNDDOWN(AY1056+(AY1056*MASTER!$A$2/100),0)</f>
        <v>36960</v>
      </c>
      <c r="BA1056" s="60" t="s">
        <v>582</v>
      </c>
      <c r="BB1056" s="64">
        <v>21000</v>
      </c>
      <c r="BC1056" s="64">
        <v>23100</v>
      </c>
      <c r="BD1056" s="60" t="s">
        <v>643</v>
      </c>
      <c r="BG1056" s="64">
        <v>0</v>
      </c>
      <c r="BK1056" s="64">
        <v>0</v>
      </c>
      <c r="BS1056" s="64">
        <v>0</v>
      </c>
      <c r="BV1056" s="65">
        <v>38500</v>
      </c>
      <c r="BW1056" s="65">
        <v>23100</v>
      </c>
      <c r="BX1056" s="65">
        <v>44662</v>
      </c>
      <c r="BY1056" s="65">
        <v>15400</v>
      </c>
      <c r="BZ1056" s="81">
        <v>40</v>
      </c>
    </row>
    <row r="1057" spans="1:89" x14ac:dyDescent="0.15">
      <c r="A1057" s="60">
        <v>2</v>
      </c>
      <c r="B1057" s="61">
        <v>44664</v>
      </c>
      <c r="C1057" s="61">
        <v>44666</v>
      </c>
      <c r="D1057" s="61">
        <v>44666</v>
      </c>
      <c r="E1057" s="61">
        <v>44666</v>
      </c>
      <c r="F1057" s="61" t="s">
        <v>309</v>
      </c>
      <c r="G1057" s="61">
        <v>44666</v>
      </c>
      <c r="H1057" s="61" t="s">
        <v>309</v>
      </c>
      <c r="I1057" s="60" t="s">
        <v>494</v>
      </c>
      <c r="J1057" s="60">
        <v>2</v>
      </c>
      <c r="L1057" s="60">
        <v>0</v>
      </c>
      <c r="M1057" s="61">
        <v>44662</v>
      </c>
      <c r="O1057" s="62" t="s">
        <v>331</v>
      </c>
      <c r="P1057" s="60" t="s">
        <v>6</v>
      </c>
      <c r="Q1057" s="62" t="s">
        <v>136</v>
      </c>
      <c r="R1057" s="62" t="s">
        <v>3121</v>
      </c>
      <c r="S1057" s="63" t="s">
        <v>617</v>
      </c>
      <c r="T1057" s="63" t="s">
        <v>364</v>
      </c>
      <c r="U1057" s="64">
        <v>23000</v>
      </c>
      <c r="V1057" s="64">
        <v>25300</v>
      </c>
      <c r="W1057" s="64">
        <v>23000</v>
      </c>
      <c r="X1057" s="64">
        <v>25300</v>
      </c>
      <c r="Z1057" s="64">
        <v>0</v>
      </c>
      <c r="AA1057" s="61">
        <v>44665</v>
      </c>
      <c r="AB1057" s="61">
        <v>44665</v>
      </c>
      <c r="AD1057" s="60">
        <v>0</v>
      </c>
      <c r="AG1057" s="60">
        <v>0</v>
      </c>
      <c r="AJ1057" s="60">
        <v>0</v>
      </c>
      <c r="AN1057" s="60" t="s">
        <v>309</v>
      </c>
      <c r="AQ1057" s="60" t="s">
        <v>3084</v>
      </c>
      <c r="AR1057" s="61">
        <v>44663</v>
      </c>
      <c r="AS1057" s="60">
        <v>6002015091</v>
      </c>
      <c r="AT1057" s="61">
        <v>44663</v>
      </c>
      <c r="AU1057" s="60" t="s">
        <v>3097</v>
      </c>
      <c r="AV1057" s="61">
        <v>44666</v>
      </c>
      <c r="AW1057" s="91">
        <v>44681</v>
      </c>
      <c r="AX1057" s="91">
        <v>44701</v>
      </c>
      <c r="AY1057" s="99">
        <v>22080</v>
      </c>
      <c r="AZ1057" s="99">
        <f>ROUNDDOWN(AY1057+(AY1057*MASTER!$A$2/100),0)</f>
        <v>24288</v>
      </c>
      <c r="BA1057" s="60" t="s">
        <v>901</v>
      </c>
      <c r="BB1057" s="64">
        <v>26000</v>
      </c>
      <c r="BC1057" s="64">
        <v>28600</v>
      </c>
      <c r="BD1057" s="60" t="s">
        <v>2916</v>
      </c>
      <c r="BG1057" s="64">
        <v>0</v>
      </c>
      <c r="BK1057" s="64">
        <v>0</v>
      </c>
      <c r="BS1057" s="64">
        <v>0</v>
      </c>
      <c r="BV1057" s="65">
        <v>25300</v>
      </c>
      <c r="BW1057" s="65">
        <v>28600</v>
      </c>
      <c r="BX1057" s="65">
        <v>44662</v>
      </c>
      <c r="BY1057" s="65">
        <v>-3300</v>
      </c>
      <c r="BZ1057" s="81">
        <v>-13.043478260869565</v>
      </c>
    </row>
    <row r="1058" spans="1:89" x14ac:dyDescent="0.15">
      <c r="A1058" s="60">
        <v>2</v>
      </c>
      <c r="B1058" s="61">
        <v>44670</v>
      </c>
      <c r="C1058" s="61">
        <v>44671</v>
      </c>
      <c r="D1058" s="61">
        <v>44663</v>
      </c>
      <c r="E1058" s="61">
        <v>44663</v>
      </c>
      <c r="F1058" s="61" t="s">
        <v>309</v>
      </c>
      <c r="G1058" s="61">
        <v>44663</v>
      </c>
      <c r="H1058" s="61" t="s">
        <v>309</v>
      </c>
      <c r="I1058" s="60" t="s">
        <v>766</v>
      </c>
      <c r="J1058" s="60">
        <v>2</v>
      </c>
      <c r="L1058" s="60">
        <v>0</v>
      </c>
      <c r="M1058" s="61">
        <v>44663</v>
      </c>
      <c r="O1058" s="62" t="s">
        <v>331</v>
      </c>
      <c r="P1058" s="60" t="s">
        <v>6</v>
      </c>
      <c r="Q1058" s="62" t="s">
        <v>136</v>
      </c>
      <c r="R1058" s="62" t="s">
        <v>3083</v>
      </c>
      <c r="S1058" s="63" t="s">
        <v>1925</v>
      </c>
      <c r="T1058" s="63" t="s">
        <v>364</v>
      </c>
      <c r="U1058" s="64">
        <v>35000</v>
      </c>
      <c r="V1058" s="64">
        <v>38500</v>
      </c>
      <c r="W1058" s="64">
        <v>35000</v>
      </c>
      <c r="X1058" s="64">
        <v>38500</v>
      </c>
      <c r="Z1058" s="64">
        <v>0</v>
      </c>
      <c r="AA1058" s="61">
        <v>44662</v>
      </c>
      <c r="AB1058" s="61">
        <v>44662</v>
      </c>
      <c r="AD1058" s="60">
        <v>0</v>
      </c>
      <c r="AG1058" s="60">
        <v>0</v>
      </c>
      <c r="AJ1058" s="60">
        <v>0</v>
      </c>
      <c r="AN1058" s="60" t="s">
        <v>309</v>
      </c>
      <c r="AQ1058" s="60" t="s">
        <v>3156</v>
      </c>
      <c r="AR1058" s="61">
        <v>44666</v>
      </c>
      <c r="AS1058" s="60">
        <v>6002016773</v>
      </c>
      <c r="AT1058" s="61">
        <v>44669</v>
      </c>
      <c r="AU1058" s="60" t="s">
        <v>3179</v>
      </c>
      <c r="AV1058" s="61">
        <v>44671</v>
      </c>
      <c r="AW1058" s="91">
        <v>44681</v>
      </c>
      <c r="AX1058" s="91">
        <v>44701</v>
      </c>
      <c r="AY1058" s="99">
        <v>33600</v>
      </c>
      <c r="AZ1058" s="99">
        <f>ROUNDDOWN(AY1058+(AY1058*MASTER!$A$2/100),0)</f>
        <v>36960</v>
      </c>
      <c r="BA1058" s="60" t="s">
        <v>318</v>
      </c>
      <c r="BB1058" s="64">
        <v>45000</v>
      </c>
      <c r="BC1058" s="64">
        <v>49500</v>
      </c>
      <c r="BD1058" s="60" t="s">
        <v>643</v>
      </c>
      <c r="BG1058" s="64">
        <v>0</v>
      </c>
      <c r="BK1058" s="64">
        <v>0</v>
      </c>
      <c r="BS1058" s="64">
        <v>0</v>
      </c>
      <c r="BV1058" s="65">
        <v>38500</v>
      </c>
      <c r="BW1058" s="65">
        <v>49500</v>
      </c>
      <c r="BX1058" s="65">
        <v>44663</v>
      </c>
      <c r="BY1058" s="65">
        <v>-11000</v>
      </c>
      <c r="BZ1058" s="81">
        <v>-28.571428571428569</v>
      </c>
    </row>
    <row r="1059" spans="1:89" x14ac:dyDescent="0.15">
      <c r="A1059" s="60">
        <v>2</v>
      </c>
      <c r="B1059" s="61">
        <v>44670</v>
      </c>
      <c r="C1059" s="61">
        <v>44673</v>
      </c>
      <c r="D1059" s="61">
        <v>44669</v>
      </c>
      <c r="E1059" s="61">
        <v>44669</v>
      </c>
      <c r="F1059" s="61" t="s">
        <v>309</v>
      </c>
      <c r="G1059" s="61">
        <v>44669</v>
      </c>
      <c r="H1059" s="61" t="s">
        <v>309</v>
      </c>
      <c r="I1059" s="60" t="s">
        <v>766</v>
      </c>
      <c r="J1059" s="60">
        <v>2</v>
      </c>
      <c r="L1059" s="60">
        <v>0</v>
      </c>
      <c r="M1059" s="61">
        <v>44663</v>
      </c>
      <c r="O1059" s="62" t="s">
        <v>331</v>
      </c>
      <c r="P1059" s="60" t="s">
        <v>6</v>
      </c>
      <c r="Q1059" s="62" t="s">
        <v>136</v>
      </c>
      <c r="R1059" s="62" t="s">
        <v>3168</v>
      </c>
      <c r="S1059" s="63" t="s">
        <v>2376</v>
      </c>
      <c r="T1059" s="63" t="s">
        <v>364</v>
      </c>
      <c r="U1059" s="64">
        <v>35000</v>
      </c>
      <c r="V1059" s="64">
        <v>38500</v>
      </c>
      <c r="W1059" s="64">
        <v>35000</v>
      </c>
      <c r="X1059" s="64">
        <v>38500</v>
      </c>
      <c r="Z1059" s="64">
        <v>0</v>
      </c>
      <c r="AA1059" s="61">
        <v>44668</v>
      </c>
      <c r="AB1059" s="61">
        <v>44668</v>
      </c>
      <c r="AD1059" s="60">
        <v>0</v>
      </c>
      <c r="AG1059" s="60">
        <v>0</v>
      </c>
      <c r="AJ1059" s="60">
        <v>0</v>
      </c>
      <c r="AN1059" s="60" t="s">
        <v>309</v>
      </c>
      <c r="AQ1059" s="60" t="s">
        <v>3157</v>
      </c>
      <c r="AR1059" s="61">
        <v>44666</v>
      </c>
      <c r="AS1059" s="60">
        <v>6002016773</v>
      </c>
      <c r="AT1059" s="61">
        <v>44669</v>
      </c>
      <c r="AU1059" s="60" t="s">
        <v>3179</v>
      </c>
      <c r="AV1059" s="61">
        <v>44673</v>
      </c>
      <c r="AW1059" s="91">
        <v>44681</v>
      </c>
      <c r="AX1059" s="91">
        <v>44701</v>
      </c>
      <c r="AY1059" s="99">
        <v>33600</v>
      </c>
      <c r="AZ1059" s="99">
        <f>ROUNDDOWN(AY1059+(AY1059*MASTER!$A$2/100),0)</f>
        <v>36960</v>
      </c>
      <c r="BA1059" s="60" t="s">
        <v>314</v>
      </c>
      <c r="BB1059" s="64">
        <v>21000</v>
      </c>
      <c r="BC1059" s="64">
        <v>23100</v>
      </c>
      <c r="BD1059" s="60" t="s">
        <v>643</v>
      </c>
      <c r="BG1059" s="64">
        <v>0</v>
      </c>
      <c r="BK1059" s="64">
        <v>0</v>
      </c>
      <c r="BS1059" s="64">
        <v>0</v>
      </c>
      <c r="BV1059" s="65">
        <v>38500</v>
      </c>
      <c r="BW1059" s="65">
        <v>23100</v>
      </c>
      <c r="BX1059" s="65">
        <v>44663</v>
      </c>
      <c r="BY1059" s="65">
        <v>15400</v>
      </c>
      <c r="BZ1059" s="81">
        <v>40</v>
      </c>
    </row>
    <row r="1060" spans="1:89" x14ac:dyDescent="0.15">
      <c r="A1060" s="60">
        <v>2</v>
      </c>
      <c r="B1060" s="61">
        <v>44673</v>
      </c>
      <c r="C1060" s="61">
        <v>44679</v>
      </c>
      <c r="D1060" s="61">
        <v>44690</v>
      </c>
      <c r="E1060" s="61">
        <v>44681</v>
      </c>
      <c r="F1060" s="61">
        <v>44683</v>
      </c>
      <c r="G1060" s="61">
        <v>44676</v>
      </c>
      <c r="H1060" s="61">
        <v>44679</v>
      </c>
      <c r="I1060" s="60" t="s">
        <v>511</v>
      </c>
      <c r="J1060" s="60">
        <v>1</v>
      </c>
      <c r="L1060" s="60">
        <v>0</v>
      </c>
      <c r="M1060" s="61">
        <v>44663</v>
      </c>
      <c r="O1060" s="62" t="s">
        <v>331</v>
      </c>
      <c r="P1060" s="60" t="s">
        <v>26</v>
      </c>
      <c r="Q1060" s="62" t="s">
        <v>136</v>
      </c>
      <c r="R1060" s="62" t="s">
        <v>3170</v>
      </c>
      <c r="S1060" s="63" t="s">
        <v>1916</v>
      </c>
      <c r="T1060" s="63" t="s">
        <v>3171</v>
      </c>
      <c r="U1060" s="64">
        <v>67000</v>
      </c>
      <c r="V1060" s="64">
        <v>73700</v>
      </c>
      <c r="W1060" s="64">
        <v>55000</v>
      </c>
      <c r="X1060" s="64">
        <v>60500</v>
      </c>
      <c r="Y1060" s="64">
        <v>12000</v>
      </c>
      <c r="Z1060" s="64">
        <v>13200</v>
      </c>
      <c r="AA1060" s="61">
        <v>44675</v>
      </c>
      <c r="AB1060" s="61">
        <v>44679</v>
      </c>
      <c r="AC1060" s="61">
        <v>44676</v>
      </c>
      <c r="AD1060" s="60">
        <v>0</v>
      </c>
      <c r="AG1060" s="60">
        <v>0</v>
      </c>
      <c r="AJ1060" s="60">
        <v>0</v>
      </c>
      <c r="AM1060" s="60" t="s">
        <v>273</v>
      </c>
      <c r="AN1060" s="60" t="s">
        <v>3172</v>
      </c>
      <c r="AQ1060" s="60" t="s">
        <v>3192</v>
      </c>
      <c r="AR1060" s="61">
        <v>44671</v>
      </c>
      <c r="AS1060" s="60">
        <v>6002018248</v>
      </c>
      <c r="AT1060" s="61">
        <v>44672</v>
      </c>
      <c r="AU1060" s="60" t="s">
        <v>3204</v>
      </c>
      <c r="AV1060" s="61">
        <v>44679</v>
      </c>
      <c r="AW1060" s="91">
        <v>44681</v>
      </c>
      <c r="AX1060" s="91">
        <v>44701</v>
      </c>
      <c r="AY1060" s="99">
        <v>64320</v>
      </c>
      <c r="AZ1060" s="99">
        <f>ROUNDDOWN(AY1060+(AY1060*MASTER!$A$2/100),0)</f>
        <v>70752</v>
      </c>
      <c r="BA1060" s="60" t="s">
        <v>613</v>
      </c>
      <c r="BB1060" s="64">
        <v>33000</v>
      </c>
      <c r="BC1060" s="64">
        <v>36300</v>
      </c>
      <c r="BD1060" s="60" t="s">
        <v>643</v>
      </c>
      <c r="BG1060" s="64">
        <v>0</v>
      </c>
      <c r="BI1060" s="60" t="s">
        <v>748</v>
      </c>
      <c r="BJ1060" s="64">
        <v>7800</v>
      </c>
      <c r="BK1060" s="64">
        <v>8580</v>
      </c>
      <c r="BL1060" s="60" t="s">
        <v>2916</v>
      </c>
      <c r="BS1060" s="64">
        <v>0</v>
      </c>
      <c r="BV1060" s="65">
        <v>60500</v>
      </c>
      <c r="BW1060" s="65">
        <v>44880</v>
      </c>
      <c r="BX1060" s="65">
        <v>44663</v>
      </c>
      <c r="BY1060" s="65">
        <v>15620</v>
      </c>
      <c r="BZ1060" s="81">
        <v>25.818181818181817</v>
      </c>
    </row>
    <row r="1061" spans="1:89" x14ac:dyDescent="0.15">
      <c r="A1061" s="60">
        <v>2</v>
      </c>
      <c r="B1061" s="61">
        <v>44673</v>
      </c>
      <c r="C1061" s="61">
        <v>44676</v>
      </c>
      <c r="F1061" s="61" t="s">
        <v>309</v>
      </c>
      <c r="H1061" s="61" t="s">
        <v>309</v>
      </c>
      <c r="I1061" s="60" t="s">
        <v>511</v>
      </c>
      <c r="J1061" s="60">
        <v>2</v>
      </c>
      <c r="L1061" s="60">
        <v>0</v>
      </c>
      <c r="M1061" s="61">
        <v>44663</v>
      </c>
      <c r="O1061" s="62" t="s">
        <v>331</v>
      </c>
      <c r="P1061" s="60" t="s">
        <v>26</v>
      </c>
      <c r="Q1061" s="62" t="s">
        <v>136</v>
      </c>
      <c r="R1061" s="62" t="s">
        <v>3205</v>
      </c>
      <c r="S1061" s="63" t="s">
        <v>342</v>
      </c>
      <c r="T1061" s="63" t="s">
        <v>3206</v>
      </c>
      <c r="U1061" s="64">
        <v>256855</v>
      </c>
      <c r="V1061" s="64">
        <v>282540.5</v>
      </c>
      <c r="W1061" s="64">
        <v>256855</v>
      </c>
      <c r="X1061" s="64">
        <v>282540.5</v>
      </c>
      <c r="Y1061" s="64">
        <v>0</v>
      </c>
      <c r="Z1061" s="64">
        <v>0</v>
      </c>
      <c r="AA1061" s="61">
        <v>44665</v>
      </c>
      <c r="AB1061" s="61">
        <v>44667</v>
      </c>
      <c r="AD1061" s="60">
        <v>0</v>
      </c>
      <c r="AG1061" s="60">
        <v>0</v>
      </c>
      <c r="AJ1061" s="60">
        <v>0</v>
      </c>
      <c r="AM1061" s="60" t="s">
        <v>273</v>
      </c>
      <c r="AN1061" s="60" t="s">
        <v>3207</v>
      </c>
      <c r="AQ1061" s="60" t="s">
        <v>2541</v>
      </c>
      <c r="AR1061" s="61">
        <v>44670</v>
      </c>
      <c r="AS1061" s="60">
        <v>6002017762</v>
      </c>
      <c r="AT1061" s="61">
        <v>44672</v>
      </c>
      <c r="AU1061" s="60" t="s">
        <v>3208</v>
      </c>
      <c r="AV1061" s="61">
        <v>44676</v>
      </c>
      <c r="AW1061" s="91">
        <v>44681</v>
      </c>
      <c r="AX1061" s="91">
        <v>44701</v>
      </c>
      <c r="AY1061" s="99">
        <v>246581</v>
      </c>
      <c r="AZ1061" s="99">
        <f>ROUNDDOWN(AY1061+(AY1061*MASTER!$A$2/100),0)</f>
        <v>271239</v>
      </c>
      <c r="BA1061" s="60" t="s">
        <v>613</v>
      </c>
      <c r="BB1061" s="64">
        <v>119180</v>
      </c>
      <c r="BC1061" s="64">
        <v>131098</v>
      </c>
      <c r="BD1061" s="60" t="s">
        <v>643</v>
      </c>
      <c r="BG1061" s="64">
        <v>0</v>
      </c>
      <c r="BK1061" s="64">
        <v>0</v>
      </c>
      <c r="BS1061" s="64">
        <v>0</v>
      </c>
      <c r="BV1061" s="65">
        <v>282540.5</v>
      </c>
      <c r="BW1061" s="65">
        <v>131098</v>
      </c>
      <c r="BX1061" s="65">
        <v>44663</v>
      </c>
      <c r="BY1061" s="65">
        <v>151442.5</v>
      </c>
      <c r="BZ1061" s="81">
        <v>53.600280313795722</v>
      </c>
    </row>
    <row r="1062" spans="1:89" x14ac:dyDescent="0.15">
      <c r="A1062" s="60">
        <v>2</v>
      </c>
      <c r="B1062" s="61">
        <v>44700</v>
      </c>
      <c r="C1062" s="61">
        <v>44708</v>
      </c>
      <c r="D1062" s="61">
        <v>44718</v>
      </c>
      <c r="E1062" s="61">
        <v>44714</v>
      </c>
      <c r="F1062" s="61">
        <v>44714</v>
      </c>
      <c r="G1062" s="61">
        <v>44707</v>
      </c>
      <c r="H1062" s="61">
        <v>44710</v>
      </c>
      <c r="I1062" s="60" t="s">
        <v>511</v>
      </c>
      <c r="J1062" s="60">
        <v>2</v>
      </c>
      <c r="L1062" s="60">
        <v>0</v>
      </c>
      <c r="M1062" s="61">
        <v>44663</v>
      </c>
      <c r="O1062" s="62" t="s">
        <v>331</v>
      </c>
      <c r="P1062" s="60" t="s">
        <v>26</v>
      </c>
      <c r="Q1062" s="62" t="s">
        <v>136</v>
      </c>
      <c r="R1062" s="62" t="s">
        <v>3424</v>
      </c>
      <c r="S1062" s="63" t="s">
        <v>848</v>
      </c>
      <c r="T1062" s="63" t="s">
        <v>3425</v>
      </c>
      <c r="U1062" s="64">
        <v>143000</v>
      </c>
      <c r="V1062" s="64">
        <v>157300</v>
      </c>
      <c r="W1062" s="64">
        <v>143000</v>
      </c>
      <c r="X1062" s="64">
        <v>157300</v>
      </c>
      <c r="Z1062" s="64">
        <v>0</v>
      </c>
      <c r="AA1062" s="61">
        <v>44703</v>
      </c>
      <c r="AB1062" s="61">
        <v>44707</v>
      </c>
      <c r="AC1062" s="61">
        <v>44707</v>
      </c>
      <c r="AD1062" s="60">
        <v>0</v>
      </c>
      <c r="AG1062" s="60">
        <v>0</v>
      </c>
      <c r="AJ1062" s="60">
        <v>0</v>
      </c>
      <c r="AM1062" s="60" t="s">
        <v>273</v>
      </c>
      <c r="AN1062" s="60" t="s">
        <v>3426</v>
      </c>
      <c r="AQ1062" s="60" t="s">
        <v>3353</v>
      </c>
      <c r="AR1062" s="61">
        <v>44691</v>
      </c>
      <c r="AS1062" s="60">
        <v>6002023733</v>
      </c>
      <c r="AT1062" s="61">
        <v>44691</v>
      </c>
      <c r="AU1062" s="60" t="s">
        <v>3359</v>
      </c>
      <c r="AV1062" s="61">
        <v>44708</v>
      </c>
      <c r="AW1062" s="91">
        <v>44712</v>
      </c>
      <c r="AX1062" s="91">
        <v>44732</v>
      </c>
      <c r="AY1062" s="99">
        <v>137280</v>
      </c>
      <c r="AZ1062" s="99">
        <f>ROUNDDOWN(AY1062+(AY1062*MASTER!$A$2/100),0)</f>
        <v>151008</v>
      </c>
      <c r="BA1062" s="60" t="s">
        <v>319</v>
      </c>
      <c r="BB1062" s="64">
        <v>50000</v>
      </c>
      <c r="BC1062" s="64">
        <v>55000</v>
      </c>
      <c r="BD1062" s="60" t="s">
        <v>3360</v>
      </c>
      <c r="BG1062" s="64">
        <v>0</v>
      </c>
      <c r="BK1062" s="64">
        <v>0</v>
      </c>
      <c r="BS1062" s="64">
        <v>0</v>
      </c>
      <c r="BV1062" s="65">
        <v>157300</v>
      </c>
      <c r="BW1062" s="65">
        <v>55000</v>
      </c>
      <c r="BX1062" s="65">
        <v>44663</v>
      </c>
      <c r="BY1062" s="65">
        <v>102300</v>
      </c>
      <c r="BZ1062" s="81">
        <v>65.034965034965026</v>
      </c>
    </row>
    <row r="1063" spans="1:89" x14ac:dyDescent="0.15">
      <c r="A1063" s="60">
        <v>1</v>
      </c>
      <c r="B1063" s="61">
        <v>44690</v>
      </c>
      <c r="C1063" s="61">
        <v>44694</v>
      </c>
      <c r="F1063" s="61" t="s">
        <v>309</v>
      </c>
      <c r="G1063" s="61">
        <v>44690</v>
      </c>
      <c r="H1063" s="61" t="s">
        <v>309</v>
      </c>
      <c r="J1063" s="60">
        <v>2</v>
      </c>
      <c r="L1063" s="60">
        <v>0</v>
      </c>
      <c r="M1063" s="61">
        <v>44664</v>
      </c>
      <c r="O1063" s="62" t="s">
        <v>331</v>
      </c>
      <c r="P1063" s="60" t="s">
        <v>6</v>
      </c>
      <c r="Q1063" s="62" t="s">
        <v>136</v>
      </c>
      <c r="R1063" s="62" t="s">
        <v>3317</v>
      </c>
      <c r="S1063" s="63" t="s">
        <v>1819</v>
      </c>
      <c r="T1063" s="63" t="s">
        <v>364</v>
      </c>
      <c r="U1063" s="64">
        <v>35000</v>
      </c>
      <c r="V1063" s="64">
        <v>38500</v>
      </c>
      <c r="W1063" s="64">
        <v>35000</v>
      </c>
      <c r="X1063" s="64">
        <v>38500</v>
      </c>
      <c r="Z1063" s="64">
        <v>0</v>
      </c>
      <c r="AA1063" s="61">
        <v>44679</v>
      </c>
      <c r="AB1063" s="61">
        <v>44679</v>
      </c>
      <c r="AD1063" s="60">
        <v>0</v>
      </c>
      <c r="AG1063" s="60">
        <v>0</v>
      </c>
      <c r="AJ1063" s="60">
        <v>0</v>
      </c>
      <c r="AN1063" s="60" t="s">
        <v>309</v>
      </c>
      <c r="AQ1063" s="60" t="s">
        <v>3226</v>
      </c>
      <c r="AR1063" s="61">
        <v>44676</v>
      </c>
      <c r="AS1063" s="60">
        <v>6002019957</v>
      </c>
      <c r="AT1063" s="61">
        <v>44676</v>
      </c>
      <c r="AU1063" s="60" t="s">
        <v>3231</v>
      </c>
      <c r="AV1063" s="61">
        <v>44694</v>
      </c>
      <c r="AW1063" s="91">
        <v>44712</v>
      </c>
      <c r="AX1063" s="91">
        <v>44732</v>
      </c>
      <c r="AY1063" s="99">
        <v>33600</v>
      </c>
      <c r="AZ1063" s="99">
        <f>ROUNDDOWN(AY1063+(AY1063*MASTER!$A$2/100),0)</f>
        <v>36960</v>
      </c>
      <c r="BA1063" s="60" t="s">
        <v>613</v>
      </c>
      <c r="BB1063" s="64">
        <v>32000</v>
      </c>
      <c r="BC1063" s="64">
        <v>35200</v>
      </c>
      <c r="BD1063" s="60" t="s">
        <v>3360</v>
      </c>
      <c r="BG1063" s="64">
        <v>0</v>
      </c>
      <c r="BK1063" s="64">
        <v>0</v>
      </c>
      <c r="BS1063" s="64">
        <v>0</v>
      </c>
      <c r="BV1063" s="65">
        <v>38500</v>
      </c>
      <c r="BW1063" s="65">
        <v>35200</v>
      </c>
      <c r="BX1063" s="65">
        <v>44664</v>
      </c>
      <c r="BY1063" s="65">
        <v>3300</v>
      </c>
      <c r="BZ1063" s="81">
        <v>8.5714285714285712</v>
      </c>
    </row>
    <row r="1064" spans="1:89" x14ac:dyDescent="0.15">
      <c r="A1064" s="60">
        <v>1</v>
      </c>
      <c r="B1064" s="61">
        <v>44672</v>
      </c>
      <c r="C1064" s="61">
        <v>44676</v>
      </c>
      <c r="F1064" s="61" t="s">
        <v>309</v>
      </c>
      <c r="H1064" s="61" t="s">
        <v>309</v>
      </c>
      <c r="J1064" s="60">
        <v>2</v>
      </c>
      <c r="L1064" s="60">
        <v>0</v>
      </c>
      <c r="M1064" s="61">
        <v>44664</v>
      </c>
      <c r="O1064" s="62" t="s">
        <v>331</v>
      </c>
      <c r="P1064" s="60" t="s">
        <v>77</v>
      </c>
      <c r="Q1064" s="62" t="s">
        <v>136</v>
      </c>
      <c r="R1064" s="62" t="s">
        <v>3106</v>
      </c>
      <c r="S1064" s="63" t="s">
        <v>489</v>
      </c>
      <c r="T1064" s="63" t="s">
        <v>490</v>
      </c>
      <c r="U1064" s="64">
        <v>9880</v>
      </c>
      <c r="V1064" s="64">
        <v>10868</v>
      </c>
      <c r="W1064" s="64">
        <v>9880</v>
      </c>
      <c r="X1064" s="64">
        <v>10868</v>
      </c>
      <c r="Y1064" s="64">
        <v>0</v>
      </c>
      <c r="Z1064" s="64">
        <v>0</v>
      </c>
      <c r="AD1064" s="60">
        <v>0</v>
      </c>
      <c r="AG1064" s="60">
        <v>0</v>
      </c>
      <c r="AJ1064" s="60">
        <v>0</v>
      </c>
      <c r="AQ1064" s="60" t="s">
        <v>2680</v>
      </c>
      <c r="AR1064" s="61">
        <v>44664</v>
      </c>
      <c r="AS1064" s="60">
        <v>6002015681</v>
      </c>
      <c r="AT1064" s="61">
        <v>44665</v>
      </c>
      <c r="AU1064" s="60" t="s">
        <v>3381</v>
      </c>
      <c r="AV1064" s="61">
        <v>44676</v>
      </c>
      <c r="AW1064" s="91">
        <v>44681</v>
      </c>
      <c r="AX1064" s="91">
        <v>44701</v>
      </c>
      <c r="AY1064" s="107">
        <v>9880</v>
      </c>
      <c r="AZ1064" s="107">
        <f>ROUNDDOWN(AY1064+(AY1064*MASTER!$A$2/100),0)</f>
        <v>10868</v>
      </c>
      <c r="BC1064" s="64">
        <v>0</v>
      </c>
      <c r="BG1064" s="64">
        <v>0</v>
      </c>
      <c r="BK1064" s="64">
        <v>0</v>
      </c>
      <c r="BS1064" s="64">
        <v>0</v>
      </c>
      <c r="BV1064" s="65">
        <v>10868</v>
      </c>
      <c r="BW1064" s="65">
        <v>0</v>
      </c>
      <c r="BX1064" s="65">
        <v>44664</v>
      </c>
      <c r="BY1064" s="65">
        <v>10868</v>
      </c>
      <c r="BZ1064" s="81">
        <v>100</v>
      </c>
    </row>
    <row r="1065" spans="1:89" x14ac:dyDescent="0.15">
      <c r="A1065" s="60">
        <v>2</v>
      </c>
      <c r="B1065" s="61">
        <v>44690</v>
      </c>
      <c r="C1065" s="61">
        <v>44694</v>
      </c>
      <c r="D1065" s="61">
        <v>44732</v>
      </c>
      <c r="E1065" s="61">
        <v>44699</v>
      </c>
      <c r="F1065" s="61">
        <v>44705</v>
      </c>
      <c r="G1065" s="61">
        <v>44699</v>
      </c>
      <c r="H1065" s="61">
        <v>44701</v>
      </c>
      <c r="I1065" s="60" t="s">
        <v>511</v>
      </c>
      <c r="J1065" s="60">
        <v>1</v>
      </c>
      <c r="L1065" s="60">
        <v>0</v>
      </c>
      <c r="M1065" s="61">
        <v>44665</v>
      </c>
      <c r="O1065" s="62" t="s">
        <v>331</v>
      </c>
      <c r="P1065" s="60" t="s">
        <v>26</v>
      </c>
      <c r="Q1065" s="62" t="s">
        <v>136</v>
      </c>
      <c r="R1065" s="62" t="s">
        <v>3346</v>
      </c>
      <c r="S1065" s="63" t="s">
        <v>2177</v>
      </c>
      <c r="T1065" s="63" t="s">
        <v>667</v>
      </c>
      <c r="U1065" s="64">
        <v>50000</v>
      </c>
      <c r="V1065" s="64">
        <v>55000</v>
      </c>
      <c r="W1065" s="64">
        <v>47000</v>
      </c>
      <c r="X1065" s="64">
        <v>51700</v>
      </c>
      <c r="Y1065" s="64">
        <v>3000</v>
      </c>
      <c r="Z1065" s="64">
        <v>3300</v>
      </c>
      <c r="AA1065" s="61">
        <v>44696</v>
      </c>
      <c r="AB1065" s="61">
        <v>44698</v>
      </c>
      <c r="AC1065" s="61">
        <v>44698</v>
      </c>
      <c r="AD1065" s="60">
        <v>0</v>
      </c>
      <c r="AG1065" s="60">
        <v>0</v>
      </c>
      <c r="AJ1065" s="60">
        <v>0</v>
      </c>
      <c r="AM1065" s="60" t="s">
        <v>273</v>
      </c>
      <c r="AN1065" s="60" t="s">
        <v>3347</v>
      </c>
      <c r="AQ1065" s="60" t="s">
        <v>3200</v>
      </c>
      <c r="AR1065" s="61">
        <v>44672</v>
      </c>
      <c r="AS1065" s="60">
        <v>6002018590</v>
      </c>
      <c r="AT1065" s="61">
        <v>44672</v>
      </c>
      <c r="AU1065" s="60" t="s">
        <v>3203</v>
      </c>
      <c r="AV1065" s="61">
        <v>44694</v>
      </c>
      <c r="AW1065" s="91">
        <v>44712</v>
      </c>
      <c r="AX1065" s="91">
        <v>44732</v>
      </c>
      <c r="AY1065" s="99">
        <v>48000</v>
      </c>
      <c r="AZ1065" s="99">
        <f>ROUNDDOWN(AY1065+(AY1065*MASTER!$A$2/100),0)</f>
        <v>52800</v>
      </c>
      <c r="BA1065" s="60" t="s">
        <v>318</v>
      </c>
      <c r="BB1065" s="64">
        <v>26000</v>
      </c>
      <c r="BC1065" s="64">
        <v>28600</v>
      </c>
      <c r="BD1065" s="60" t="s">
        <v>3360</v>
      </c>
      <c r="BG1065" s="64">
        <v>0</v>
      </c>
      <c r="BI1065" s="60" t="s">
        <v>748</v>
      </c>
      <c r="BJ1065" s="64">
        <v>1950</v>
      </c>
      <c r="BK1065" s="64">
        <v>2145</v>
      </c>
      <c r="BL1065" s="60" t="s">
        <v>3360</v>
      </c>
      <c r="BS1065" s="64">
        <v>0</v>
      </c>
      <c r="BV1065" s="65">
        <v>51700</v>
      </c>
      <c r="BW1065" s="65">
        <v>30745</v>
      </c>
      <c r="BX1065" s="65">
        <v>44665</v>
      </c>
      <c r="BY1065" s="65">
        <v>20955</v>
      </c>
      <c r="BZ1065" s="81">
        <v>40.531914893617021</v>
      </c>
    </row>
    <row r="1066" spans="1:89" x14ac:dyDescent="0.15">
      <c r="A1066" s="60">
        <v>2</v>
      </c>
      <c r="B1066" s="61">
        <v>44673</v>
      </c>
      <c r="C1066" s="61">
        <v>44679</v>
      </c>
      <c r="D1066" s="61" t="s">
        <v>764</v>
      </c>
      <c r="E1066" s="61">
        <v>44681</v>
      </c>
      <c r="F1066" s="61">
        <v>44686</v>
      </c>
      <c r="G1066" s="61">
        <v>44681</v>
      </c>
      <c r="H1066" s="61">
        <v>44682</v>
      </c>
      <c r="I1066" s="60" t="s">
        <v>774</v>
      </c>
      <c r="J1066" s="60">
        <v>1</v>
      </c>
      <c r="L1066" s="60">
        <v>0</v>
      </c>
      <c r="M1066" s="61">
        <v>44665</v>
      </c>
      <c r="O1066" s="62" t="s">
        <v>331</v>
      </c>
      <c r="P1066" s="60" t="s">
        <v>26</v>
      </c>
      <c r="Q1066" s="62" t="s">
        <v>136</v>
      </c>
      <c r="R1066" s="62" t="s">
        <v>3267</v>
      </c>
      <c r="S1066" s="63" t="s">
        <v>3268</v>
      </c>
      <c r="T1066" s="63" t="s">
        <v>3269</v>
      </c>
      <c r="U1066" s="64">
        <v>23900</v>
      </c>
      <c r="V1066" s="64">
        <v>26290</v>
      </c>
      <c r="W1066" s="64">
        <v>14700</v>
      </c>
      <c r="X1066" s="64">
        <v>16170</v>
      </c>
      <c r="Y1066" s="64">
        <v>9200</v>
      </c>
      <c r="Z1066" s="64">
        <v>10120</v>
      </c>
      <c r="AA1066" s="61">
        <v>44678</v>
      </c>
      <c r="AB1066" s="61">
        <v>44679</v>
      </c>
      <c r="AC1066" s="61">
        <v>44679</v>
      </c>
      <c r="AD1066" s="60">
        <v>0</v>
      </c>
      <c r="AG1066" s="60">
        <v>0</v>
      </c>
      <c r="AJ1066" s="60">
        <v>0</v>
      </c>
      <c r="AM1066" s="60" t="s">
        <v>273</v>
      </c>
      <c r="AN1066" s="60" t="s">
        <v>3270</v>
      </c>
      <c r="AQ1066" s="60" t="s">
        <v>3201</v>
      </c>
      <c r="AR1066" s="61">
        <v>44672</v>
      </c>
      <c r="AS1066" s="60">
        <v>6002018590</v>
      </c>
      <c r="AT1066" s="61">
        <v>44672</v>
      </c>
      <c r="AU1066" s="60" t="s">
        <v>3203</v>
      </c>
      <c r="AV1066" s="61">
        <v>44679</v>
      </c>
      <c r="AW1066" s="91">
        <v>44681</v>
      </c>
      <c r="AX1066" s="91">
        <v>44701</v>
      </c>
      <c r="AY1066" s="99">
        <v>22944</v>
      </c>
      <c r="AZ1066" s="99">
        <f>ROUNDDOWN(AY1066+(AY1066*MASTER!$A$2/100),0)</f>
        <v>25238</v>
      </c>
      <c r="BA1066" s="60" t="s">
        <v>765</v>
      </c>
      <c r="BC1066" s="64">
        <v>0</v>
      </c>
      <c r="BG1066" s="64">
        <v>0</v>
      </c>
      <c r="BI1066" s="60" t="s">
        <v>748</v>
      </c>
      <c r="BJ1066" s="64">
        <v>5980</v>
      </c>
      <c r="BK1066" s="64">
        <v>6578</v>
      </c>
      <c r="BL1066" s="60" t="s">
        <v>2916</v>
      </c>
      <c r="BS1066" s="64">
        <v>0</v>
      </c>
      <c r="BV1066" s="65">
        <v>16170</v>
      </c>
      <c r="BW1066" s="65">
        <v>6578</v>
      </c>
      <c r="BX1066" s="65">
        <v>44665</v>
      </c>
      <c r="BY1066" s="65">
        <v>9592</v>
      </c>
      <c r="BZ1066" s="81">
        <v>59.319727891156461</v>
      </c>
    </row>
    <row r="1067" spans="1:89" x14ac:dyDescent="0.15">
      <c r="A1067" s="60">
        <v>2</v>
      </c>
      <c r="B1067" s="61">
        <v>44690</v>
      </c>
      <c r="C1067" s="61">
        <v>44691</v>
      </c>
      <c r="D1067" s="61">
        <v>44681</v>
      </c>
      <c r="F1067" s="61" t="s">
        <v>309</v>
      </c>
      <c r="G1067" s="61">
        <v>44687</v>
      </c>
      <c r="H1067" s="61" t="s">
        <v>309</v>
      </c>
      <c r="I1067" s="60" t="s">
        <v>774</v>
      </c>
      <c r="J1067" s="60">
        <v>2</v>
      </c>
      <c r="L1067" s="60">
        <v>0</v>
      </c>
      <c r="M1067" s="61">
        <v>44666</v>
      </c>
      <c r="O1067" s="62" t="s">
        <v>331</v>
      </c>
      <c r="P1067" s="60" t="s">
        <v>26</v>
      </c>
      <c r="Q1067" s="62" t="s">
        <v>136</v>
      </c>
      <c r="R1067" s="62" t="s">
        <v>3139</v>
      </c>
      <c r="S1067" s="63" t="s">
        <v>2485</v>
      </c>
      <c r="T1067" s="63" t="s">
        <v>3138</v>
      </c>
      <c r="U1067" s="64">
        <v>278000</v>
      </c>
      <c r="V1067" s="64">
        <v>305800</v>
      </c>
      <c r="W1067" s="64">
        <v>278000</v>
      </c>
      <c r="X1067" s="64">
        <v>305800</v>
      </c>
      <c r="Y1067" s="64">
        <v>0</v>
      </c>
      <c r="Z1067" s="64">
        <v>0</v>
      </c>
      <c r="AA1067" s="61">
        <v>44673</v>
      </c>
      <c r="AB1067" s="61">
        <v>44678</v>
      </c>
      <c r="AD1067" s="60">
        <v>0</v>
      </c>
      <c r="AG1067" s="60">
        <v>0</v>
      </c>
      <c r="AJ1067" s="60">
        <v>0</v>
      </c>
      <c r="AM1067" s="60" t="s">
        <v>273</v>
      </c>
      <c r="AN1067" s="60" t="s">
        <v>3302</v>
      </c>
      <c r="AQ1067" s="60" t="s">
        <v>3228</v>
      </c>
      <c r="AR1067" s="61">
        <v>44676</v>
      </c>
      <c r="AS1067" s="60">
        <v>6002019957</v>
      </c>
      <c r="AT1067" s="61">
        <v>44676</v>
      </c>
      <c r="AU1067" s="60" t="s">
        <v>3231</v>
      </c>
      <c r="AV1067" s="61">
        <v>44691</v>
      </c>
      <c r="AW1067" s="91">
        <v>44712</v>
      </c>
      <c r="AX1067" s="91">
        <v>44732</v>
      </c>
      <c r="AY1067" s="99">
        <v>266880</v>
      </c>
      <c r="AZ1067" s="99">
        <f>ROUNDDOWN(AY1067+(AY1067*MASTER!$A$2/100),0)</f>
        <v>293568</v>
      </c>
      <c r="BA1067" s="60" t="s">
        <v>317</v>
      </c>
      <c r="BB1067" s="64">
        <v>78000</v>
      </c>
      <c r="BC1067" s="64">
        <v>85800</v>
      </c>
      <c r="BD1067" s="60" t="s">
        <v>643</v>
      </c>
      <c r="BG1067" s="64">
        <v>0</v>
      </c>
      <c r="BK1067" s="64">
        <v>0</v>
      </c>
      <c r="BS1067" s="64">
        <v>0</v>
      </c>
      <c r="BV1067" s="65">
        <v>305800</v>
      </c>
      <c r="BW1067" s="65">
        <v>85800</v>
      </c>
      <c r="BX1067" s="65">
        <v>44666</v>
      </c>
      <c r="BY1067" s="65">
        <v>220000</v>
      </c>
      <c r="BZ1067" s="81">
        <v>71.942446043165461</v>
      </c>
    </row>
    <row r="1068" spans="1:89" x14ac:dyDescent="0.15">
      <c r="A1068" s="60">
        <v>1</v>
      </c>
      <c r="B1068" s="61">
        <v>44707</v>
      </c>
      <c r="C1068" s="61">
        <v>44708</v>
      </c>
      <c r="F1068" s="61" t="s">
        <v>309</v>
      </c>
      <c r="H1068" s="61" t="s">
        <v>309</v>
      </c>
      <c r="J1068" s="60">
        <v>2</v>
      </c>
      <c r="L1068" s="60">
        <v>0</v>
      </c>
      <c r="M1068" s="61">
        <v>44666</v>
      </c>
      <c r="O1068" s="62" t="s">
        <v>331</v>
      </c>
      <c r="P1068" s="60" t="s">
        <v>26</v>
      </c>
      <c r="Q1068" s="62" t="s">
        <v>136</v>
      </c>
      <c r="R1068" s="62" t="s">
        <v>3464</v>
      </c>
      <c r="S1068" s="63" t="s">
        <v>856</v>
      </c>
      <c r="T1068" s="63" t="s">
        <v>3465</v>
      </c>
      <c r="U1068" s="64">
        <v>35000</v>
      </c>
      <c r="V1068" s="64">
        <v>38500</v>
      </c>
      <c r="W1068" s="64">
        <v>35000</v>
      </c>
      <c r="X1068" s="64">
        <v>38500</v>
      </c>
      <c r="Y1068" s="64">
        <v>0</v>
      </c>
      <c r="Z1068" s="64">
        <v>0</v>
      </c>
      <c r="AA1068" s="61">
        <v>44663</v>
      </c>
      <c r="AB1068" s="61">
        <v>44664</v>
      </c>
      <c r="AD1068" s="60">
        <v>0</v>
      </c>
      <c r="AG1068" s="60">
        <v>0</v>
      </c>
      <c r="AJ1068" s="60">
        <v>0</v>
      </c>
      <c r="AN1068" s="60" t="s">
        <v>309</v>
      </c>
      <c r="AQ1068" s="60" t="s">
        <v>3450</v>
      </c>
      <c r="AR1068" s="61">
        <v>44705</v>
      </c>
      <c r="AS1068" s="60">
        <v>6002030186</v>
      </c>
      <c r="AT1068" s="61">
        <v>44706</v>
      </c>
      <c r="AU1068" s="60" t="s">
        <v>3476</v>
      </c>
      <c r="AV1068" s="61">
        <v>44708</v>
      </c>
      <c r="AW1068" s="91">
        <v>44712</v>
      </c>
      <c r="AX1068" s="91">
        <v>44732</v>
      </c>
      <c r="AY1068" s="107">
        <v>35000</v>
      </c>
      <c r="AZ1068" s="107">
        <f>ROUNDDOWN(AY1068+(AY1068*MASTER!$A$2/100),0)</f>
        <v>38500</v>
      </c>
      <c r="BC1068" s="64">
        <v>0</v>
      </c>
      <c r="BG1068" s="64">
        <v>0</v>
      </c>
      <c r="BK1068" s="64">
        <v>0</v>
      </c>
      <c r="BS1068" s="64">
        <v>0</v>
      </c>
      <c r="BV1068" s="65">
        <v>38500</v>
      </c>
      <c r="BW1068" s="65">
        <v>0</v>
      </c>
      <c r="BX1068" s="65">
        <v>44666</v>
      </c>
      <c r="BY1068" s="65">
        <v>38500</v>
      </c>
      <c r="BZ1068" s="81">
        <v>100</v>
      </c>
    </row>
    <row r="1069" spans="1:89" x14ac:dyDescent="0.15">
      <c r="A1069" s="60">
        <v>2</v>
      </c>
      <c r="B1069" s="61">
        <v>44678</v>
      </c>
      <c r="C1069" s="61">
        <v>44678</v>
      </c>
      <c r="D1069" s="61">
        <v>44673</v>
      </c>
      <c r="E1069" s="61">
        <v>44673</v>
      </c>
      <c r="F1069" s="61" t="s">
        <v>309</v>
      </c>
      <c r="G1069" s="61">
        <v>44673</v>
      </c>
      <c r="H1069" s="61" t="s">
        <v>309</v>
      </c>
      <c r="I1069" s="60" t="s">
        <v>766</v>
      </c>
      <c r="J1069" s="60">
        <v>2</v>
      </c>
      <c r="L1069" s="60">
        <v>0</v>
      </c>
      <c r="M1069" s="61">
        <v>44666</v>
      </c>
      <c r="O1069" s="62" t="s">
        <v>331</v>
      </c>
      <c r="P1069" s="60" t="s">
        <v>6</v>
      </c>
      <c r="Q1069" s="62" t="s">
        <v>136</v>
      </c>
      <c r="R1069" s="62" t="s">
        <v>3221</v>
      </c>
      <c r="S1069" s="63" t="s">
        <v>1969</v>
      </c>
      <c r="T1069" s="63" t="s">
        <v>364</v>
      </c>
      <c r="U1069" s="64">
        <v>51000</v>
      </c>
      <c r="V1069" s="64">
        <v>56100</v>
      </c>
      <c r="W1069" s="64">
        <v>51000</v>
      </c>
      <c r="X1069" s="64">
        <v>56100</v>
      </c>
      <c r="Z1069" s="64">
        <v>0</v>
      </c>
      <c r="AA1069" s="61">
        <v>44673</v>
      </c>
      <c r="AB1069" s="61">
        <v>44673</v>
      </c>
      <c r="AD1069" s="60">
        <v>0</v>
      </c>
      <c r="AG1069" s="60">
        <v>0</v>
      </c>
      <c r="AJ1069" s="60">
        <v>0</v>
      </c>
      <c r="AN1069" s="60" t="s">
        <v>309</v>
      </c>
      <c r="AQ1069" s="60" t="s">
        <v>3225</v>
      </c>
      <c r="AR1069" s="61">
        <v>44676</v>
      </c>
      <c r="AS1069" s="60">
        <v>6002019950</v>
      </c>
      <c r="AT1069" s="61">
        <v>44676</v>
      </c>
      <c r="AU1069" s="60" t="s">
        <v>3232</v>
      </c>
      <c r="AV1069" s="61">
        <v>44678</v>
      </c>
      <c r="AW1069" s="91">
        <v>44681</v>
      </c>
      <c r="AX1069" s="91">
        <v>44701</v>
      </c>
      <c r="AY1069" s="99">
        <v>48960</v>
      </c>
      <c r="AZ1069" s="99">
        <f>ROUNDDOWN(AY1069+(AY1069*MASTER!$A$2/100),0)</f>
        <v>53856</v>
      </c>
      <c r="BA1069" s="60" t="s">
        <v>317</v>
      </c>
      <c r="BB1069" s="64">
        <v>22000</v>
      </c>
      <c r="BC1069" s="64">
        <v>24200</v>
      </c>
      <c r="BD1069" s="60" t="s">
        <v>643</v>
      </c>
      <c r="BG1069" s="64">
        <v>0</v>
      </c>
      <c r="BK1069" s="64">
        <v>0</v>
      </c>
      <c r="BS1069" s="64">
        <v>0</v>
      </c>
      <c r="BV1069" s="65">
        <v>56100</v>
      </c>
      <c r="BW1069" s="65">
        <v>24200</v>
      </c>
      <c r="BX1069" s="65">
        <v>44666</v>
      </c>
      <c r="BY1069" s="65">
        <v>31900</v>
      </c>
      <c r="BZ1069" s="81">
        <v>56.862745098039213</v>
      </c>
    </row>
    <row r="1070" spans="1:89" s="152" customFormat="1" x14ac:dyDescent="0.15">
      <c r="A1070" s="142">
        <v>3</v>
      </c>
      <c r="B1070" s="143"/>
      <c r="C1070" s="143" t="s">
        <v>309</v>
      </c>
      <c r="D1070" s="143"/>
      <c r="E1070" s="143"/>
      <c r="F1070" s="143" t="s">
        <v>309</v>
      </c>
      <c r="G1070" s="143"/>
      <c r="H1070" s="143" t="s">
        <v>309</v>
      </c>
      <c r="I1070" s="142"/>
      <c r="J1070" s="142">
        <v>2</v>
      </c>
      <c r="K1070" s="143"/>
      <c r="L1070" s="142">
        <v>0</v>
      </c>
      <c r="M1070" s="143">
        <v>44669</v>
      </c>
      <c r="N1070" s="143"/>
      <c r="O1070" s="144" t="s">
        <v>331</v>
      </c>
      <c r="P1070" s="142" t="s">
        <v>77</v>
      </c>
      <c r="Q1070" s="144" t="s">
        <v>136</v>
      </c>
      <c r="R1070" s="144" t="s">
        <v>3165</v>
      </c>
      <c r="S1070" s="145" t="s">
        <v>842</v>
      </c>
      <c r="T1070" s="145" t="s">
        <v>346</v>
      </c>
      <c r="U1070" s="146">
        <v>65000</v>
      </c>
      <c r="V1070" s="146">
        <v>71500</v>
      </c>
      <c r="W1070" s="146">
        <v>65000</v>
      </c>
      <c r="X1070" s="146">
        <v>71500</v>
      </c>
      <c r="Y1070" s="146">
        <v>0</v>
      </c>
      <c r="Z1070" s="146">
        <v>0</v>
      </c>
      <c r="AA1070" s="143" t="s">
        <v>643</v>
      </c>
      <c r="AB1070" s="143"/>
      <c r="AC1070" s="143"/>
      <c r="AD1070" s="142">
        <v>0</v>
      </c>
      <c r="AE1070" s="142"/>
      <c r="AF1070" s="142"/>
      <c r="AG1070" s="142">
        <v>0</v>
      </c>
      <c r="AH1070" s="142"/>
      <c r="AI1070" s="142"/>
      <c r="AJ1070" s="142">
        <v>0</v>
      </c>
      <c r="AK1070" s="142"/>
      <c r="AL1070" s="142"/>
      <c r="AM1070" s="142"/>
      <c r="AN1070" s="142"/>
      <c r="AO1070" s="143"/>
      <c r="AP1070" s="142"/>
      <c r="AQ1070" s="142"/>
      <c r="AR1070" s="143"/>
      <c r="AS1070" s="142"/>
      <c r="AT1070" s="143"/>
      <c r="AU1070" s="142"/>
      <c r="AV1070" s="143"/>
      <c r="AW1070" s="147"/>
      <c r="AX1070" s="147"/>
      <c r="AY1070" s="154">
        <v>65000</v>
      </c>
      <c r="AZ1070" s="154">
        <f>ROUNDDOWN(AY1070+(AY1070*MASTER!$A$2/100),0)</f>
        <v>71500</v>
      </c>
      <c r="BA1070" s="142"/>
      <c r="BB1070" s="146"/>
      <c r="BC1070" s="146">
        <v>0</v>
      </c>
      <c r="BD1070" s="142"/>
      <c r="BE1070" s="142"/>
      <c r="BF1070" s="146"/>
      <c r="BG1070" s="146">
        <v>0</v>
      </c>
      <c r="BH1070" s="142"/>
      <c r="BI1070" s="142"/>
      <c r="BJ1070" s="146"/>
      <c r="BK1070" s="146">
        <v>0</v>
      </c>
      <c r="BL1070" s="142"/>
      <c r="BM1070" s="146"/>
      <c r="BN1070" s="146"/>
      <c r="BO1070" s="146"/>
      <c r="BP1070" s="146"/>
      <c r="BQ1070" s="146"/>
      <c r="BR1070" s="146"/>
      <c r="BS1070" s="146">
        <v>0</v>
      </c>
      <c r="BT1070" s="149"/>
      <c r="BU1070" s="149"/>
      <c r="BV1070" s="150">
        <v>71500</v>
      </c>
      <c r="BW1070" s="150">
        <v>0</v>
      </c>
      <c r="BX1070" s="150">
        <v>44669</v>
      </c>
      <c r="BY1070" s="150">
        <v>71500</v>
      </c>
      <c r="BZ1070" s="151">
        <v>100</v>
      </c>
      <c r="CA1070" s="142"/>
      <c r="CB1070" s="142"/>
      <c r="CC1070" s="142"/>
      <c r="CD1070" s="145" t="s">
        <v>3178</v>
      </c>
      <c r="CE1070" s="143"/>
      <c r="CF1070" s="143"/>
      <c r="CG1070" s="143"/>
      <c r="CH1070" s="143"/>
      <c r="CI1070" s="143"/>
      <c r="CJ1070" s="143"/>
      <c r="CK1070" s="146"/>
    </row>
    <row r="1071" spans="1:89" x14ac:dyDescent="0.15">
      <c r="A1071" s="60">
        <v>2</v>
      </c>
      <c r="B1071" s="61">
        <v>44673</v>
      </c>
      <c r="C1071" s="61">
        <v>44676</v>
      </c>
      <c r="D1071" s="61">
        <v>44669</v>
      </c>
      <c r="E1071" s="61">
        <v>44669</v>
      </c>
      <c r="F1071" s="61" t="s">
        <v>309</v>
      </c>
      <c r="G1071" s="61">
        <v>44669</v>
      </c>
      <c r="H1071" s="61" t="s">
        <v>309</v>
      </c>
      <c r="I1071" s="60" t="s">
        <v>494</v>
      </c>
      <c r="J1071" s="60">
        <v>2</v>
      </c>
      <c r="L1071" s="60">
        <v>0</v>
      </c>
      <c r="M1071" s="61">
        <v>44669</v>
      </c>
      <c r="O1071" s="62" t="s">
        <v>331</v>
      </c>
      <c r="P1071" s="60" t="s">
        <v>6</v>
      </c>
      <c r="Q1071" s="62" t="s">
        <v>136</v>
      </c>
      <c r="R1071" s="62" t="s">
        <v>3169</v>
      </c>
      <c r="S1071" s="63" t="s">
        <v>557</v>
      </c>
      <c r="T1071" s="63" t="s">
        <v>364</v>
      </c>
      <c r="U1071" s="64">
        <v>35000</v>
      </c>
      <c r="V1071" s="64">
        <v>38500</v>
      </c>
      <c r="W1071" s="64">
        <v>35000</v>
      </c>
      <c r="X1071" s="64">
        <v>38500</v>
      </c>
      <c r="Z1071" s="64">
        <v>0</v>
      </c>
      <c r="AA1071" s="61">
        <v>44669</v>
      </c>
      <c r="AB1071" s="61">
        <v>44669</v>
      </c>
      <c r="AD1071" s="60">
        <v>0</v>
      </c>
      <c r="AG1071" s="60">
        <v>0</v>
      </c>
      <c r="AJ1071" s="60">
        <v>0</v>
      </c>
      <c r="AN1071" s="60" t="s">
        <v>309</v>
      </c>
      <c r="AQ1071" s="60" t="s">
        <v>3199</v>
      </c>
      <c r="AR1071" s="61">
        <v>44672</v>
      </c>
      <c r="AS1071" s="60">
        <v>6002018590</v>
      </c>
      <c r="AT1071" s="61">
        <v>44672</v>
      </c>
      <c r="AU1071" s="60" t="s">
        <v>3203</v>
      </c>
      <c r="AV1071" s="61">
        <v>44676</v>
      </c>
      <c r="AW1071" s="91">
        <v>44681</v>
      </c>
      <c r="AX1071" s="91">
        <v>44701</v>
      </c>
      <c r="AY1071" s="99">
        <v>33600</v>
      </c>
      <c r="AZ1071" s="99">
        <f>ROUNDDOWN(AY1071+(AY1071*MASTER!$A$2/100),0)</f>
        <v>36960</v>
      </c>
      <c r="BA1071" s="60" t="s">
        <v>799</v>
      </c>
      <c r="BB1071" s="64">
        <v>21000</v>
      </c>
      <c r="BC1071" s="64">
        <v>23100</v>
      </c>
      <c r="BD1071" s="60" t="s">
        <v>2916</v>
      </c>
      <c r="BG1071" s="64">
        <v>0</v>
      </c>
      <c r="BK1071" s="64">
        <v>0</v>
      </c>
      <c r="BS1071" s="64">
        <v>0</v>
      </c>
      <c r="BV1071" s="65">
        <v>38500</v>
      </c>
      <c r="BW1071" s="65">
        <v>23100</v>
      </c>
      <c r="BX1071" s="65">
        <v>44669</v>
      </c>
      <c r="BY1071" s="65">
        <v>15400</v>
      </c>
      <c r="BZ1071" s="81">
        <v>40</v>
      </c>
    </row>
    <row r="1072" spans="1:89" x14ac:dyDescent="0.15">
      <c r="A1072" s="60">
        <v>2</v>
      </c>
      <c r="B1072" s="61">
        <v>44719</v>
      </c>
      <c r="C1072" s="61">
        <v>44742</v>
      </c>
      <c r="D1072" s="61">
        <v>44726</v>
      </c>
      <c r="E1072" s="61">
        <v>44726</v>
      </c>
      <c r="F1072" s="61">
        <v>44733</v>
      </c>
      <c r="G1072" s="61">
        <v>44726</v>
      </c>
      <c r="H1072" s="61">
        <v>44729</v>
      </c>
      <c r="I1072" s="60" t="s">
        <v>774</v>
      </c>
      <c r="J1072" s="60">
        <v>2</v>
      </c>
      <c r="L1072" s="60">
        <v>0</v>
      </c>
      <c r="M1072" s="61">
        <v>44669</v>
      </c>
      <c r="O1072" s="62" t="s">
        <v>331</v>
      </c>
      <c r="P1072" s="60" t="s">
        <v>26</v>
      </c>
      <c r="Q1072" s="62" t="s">
        <v>136</v>
      </c>
      <c r="R1072" s="62" t="s">
        <v>3580</v>
      </c>
      <c r="S1072" s="63" t="s">
        <v>712</v>
      </c>
      <c r="T1072" s="63" t="s">
        <v>656</v>
      </c>
      <c r="U1072" s="64">
        <v>49500</v>
      </c>
      <c r="V1072" s="64">
        <v>54450</v>
      </c>
      <c r="W1072" s="64">
        <v>49500</v>
      </c>
      <c r="X1072" s="64">
        <v>54450</v>
      </c>
      <c r="Z1072" s="64">
        <v>0</v>
      </c>
      <c r="AA1072" s="61">
        <v>44725</v>
      </c>
      <c r="AB1072" s="61">
        <v>44726</v>
      </c>
      <c r="AC1072" s="61">
        <v>44726</v>
      </c>
      <c r="AD1072" s="60">
        <v>0</v>
      </c>
      <c r="AG1072" s="60">
        <v>0</v>
      </c>
      <c r="AJ1072" s="60">
        <v>0</v>
      </c>
      <c r="AN1072" s="60" t="s">
        <v>309</v>
      </c>
      <c r="AQ1072" s="60" t="s">
        <v>3276</v>
      </c>
      <c r="AR1072" s="61">
        <v>44677</v>
      </c>
      <c r="AS1072" s="60">
        <v>6002020567</v>
      </c>
      <c r="AT1072" s="61">
        <v>44677</v>
      </c>
      <c r="AU1072" s="60" t="s">
        <v>3278</v>
      </c>
      <c r="AV1072" s="61">
        <v>44742</v>
      </c>
      <c r="AW1072" s="91">
        <v>44742</v>
      </c>
      <c r="AX1072" s="91">
        <v>44762</v>
      </c>
      <c r="AY1072" s="99">
        <v>47520</v>
      </c>
      <c r="AZ1072" s="99">
        <f>ROUNDDOWN(AY1072+(AY1072*MASTER!$A$2/100),0)</f>
        <v>52272</v>
      </c>
      <c r="BA1072" s="60" t="s">
        <v>317</v>
      </c>
      <c r="BB1072" s="64">
        <v>31000</v>
      </c>
      <c r="BC1072" s="64">
        <v>34100</v>
      </c>
      <c r="BD1072" s="60" t="s">
        <v>3530</v>
      </c>
      <c r="BG1072" s="64">
        <v>0</v>
      </c>
      <c r="BK1072" s="64">
        <v>0</v>
      </c>
      <c r="BS1072" s="64">
        <v>0</v>
      </c>
      <c r="BV1072" s="65">
        <v>54450</v>
      </c>
      <c r="BW1072" s="65">
        <v>34100</v>
      </c>
      <c r="BX1072" s="65">
        <v>44669</v>
      </c>
      <c r="BY1072" s="65">
        <v>20350</v>
      </c>
      <c r="BZ1072" s="81">
        <v>37.373737373737377</v>
      </c>
    </row>
    <row r="1073" spans="1:89" x14ac:dyDescent="0.15">
      <c r="A1073" s="60">
        <v>1</v>
      </c>
      <c r="B1073" s="61">
        <v>44692</v>
      </c>
      <c r="C1073" s="61">
        <v>44694</v>
      </c>
      <c r="F1073" s="61" t="s">
        <v>309</v>
      </c>
      <c r="H1073" s="61" t="s">
        <v>309</v>
      </c>
      <c r="J1073" s="60">
        <v>2</v>
      </c>
      <c r="L1073" s="60">
        <v>0</v>
      </c>
      <c r="M1073" s="61">
        <v>44669</v>
      </c>
      <c r="O1073" s="62" t="s">
        <v>331</v>
      </c>
      <c r="P1073" s="60" t="s">
        <v>6</v>
      </c>
      <c r="Q1073" s="62" t="s">
        <v>136</v>
      </c>
      <c r="R1073" s="62" t="s">
        <v>3380</v>
      </c>
      <c r="S1073" s="63" t="s">
        <v>1993</v>
      </c>
      <c r="T1073" s="63" t="s">
        <v>364</v>
      </c>
      <c r="U1073" s="64">
        <v>16000</v>
      </c>
      <c r="V1073" s="64">
        <v>17600</v>
      </c>
      <c r="W1073" s="64">
        <v>16000</v>
      </c>
      <c r="X1073" s="64">
        <v>17600</v>
      </c>
      <c r="Z1073" s="64">
        <v>0</v>
      </c>
      <c r="AD1073" s="60">
        <v>0</v>
      </c>
      <c r="AG1073" s="60">
        <v>0</v>
      </c>
      <c r="AJ1073" s="60">
        <v>0</v>
      </c>
      <c r="AN1073" s="60" t="s">
        <v>309</v>
      </c>
      <c r="AQ1073" s="60" t="s">
        <v>3329</v>
      </c>
      <c r="AR1073" s="61">
        <v>44687</v>
      </c>
      <c r="AS1073" s="60">
        <v>6002022570</v>
      </c>
      <c r="AT1073" s="61">
        <v>44691</v>
      </c>
      <c r="AU1073" s="60" t="s">
        <v>3355</v>
      </c>
      <c r="AV1073" s="61">
        <v>44694</v>
      </c>
      <c r="AW1073" s="91">
        <v>44712</v>
      </c>
      <c r="AX1073" s="91">
        <v>44732</v>
      </c>
      <c r="AY1073" s="99">
        <v>15360</v>
      </c>
      <c r="AZ1073" s="99">
        <f>ROUNDDOWN(AY1073+(AY1073*MASTER!$A$2/100),0)</f>
        <v>16896</v>
      </c>
      <c r="BC1073" s="64">
        <v>0</v>
      </c>
      <c r="BG1073" s="64">
        <v>0</v>
      </c>
      <c r="BK1073" s="64">
        <v>0</v>
      </c>
      <c r="BS1073" s="64">
        <v>0</v>
      </c>
      <c r="BV1073" s="65">
        <v>17600</v>
      </c>
      <c r="BW1073" s="65">
        <v>0</v>
      </c>
      <c r="BX1073" s="65">
        <v>44669</v>
      </c>
      <c r="BY1073" s="65">
        <v>17600</v>
      </c>
      <c r="BZ1073" s="81">
        <v>100</v>
      </c>
    </row>
    <row r="1074" spans="1:89" x14ac:dyDescent="0.15">
      <c r="A1074" s="60">
        <v>1</v>
      </c>
      <c r="B1074" s="61">
        <v>44673</v>
      </c>
      <c r="C1074" s="61">
        <v>44679</v>
      </c>
      <c r="F1074" s="61" t="s">
        <v>309</v>
      </c>
      <c r="H1074" s="61" t="s">
        <v>309</v>
      </c>
      <c r="J1074" s="60">
        <v>2</v>
      </c>
      <c r="L1074" s="60">
        <v>0</v>
      </c>
      <c r="M1074" s="61">
        <v>44669</v>
      </c>
      <c r="O1074" s="62" t="s">
        <v>331</v>
      </c>
      <c r="P1074" s="60" t="s">
        <v>26</v>
      </c>
      <c r="Q1074" s="62" t="s">
        <v>136</v>
      </c>
      <c r="R1074" s="62" t="s">
        <v>3271</v>
      </c>
      <c r="S1074" s="63" t="s">
        <v>326</v>
      </c>
      <c r="T1074" s="63" t="s">
        <v>3272</v>
      </c>
      <c r="U1074" s="64">
        <v>64000</v>
      </c>
      <c r="V1074" s="64">
        <v>70400</v>
      </c>
      <c r="W1074" s="64">
        <v>64000</v>
      </c>
      <c r="X1074" s="64">
        <v>70400</v>
      </c>
      <c r="Z1074" s="64">
        <v>0</v>
      </c>
      <c r="AA1074" s="61">
        <v>44676</v>
      </c>
      <c r="AB1074" s="61">
        <v>44679</v>
      </c>
      <c r="AD1074" s="60">
        <v>0</v>
      </c>
      <c r="AG1074" s="60">
        <v>0</v>
      </c>
      <c r="AJ1074" s="60">
        <v>0</v>
      </c>
      <c r="AN1074" s="60" t="s">
        <v>309</v>
      </c>
      <c r="AQ1074" s="60" t="s">
        <v>3026</v>
      </c>
      <c r="AR1074" s="61">
        <v>44671</v>
      </c>
      <c r="AS1074" s="60">
        <v>6002018248</v>
      </c>
      <c r="AT1074" s="61">
        <v>44672</v>
      </c>
      <c r="AU1074" s="60" t="s">
        <v>3204</v>
      </c>
      <c r="AV1074" s="61">
        <v>44679</v>
      </c>
      <c r="AW1074" s="91">
        <v>44681</v>
      </c>
      <c r="AX1074" s="91">
        <v>44701</v>
      </c>
      <c r="AY1074" s="107">
        <v>64000</v>
      </c>
      <c r="AZ1074" s="107">
        <v>70400</v>
      </c>
      <c r="BC1074" s="64">
        <v>0</v>
      </c>
      <c r="BG1074" s="64">
        <v>0</v>
      </c>
      <c r="BK1074" s="64">
        <v>0</v>
      </c>
      <c r="BS1074" s="64">
        <v>0</v>
      </c>
      <c r="BV1074" s="65">
        <v>70400</v>
      </c>
      <c r="BW1074" s="65">
        <v>0</v>
      </c>
      <c r="BX1074" s="65">
        <v>44669</v>
      </c>
      <c r="BY1074" s="65">
        <v>70400</v>
      </c>
      <c r="BZ1074" s="81">
        <v>100</v>
      </c>
    </row>
    <row r="1075" spans="1:89" x14ac:dyDescent="0.15">
      <c r="A1075" s="60">
        <v>3</v>
      </c>
      <c r="C1075" s="61" t="s">
        <v>309</v>
      </c>
      <c r="F1075" s="61" t="s">
        <v>309</v>
      </c>
      <c r="H1075" s="61" t="s">
        <v>309</v>
      </c>
      <c r="J1075" s="60">
        <v>2</v>
      </c>
      <c r="L1075" s="60">
        <v>0</v>
      </c>
      <c r="M1075" s="143">
        <v>44671</v>
      </c>
      <c r="N1075" s="143"/>
      <c r="O1075" s="144" t="s">
        <v>335</v>
      </c>
      <c r="P1075" s="142" t="s">
        <v>369</v>
      </c>
      <c r="Q1075" s="144" t="s">
        <v>2989</v>
      </c>
      <c r="R1075" s="144" t="s">
        <v>3181</v>
      </c>
      <c r="S1075" s="145" t="s">
        <v>3166</v>
      </c>
      <c r="T1075" s="145" t="s">
        <v>3182</v>
      </c>
      <c r="U1075" s="146">
        <v>16000</v>
      </c>
      <c r="V1075" s="146">
        <v>17600</v>
      </c>
      <c r="W1075" s="146">
        <v>16000</v>
      </c>
      <c r="X1075" s="146">
        <v>17600</v>
      </c>
      <c r="Y1075" s="146"/>
      <c r="Z1075" s="146">
        <v>0</v>
      </c>
      <c r="AA1075" s="143"/>
      <c r="AB1075" s="143"/>
      <c r="AC1075" s="143"/>
      <c r="AD1075" s="142">
        <v>0</v>
      </c>
      <c r="AE1075" s="142"/>
      <c r="AF1075" s="142"/>
      <c r="AG1075" s="142">
        <v>0</v>
      </c>
      <c r="AH1075" s="142"/>
      <c r="AI1075" s="142"/>
      <c r="AJ1075" s="142">
        <v>0</v>
      </c>
      <c r="AK1075" s="142"/>
      <c r="AL1075" s="142"/>
      <c r="AM1075" s="142"/>
      <c r="AN1075" s="142" t="s">
        <v>309</v>
      </c>
      <c r="AO1075" s="143"/>
      <c r="AP1075" s="142"/>
      <c r="AQ1075" s="142"/>
      <c r="AR1075" s="143"/>
      <c r="AS1075" s="142"/>
      <c r="AT1075" s="143"/>
      <c r="AU1075" s="142"/>
      <c r="AV1075" s="143"/>
      <c r="AW1075" s="147"/>
      <c r="AX1075" s="147"/>
      <c r="AY1075" s="148">
        <f>ROUNDDOWN((0.96*U1075),0)</f>
        <v>15360</v>
      </c>
      <c r="AZ1075" s="148">
        <f>ROUNDDOWN(AY1075+(AY1075*MASTER!$A$2/100),0)</f>
        <v>16896</v>
      </c>
      <c r="BA1075" s="142"/>
      <c r="BB1075" s="146"/>
      <c r="BC1075" s="146">
        <v>0</v>
      </c>
      <c r="BD1075" s="142"/>
      <c r="BE1075" s="142"/>
      <c r="BF1075" s="146"/>
      <c r="BG1075" s="146">
        <v>0</v>
      </c>
      <c r="BH1075" s="142"/>
      <c r="BI1075" s="142"/>
      <c r="BJ1075" s="146"/>
      <c r="BK1075" s="146">
        <v>0</v>
      </c>
      <c r="BL1075" s="142"/>
      <c r="BM1075" s="146"/>
      <c r="BN1075" s="146"/>
      <c r="BO1075" s="146"/>
      <c r="BP1075" s="146"/>
      <c r="BQ1075" s="146"/>
      <c r="BR1075" s="146"/>
      <c r="BS1075" s="146">
        <v>0</v>
      </c>
      <c r="BT1075" s="149"/>
      <c r="BU1075" s="149"/>
      <c r="BV1075" s="150">
        <v>17600</v>
      </c>
      <c r="BW1075" s="150">
        <v>0</v>
      </c>
      <c r="BX1075" s="150">
        <v>44670</v>
      </c>
      <c r="BY1075" s="150">
        <v>17600</v>
      </c>
      <c r="BZ1075" s="151">
        <v>100</v>
      </c>
      <c r="CA1075" s="142"/>
      <c r="CB1075" s="142"/>
      <c r="CC1075" s="142"/>
      <c r="CD1075" s="145"/>
    </row>
    <row r="1076" spans="1:89" x14ac:dyDescent="0.15">
      <c r="A1076" s="60">
        <v>2</v>
      </c>
      <c r="B1076" s="61">
        <v>44697</v>
      </c>
      <c r="C1076" s="61">
        <v>44701</v>
      </c>
      <c r="D1076" s="61">
        <v>44718</v>
      </c>
      <c r="E1076" s="61">
        <v>44699</v>
      </c>
      <c r="F1076" s="61">
        <v>44706</v>
      </c>
      <c r="G1076" s="61">
        <v>44699</v>
      </c>
      <c r="H1076" s="61">
        <v>44702</v>
      </c>
      <c r="I1076" s="60" t="s">
        <v>511</v>
      </c>
      <c r="J1076" s="60">
        <v>1</v>
      </c>
      <c r="L1076" s="60">
        <v>0</v>
      </c>
      <c r="M1076" s="61">
        <v>44671</v>
      </c>
      <c r="O1076" s="62" t="s">
        <v>331</v>
      </c>
      <c r="P1076" s="60" t="s">
        <v>26</v>
      </c>
      <c r="Q1076" s="62" t="s">
        <v>136</v>
      </c>
      <c r="R1076" s="62" t="s">
        <v>3183</v>
      </c>
      <c r="S1076" s="63" t="s">
        <v>623</v>
      </c>
      <c r="T1076" s="63" t="s">
        <v>442</v>
      </c>
      <c r="U1076" s="64">
        <v>59000</v>
      </c>
      <c r="V1076" s="64">
        <v>64900</v>
      </c>
      <c r="W1076" s="64">
        <v>47000</v>
      </c>
      <c r="X1076" s="64">
        <v>51700</v>
      </c>
      <c r="Y1076" s="64">
        <v>12000</v>
      </c>
      <c r="Z1076" s="64">
        <v>13200</v>
      </c>
      <c r="AA1076" s="61">
        <v>44698</v>
      </c>
      <c r="AB1076" s="61">
        <v>44699</v>
      </c>
      <c r="AC1076" s="61">
        <v>44699</v>
      </c>
      <c r="AD1076" s="60">
        <v>0</v>
      </c>
      <c r="AG1076" s="60">
        <v>0</v>
      </c>
      <c r="AJ1076" s="60">
        <v>0</v>
      </c>
      <c r="AM1076" s="60" t="s">
        <v>273</v>
      </c>
      <c r="AN1076" s="60" t="s">
        <v>3390</v>
      </c>
      <c r="AQ1076" s="60" t="s">
        <v>3227</v>
      </c>
      <c r="AR1076" s="61">
        <v>44676</v>
      </c>
      <c r="AS1076" s="60">
        <v>6002019957</v>
      </c>
      <c r="AT1076" s="61">
        <v>44676</v>
      </c>
      <c r="AU1076" s="60" t="s">
        <v>3231</v>
      </c>
      <c r="AV1076" s="61">
        <v>44701</v>
      </c>
      <c r="AW1076" s="91">
        <v>44712</v>
      </c>
      <c r="AX1076" s="91">
        <v>44732</v>
      </c>
      <c r="AY1076" s="99">
        <v>56640</v>
      </c>
      <c r="AZ1076" s="99">
        <f>ROUNDDOWN(AY1076+(AY1076*MASTER!$A$2/100),0)</f>
        <v>62304</v>
      </c>
      <c r="BA1076" s="60" t="s">
        <v>613</v>
      </c>
      <c r="BB1076" s="64">
        <v>23000</v>
      </c>
      <c r="BC1076" s="64">
        <v>25300</v>
      </c>
      <c r="BD1076" s="60" t="s">
        <v>3360</v>
      </c>
      <c r="BG1076" s="64">
        <v>0</v>
      </c>
      <c r="BI1076" s="60" t="s">
        <v>748</v>
      </c>
      <c r="BJ1076" s="64">
        <v>7800</v>
      </c>
      <c r="BK1076" s="64">
        <v>8580</v>
      </c>
      <c r="BL1076" s="60" t="s">
        <v>3360</v>
      </c>
      <c r="BS1076" s="64">
        <v>0</v>
      </c>
      <c r="BV1076" s="65">
        <v>51700</v>
      </c>
      <c r="BW1076" s="65">
        <v>33880</v>
      </c>
      <c r="BX1076" s="65">
        <v>44671</v>
      </c>
      <c r="BY1076" s="65">
        <v>17820</v>
      </c>
      <c r="BZ1076" s="81">
        <v>34.468085106382979</v>
      </c>
    </row>
    <row r="1077" spans="1:89" x14ac:dyDescent="0.15">
      <c r="A1077" s="60">
        <v>2</v>
      </c>
      <c r="B1077" s="61">
        <v>44693</v>
      </c>
      <c r="C1077" s="61">
        <v>44692</v>
      </c>
      <c r="D1077" s="61">
        <v>44718</v>
      </c>
      <c r="E1077" s="61">
        <v>44699</v>
      </c>
      <c r="F1077" s="61" t="s">
        <v>309</v>
      </c>
      <c r="G1077" s="61">
        <v>44694</v>
      </c>
      <c r="H1077" s="61" t="s">
        <v>309</v>
      </c>
      <c r="I1077" s="60" t="s">
        <v>511</v>
      </c>
      <c r="J1077" s="60">
        <v>2</v>
      </c>
      <c r="L1077" s="60">
        <v>0</v>
      </c>
      <c r="M1077" s="61">
        <v>44671</v>
      </c>
      <c r="O1077" s="62" t="s">
        <v>331</v>
      </c>
      <c r="P1077" s="60" t="s">
        <v>26</v>
      </c>
      <c r="Q1077" s="62" t="s">
        <v>136</v>
      </c>
      <c r="R1077" s="62" t="s">
        <v>3184</v>
      </c>
      <c r="S1077" s="63" t="s">
        <v>737</v>
      </c>
      <c r="T1077" s="63" t="s">
        <v>2683</v>
      </c>
      <c r="U1077" s="64">
        <v>203000</v>
      </c>
      <c r="V1077" s="64">
        <v>223300</v>
      </c>
      <c r="W1077" s="64">
        <v>203000</v>
      </c>
      <c r="X1077" s="64">
        <v>223300</v>
      </c>
      <c r="Z1077" s="64">
        <v>0</v>
      </c>
      <c r="AA1077" s="61">
        <v>44692</v>
      </c>
      <c r="AB1077" s="61">
        <v>44692</v>
      </c>
      <c r="AD1077" s="60">
        <v>0</v>
      </c>
      <c r="AG1077" s="60">
        <v>0</v>
      </c>
      <c r="AJ1077" s="60">
        <v>0</v>
      </c>
      <c r="AN1077" s="60" t="s">
        <v>309</v>
      </c>
      <c r="AQ1077" s="60" t="s">
        <v>3291</v>
      </c>
      <c r="AR1077" s="61">
        <v>44679</v>
      </c>
      <c r="AS1077" s="60">
        <v>6002021931</v>
      </c>
      <c r="AT1077" s="61">
        <v>44679</v>
      </c>
      <c r="AU1077" s="60" t="s">
        <v>3293</v>
      </c>
      <c r="AV1077" s="61">
        <v>44692</v>
      </c>
      <c r="AW1077" s="91">
        <v>44712</v>
      </c>
      <c r="AX1077" s="91">
        <v>44732</v>
      </c>
      <c r="AY1077" s="99">
        <v>194880</v>
      </c>
      <c r="AZ1077" s="99">
        <f>ROUNDDOWN(AY1077+(AY1077*MASTER!$A$2/100),0)</f>
        <v>214368</v>
      </c>
      <c r="BA1077" s="60" t="s">
        <v>613</v>
      </c>
      <c r="BB1077" s="64">
        <v>51000</v>
      </c>
      <c r="BC1077" s="64">
        <v>56100</v>
      </c>
      <c r="BD1077" s="60" t="s">
        <v>3360</v>
      </c>
      <c r="BG1077" s="64">
        <v>0</v>
      </c>
      <c r="BK1077" s="64">
        <v>0</v>
      </c>
      <c r="BS1077" s="64">
        <v>0</v>
      </c>
      <c r="BV1077" s="65">
        <v>223300</v>
      </c>
      <c r="BW1077" s="65">
        <v>56100</v>
      </c>
      <c r="BX1077" s="65">
        <v>44671</v>
      </c>
      <c r="BY1077" s="65">
        <v>167200</v>
      </c>
      <c r="BZ1077" s="81">
        <v>74.876847290640399</v>
      </c>
    </row>
    <row r="1078" spans="1:89" x14ac:dyDescent="0.15">
      <c r="A1078" s="60">
        <v>1</v>
      </c>
      <c r="B1078" s="61">
        <v>44697</v>
      </c>
      <c r="C1078" s="61">
        <v>44701</v>
      </c>
      <c r="F1078" s="61" t="s">
        <v>309</v>
      </c>
      <c r="G1078" s="61">
        <v>44692</v>
      </c>
      <c r="H1078" s="61" t="s">
        <v>309</v>
      </c>
      <c r="J1078" s="60">
        <v>2</v>
      </c>
      <c r="L1078" s="60">
        <v>0</v>
      </c>
      <c r="M1078" s="61">
        <v>44671</v>
      </c>
      <c r="O1078" s="62" t="s">
        <v>331</v>
      </c>
      <c r="P1078" s="60" t="s">
        <v>6</v>
      </c>
      <c r="Q1078" s="62" t="s">
        <v>136</v>
      </c>
      <c r="R1078" s="62" t="s">
        <v>3363</v>
      </c>
      <c r="S1078" s="63" t="s">
        <v>1922</v>
      </c>
      <c r="T1078" s="63" t="s">
        <v>2641</v>
      </c>
      <c r="U1078" s="64">
        <v>16000</v>
      </c>
      <c r="V1078" s="64">
        <v>17600</v>
      </c>
      <c r="W1078" s="64">
        <v>16000</v>
      </c>
      <c r="X1078" s="64">
        <v>17600</v>
      </c>
      <c r="Y1078" s="64">
        <v>0</v>
      </c>
      <c r="Z1078" s="64">
        <v>0</v>
      </c>
      <c r="AD1078" s="60">
        <v>0</v>
      </c>
      <c r="AG1078" s="60">
        <v>0</v>
      </c>
      <c r="AJ1078" s="60">
        <v>0</v>
      </c>
      <c r="AN1078" s="60" t="s">
        <v>309</v>
      </c>
      <c r="AQ1078" s="60" t="s">
        <v>3368</v>
      </c>
      <c r="AR1078" s="61">
        <v>44692</v>
      </c>
      <c r="AS1078" s="60">
        <v>6002024328</v>
      </c>
      <c r="AT1078" s="61">
        <v>44694</v>
      </c>
      <c r="AU1078" s="60" t="s">
        <v>3389</v>
      </c>
      <c r="AV1078" s="61">
        <v>44701</v>
      </c>
      <c r="AW1078" s="91">
        <v>44712</v>
      </c>
      <c r="AX1078" s="91">
        <v>44732</v>
      </c>
      <c r="AY1078" s="99">
        <v>15360</v>
      </c>
      <c r="AZ1078" s="99">
        <f>ROUNDDOWN(AY1078+(AY1078*MASTER!$A$2/100),0)</f>
        <v>16896</v>
      </c>
      <c r="BC1078" s="64">
        <v>0</v>
      </c>
      <c r="BG1078" s="64">
        <v>0</v>
      </c>
      <c r="BK1078" s="64">
        <v>0</v>
      </c>
      <c r="BS1078" s="64">
        <v>0</v>
      </c>
      <c r="BV1078" s="65">
        <v>17600</v>
      </c>
      <c r="BW1078" s="65">
        <v>0</v>
      </c>
      <c r="BX1078" s="65">
        <v>44671</v>
      </c>
      <c r="BY1078" s="65">
        <v>17600</v>
      </c>
      <c r="BZ1078" s="81">
        <v>100</v>
      </c>
    </row>
    <row r="1079" spans="1:89" x14ac:dyDescent="0.15">
      <c r="A1079" s="60">
        <v>2</v>
      </c>
      <c r="B1079" s="61">
        <v>44678</v>
      </c>
      <c r="C1079" s="61">
        <v>44678</v>
      </c>
      <c r="D1079" s="61">
        <v>44676</v>
      </c>
      <c r="E1079" s="61">
        <v>44676</v>
      </c>
      <c r="F1079" s="61" t="s">
        <v>309</v>
      </c>
      <c r="G1079" s="61">
        <v>44676</v>
      </c>
      <c r="H1079" s="61" t="s">
        <v>309</v>
      </c>
      <c r="I1079" s="60" t="s">
        <v>766</v>
      </c>
      <c r="J1079" s="60">
        <v>2</v>
      </c>
      <c r="L1079" s="60">
        <v>0</v>
      </c>
      <c r="M1079" s="61">
        <v>44672</v>
      </c>
      <c r="O1079" s="62" t="s">
        <v>331</v>
      </c>
      <c r="P1079" s="60" t="s">
        <v>6</v>
      </c>
      <c r="Q1079" s="62" t="s">
        <v>136</v>
      </c>
      <c r="R1079" s="62" t="s">
        <v>3224</v>
      </c>
      <c r="S1079" s="63" t="s">
        <v>1233</v>
      </c>
      <c r="T1079" s="63" t="s">
        <v>364</v>
      </c>
      <c r="U1079" s="64">
        <v>35000</v>
      </c>
      <c r="V1079" s="64">
        <v>38500</v>
      </c>
      <c r="W1079" s="64">
        <v>35000</v>
      </c>
      <c r="X1079" s="64">
        <v>38500</v>
      </c>
      <c r="Z1079" s="64">
        <v>0</v>
      </c>
      <c r="AA1079" s="61">
        <v>44674</v>
      </c>
      <c r="AB1079" s="61">
        <v>44674</v>
      </c>
      <c r="AD1079" s="60">
        <v>0</v>
      </c>
      <c r="AG1079" s="60">
        <v>0</v>
      </c>
      <c r="AJ1079" s="60">
        <v>0</v>
      </c>
      <c r="AN1079" s="60" t="s">
        <v>309</v>
      </c>
      <c r="AQ1079" s="60" t="s">
        <v>3230</v>
      </c>
      <c r="AR1079" s="61">
        <v>44676</v>
      </c>
      <c r="AS1079" s="60">
        <v>6002020382</v>
      </c>
      <c r="AT1079" s="61">
        <v>44677</v>
      </c>
      <c r="AU1079" s="60" t="s">
        <v>3275</v>
      </c>
      <c r="AV1079" s="61">
        <v>44678</v>
      </c>
      <c r="AW1079" s="91">
        <v>44681</v>
      </c>
      <c r="AX1079" s="91">
        <v>44701</v>
      </c>
      <c r="AY1079" s="99">
        <v>33600</v>
      </c>
      <c r="AZ1079" s="99">
        <f>ROUNDDOWN(AY1079+(AY1079*MASTER!$A$2/100),0)</f>
        <v>36960</v>
      </c>
      <c r="BA1079" s="60" t="s">
        <v>318</v>
      </c>
      <c r="BB1079" s="64">
        <v>44000</v>
      </c>
      <c r="BC1079" s="64">
        <v>48400</v>
      </c>
      <c r="BD1079" s="60" t="s">
        <v>643</v>
      </c>
      <c r="BG1079" s="64">
        <v>0</v>
      </c>
      <c r="BK1079" s="64">
        <v>0</v>
      </c>
      <c r="BS1079" s="64">
        <v>0</v>
      </c>
      <c r="BV1079" s="65">
        <v>38500</v>
      </c>
      <c r="BW1079" s="65">
        <v>48400</v>
      </c>
      <c r="BX1079" s="65">
        <v>44672</v>
      </c>
      <c r="BY1079" s="65">
        <v>-9900</v>
      </c>
      <c r="BZ1079" s="81">
        <v>-25.714285714285712</v>
      </c>
    </row>
    <row r="1080" spans="1:89" x14ac:dyDescent="0.15">
      <c r="A1080" s="60">
        <v>1</v>
      </c>
      <c r="B1080" s="61">
        <v>44673</v>
      </c>
      <c r="C1080" s="61">
        <v>44676</v>
      </c>
      <c r="F1080" s="61" t="s">
        <v>309</v>
      </c>
      <c r="H1080" s="61" t="s">
        <v>309</v>
      </c>
      <c r="J1080" s="60">
        <v>2</v>
      </c>
      <c r="K1080" s="61">
        <v>44671</v>
      </c>
      <c r="L1080" s="60" t="s">
        <v>529</v>
      </c>
      <c r="M1080" s="61">
        <v>44671</v>
      </c>
      <c r="O1080" s="62" t="s">
        <v>331</v>
      </c>
      <c r="P1080" s="60" t="s">
        <v>50</v>
      </c>
      <c r="Q1080" s="62" t="s">
        <v>136</v>
      </c>
      <c r="R1080" s="62" t="s">
        <v>3185</v>
      </c>
      <c r="S1080" s="63" t="s">
        <v>326</v>
      </c>
      <c r="T1080" s="63" t="s">
        <v>3186</v>
      </c>
      <c r="U1080" s="64">
        <v>680000</v>
      </c>
      <c r="V1080" s="64">
        <v>748000</v>
      </c>
      <c r="W1080" s="64">
        <v>680000</v>
      </c>
      <c r="X1080" s="64">
        <v>748000</v>
      </c>
      <c r="Y1080" s="64">
        <v>0</v>
      </c>
      <c r="Z1080" s="64">
        <v>0</v>
      </c>
      <c r="AD1080" s="60">
        <v>0</v>
      </c>
      <c r="AG1080" s="60">
        <v>0</v>
      </c>
      <c r="AJ1080" s="60">
        <v>0</v>
      </c>
      <c r="AQ1080" s="60" t="s">
        <v>3202</v>
      </c>
      <c r="AR1080" s="61">
        <v>44672</v>
      </c>
      <c r="AS1080" s="60">
        <v>6002018590</v>
      </c>
      <c r="AT1080" s="61">
        <v>44672</v>
      </c>
      <c r="AU1080" s="60" t="s">
        <v>3203</v>
      </c>
      <c r="AV1080" s="61">
        <v>44676</v>
      </c>
      <c r="AW1080" s="91">
        <v>44681</v>
      </c>
      <c r="AX1080" s="91">
        <v>44701</v>
      </c>
      <c r="AY1080" s="107">
        <v>680000</v>
      </c>
      <c r="AZ1080" s="107">
        <f>ROUNDDOWN(AY1080+(AY1080*MASTER!$A$2/100),0)</f>
        <v>748000</v>
      </c>
      <c r="BC1080" s="64">
        <v>0</v>
      </c>
      <c r="BG1080" s="64">
        <v>0</v>
      </c>
      <c r="BK1080" s="64">
        <v>0</v>
      </c>
      <c r="BS1080" s="64">
        <v>0</v>
      </c>
      <c r="BV1080" s="65">
        <v>748000</v>
      </c>
      <c r="BW1080" s="65">
        <v>0</v>
      </c>
      <c r="BX1080" s="65">
        <v>0</v>
      </c>
      <c r="BY1080" s="65">
        <v>44671</v>
      </c>
      <c r="BZ1080" s="81">
        <v>100</v>
      </c>
    </row>
    <row r="1081" spans="1:89" x14ac:dyDescent="0.15">
      <c r="A1081" s="142">
        <v>3</v>
      </c>
      <c r="B1081" s="143"/>
      <c r="C1081" s="143" t="s">
        <v>309</v>
      </c>
      <c r="D1081" s="143"/>
      <c r="E1081" s="143"/>
      <c r="F1081" s="143" t="s">
        <v>309</v>
      </c>
      <c r="G1081" s="143"/>
      <c r="H1081" s="143" t="s">
        <v>309</v>
      </c>
      <c r="I1081" s="142"/>
      <c r="J1081" s="142">
        <v>2</v>
      </c>
      <c r="K1081" s="143"/>
      <c r="L1081" s="142">
        <v>0</v>
      </c>
      <c r="M1081" s="143">
        <v>44672</v>
      </c>
      <c r="N1081" s="143"/>
      <c r="O1081" s="144" t="s">
        <v>335</v>
      </c>
      <c r="P1081" s="142" t="s">
        <v>369</v>
      </c>
      <c r="Q1081" s="144" t="s">
        <v>2989</v>
      </c>
      <c r="R1081" s="144" t="s">
        <v>3187</v>
      </c>
      <c r="S1081" s="145" t="s">
        <v>3188</v>
      </c>
      <c r="T1081" s="145" t="s">
        <v>373</v>
      </c>
      <c r="U1081" s="146">
        <v>35000</v>
      </c>
      <c r="V1081" s="146">
        <v>38500</v>
      </c>
      <c r="W1081" s="146">
        <v>35000</v>
      </c>
      <c r="X1081" s="146">
        <v>38500</v>
      </c>
      <c r="Y1081" s="146"/>
      <c r="Z1081" s="146">
        <v>0</v>
      </c>
      <c r="AA1081" s="143"/>
      <c r="AB1081" s="143"/>
      <c r="AC1081" s="143"/>
      <c r="AD1081" s="142">
        <v>0</v>
      </c>
      <c r="AE1081" s="142"/>
      <c r="AF1081" s="142"/>
      <c r="AG1081" s="142">
        <v>0</v>
      </c>
      <c r="AH1081" s="142"/>
      <c r="AI1081" s="142"/>
      <c r="AJ1081" s="142">
        <v>0</v>
      </c>
      <c r="AK1081" s="142"/>
      <c r="AL1081" s="142"/>
      <c r="AM1081" s="142"/>
      <c r="AN1081" s="142" t="s">
        <v>309</v>
      </c>
      <c r="AO1081" s="143"/>
      <c r="AP1081" s="142"/>
      <c r="AQ1081" s="142"/>
      <c r="AR1081" s="143"/>
      <c r="AS1081" s="142"/>
      <c r="AT1081" s="143"/>
      <c r="AU1081" s="142"/>
      <c r="AV1081" s="143"/>
      <c r="AW1081" s="147"/>
      <c r="AX1081" s="147"/>
      <c r="AY1081" s="148">
        <f>ROUNDDOWN((0.96*U1081),0)</f>
        <v>33600</v>
      </c>
      <c r="AZ1081" s="148">
        <f>ROUNDDOWN(AY1081+(AY1081*MASTER!$A$2/100),0)</f>
        <v>36960</v>
      </c>
      <c r="BA1081" s="142"/>
      <c r="BB1081" s="146"/>
      <c r="BC1081" s="146">
        <v>0</v>
      </c>
      <c r="BD1081" s="142"/>
      <c r="BE1081" s="142"/>
      <c r="BF1081" s="146"/>
      <c r="BG1081" s="146">
        <v>0</v>
      </c>
      <c r="BH1081" s="142"/>
      <c r="BI1081" s="142"/>
      <c r="BJ1081" s="146"/>
      <c r="BK1081" s="146">
        <v>0</v>
      </c>
      <c r="BL1081" s="142"/>
      <c r="BM1081" s="146"/>
      <c r="BN1081" s="146"/>
      <c r="BO1081" s="146"/>
      <c r="BP1081" s="146"/>
      <c r="BQ1081" s="146"/>
      <c r="BR1081" s="146"/>
      <c r="BS1081" s="146">
        <v>0</v>
      </c>
      <c r="BT1081" s="149"/>
      <c r="BU1081" s="149"/>
      <c r="BV1081" s="150">
        <v>38500</v>
      </c>
      <c r="BW1081" s="150">
        <v>0</v>
      </c>
      <c r="BX1081" s="150">
        <v>44672</v>
      </c>
      <c r="BY1081" s="150">
        <v>38500</v>
      </c>
      <c r="BZ1081" s="151">
        <v>100</v>
      </c>
      <c r="CA1081" s="142"/>
      <c r="CB1081" s="142"/>
      <c r="CC1081" s="142"/>
      <c r="CD1081" s="145"/>
      <c r="CE1081" s="143"/>
      <c r="CF1081" s="143"/>
      <c r="CG1081" s="143"/>
      <c r="CH1081" s="143"/>
      <c r="CI1081" s="143"/>
      <c r="CJ1081" s="143"/>
      <c r="CK1081" s="146"/>
    </row>
    <row r="1082" spans="1:89" x14ac:dyDescent="0.15">
      <c r="A1082" s="60">
        <v>1</v>
      </c>
      <c r="C1082" s="61" t="s">
        <v>309</v>
      </c>
      <c r="F1082" s="61" t="s">
        <v>309</v>
      </c>
      <c r="H1082" s="61" t="s">
        <v>309</v>
      </c>
      <c r="J1082" s="60">
        <v>4</v>
      </c>
      <c r="L1082" s="60">
        <v>0</v>
      </c>
      <c r="M1082" s="61">
        <v>44672</v>
      </c>
      <c r="O1082" s="62" t="s">
        <v>331</v>
      </c>
      <c r="P1082" s="60" t="s">
        <v>263</v>
      </c>
      <c r="Q1082" s="62" t="s">
        <v>136</v>
      </c>
      <c r="R1082" s="62" t="s">
        <v>3193</v>
      </c>
      <c r="S1082" s="63" t="s">
        <v>326</v>
      </c>
      <c r="T1082" s="63" t="s">
        <v>3195</v>
      </c>
      <c r="U1082" s="64">
        <v>0</v>
      </c>
      <c r="V1082" s="64">
        <v>0</v>
      </c>
      <c r="W1082" s="64">
        <v>0</v>
      </c>
      <c r="X1082" s="64">
        <v>0</v>
      </c>
      <c r="Y1082" s="64">
        <v>0</v>
      </c>
      <c r="Z1082" s="64">
        <v>0</v>
      </c>
      <c r="AD1082" s="60">
        <v>0</v>
      </c>
      <c r="AG1082" s="60">
        <v>0</v>
      </c>
      <c r="AJ1082" s="60">
        <v>0</v>
      </c>
      <c r="AY1082" s="99">
        <v>0</v>
      </c>
      <c r="AZ1082" s="99">
        <f>ROUNDDOWN(AY1082+(AY1082*MASTER!$A$2/100),0)</f>
        <v>0</v>
      </c>
      <c r="BC1082" s="64">
        <v>0</v>
      </c>
      <c r="BG1082" s="64">
        <v>0</v>
      </c>
      <c r="BK1082" s="64">
        <v>0</v>
      </c>
      <c r="BS1082" s="64">
        <v>0</v>
      </c>
      <c r="BV1082" s="65">
        <v>0</v>
      </c>
      <c r="BW1082" s="65">
        <v>0</v>
      </c>
      <c r="BX1082" s="65">
        <v>44672</v>
      </c>
      <c r="BY1082" s="65">
        <v>0</v>
      </c>
      <c r="BZ1082" s="81" t="s">
        <v>309</v>
      </c>
      <c r="CD1082" s="63" t="s">
        <v>3196</v>
      </c>
    </row>
    <row r="1083" spans="1:89" x14ac:dyDescent="0.15">
      <c r="A1083" s="60">
        <v>1</v>
      </c>
      <c r="C1083" s="61" t="s">
        <v>309</v>
      </c>
      <c r="F1083" s="61" t="s">
        <v>309</v>
      </c>
      <c r="H1083" s="61" t="s">
        <v>309</v>
      </c>
      <c r="J1083" s="60">
        <v>4</v>
      </c>
      <c r="L1083" s="60">
        <v>0</v>
      </c>
      <c r="M1083" s="61">
        <v>44672</v>
      </c>
      <c r="O1083" s="62" t="s">
        <v>331</v>
      </c>
      <c r="P1083" s="60" t="s">
        <v>263</v>
      </c>
      <c r="Q1083" s="62" t="s">
        <v>136</v>
      </c>
      <c r="R1083" s="62" t="s">
        <v>3194</v>
      </c>
      <c r="S1083" s="63" t="s">
        <v>326</v>
      </c>
      <c r="T1083" s="63" t="s">
        <v>3198</v>
      </c>
      <c r="U1083" s="64">
        <v>0</v>
      </c>
      <c r="V1083" s="64">
        <v>0</v>
      </c>
      <c r="W1083" s="64">
        <v>0</v>
      </c>
      <c r="X1083" s="64">
        <v>0</v>
      </c>
      <c r="Y1083" s="64">
        <v>0</v>
      </c>
      <c r="Z1083" s="64">
        <v>0</v>
      </c>
      <c r="AD1083" s="60">
        <v>0</v>
      </c>
      <c r="AG1083" s="60">
        <v>0</v>
      </c>
      <c r="AJ1083" s="60">
        <v>0</v>
      </c>
      <c r="AY1083" s="99">
        <v>0</v>
      </c>
      <c r="AZ1083" s="99">
        <f>ROUNDDOWN(AY1083+(AY1083*MASTER!$A$2/100),0)</f>
        <v>0</v>
      </c>
      <c r="BC1083" s="64">
        <v>0</v>
      </c>
      <c r="BG1083" s="64">
        <v>0</v>
      </c>
      <c r="BK1083" s="64">
        <v>0</v>
      </c>
      <c r="BS1083" s="64">
        <v>0</v>
      </c>
      <c r="BV1083" s="65">
        <v>0</v>
      </c>
      <c r="BW1083" s="65">
        <v>0</v>
      </c>
      <c r="BX1083" s="65">
        <v>44672</v>
      </c>
      <c r="BY1083" s="65">
        <v>0</v>
      </c>
      <c r="BZ1083" s="81" t="s">
        <v>309</v>
      </c>
      <c r="CD1083" s="63" t="s">
        <v>3197</v>
      </c>
    </row>
    <row r="1084" spans="1:89" x14ac:dyDescent="0.15">
      <c r="A1084" s="60">
        <v>1</v>
      </c>
      <c r="B1084" s="61">
        <v>44690</v>
      </c>
      <c r="C1084" s="61">
        <v>44694</v>
      </c>
      <c r="F1084" s="61" t="s">
        <v>309</v>
      </c>
      <c r="H1084" s="61" t="s">
        <v>309</v>
      </c>
      <c r="J1084" s="60">
        <v>3</v>
      </c>
      <c r="L1084" s="60">
        <v>0</v>
      </c>
      <c r="M1084" s="61">
        <v>44672</v>
      </c>
      <c r="O1084" s="62" t="s">
        <v>331</v>
      </c>
      <c r="P1084" s="60" t="s">
        <v>6</v>
      </c>
      <c r="Q1084" s="62" t="s">
        <v>136</v>
      </c>
      <c r="R1084" s="62" t="s">
        <v>3343</v>
      </c>
      <c r="S1084" s="63" t="s">
        <v>786</v>
      </c>
      <c r="T1084" s="63" t="s">
        <v>3209</v>
      </c>
      <c r="U1084" s="64">
        <v>3000</v>
      </c>
      <c r="V1084" s="64">
        <v>3300</v>
      </c>
      <c r="X1084" s="64">
        <v>0</v>
      </c>
      <c r="Y1084" s="64">
        <v>3000</v>
      </c>
      <c r="Z1084" s="64">
        <v>3300</v>
      </c>
      <c r="AD1084" s="60">
        <v>0</v>
      </c>
      <c r="AG1084" s="60">
        <v>0</v>
      </c>
      <c r="AJ1084" s="60">
        <v>0</v>
      </c>
      <c r="AN1084" s="60" t="s">
        <v>309</v>
      </c>
      <c r="AQ1084" s="60" t="s">
        <v>3229</v>
      </c>
      <c r="AR1084" s="61">
        <v>44676</v>
      </c>
      <c r="AS1084" s="60">
        <v>6002019957</v>
      </c>
      <c r="AT1084" s="61">
        <v>44676</v>
      </c>
      <c r="AU1084" s="60" t="s">
        <v>3231</v>
      </c>
      <c r="AV1084" s="61">
        <v>44694</v>
      </c>
      <c r="AW1084" s="91">
        <v>44712</v>
      </c>
      <c r="AX1084" s="91">
        <v>44732</v>
      </c>
      <c r="AY1084" s="99">
        <v>2880</v>
      </c>
      <c r="AZ1084" s="99">
        <f>ROUNDDOWN(AY1084+(AY1084*MASTER!$A$2/100),0)</f>
        <v>3168</v>
      </c>
      <c r="BC1084" s="64">
        <v>0</v>
      </c>
      <c r="BG1084" s="64">
        <v>0</v>
      </c>
      <c r="BK1084" s="64">
        <v>0</v>
      </c>
      <c r="BS1084" s="64">
        <v>0</v>
      </c>
      <c r="BV1084" s="65">
        <v>0</v>
      </c>
      <c r="BW1084" s="65">
        <v>0</v>
      </c>
      <c r="BX1084" s="65">
        <v>44672</v>
      </c>
      <c r="BY1084" s="65">
        <v>0</v>
      </c>
      <c r="BZ1084" s="81" t="s">
        <v>309</v>
      </c>
    </row>
    <row r="1085" spans="1:89" x14ac:dyDescent="0.15">
      <c r="A1085" s="60">
        <v>1</v>
      </c>
      <c r="B1085" s="61">
        <v>44693</v>
      </c>
      <c r="C1085" s="61">
        <v>44694</v>
      </c>
      <c r="F1085" s="61" t="s">
        <v>309</v>
      </c>
      <c r="H1085" s="61" t="s">
        <v>309</v>
      </c>
      <c r="J1085" s="60">
        <v>3</v>
      </c>
      <c r="L1085" s="60">
        <v>0</v>
      </c>
      <c r="M1085" s="61">
        <v>44673</v>
      </c>
      <c r="O1085" s="62" t="s">
        <v>331</v>
      </c>
      <c r="P1085" s="60" t="s">
        <v>6</v>
      </c>
      <c r="Q1085" s="62" t="s">
        <v>136</v>
      </c>
      <c r="R1085" s="62" t="s">
        <v>3382</v>
      </c>
      <c r="S1085" s="63" t="s">
        <v>1207</v>
      </c>
      <c r="T1085" s="63" t="s">
        <v>368</v>
      </c>
      <c r="U1085" s="64">
        <v>3000</v>
      </c>
      <c r="V1085" s="64">
        <v>3300</v>
      </c>
      <c r="X1085" s="64">
        <v>0</v>
      </c>
      <c r="Y1085" s="64">
        <v>3000</v>
      </c>
      <c r="Z1085" s="64">
        <v>3300</v>
      </c>
      <c r="AD1085" s="60">
        <v>0</v>
      </c>
      <c r="AG1085" s="60">
        <v>0</v>
      </c>
      <c r="AJ1085" s="60">
        <v>0</v>
      </c>
      <c r="AN1085" s="60" t="s">
        <v>309</v>
      </c>
      <c r="AQ1085" s="60" t="s">
        <v>3292</v>
      </c>
      <c r="AR1085" s="61">
        <v>44679</v>
      </c>
      <c r="AS1085" s="60">
        <v>6002021931</v>
      </c>
      <c r="AT1085" s="61">
        <v>44679</v>
      </c>
      <c r="AU1085" s="60" t="s">
        <v>3293</v>
      </c>
      <c r="AV1085" s="61">
        <v>44694</v>
      </c>
      <c r="AW1085" s="91">
        <v>44712</v>
      </c>
      <c r="AX1085" s="91">
        <v>44732</v>
      </c>
      <c r="AY1085" s="99">
        <v>2880</v>
      </c>
      <c r="AZ1085" s="99">
        <f>ROUNDDOWN(AY1085+(AY1085*MASTER!$A$2/100),0)</f>
        <v>3168</v>
      </c>
      <c r="BC1085" s="64">
        <v>0</v>
      </c>
      <c r="BG1085" s="64">
        <v>0</v>
      </c>
      <c r="BK1085" s="64">
        <v>0</v>
      </c>
      <c r="BS1085" s="64">
        <v>0</v>
      </c>
      <c r="BV1085" s="65">
        <v>0</v>
      </c>
      <c r="BW1085" s="65">
        <v>0</v>
      </c>
      <c r="BX1085" s="65">
        <v>44673</v>
      </c>
      <c r="BY1085" s="65">
        <v>0</v>
      </c>
      <c r="BZ1085" s="81" t="s">
        <v>309</v>
      </c>
    </row>
    <row r="1086" spans="1:89" x14ac:dyDescent="0.15">
      <c r="A1086" s="60">
        <v>2</v>
      </c>
      <c r="B1086" s="61">
        <v>44700</v>
      </c>
      <c r="C1086" s="61">
        <v>44706</v>
      </c>
      <c r="D1086" s="61">
        <v>44718</v>
      </c>
      <c r="F1086" s="61">
        <v>44713</v>
      </c>
      <c r="G1086" s="61">
        <v>44706</v>
      </c>
      <c r="H1086" s="61">
        <v>44709</v>
      </c>
      <c r="I1086" s="60" t="s">
        <v>774</v>
      </c>
      <c r="J1086" s="60">
        <v>1</v>
      </c>
      <c r="L1086" s="60">
        <v>0</v>
      </c>
      <c r="M1086" s="61">
        <v>44673</v>
      </c>
      <c r="O1086" s="62" t="s">
        <v>331</v>
      </c>
      <c r="P1086" s="60" t="s">
        <v>26</v>
      </c>
      <c r="Q1086" s="62" t="s">
        <v>136</v>
      </c>
      <c r="R1086" s="62" t="s">
        <v>3211</v>
      </c>
      <c r="S1086" s="63" t="s">
        <v>813</v>
      </c>
      <c r="T1086" s="63" t="s">
        <v>3210</v>
      </c>
      <c r="U1086" s="64">
        <v>170500</v>
      </c>
      <c r="V1086" s="64">
        <v>187550</v>
      </c>
      <c r="W1086" s="64">
        <v>78000</v>
      </c>
      <c r="X1086" s="64">
        <v>85800</v>
      </c>
      <c r="Y1086" s="64">
        <v>92500</v>
      </c>
      <c r="Z1086" s="64">
        <v>101750</v>
      </c>
      <c r="AA1086" s="61">
        <v>44704</v>
      </c>
      <c r="AB1086" s="61">
        <v>44706</v>
      </c>
      <c r="AC1086" s="61">
        <v>44706</v>
      </c>
      <c r="AD1086" s="60">
        <v>0</v>
      </c>
      <c r="AG1086" s="60">
        <v>0</v>
      </c>
      <c r="AJ1086" s="60">
        <v>0</v>
      </c>
      <c r="AM1086" s="60" t="s">
        <v>273</v>
      </c>
      <c r="AN1086" s="60" t="s">
        <v>3394</v>
      </c>
      <c r="AQ1086" s="60" t="s">
        <v>3354</v>
      </c>
      <c r="AR1086" s="61">
        <v>44691</v>
      </c>
      <c r="AS1086" s="60">
        <v>6002023733</v>
      </c>
      <c r="AT1086" s="61">
        <v>44691</v>
      </c>
      <c r="AU1086" s="60" t="s">
        <v>3359</v>
      </c>
      <c r="AV1086" s="61">
        <v>44706</v>
      </c>
      <c r="AW1086" s="91">
        <v>44712</v>
      </c>
      <c r="AX1086" s="91">
        <v>44732</v>
      </c>
      <c r="AY1086" s="99">
        <v>163680</v>
      </c>
      <c r="AZ1086" s="99">
        <f>ROUNDDOWN(AY1086+(AY1086*MASTER!$A$2/100),0)</f>
        <v>180048</v>
      </c>
      <c r="BA1086" s="60" t="s">
        <v>317</v>
      </c>
      <c r="BB1086" s="64">
        <v>35000</v>
      </c>
      <c r="BC1086" s="64">
        <v>38500</v>
      </c>
      <c r="BD1086" s="60" t="s">
        <v>3360</v>
      </c>
      <c r="BG1086" s="64">
        <v>0</v>
      </c>
      <c r="BI1086" s="60" t="s">
        <v>748</v>
      </c>
      <c r="BJ1086" s="64">
        <v>60125</v>
      </c>
      <c r="BK1086" s="64">
        <v>66137.5</v>
      </c>
      <c r="BL1086" s="60" t="s">
        <v>3360</v>
      </c>
      <c r="BS1086" s="64">
        <v>0</v>
      </c>
      <c r="BV1086" s="65">
        <v>85800</v>
      </c>
      <c r="BW1086" s="65">
        <v>104637.5</v>
      </c>
      <c r="BX1086" s="65">
        <v>44673</v>
      </c>
      <c r="BY1086" s="65">
        <v>-18837.5</v>
      </c>
      <c r="BZ1086" s="81">
        <v>-21.955128205128204</v>
      </c>
    </row>
    <row r="1087" spans="1:89" s="152" customFormat="1" x14ac:dyDescent="0.15">
      <c r="A1087" s="142">
        <v>3</v>
      </c>
      <c r="B1087" s="143"/>
      <c r="C1087" s="143" t="s">
        <v>309</v>
      </c>
      <c r="D1087" s="143"/>
      <c r="E1087" s="143"/>
      <c r="F1087" s="143" t="s">
        <v>309</v>
      </c>
      <c r="G1087" s="143"/>
      <c r="H1087" s="143" t="s">
        <v>309</v>
      </c>
      <c r="I1087" s="142"/>
      <c r="J1087" s="142">
        <v>1</v>
      </c>
      <c r="K1087" s="143"/>
      <c r="L1087" s="142">
        <v>0</v>
      </c>
      <c r="M1087" s="143">
        <v>44673</v>
      </c>
      <c r="N1087" s="143"/>
      <c r="O1087" s="144" t="s">
        <v>331</v>
      </c>
      <c r="P1087" s="142" t="s">
        <v>26</v>
      </c>
      <c r="Q1087" s="144" t="s">
        <v>136</v>
      </c>
      <c r="R1087" s="144" t="s">
        <v>3212</v>
      </c>
      <c r="S1087" s="145" t="s">
        <v>1066</v>
      </c>
      <c r="T1087" s="145" t="s">
        <v>442</v>
      </c>
      <c r="U1087" s="146">
        <v>59000</v>
      </c>
      <c r="V1087" s="146">
        <v>64900</v>
      </c>
      <c r="W1087" s="146">
        <v>47000</v>
      </c>
      <c r="X1087" s="146">
        <v>51700</v>
      </c>
      <c r="Y1087" s="146">
        <v>12000</v>
      </c>
      <c r="Z1087" s="146">
        <v>13200</v>
      </c>
      <c r="AA1087" s="143"/>
      <c r="AB1087" s="143"/>
      <c r="AC1087" s="143"/>
      <c r="AD1087" s="142">
        <v>0</v>
      </c>
      <c r="AE1087" s="142"/>
      <c r="AF1087" s="142"/>
      <c r="AG1087" s="142">
        <v>0</v>
      </c>
      <c r="AH1087" s="142"/>
      <c r="AI1087" s="142"/>
      <c r="AJ1087" s="142">
        <v>0</v>
      </c>
      <c r="AK1087" s="142"/>
      <c r="AL1087" s="142"/>
      <c r="AM1087" s="142" t="s">
        <v>273</v>
      </c>
      <c r="AN1087" s="142" t="s">
        <v>3699</v>
      </c>
      <c r="AO1087" s="143"/>
      <c r="AP1087" s="142"/>
      <c r="AQ1087" s="142"/>
      <c r="AR1087" s="143"/>
      <c r="AS1087" s="142"/>
      <c r="AT1087" s="143"/>
      <c r="AU1087" s="142"/>
      <c r="AV1087" s="143"/>
      <c r="AW1087" s="147"/>
      <c r="AX1087" s="147"/>
      <c r="AY1087" s="148">
        <v>56640</v>
      </c>
      <c r="AZ1087" s="148">
        <f>ROUNDDOWN(AY1087+(AY1087*MASTER!$A$2/100),0)</f>
        <v>62304</v>
      </c>
      <c r="BA1087" s="142"/>
      <c r="BB1087" s="146"/>
      <c r="BC1087" s="146">
        <v>0</v>
      </c>
      <c r="BD1087" s="142"/>
      <c r="BE1087" s="142"/>
      <c r="BF1087" s="146"/>
      <c r="BG1087" s="146">
        <v>0</v>
      </c>
      <c r="BH1087" s="142"/>
      <c r="BI1087" s="142"/>
      <c r="BJ1087" s="146"/>
      <c r="BK1087" s="146">
        <v>0</v>
      </c>
      <c r="BL1087" s="142"/>
      <c r="BM1087" s="146"/>
      <c r="BN1087" s="146"/>
      <c r="BO1087" s="146"/>
      <c r="BP1087" s="146"/>
      <c r="BQ1087" s="146"/>
      <c r="BR1087" s="146"/>
      <c r="BS1087" s="146">
        <v>0</v>
      </c>
      <c r="BT1087" s="149"/>
      <c r="BU1087" s="149"/>
      <c r="BV1087" s="150">
        <v>51700</v>
      </c>
      <c r="BW1087" s="150">
        <v>0</v>
      </c>
      <c r="BX1087" s="150">
        <v>44673</v>
      </c>
      <c r="BY1087" s="150">
        <v>51700</v>
      </c>
      <c r="BZ1087" s="151">
        <v>100</v>
      </c>
      <c r="CA1087" s="142"/>
      <c r="CB1087" s="142"/>
      <c r="CC1087" s="142"/>
      <c r="CD1087" s="145" t="s">
        <v>3700</v>
      </c>
      <c r="CE1087" s="143"/>
      <c r="CF1087" s="143"/>
      <c r="CG1087" s="143"/>
      <c r="CH1087" s="143"/>
      <c r="CI1087" s="143"/>
      <c r="CJ1087" s="143"/>
      <c r="CK1087" s="146"/>
    </row>
    <row r="1088" spans="1:89" s="152" customFormat="1" x14ac:dyDescent="0.15">
      <c r="A1088" s="142">
        <v>3</v>
      </c>
      <c r="B1088" s="143"/>
      <c r="C1088" s="143" t="s">
        <v>309</v>
      </c>
      <c r="D1088" s="143"/>
      <c r="E1088" s="143"/>
      <c r="F1088" s="143" t="s">
        <v>309</v>
      </c>
      <c r="G1088" s="143"/>
      <c r="H1088" s="143" t="s">
        <v>309</v>
      </c>
      <c r="I1088" s="142"/>
      <c r="J1088" s="142">
        <v>1</v>
      </c>
      <c r="K1088" s="143"/>
      <c r="L1088" s="142">
        <v>0</v>
      </c>
      <c r="M1088" s="143">
        <v>44673</v>
      </c>
      <c r="N1088" s="143"/>
      <c r="O1088" s="144" t="s">
        <v>331</v>
      </c>
      <c r="P1088" s="142" t="s">
        <v>26</v>
      </c>
      <c r="Q1088" s="144" t="s">
        <v>136</v>
      </c>
      <c r="R1088" s="144" t="s">
        <v>3213</v>
      </c>
      <c r="S1088" s="145" t="s">
        <v>1071</v>
      </c>
      <c r="T1088" s="145" t="s">
        <v>442</v>
      </c>
      <c r="U1088" s="146">
        <v>59000</v>
      </c>
      <c r="V1088" s="146">
        <v>64900</v>
      </c>
      <c r="W1088" s="146">
        <v>47000</v>
      </c>
      <c r="X1088" s="146">
        <v>51700</v>
      </c>
      <c r="Y1088" s="146">
        <v>12000</v>
      </c>
      <c r="Z1088" s="146">
        <v>13200</v>
      </c>
      <c r="AA1088" s="143"/>
      <c r="AB1088" s="143"/>
      <c r="AC1088" s="143"/>
      <c r="AD1088" s="142"/>
      <c r="AE1088" s="142"/>
      <c r="AF1088" s="142"/>
      <c r="AG1088" s="142"/>
      <c r="AH1088" s="142"/>
      <c r="AI1088" s="142"/>
      <c r="AJ1088" s="142"/>
      <c r="AK1088" s="142"/>
      <c r="AL1088" s="142"/>
      <c r="AM1088" s="142" t="s">
        <v>350</v>
      </c>
      <c r="AN1088" s="142">
        <v>6827</v>
      </c>
      <c r="AO1088" s="143"/>
      <c r="AP1088" s="142"/>
      <c r="AQ1088" s="142"/>
      <c r="AR1088" s="143"/>
      <c r="AS1088" s="142"/>
      <c r="AT1088" s="143"/>
      <c r="AU1088" s="142"/>
      <c r="AV1088" s="143"/>
      <c r="AW1088" s="147"/>
      <c r="AX1088" s="147"/>
      <c r="AY1088" s="148">
        <f>ROUNDDOWN((0.96*U1088),0)</f>
        <v>56640</v>
      </c>
      <c r="AZ1088" s="148">
        <f>ROUNDDOWN(AY1088+(AY1088*MASTER!$A$2/100),0)</f>
        <v>62304</v>
      </c>
      <c r="BA1088" s="142"/>
      <c r="BB1088" s="146"/>
      <c r="BC1088" s="146"/>
      <c r="BD1088" s="142"/>
      <c r="BE1088" s="142"/>
      <c r="BF1088" s="146"/>
      <c r="BG1088" s="146"/>
      <c r="BH1088" s="142"/>
      <c r="BI1088" s="142"/>
      <c r="BJ1088" s="146"/>
      <c r="BK1088" s="146"/>
      <c r="BL1088" s="142"/>
      <c r="BM1088" s="146"/>
      <c r="BN1088" s="146"/>
      <c r="BO1088" s="146"/>
      <c r="BP1088" s="146"/>
      <c r="BQ1088" s="146"/>
      <c r="BR1088" s="146"/>
      <c r="BS1088" s="146"/>
      <c r="BT1088" s="149"/>
      <c r="BU1088" s="149"/>
      <c r="BV1088" s="150"/>
      <c r="BW1088" s="150"/>
      <c r="BX1088" s="150"/>
      <c r="BY1088" s="150"/>
      <c r="BZ1088" s="151"/>
      <c r="CA1088" s="142"/>
      <c r="CB1088" s="142"/>
      <c r="CC1088" s="142"/>
      <c r="CD1088" s="145" t="s">
        <v>3700</v>
      </c>
      <c r="CE1088" s="143"/>
      <c r="CF1088" s="143"/>
      <c r="CG1088" s="143"/>
      <c r="CH1088" s="143"/>
      <c r="CI1088" s="143"/>
      <c r="CJ1088" s="143"/>
      <c r="CK1088" s="146"/>
    </row>
    <row r="1089" spans="1:89" s="152" customFormat="1" x14ac:dyDescent="0.15">
      <c r="A1089" s="142">
        <v>3</v>
      </c>
      <c r="B1089" s="143"/>
      <c r="C1089" s="143" t="s">
        <v>309</v>
      </c>
      <c r="D1089" s="143"/>
      <c r="E1089" s="143"/>
      <c r="F1089" s="143" t="s">
        <v>309</v>
      </c>
      <c r="G1089" s="143"/>
      <c r="H1089" s="143" t="s">
        <v>309</v>
      </c>
      <c r="I1089" s="142"/>
      <c r="J1089" s="142">
        <v>1</v>
      </c>
      <c r="K1089" s="143"/>
      <c r="L1089" s="142">
        <v>0</v>
      </c>
      <c r="M1089" s="143">
        <v>44673</v>
      </c>
      <c r="N1089" s="143"/>
      <c r="O1089" s="144" t="s">
        <v>331</v>
      </c>
      <c r="P1089" s="142" t="s">
        <v>26</v>
      </c>
      <c r="Q1089" s="144" t="s">
        <v>136</v>
      </c>
      <c r="R1089" s="144" t="s">
        <v>3214</v>
      </c>
      <c r="S1089" s="145" t="s">
        <v>3216</v>
      </c>
      <c r="T1089" s="145" t="s">
        <v>442</v>
      </c>
      <c r="U1089" s="146">
        <v>59000</v>
      </c>
      <c r="V1089" s="146">
        <v>64900</v>
      </c>
      <c r="W1089" s="146">
        <v>47000</v>
      </c>
      <c r="X1089" s="146">
        <v>51700</v>
      </c>
      <c r="Y1089" s="146">
        <v>12000</v>
      </c>
      <c r="Z1089" s="146">
        <v>13200</v>
      </c>
      <c r="AA1089" s="143"/>
      <c r="AB1089" s="143"/>
      <c r="AC1089" s="143"/>
      <c r="AD1089" s="142"/>
      <c r="AE1089" s="142"/>
      <c r="AF1089" s="142"/>
      <c r="AG1089" s="142"/>
      <c r="AH1089" s="142"/>
      <c r="AI1089" s="142"/>
      <c r="AJ1089" s="142"/>
      <c r="AK1089" s="142"/>
      <c r="AL1089" s="142"/>
      <c r="AM1089" s="142" t="s">
        <v>350</v>
      </c>
      <c r="AN1089" s="142">
        <v>6828</v>
      </c>
      <c r="AO1089" s="143"/>
      <c r="AP1089" s="142"/>
      <c r="AQ1089" s="142"/>
      <c r="AR1089" s="143"/>
      <c r="AS1089" s="142"/>
      <c r="AT1089" s="143"/>
      <c r="AU1089" s="142"/>
      <c r="AV1089" s="143"/>
      <c r="AW1089" s="147"/>
      <c r="AX1089" s="147"/>
      <c r="AY1089" s="148">
        <f>ROUNDDOWN((0.96*U1089),0)</f>
        <v>56640</v>
      </c>
      <c r="AZ1089" s="148">
        <f>ROUNDDOWN(AY1089+(AY1089*MASTER!$A$2/100),0)</f>
        <v>62304</v>
      </c>
      <c r="BA1089" s="142"/>
      <c r="BB1089" s="146"/>
      <c r="BC1089" s="146"/>
      <c r="BD1089" s="142"/>
      <c r="BE1089" s="142"/>
      <c r="BF1089" s="146"/>
      <c r="BG1089" s="146"/>
      <c r="BH1089" s="142"/>
      <c r="BI1089" s="142"/>
      <c r="BJ1089" s="146"/>
      <c r="BK1089" s="146"/>
      <c r="BL1089" s="142"/>
      <c r="BM1089" s="146"/>
      <c r="BN1089" s="146"/>
      <c r="BO1089" s="146"/>
      <c r="BP1089" s="146"/>
      <c r="BQ1089" s="146"/>
      <c r="BR1089" s="146"/>
      <c r="BS1089" s="146"/>
      <c r="BT1089" s="149"/>
      <c r="BU1089" s="149"/>
      <c r="BV1089" s="150"/>
      <c r="BW1089" s="150"/>
      <c r="BX1089" s="150"/>
      <c r="BY1089" s="150"/>
      <c r="BZ1089" s="151"/>
      <c r="CA1089" s="142"/>
      <c r="CB1089" s="142"/>
      <c r="CC1089" s="142"/>
      <c r="CD1089" s="145" t="s">
        <v>3700</v>
      </c>
      <c r="CE1089" s="143"/>
      <c r="CF1089" s="143"/>
      <c r="CG1089" s="143"/>
      <c r="CH1089" s="143"/>
      <c r="CI1089" s="143"/>
      <c r="CJ1089" s="143"/>
      <c r="CK1089" s="146"/>
    </row>
    <row r="1090" spans="1:89" s="152" customFormat="1" x14ac:dyDescent="0.15">
      <c r="A1090" s="142">
        <v>3</v>
      </c>
      <c r="B1090" s="143"/>
      <c r="C1090" s="143" t="s">
        <v>309</v>
      </c>
      <c r="D1090" s="143"/>
      <c r="E1090" s="143"/>
      <c r="F1090" s="143" t="s">
        <v>309</v>
      </c>
      <c r="G1090" s="143"/>
      <c r="H1090" s="143" t="s">
        <v>309</v>
      </c>
      <c r="I1090" s="142"/>
      <c r="J1090" s="142">
        <v>1</v>
      </c>
      <c r="K1090" s="143"/>
      <c r="L1090" s="142">
        <v>0</v>
      </c>
      <c r="M1090" s="143">
        <v>44673</v>
      </c>
      <c r="N1090" s="143"/>
      <c r="O1090" s="144" t="s">
        <v>331</v>
      </c>
      <c r="P1090" s="142" t="s">
        <v>26</v>
      </c>
      <c r="Q1090" s="144" t="s">
        <v>136</v>
      </c>
      <c r="R1090" s="144" t="s">
        <v>3215</v>
      </c>
      <c r="S1090" s="145" t="s">
        <v>557</v>
      </c>
      <c r="T1090" s="145" t="s">
        <v>442</v>
      </c>
      <c r="U1090" s="146">
        <v>59000</v>
      </c>
      <c r="V1090" s="146">
        <v>64900</v>
      </c>
      <c r="W1090" s="146">
        <v>47000</v>
      </c>
      <c r="X1090" s="146">
        <v>51700</v>
      </c>
      <c r="Y1090" s="146">
        <v>12000</v>
      </c>
      <c r="Z1090" s="146">
        <v>13200</v>
      </c>
      <c r="AA1090" s="143"/>
      <c r="AB1090" s="143"/>
      <c r="AC1090" s="143"/>
      <c r="AD1090" s="142"/>
      <c r="AE1090" s="142"/>
      <c r="AF1090" s="142"/>
      <c r="AG1090" s="142"/>
      <c r="AH1090" s="142"/>
      <c r="AI1090" s="142"/>
      <c r="AJ1090" s="142"/>
      <c r="AK1090" s="142"/>
      <c r="AL1090" s="142"/>
      <c r="AM1090" s="142" t="s">
        <v>350</v>
      </c>
      <c r="AN1090" s="142">
        <v>6829</v>
      </c>
      <c r="AO1090" s="143"/>
      <c r="AP1090" s="142"/>
      <c r="AQ1090" s="142"/>
      <c r="AR1090" s="143"/>
      <c r="AS1090" s="142"/>
      <c r="AT1090" s="143"/>
      <c r="AU1090" s="142"/>
      <c r="AV1090" s="143"/>
      <c r="AW1090" s="147"/>
      <c r="AX1090" s="147"/>
      <c r="AY1090" s="148">
        <f>ROUNDDOWN((0.96*U1090),0)</f>
        <v>56640</v>
      </c>
      <c r="AZ1090" s="148">
        <f>ROUNDDOWN(AY1090+(AY1090*MASTER!$A$2/100),0)</f>
        <v>62304</v>
      </c>
      <c r="BA1090" s="142"/>
      <c r="BB1090" s="146"/>
      <c r="BC1090" s="146"/>
      <c r="BD1090" s="142"/>
      <c r="BE1090" s="142"/>
      <c r="BF1090" s="146"/>
      <c r="BG1090" s="146"/>
      <c r="BH1090" s="142"/>
      <c r="BI1090" s="142"/>
      <c r="BJ1090" s="146"/>
      <c r="BK1090" s="146"/>
      <c r="BL1090" s="142"/>
      <c r="BM1090" s="146"/>
      <c r="BN1090" s="146"/>
      <c r="BO1090" s="146"/>
      <c r="BP1090" s="146"/>
      <c r="BQ1090" s="146"/>
      <c r="BR1090" s="146"/>
      <c r="BS1090" s="146"/>
      <c r="BT1090" s="149"/>
      <c r="BU1090" s="149"/>
      <c r="BV1090" s="150"/>
      <c r="BW1090" s="150"/>
      <c r="BX1090" s="150"/>
      <c r="BY1090" s="150"/>
      <c r="BZ1090" s="151"/>
      <c r="CA1090" s="142"/>
      <c r="CB1090" s="142"/>
      <c r="CC1090" s="142"/>
      <c r="CD1090" s="145" t="s">
        <v>3700</v>
      </c>
      <c r="CE1090" s="143"/>
      <c r="CF1090" s="143"/>
      <c r="CG1090" s="143"/>
      <c r="CH1090" s="143"/>
      <c r="CI1090" s="143"/>
      <c r="CJ1090" s="143"/>
      <c r="CK1090" s="146"/>
    </row>
    <row r="1091" spans="1:89" s="152" customFormat="1" x14ac:dyDescent="0.15">
      <c r="A1091" s="142">
        <v>3</v>
      </c>
      <c r="B1091" s="143"/>
      <c r="C1091" s="143" t="s">
        <v>309</v>
      </c>
      <c r="D1091" s="143"/>
      <c r="E1091" s="143"/>
      <c r="F1091" s="143" t="s">
        <v>309</v>
      </c>
      <c r="G1091" s="143"/>
      <c r="H1091" s="143" t="s">
        <v>309</v>
      </c>
      <c r="I1091" s="142"/>
      <c r="J1091" s="142">
        <v>1</v>
      </c>
      <c r="K1091" s="143"/>
      <c r="L1091" s="142">
        <v>0</v>
      </c>
      <c r="M1091" s="143">
        <v>44673</v>
      </c>
      <c r="N1091" s="143"/>
      <c r="O1091" s="144" t="s">
        <v>331</v>
      </c>
      <c r="P1091" s="142" t="s">
        <v>26</v>
      </c>
      <c r="Q1091" s="144" t="s">
        <v>136</v>
      </c>
      <c r="R1091" s="144" t="s">
        <v>3217</v>
      </c>
      <c r="S1091" s="145" t="s">
        <v>707</v>
      </c>
      <c r="T1091" s="145" t="s">
        <v>442</v>
      </c>
      <c r="U1091" s="146">
        <v>59000</v>
      </c>
      <c r="V1091" s="146">
        <v>64900</v>
      </c>
      <c r="W1091" s="146">
        <v>47000</v>
      </c>
      <c r="X1091" s="146">
        <v>51700</v>
      </c>
      <c r="Y1091" s="146">
        <v>12000</v>
      </c>
      <c r="Z1091" s="146">
        <v>13200</v>
      </c>
      <c r="AA1091" s="143"/>
      <c r="AB1091" s="143"/>
      <c r="AC1091" s="143"/>
      <c r="AD1091" s="142">
        <v>0</v>
      </c>
      <c r="AE1091" s="142"/>
      <c r="AF1091" s="142"/>
      <c r="AG1091" s="142">
        <v>0</v>
      </c>
      <c r="AH1091" s="142"/>
      <c r="AI1091" s="142"/>
      <c r="AJ1091" s="142">
        <v>0</v>
      </c>
      <c r="AK1091" s="142"/>
      <c r="AL1091" s="142"/>
      <c r="AM1091" s="142" t="s">
        <v>273</v>
      </c>
      <c r="AN1091" s="142" t="s">
        <v>3218</v>
      </c>
      <c r="AO1091" s="143"/>
      <c r="AP1091" s="142"/>
      <c r="AQ1091" s="142"/>
      <c r="AR1091" s="143"/>
      <c r="AS1091" s="142"/>
      <c r="AT1091" s="143"/>
      <c r="AU1091" s="142"/>
      <c r="AV1091" s="143"/>
      <c r="AW1091" s="147"/>
      <c r="AX1091" s="147"/>
      <c r="AY1091" s="148">
        <f>ROUNDDOWN((0.96*U1091),0)</f>
        <v>56640</v>
      </c>
      <c r="AZ1091" s="148">
        <f>ROUNDDOWN(AY1091+(AY1091*MASTER!$A$2/100),0)</f>
        <v>62304</v>
      </c>
      <c r="BA1091" s="142"/>
      <c r="BB1091" s="146"/>
      <c r="BC1091" s="146">
        <v>0</v>
      </c>
      <c r="BD1091" s="142"/>
      <c r="BE1091" s="142"/>
      <c r="BF1091" s="146"/>
      <c r="BG1091" s="146">
        <v>0</v>
      </c>
      <c r="BH1091" s="142"/>
      <c r="BI1091" s="142"/>
      <c r="BJ1091" s="146"/>
      <c r="BK1091" s="146">
        <v>0</v>
      </c>
      <c r="BL1091" s="142"/>
      <c r="BM1091" s="146"/>
      <c r="BN1091" s="146"/>
      <c r="BO1091" s="146"/>
      <c r="BP1091" s="146"/>
      <c r="BQ1091" s="146"/>
      <c r="BR1091" s="146"/>
      <c r="BS1091" s="146">
        <v>0</v>
      </c>
      <c r="BT1091" s="149"/>
      <c r="BU1091" s="149"/>
      <c r="BV1091" s="150">
        <v>51700</v>
      </c>
      <c r="BW1091" s="150">
        <v>0</v>
      </c>
      <c r="BX1091" s="150">
        <v>44673</v>
      </c>
      <c r="BY1091" s="150">
        <v>51700</v>
      </c>
      <c r="BZ1091" s="151">
        <v>100</v>
      </c>
      <c r="CA1091" s="142"/>
      <c r="CB1091" s="142"/>
      <c r="CC1091" s="142"/>
      <c r="CD1091" s="145" t="s">
        <v>3700</v>
      </c>
      <c r="CE1091" s="143"/>
      <c r="CF1091" s="143"/>
      <c r="CG1091" s="143"/>
      <c r="CH1091" s="143"/>
      <c r="CI1091" s="143"/>
      <c r="CJ1091" s="143"/>
      <c r="CK1091" s="146"/>
    </row>
    <row r="1092" spans="1:89" s="152" customFormat="1" x14ac:dyDescent="0.15">
      <c r="A1092" s="142">
        <v>3</v>
      </c>
      <c r="B1092" s="143"/>
      <c r="C1092" s="143" t="s">
        <v>309</v>
      </c>
      <c r="D1092" s="143"/>
      <c r="E1092" s="143"/>
      <c r="F1092" s="143" t="s">
        <v>309</v>
      </c>
      <c r="G1092" s="143"/>
      <c r="H1092" s="143" t="s">
        <v>309</v>
      </c>
      <c r="I1092" s="142"/>
      <c r="J1092" s="142">
        <v>1</v>
      </c>
      <c r="K1092" s="143"/>
      <c r="L1092" s="142">
        <v>0</v>
      </c>
      <c r="M1092" s="143">
        <v>44673</v>
      </c>
      <c r="N1092" s="143"/>
      <c r="O1092" s="144" t="s">
        <v>331</v>
      </c>
      <c r="P1092" s="142" t="s">
        <v>26</v>
      </c>
      <c r="Q1092" s="144" t="s">
        <v>136</v>
      </c>
      <c r="R1092" s="144" t="s">
        <v>3219</v>
      </c>
      <c r="S1092" s="145" t="s">
        <v>1073</v>
      </c>
      <c r="T1092" s="145" t="s">
        <v>442</v>
      </c>
      <c r="U1092" s="146">
        <v>59000</v>
      </c>
      <c r="V1092" s="146">
        <v>64900</v>
      </c>
      <c r="W1092" s="146">
        <v>47000</v>
      </c>
      <c r="X1092" s="146">
        <v>51700</v>
      </c>
      <c r="Y1092" s="146">
        <v>12000</v>
      </c>
      <c r="Z1092" s="146">
        <v>13200</v>
      </c>
      <c r="AA1092" s="143"/>
      <c r="AB1092" s="143"/>
      <c r="AC1092" s="143"/>
      <c r="AD1092" s="142">
        <v>0</v>
      </c>
      <c r="AE1092" s="142"/>
      <c r="AF1092" s="142"/>
      <c r="AG1092" s="142">
        <v>0</v>
      </c>
      <c r="AH1092" s="142"/>
      <c r="AI1092" s="142"/>
      <c r="AJ1092" s="142">
        <v>0</v>
      </c>
      <c r="AK1092" s="142"/>
      <c r="AL1092" s="142"/>
      <c r="AM1092" s="142" t="s">
        <v>273</v>
      </c>
      <c r="AN1092" s="142" t="s">
        <v>3220</v>
      </c>
      <c r="AO1092" s="143"/>
      <c r="AP1092" s="142"/>
      <c r="AQ1092" s="142"/>
      <c r="AR1092" s="143"/>
      <c r="AS1092" s="142"/>
      <c r="AT1092" s="143"/>
      <c r="AU1092" s="142"/>
      <c r="AV1092" s="143"/>
      <c r="AW1092" s="147"/>
      <c r="AX1092" s="147"/>
      <c r="AY1092" s="148">
        <f>ROUNDDOWN((0.96*U1092),0)</f>
        <v>56640</v>
      </c>
      <c r="AZ1092" s="148">
        <f>ROUNDDOWN(AY1092+(AY1092*MASTER!$A$2/100),0)</f>
        <v>62304</v>
      </c>
      <c r="BA1092" s="142"/>
      <c r="BB1092" s="146"/>
      <c r="BC1092" s="146">
        <v>0</v>
      </c>
      <c r="BD1092" s="142"/>
      <c r="BE1092" s="142"/>
      <c r="BF1092" s="146"/>
      <c r="BG1092" s="146">
        <v>0</v>
      </c>
      <c r="BH1092" s="142"/>
      <c r="BI1092" s="142"/>
      <c r="BJ1092" s="146"/>
      <c r="BK1092" s="146">
        <v>0</v>
      </c>
      <c r="BL1092" s="142"/>
      <c r="BM1092" s="146"/>
      <c r="BN1092" s="146"/>
      <c r="BO1092" s="146"/>
      <c r="BP1092" s="146"/>
      <c r="BQ1092" s="146"/>
      <c r="BR1092" s="146"/>
      <c r="BS1092" s="146">
        <v>0</v>
      </c>
      <c r="BT1092" s="149"/>
      <c r="BU1092" s="149"/>
      <c r="BV1092" s="150">
        <v>51700</v>
      </c>
      <c r="BW1092" s="150">
        <v>0</v>
      </c>
      <c r="BX1092" s="150">
        <v>44673</v>
      </c>
      <c r="BY1092" s="150">
        <v>51700</v>
      </c>
      <c r="BZ1092" s="151">
        <v>100</v>
      </c>
      <c r="CA1092" s="142"/>
      <c r="CB1092" s="142"/>
      <c r="CC1092" s="142"/>
      <c r="CD1092" s="145" t="s">
        <v>3700</v>
      </c>
      <c r="CE1092" s="143"/>
      <c r="CF1092" s="143"/>
      <c r="CG1092" s="143"/>
      <c r="CH1092" s="143"/>
      <c r="CI1092" s="143"/>
      <c r="CJ1092" s="143"/>
      <c r="CK1092" s="146"/>
    </row>
    <row r="1093" spans="1:89" x14ac:dyDescent="0.15">
      <c r="A1093" s="60">
        <v>2</v>
      </c>
      <c r="B1093" s="61">
        <v>44693</v>
      </c>
      <c r="C1093" s="61">
        <v>44694</v>
      </c>
      <c r="D1093" s="61">
        <v>44677</v>
      </c>
      <c r="E1093" s="61">
        <v>44677</v>
      </c>
      <c r="F1093" s="61" t="s">
        <v>309</v>
      </c>
      <c r="G1093" s="61">
        <v>44677</v>
      </c>
      <c r="H1093" s="61" t="s">
        <v>309</v>
      </c>
      <c r="I1093" s="60" t="s">
        <v>766</v>
      </c>
      <c r="J1093" s="60">
        <v>2</v>
      </c>
      <c r="L1093" s="60">
        <v>0</v>
      </c>
      <c r="M1093" s="61">
        <v>44673</v>
      </c>
      <c r="O1093" s="62" t="s">
        <v>331</v>
      </c>
      <c r="P1093" s="60" t="s">
        <v>6</v>
      </c>
      <c r="Q1093" s="62" t="s">
        <v>136</v>
      </c>
      <c r="R1093" s="62" t="s">
        <v>3274</v>
      </c>
      <c r="S1093" s="63" t="s">
        <v>1129</v>
      </c>
      <c r="T1093" s="63" t="s">
        <v>364</v>
      </c>
      <c r="U1093" s="64">
        <v>51000</v>
      </c>
      <c r="V1093" s="64">
        <v>56100</v>
      </c>
      <c r="W1093" s="64">
        <v>51000</v>
      </c>
      <c r="X1093" s="64">
        <v>56100</v>
      </c>
      <c r="Z1093" s="64">
        <v>0</v>
      </c>
      <c r="AA1093" s="61">
        <v>44676</v>
      </c>
      <c r="AB1093" s="61">
        <v>44676</v>
      </c>
      <c r="AD1093" s="60">
        <v>0</v>
      </c>
      <c r="AG1093" s="60">
        <v>0</v>
      </c>
      <c r="AJ1093" s="60">
        <v>0</v>
      </c>
      <c r="AN1093" s="60" t="s">
        <v>309</v>
      </c>
      <c r="AQ1093" s="60" t="s">
        <v>3290</v>
      </c>
      <c r="AR1093" s="61">
        <v>44679</v>
      </c>
      <c r="AS1093" s="60">
        <v>6002021931</v>
      </c>
      <c r="AT1093" s="61">
        <v>44679</v>
      </c>
      <c r="AU1093" s="60" t="s">
        <v>3293</v>
      </c>
      <c r="AV1093" s="61">
        <v>44694</v>
      </c>
      <c r="AW1093" s="91">
        <v>44712</v>
      </c>
      <c r="AX1093" s="91">
        <v>44732</v>
      </c>
      <c r="AY1093" s="99">
        <v>48960</v>
      </c>
      <c r="AZ1093" s="99">
        <f>ROUNDDOWN(AY1093+(AY1093*MASTER!$A$2/100),0)</f>
        <v>53856</v>
      </c>
      <c r="BA1093" s="60" t="s">
        <v>317</v>
      </c>
      <c r="BB1093" s="64">
        <v>24000</v>
      </c>
      <c r="BC1093" s="64">
        <v>26400</v>
      </c>
      <c r="BD1093" s="60" t="s">
        <v>643</v>
      </c>
      <c r="BG1093" s="64">
        <v>0</v>
      </c>
      <c r="BK1093" s="64">
        <v>0</v>
      </c>
      <c r="BS1093" s="64">
        <v>0</v>
      </c>
      <c r="BV1093" s="65">
        <v>56100</v>
      </c>
      <c r="BW1093" s="65">
        <v>26400</v>
      </c>
      <c r="BX1093" s="65">
        <v>44673</v>
      </c>
      <c r="BY1093" s="65">
        <v>29700</v>
      </c>
      <c r="BZ1093" s="81">
        <v>52.941176470588239</v>
      </c>
    </row>
    <row r="1094" spans="1:89" x14ac:dyDescent="0.15">
      <c r="A1094" s="60">
        <v>1</v>
      </c>
      <c r="B1094" s="61">
        <v>44722</v>
      </c>
      <c r="C1094" s="61">
        <v>44742</v>
      </c>
      <c r="F1094" s="61" t="s">
        <v>309</v>
      </c>
      <c r="H1094" s="61" t="s">
        <v>309</v>
      </c>
      <c r="J1094" s="60">
        <v>3</v>
      </c>
      <c r="L1094" s="60">
        <v>0</v>
      </c>
      <c r="M1094" s="61">
        <v>44673</v>
      </c>
      <c r="O1094" s="62" t="s">
        <v>331</v>
      </c>
      <c r="P1094" s="60" t="s">
        <v>6</v>
      </c>
      <c r="Q1094" s="62" t="s">
        <v>136</v>
      </c>
      <c r="R1094" s="62" t="s">
        <v>3590</v>
      </c>
      <c r="S1094" s="63" t="s">
        <v>1988</v>
      </c>
      <c r="T1094" s="63" t="s">
        <v>463</v>
      </c>
      <c r="U1094" s="64">
        <v>9000</v>
      </c>
      <c r="V1094" s="64">
        <v>9900</v>
      </c>
      <c r="X1094" s="64">
        <v>0</v>
      </c>
      <c r="Y1094" s="64">
        <v>9000</v>
      </c>
      <c r="Z1094" s="64">
        <v>9900</v>
      </c>
      <c r="AD1094" s="60">
        <v>0</v>
      </c>
      <c r="AG1094" s="60">
        <v>0</v>
      </c>
      <c r="AJ1094" s="60">
        <v>0</v>
      </c>
      <c r="AN1094" s="60" t="s">
        <v>309</v>
      </c>
      <c r="AQ1094" s="60" t="s">
        <v>3332</v>
      </c>
      <c r="AR1094" s="61">
        <v>44687</v>
      </c>
      <c r="AS1094" s="60">
        <v>6002022570</v>
      </c>
      <c r="AT1094" s="61">
        <v>44691</v>
      </c>
      <c r="AU1094" s="60" t="s">
        <v>3355</v>
      </c>
      <c r="AV1094" s="61">
        <v>44742</v>
      </c>
      <c r="AW1094" s="91">
        <v>44742</v>
      </c>
      <c r="AX1094" s="91">
        <v>44762</v>
      </c>
      <c r="AY1094" s="99">
        <v>8640</v>
      </c>
      <c r="AZ1094" s="99">
        <f>ROUNDDOWN(AY1094+(AY1094*MASTER!$A$2/100),0)</f>
        <v>9504</v>
      </c>
      <c r="BC1094" s="64">
        <v>0</v>
      </c>
      <c r="BG1094" s="64">
        <v>0</v>
      </c>
      <c r="BK1094" s="64">
        <v>0</v>
      </c>
      <c r="BS1094" s="64">
        <v>0</v>
      </c>
      <c r="BV1094" s="65">
        <v>0</v>
      </c>
      <c r="BW1094" s="65">
        <v>0</v>
      </c>
      <c r="BX1094" s="65">
        <v>44673</v>
      </c>
      <c r="BY1094" s="65">
        <v>0</v>
      </c>
      <c r="BZ1094" s="81" t="s">
        <v>309</v>
      </c>
    </row>
    <row r="1095" spans="1:89" x14ac:dyDescent="0.15">
      <c r="A1095" s="60">
        <v>2</v>
      </c>
      <c r="B1095" s="61">
        <v>44690</v>
      </c>
      <c r="C1095" s="61">
        <v>44701</v>
      </c>
      <c r="D1095" s="61">
        <v>44718</v>
      </c>
      <c r="F1095" s="61" t="s">
        <v>309</v>
      </c>
      <c r="G1095" s="61">
        <v>44711</v>
      </c>
      <c r="H1095" s="61" t="s">
        <v>309</v>
      </c>
      <c r="I1095" s="60" t="s">
        <v>511</v>
      </c>
      <c r="J1095" s="60">
        <v>2</v>
      </c>
      <c r="L1095" s="60">
        <v>0</v>
      </c>
      <c r="M1095" s="61">
        <v>44676</v>
      </c>
      <c r="O1095" s="62" t="s">
        <v>331</v>
      </c>
      <c r="P1095" s="60" t="s">
        <v>26</v>
      </c>
      <c r="Q1095" s="62" t="s">
        <v>136</v>
      </c>
      <c r="R1095" s="62" t="s">
        <v>3348</v>
      </c>
      <c r="S1095" s="63" t="s">
        <v>342</v>
      </c>
      <c r="T1095" s="63" t="s">
        <v>3301</v>
      </c>
      <c r="U1095" s="64">
        <v>138000</v>
      </c>
      <c r="V1095" s="64">
        <v>151800</v>
      </c>
      <c r="W1095" s="64">
        <v>138000</v>
      </c>
      <c r="X1095" s="64">
        <v>151800</v>
      </c>
      <c r="Z1095" s="64">
        <v>0</v>
      </c>
      <c r="AA1095" s="61">
        <v>44708</v>
      </c>
      <c r="AB1095" s="61">
        <v>44708</v>
      </c>
      <c r="AD1095" s="60">
        <v>0</v>
      </c>
      <c r="AG1095" s="60">
        <v>0</v>
      </c>
      <c r="AJ1095" s="60">
        <v>0</v>
      </c>
      <c r="AN1095" s="60" t="s">
        <v>309</v>
      </c>
      <c r="AQ1095" s="60" t="s">
        <v>3285</v>
      </c>
      <c r="AR1095" s="61">
        <v>44678</v>
      </c>
      <c r="AS1095" s="60">
        <v>6002021598</v>
      </c>
      <c r="AT1095" s="61">
        <v>44679</v>
      </c>
      <c r="AU1095" s="60" t="s">
        <v>3289</v>
      </c>
      <c r="AV1095" s="61">
        <v>44701</v>
      </c>
      <c r="AW1095" s="91">
        <v>44712</v>
      </c>
      <c r="AX1095" s="91">
        <v>44732</v>
      </c>
      <c r="AY1095" s="99">
        <v>132480</v>
      </c>
      <c r="AZ1095" s="99">
        <f>ROUNDDOWN(AY1095+(AY1095*MASTER!$A$2/100),0)</f>
        <v>145728</v>
      </c>
      <c r="BA1095" s="60" t="s">
        <v>613</v>
      </c>
      <c r="BB1095" s="64">
        <v>24000</v>
      </c>
      <c r="BC1095" s="64">
        <v>26400</v>
      </c>
      <c r="BD1095" s="60" t="s">
        <v>3360</v>
      </c>
      <c r="BG1095" s="64">
        <v>0</v>
      </c>
      <c r="BK1095" s="64">
        <v>0</v>
      </c>
      <c r="BS1095" s="64">
        <v>0</v>
      </c>
      <c r="BV1095" s="65">
        <v>151800</v>
      </c>
      <c r="BW1095" s="65">
        <v>26400</v>
      </c>
      <c r="BX1095" s="65">
        <v>44676</v>
      </c>
      <c r="BY1095" s="65">
        <v>125400</v>
      </c>
      <c r="BZ1095" s="81">
        <v>82.608695652173907</v>
      </c>
    </row>
    <row r="1096" spans="1:89" x14ac:dyDescent="0.15">
      <c r="A1096" s="60">
        <v>2</v>
      </c>
      <c r="B1096" s="61">
        <v>44690</v>
      </c>
      <c r="C1096" s="61">
        <v>44701</v>
      </c>
      <c r="D1096" s="61">
        <v>44718</v>
      </c>
      <c r="F1096" s="61" t="s">
        <v>309</v>
      </c>
      <c r="G1096" s="61">
        <v>44704</v>
      </c>
      <c r="H1096" s="61" t="s">
        <v>309</v>
      </c>
      <c r="J1096" s="60">
        <v>2</v>
      </c>
      <c r="L1096" s="60">
        <v>0</v>
      </c>
      <c r="M1096" s="61">
        <v>44676</v>
      </c>
      <c r="O1096" s="62" t="s">
        <v>331</v>
      </c>
      <c r="P1096" s="60" t="s">
        <v>26</v>
      </c>
      <c r="Q1096" s="62" t="s">
        <v>136</v>
      </c>
      <c r="R1096" s="62" t="s">
        <v>3349</v>
      </c>
      <c r="S1096" s="63" t="s">
        <v>801</v>
      </c>
      <c r="T1096" s="63" t="s">
        <v>3222</v>
      </c>
      <c r="U1096" s="64">
        <v>138000</v>
      </c>
      <c r="V1096" s="64">
        <v>151800</v>
      </c>
      <c r="W1096" s="64">
        <v>138000</v>
      </c>
      <c r="X1096" s="64">
        <v>151800</v>
      </c>
      <c r="Z1096" s="64">
        <v>0</v>
      </c>
      <c r="AD1096" s="60">
        <v>0</v>
      </c>
      <c r="AG1096" s="60">
        <v>0</v>
      </c>
      <c r="AJ1096" s="60">
        <v>0</v>
      </c>
      <c r="AN1096" s="60" t="s">
        <v>309</v>
      </c>
      <c r="AQ1096" s="60" t="s">
        <v>3286</v>
      </c>
      <c r="AR1096" s="61">
        <v>44678</v>
      </c>
      <c r="AS1096" s="60">
        <v>6002021598</v>
      </c>
      <c r="AT1096" s="61">
        <v>44679</v>
      </c>
      <c r="AU1096" s="60" t="s">
        <v>3289</v>
      </c>
      <c r="AV1096" s="61">
        <v>44701</v>
      </c>
      <c r="AW1096" s="91">
        <v>44712</v>
      </c>
      <c r="AX1096" s="91">
        <v>44732</v>
      </c>
      <c r="AY1096" s="99">
        <v>132480</v>
      </c>
      <c r="AZ1096" s="99">
        <f>ROUNDDOWN(AY1096+(AY1096*MASTER!$A$2/100),0)</f>
        <v>145728</v>
      </c>
      <c r="BC1096" s="64">
        <v>0</v>
      </c>
      <c r="BG1096" s="64">
        <v>0</v>
      </c>
      <c r="BK1096" s="64">
        <v>0</v>
      </c>
      <c r="BS1096" s="64">
        <v>0</v>
      </c>
      <c r="BV1096" s="65">
        <v>151800</v>
      </c>
      <c r="BW1096" s="65">
        <v>0</v>
      </c>
      <c r="BX1096" s="65">
        <v>44676</v>
      </c>
      <c r="BY1096" s="65">
        <v>151800</v>
      </c>
      <c r="BZ1096" s="81">
        <v>100</v>
      </c>
    </row>
    <row r="1097" spans="1:89" x14ac:dyDescent="0.15">
      <c r="A1097" s="60">
        <v>2</v>
      </c>
      <c r="B1097" s="61">
        <v>44690</v>
      </c>
      <c r="C1097" s="61">
        <v>44701</v>
      </c>
      <c r="D1097" s="61">
        <v>44697</v>
      </c>
      <c r="F1097" s="61" t="s">
        <v>309</v>
      </c>
      <c r="G1097" s="61">
        <v>44697</v>
      </c>
      <c r="H1097" s="61" t="s">
        <v>309</v>
      </c>
      <c r="I1097" s="60" t="s">
        <v>774</v>
      </c>
      <c r="J1097" s="60">
        <v>2</v>
      </c>
      <c r="L1097" s="60">
        <v>0</v>
      </c>
      <c r="M1097" s="61">
        <v>44676</v>
      </c>
      <c r="O1097" s="62" t="s">
        <v>331</v>
      </c>
      <c r="P1097" s="60" t="s">
        <v>26</v>
      </c>
      <c r="Q1097" s="62" t="s">
        <v>136</v>
      </c>
      <c r="R1097" s="62" t="s">
        <v>3223</v>
      </c>
      <c r="S1097" s="63" t="s">
        <v>2485</v>
      </c>
      <c r="T1097" s="63" t="s">
        <v>3222</v>
      </c>
      <c r="U1097" s="64">
        <v>138000</v>
      </c>
      <c r="V1097" s="64">
        <v>151800</v>
      </c>
      <c r="W1097" s="64">
        <v>138000</v>
      </c>
      <c r="X1097" s="64">
        <v>151800</v>
      </c>
      <c r="Z1097" s="64">
        <v>0</v>
      </c>
      <c r="AA1097" s="61">
        <v>44671</v>
      </c>
      <c r="AB1097" s="61">
        <v>44690</v>
      </c>
      <c r="AD1097" s="60">
        <v>0</v>
      </c>
      <c r="AG1097" s="60">
        <v>0</v>
      </c>
      <c r="AJ1097" s="60">
        <v>0</v>
      </c>
      <c r="AN1097" s="60" t="s">
        <v>309</v>
      </c>
      <c r="AQ1097" s="60" t="s">
        <v>3287</v>
      </c>
      <c r="AR1097" s="61">
        <v>44678</v>
      </c>
      <c r="AS1097" s="60">
        <v>6002021598</v>
      </c>
      <c r="AT1097" s="61">
        <v>44679</v>
      </c>
      <c r="AU1097" s="60" t="s">
        <v>3289</v>
      </c>
      <c r="AV1097" s="61">
        <v>44701</v>
      </c>
      <c r="AW1097" s="91">
        <v>44712</v>
      </c>
      <c r="AX1097" s="91">
        <v>44732</v>
      </c>
      <c r="AY1097" s="99">
        <v>132480</v>
      </c>
      <c r="AZ1097" s="99">
        <f>ROUNDDOWN(AY1097+(AY1097*MASTER!$A$2/100),0)</f>
        <v>145728</v>
      </c>
      <c r="BA1097" s="60" t="s">
        <v>765</v>
      </c>
      <c r="BC1097" s="64">
        <v>0</v>
      </c>
      <c r="BG1097" s="64">
        <v>0</v>
      </c>
      <c r="BK1097" s="64">
        <v>0</v>
      </c>
      <c r="BS1097" s="64">
        <v>0</v>
      </c>
      <c r="BV1097" s="65">
        <v>151800</v>
      </c>
      <c r="BW1097" s="65">
        <v>0</v>
      </c>
      <c r="BX1097" s="65">
        <v>44676</v>
      </c>
      <c r="BY1097" s="65">
        <v>151800</v>
      </c>
      <c r="BZ1097" s="81">
        <v>100</v>
      </c>
    </row>
    <row r="1098" spans="1:89" x14ac:dyDescent="0.15">
      <c r="A1098" s="60">
        <v>2</v>
      </c>
      <c r="B1098" s="61">
        <v>44690</v>
      </c>
      <c r="C1098" s="61">
        <v>44701</v>
      </c>
      <c r="D1098" s="61">
        <v>44687</v>
      </c>
      <c r="F1098" s="61" t="s">
        <v>309</v>
      </c>
      <c r="G1098" s="61">
        <v>44687</v>
      </c>
      <c r="H1098" s="61" t="s">
        <v>309</v>
      </c>
      <c r="I1098" s="60" t="s">
        <v>774</v>
      </c>
      <c r="J1098" s="60">
        <v>2</v>
      </c>
      <c r="L1098" s="60">
        <v>0</v>
      </c>
      <c r="M1098" s="61">
        <v>44676</v>
      </c>
      <c r="O1098" s="62" t="s">
        <v>331</v>
      </c>
      <c r="P1098" s="60" t="s">
        <v>26</v>
      </c>
      <c r="Q1098" s="62" t="s">
        <v>136</v>
      </c>
      <c r="R1098" s="62" t="s">
        <v>3300</v>
      </c>
      <c r="S1098" s="63" t="s">
        <v>1647</v>
      </c>
      <c r="T1098" s="63" t="s">
        <v>3301</v>
      </c>
      <c r="U1098" s="64">
        <v>138000</v>
      </c>
      <c r="V1098" s="64">
        <v>151800</v>
      </c>
      <c r="W1098" s="64">
        <v>138000</v>
      </c>
      <c r="X1098" s="64">
        <v>151800</v>
      </c>
      <c r="Z1098" s="64">
        <v>0</v>
      </c>
      <c r="AA1098" s="61">
        <v>44665</v>
      </c>
      <c r="AB1098" s="61">
        <v>44677</v>
      </c>
      <c r="AD1098" s="60">
        <v>0</v>
      </c>
      <c r="AG1098" s="60">
        <v>0</v>
      </c>
      <c r="AJ1098" s="60">
        <v>0</v>
      </c>
      <c r="AN1098" s="60" t="s">
        <v>309</v>
      </c>
      <c r="AQ1098" s="60" t="s">
        <v>3284</v>
      </c>
      <c r="AR1098" s="61">
        <v>44678</v>
      </c>
      <c r="AS1098" s="60">
        <v>6002021598</v>
      </c>
      <c r="AT1098" s="61">
        <v>44679</v>
      </c>
      <c r="AU1098" s="60" t="s">
        <v>3289</v>
      </c>
      <c r="AV1098" s="61">
        <v>44701</v>
      </c>
      <c r="AW1098" s="91">
        <v>44712</v>
      </c>
      <c r="AX1098" s="91">
        <v>44732</v>
      </c>
      <c r="AY1098" s="99">
        <v>132480</v>
      </c>
      <c r="AZ1098" s="99">
        <f>ROUNDDOWN(AY1098+(AY1098*MASTER!$A$2/100),0)</f>
        <v>145728</v>
      </c>
      <c r="BA1098" s="60" t="s">
        <v>314</v>
      </c>
      <c r="BB1098" s="64">
        <v>27500</v>
      </c>
      <c r="BC1098" s="64">
        <v>30250</v>
      </c>
      <c r="BD1098" s="60" t="s">
        <v>643</v>
      </c>
      <c r="BG1098" s="64">
        <v>0</v>
      </c>
      <c r="BK1098" s="64">
        <v>0</v>
      </c>
      <c r="BS1098" s="64">
        <v>0</v>
      </c>
      <c r="BV1098" s="65">
        <v>151800</v>
      </c>
      <c r="BW1098" s="65">
        <v>30250</v>
      </c>
      <c r="BX1098" s="65">
        <v>44676</v>
      </c>
      <c r="BY1098" s="65">
        <v>121550</v>
      </c>
      <c r="BZ1098" s="81">
        <v>80.072463768115938</v>
      </c>
    </row>
    <row r="1099" spans="1:89" x14ac:dyDescent="0.15">
      <c r="A1099" s="60">
        <v>1</v>
      </c>
      <c r="B1099" s="61">
        <v>44692</v>
      </c>
      <c r="C1099" s="61">
        <v>44694</v>
      </c>
      <c r="F1099" s="61" t="s">
        <v>309</v>
      </c>
      <c r="H1099" s="61" t="s">
        <v>309</v>
      </c>
      <c r="J1099" s="60">
        <v>3</v>
      </c>
      <c r="L1099" s="60">
        <v>0</v>
      </c>
      <c r="M1099" s="61">
        <v>44676</v>
      </c>
      <c r="O1099" s="62" t="s">
        <v>331</v>
      </c>
      <c r="P1099" s="60" t="s">
        <v>6</v>
      </c>
      <c r="Q1099" s="62" t="s">
        <v>136</v>
      </c>
      <c r="R1099" s="62" t="s">
        <v>3379</v>
      </c>
      <c r="S1099" s="63" t="s">
        <v>1207</v>
      </c>
      <c r="T1099" s="63" t="s">
        <v>385</v>
      </c>
      <c r="U1099" s="64">
        <v>15000</v>
      </c>
      <c r="V1099" s="64">
        <v>16500</v>
      </c>
      <c r="X1099" s="64">
        <v>0</v>
      </c>
      <c r="Y1099" s="64">
        <v>15000</v>
      </c>
      <c r="Z1099" s="64">
        <v>16500</v>
      </c>
      <c r="AD1099" s="60">
        <v>0</v>
      </c>
      <c r="AG1099" s="60">
        <v>0</v>
      </c>
      <c r="AJ1099" s="60">
        <v>0</v>
      </c>
      <c r="AN1099" s="60" t="s">
        <v>309</v>
      </c>
      <c r="AQ1099" s="60" t="s">
        <v>3327</v>
      </c>
      <c r="AR1099" s="61">
        <v>44687</v>
      </c>
      <c r="AS1099" s="60">
        <v>6002022570</v>
      </c>
      <c r="AT1099" s="61">
        <v>44691</v>
      </c>
      <c r="AU1099" s="60" t="s">
        <v>3355</v>
      </c>
      <c r="AV1099" s="61">
        <v>44694</v>
      </c>
      <c r="AW1099" s="91">
        <v>44712</v>
      </c>
      <c r="AX1099" s="91">
        <v>44732</v>
      </c>
      <c r="AY1099" s="99">
        <v>14400</v>
      </c>
      <c r="AZ1099" s="99">
        <f>ROUNDDOWN(AY1099+(AY1099*MASTER!$A$2/100),0)</f>
        <v>15840</v>
      </c>
      <c r="BC1099" s="64">
        <v>0</v>
      </c>
      <c r="BG1099" s="64">
        <v>0</v>
      </c>
      <c r="BK1099" s="64">
        <v>0</v>
      </c>
      <c r="BS1099" s="64">
        <v>0</v>
      </c>
      <c r="BV1099" s="65">
        <v>0</v>
      </c>
      <c r="BW1099" s="65">
        <v>0</v>
      </c>
      <c r="BX1099" s="65">
        <v>44676</v>
      </c>
      <c r="BY1099" s="65">
        <v>0</v>
      </c>
      <c r="BZ1099" s="81" t="s">
        <v>309</v>
      </c>
    </row>
    <row r="1100" spans="1:89" x14ac:dyDescent="0.15">
      <c r="A1100" s="60">
        <v>1</v>
      </c>
      <c r="B1100" s="61">
        <v>44722</v>
      </c>
      <c r="C1100" s="61">
        <v>44742</v>
      </c>
      <c r="F1100" s="61" t="s">
        <v>309</v>
      </c>
      <c r="H1100" s="61" t="s">
        <v>309</v>
      </c>
      <c r="J1100" s="60">
        <v>3</v>
      </c>
      <c r="L1100" s="60">
        <v>0</v>
      </c>
      <c r="M1100" s="61">
        <v>44676</v>
      </c>
      <c r="O1100" s="62" t="s">
        <v>331</v>
      </c>
      <c r="P1100" s="60" t="s">
        <v>6</v>
      </c>
      <c r="Q1100" s="62" t="s">
        <v>136</v>
      </c>
      <c r="R1100" s="62" t="s">
        <v>3589</v>
      </c>
      <c r="S1100" s="63" t="s">
        <v>786</v>
      </c>
      <c r="T1100" s="63" t="s">
        <v>463</v>
      </c>
      <c r="U1100" s="64">
        <v>9000</v>
      </c>
      <c r="V1100" s="64">
        <v>9900</v>
      </c>
      <c r="X1100" s="64">
        <v>0</v>
      </c>
      <c r="Y1100" s="64">
        <v>9000</v>
      </c>
      <c r="Z1100" s="64">
        <v>9900</v>
      </c>
      <c r="AD1100" s="60">
        <v>0</v>
      </c>
      <c r="AG1100" s="60">
        <v>0</v>
      </c>
      <c r="AJ1100" s="60">
        <v>0</v>
      </c>
      <c r="AN1100" s="60" t="s">
        <v>309</v>
      </c>
      <c r="AQ1100" s="60" t="s">
        <v>3331</v>
      </c>
      <c r="AR1100" s="61">
        <v>44687</v>
      </c>
      <c r="AS1100" s="60">
        <v>6002022570</v>
      </c>
      <c r="AT1100" s="61">
        <v>44691</v>
      </c>
      <c r="AU1100" s="60" t="s">
        <v>3355</v>
      </c>
      <c r="AV1100" s="61">
        <v>44742</v>
      </c>
      <c r="AW1100" s="91">
        <v>44742</v>
      </c>
      <c r="AX1100" s="91">
        <v>44762</v>
      </c>
      <c r="AY1100" s="99">
        <v>8640</v>
      </c>
      <c r="AZ1100" s="99">
        <f>ROUNDDOWN(AY1100+(AY1100*MASTER!$A$2/100),0)</f>
        <v>9504</v>
      </c>
      <c r="BC1100" s="64">
        <v>0</v>
      </c>
      <c r="BG1100" s="64">
        <v>0</v>
      </c>
      <c r="BK1100" s="64">
        <v>0</v>
      </c>
      <c r="BS1100" s="64">
        <v>0</v>
      </c>
      <c r="BV1100" s="65">
        <v>0</v>
      </c>
      <c r="BW1100" s="65">
        <v>0</v>
      </c>
      <c r="BX1100" s="65">
        <v>44676</v>
      </c>
      <c r="BY1100" s="65">
        <v>0</v>
      </c>
      <c r="BZ1100" s="81" t="s">
        <v>309</v>
      </c>
    </row>
    <row r="1101" spans="1:89" x14ac:dyDescent="0.15">
      <c r="A1101" s="60">
        <v>2</v>
      </c>
      <c r="B1101" s="61">
        <v>44697</v>
      </c>
      <c r="C1101" s="61">
        <v>44701</v>
      </c>
      <c r="D1101" s="61">
        <v>44718</v>
      </c>
      <c r="F1101" s="61">
        <v>44712</v>
      </c>
      <c r="G1101" s="61">
        <v>44706</v>
      </c>
      <c r="H1101" s="61">
        <v>44708</v>
      </c>
      <c r="I1101" s="60" t="s">
        <v>774</v>
      </c>
      <c r="J1101" s="60">
        <v>1</v>
      </c>
      <c r="L1101" s="60">
        <v>0</v>
      </c>
      <c r="M1101" s="61">
        <v>44677</v>
      </c>
      <c r="O1101" s="62" t="s">
        <v>331</v>
      </c>
      <c r="P1101" s="60" t="s">
        <v>26</v>
      </c>
      <c r="Q1101" s="62" t="s">
        <v>136</v>
      </c>
      <c r="R1101" s="62" t="s">
        <v>3391</v>
      </c>
      <c r="S1101" s="63" t="s">
        <v>712</v>
      </c>
      <c r="T1101" s="63" t="s">
        <v>1001</v>
      </c>
      <c r="U1101" s="64">
        <v>56000</v>
      </c>
      <c r="V1101" s="64">
        <v>61600</v>
      </c>
      <c r="W1101" s="64">
        <v>47000</v>
      </c>
      <c r="X1101" s="64">
        <v>51700</v>
      </c>
      <c r="Y1101" s="64">
        <v>9000</v>
      </c>
      <c r="Z1101" s="64">
        <v>9900</v>
      </c>
      <c r="AA1101" s="61">
        <v>44704</v>
      </c>
      <c r="AB1101" s="61">
        <v>44705</v>
      </c>
      <c r="AC1101" s="61">
        <v>44705</v>
      </c>
      <c r="AD1101" s="60">
        <v>0</v>
      </c>
      <c r="AG1101" s="60">
        <v>0</v>
      </c>
      <c r="AJ1101" s="60">
        <v>0</v>
      </c>
      <c r="AN1101" s="60" t="s">
        <v>309</v>
      </c>
      <c r="AQ1101" s="60" t="s">
        <v>3328</v>
      </c>
      <c r="AR1101" s="61">
        <v>44687</v>
      </c>
      <c r="AS1101" s="60">
        <v>6002022570</v>
      </c>
      <c r="AT1101" s="61">
        <v>44691</v>
      </c>
      <c r="AU1101" s="60" t="s">
        <v>3355</v>
      </c>
      <c r="AV1101" s="61">
        <v>44701</v>
      </c>
      <c r="AW1101" s="91">
        <v>44712</v>
      </c>
      <c r="AX1101" s="91">
        <v>44732</v>
      </c>
      <c r="AY1101" s="99">
        <v>53760</v>
      </c>
      <c r="AZ1101" s="99">
        <f>ROUNDDOWN(AY1101+(AY1101*MASTER!$A$2/100),0)</f>
        <v>59136</v>
      </c>
      <c r="BA1101" s="60" t="s">
        <v>317</v>
      </c>
      <c r="BB1101" s="64">
        <v>31000</v>
      </c>
      <c r="BC1101" s="64">
        <v>34100</v>
      </c>
      <c r="BD1101" s="60" t="s">
        <v>3360</v>
      </c>
      <c r="BG1101" s="64">
        <v>0</v>
      </c>
      <c r="BI1101" s="60" t="s">
        <v>748</v>
      </c>
      <c r="BJ1101" s="64">
        <v>5850</v>
      </c>
      <c r="BK1101" s="64">
        <v>6435</v>
      </c>
      <c r="BL1101" s="60" t="s">
        <v>3360</v>
      </c>
      <c r="BS1101" s="64">
        <v>0</v>
      </c>
      <c r="BV1101" s="65">
        <v>51700</v>
      </c>
      <c r="BW1101" s="65">
        <v>40535</v>
      </c>
      <c r="BX1101" s="65">
        <v>44677</v>
      </c>
      <c r="BY1101" s="65">
        <v>11165</v>
      </c>
      <c r="BZ1101" s="81">
        <v>21.595744680851066</v>
      </c>
    </row>
    <row r="1102" spans="1:89" x14ac:dyDescent="0.15">
      <c r="A1102" s="60">
        <v>1</v>
      </c>
      <c r="B1102" s="61">
        <v>44690</v>
      </c>
      <c r="C1102" s="61">
        <v>44694</v>
      </c>
      <c r="F1102" s="61" t="s">
        <v>309</v>
      </c>
      <c r="H1102" s="61" t="s">
        <v>309</v>
      </c>
      <c r="J1102" s="60">
        <v>1</v>
      </c>
      <c r="L1102" s="60">
        <v>0</v>
      </c>
      <c r="M1102" s="61">
        <v>44677</v>
      </c>
      <c r="O1102" s="62" t="s">
        <v>331</v>
      </c>
      <c r="P1102" s="60" t="s">
        <v>26</v>
      </c>
      <c r="Q1102" s="62" t="s">
        <v>136</v>
      </c>
      <c r="R1102" s="62" t="s">
        <v>3344</v>
      </c>
      <c r="S1102" s="63" t="s">
        <v>2485</v>
      </c>
      <c r="T1102" s="63" t="s">
        <v>3345</v>
      </c>
      <c r="U1102" s="64">
        <v>84000</v>
      </c>
      <c r="V1102" s="64">
        <v>92400</v>
      </c>
      <c r="W1102" s="64">
        <v>19000</v>
      </c>
      <c r="X1102" s="64">
        <v>20900</v>
      </c>
      <c r="Y1102" s="64">
        <v>65000</v>
      </c>
      <c r="Z1102" s="64">
        <v>71500</v>
      </c>
      <c r="AA1102" s="61" t="s">
        <v>643</v>
      </c>
      <c r="AD1102" s="60">
        <v>0</v>
      </c>
      <c r="AG1102" s="60">
        <v>0</v>
      </c>
      <c r="AJ1102" s="60">
        <v>0</v>
      </c>
      <c r="AN1102" s="60" t="s">
        <v>309</v>
      </c>
      <c r="AQ1102" s="60" t="s">
        <v>2557</v>
      </c>
      <c r="AR1102" s="61">
        <v>44678</v>
      </c>
      <c r="AS1102" s="60">
        <v>6002021598</v>
      </c>
      <c r="AT1102" s="61">
        <v>44679</v>
      </c>
      <c r="AU1102" s="60" t="s">
        <v>3289</v>
      </c>
      <c r="AV1102" s="61">
        <v>44694</v>
      </c>
      <c r="AW1102" s="91">
        <v>44712</v>
      </c>
      <c r="AX1102" s="91">
        <v>44732</v>
      </c>
      <c r="AY1102" s="107">
        <v>84000</v>
      </c>
      <c r="AZ1102" s="107">
        <v>92400</v>
      </c>
      <c r="BC1102" s="64">
        <v>0</v>
      </c>
      <c r="BG1102" s="64">
        <v>0</v>
      </c>
      <c r="BI1102" s="60" t="s">
        <v>748</v>
      </c>
      <c r="BJ1102" s="64">
        <v>42250</v>
      </c>
      <c r="BK1102" s="64">
        <v>46475</v>
      </c>
      <c r="BL1102" s="60" t="s">
        <v>2916</v>
      </c>
      <c r="BS1102" s="64">
        <v>0</v>
      </c>
      <c r="BV1102" s="65">
        <v>20900</v>
      </c>
      <c r="BW1102" s="65">
        <v>46475</v>
      </c>
      <c r="BX1102" s="65">
        <v>44677</v>
      </c>
      <c r="BY1102" s="65">
        <v>-25575</v>
      </c>
      <c r="BZ1102" s="81">
        <v>-122.36842105263158</v>
      </c>
    </row>
    <row r="1103" spans="1:89" s="152" customFormat="1" x14ac:dyDescent="0.15">
      <c r="A1103" s="142">
        <v>3</v>
      </c>
      <c r="B1103" s="143"/>
      <c r="C1103" s="143" t="s">
        <v>309</v>
      </c>
      <c r="D1103" s="143"/>
      <c r="E1103" s="143"/>
      <c r="F1103" s="143" t="s">
        <v>309</v>
      </c>
      <c r="G1103" s="143"/>
      <c r="H1103" s="143" t="s">
        <v>309</v>
      </c>
      <c r="I1103" s="142"/>
      <c r="J1103" s="142">
        <v>3</v>
      </c>
      <c r="K1103" s="143"/>
      <c r="L1103" s="142">
        <v>0</v>
      </c>
      <c r="M1103" s="143">
        <v>44677</v>
      </c>
      <c r="N1103" s="143"/>
      <c r="O1103" s="144" t="s">
        <v>331</v>
      </c>
      <c r="P1103" s="142" t="s">
        <v>6</v>
      </c>
      <c r="Q1103" s="144" t="s">
        <v>136</v>
      </c>
      <c r="R1103" s="144" t="s">
        <v>3273</v>
      </c>
      <c r="S1103" s="145" t="s">
        <v>1305</v>
      </c>
      <c r="T1103" s="145" t="s">
        <v>385</v>
      </c>
      <c r="U1103" s="146">
        <v>34000</v>
      </c>
      <c r="V1103" s="146">
        <v>37400</v>
      </c>
      <c r="W1103" s="146"/>
      <c r="X1103" s="146">
        <v>0</v>
      </c>
      <c r="Y1103" s="146">
        <v>34000</v>
      </c>
      <c r="Z1103" s="146">
        <v>37400</v>
      </c>
      <c r="AA1103" s="143"/>
      <c r="AB1103" s="143"/>
      <c r="AC1103" s="143"/>
      <c r="AD1103" s="142">
        <v>0</v>
      </c>
      <c r="AE1103" s="142"/>
      <c r="AF1103" s="142"/>
      <c r="AG1103" s="142">
        <v>0</v>
      </c>
      <c r="AH1103" s="142"/>
      <c r="AI1103" s="142"/>
      <c r="AJ1103" s="142">
        <v>0</v>
      </c>
      <c r="AK1103" s="142"/>
      <c r="AL1103" s="142"/>
      <c r="AM1103" s="142"/>
      <c r="AN1103" s="142" t="s">
        <v>309</v>
      </c>
      <c r="AO1103" s="143"/>
      <c r="AP1103" s="142"/>
      <c r="AQ1103" s="142"/>
      <c r="AR1103" s="143"/>
      <c r="AS1103" s="142"/>
      <c r="AT1103" s="143"/>
      <c r="AU1103" s="142"/>
      <c r="AV1103" s="143"/>
      <c r="AW1103" s="147"/>
      <c r="AX1103" s="147"/>
      <c r="AY1103" s="148">
        <v>32640</v>
      </c>
      <c r="AZ1103" s="148">
        <f>ROUNDDOWN(AY1103+(AY1103*MASTER!$A$2/100),0)</f>
        <v>35904</v>
      </c>
      <c r="BA1103" s="142"/>
      <c r="BB1103" s="146"/>
      <c r="BC1103" s="146">
        <v>0</v>
      </c>
      <c r="BD1103" s="142"/>
      <c r="BE1103" s="142"/>
      <c r="BF1103" s="146"/>
      <c r="BG1103" s="146">
        <v>0</v>
      </c>
      <c r="BH1103" s="142"/>
      <c r="BI1103" s="142"/>
      <c r="BJ1103" s="146"/>
      <c r="BK1103" s="146">
        <v>0</v>
      </c>
      <c r="BL1103" s="142"/>
      <c r="BM1103" s="146"/>
      <c r="BN1103" s="146"/>
      <c r="BO1103" s="146"/>
      <c r="BP1103" s="146"/>
      <c r="BQ1103" s="146"/>
      <c r="BR1103" s="146"/>
      <c r="BS1103" s="146">
        <v>0</v>
      </c>
      <c r="BT1103" s="149"/>
      <c r="BU1103" s="149"/>
      <c r="BV1103" s="150">
        <v>0</v>
      </c>
      <c r="BW1103" s="150">
        <v>0</v>
      </c>
      <c r="BX1103" s="150">
        <v>44677</v>
      </c>
      <c r="BY1103" s="150">
        <v>0</v>
      </c>
      <c r="BZ1103" s="151" t="s">
        <v>309</v>
      </c>
      <c r="CA1103" s="142"/>
      <c r="CB1103" s="142"/>
      <c r="CC1103" s="142"/>
      <c r="CD1103" s="145" t="s">
        <v>3558</v>
      </c>
      <c r="CE1103" s="143"/>
      <c r="CF1103" s="143"/>
      <c r="CG1103" s="143"/>
      <c r="CH1103" s="143"/>
      <c r="CI1103" s="143"/>
      <c r="CJ1103" s="143"/>
      <c r="CK1103" s="146"/>
    </row>
    <row r="1104" spans="1:89" x14ac:dyDescent="0.15">
      <c r="A1104" s="60">
        <v>1</v>
      </c>
      <c r="B1104" s="61">
        <v>44700</v>
      </c>
      <c r="C1104" s="61">
        <v>44701</v>
      </c>
      <c r="F1104" s="61" t="s">
        <v>309</v>
      </c>
      <c r="H1104" s="61" t="s">
        <v>309</v>
      </c>
      <c r="J1104" s="60">
        <v>3</v>
      </c>
      <c r="L1104" s="60">
        <v>0</v>
      </c>
      <c r="M1104" s="61">
        <v>44678</v>
      </c>
      <c r="O1104" s="62" t="s">
        <v>331</v>
      </c>
      <c r="P1104" s="60" t="s">
        <v>26</v>
      </c>
      <c r="Q1104" s="62" t="s">
        <v>136</v>
      </c>
      <c r="R1104" s="62" t="s">
        <v>3365</v>
      </c>
      <c r="S1104" s="63" t="s">
        <v>597</v>
      </c>
      <c r="T1104" s="63" t="s">
        <v>3366</v>
      </c>
      <c r="U1104" s="64">
        <v>9200</v>
      </c>
      <c r="V1104" s="64">
        <v>10120</v>
      </c>
      <c r="W1104" s="64">
        <v>0</v>
      </c>
      <c r="X1104" s="64">
        <v>0</v>
      </c>
      <c r="Y1104" s="64">
        <v>9200</v>
      </c>
      <c r="Z1104" s="64">
        <v>10120</v>
      </c>
      <c r="AA1104" s="61">
        <v>44677</v>
      </c>
      <c r="AB1104" s="61">
        <v>44678</v>
      </c>
      <c r="AD1104" s="60">
        <v>0</v>
      </c>
      <c r="AG1104" s="60">
        <v>0</v>
      </c>
      <c r="AJ1104" s="60">
        <v>0</v>
      </c>
      <c r="AM1104" s="60" t="s">
        <v>273</v>
      </c>
      <c r="AN1104" s="60" t="s">
        <v>3367</v>
      </c>
      <c r="AQ1104" s="60" t="s">
        <v>3400</v>
      </c>
      <c r="AR1104" s="61">
        <v>44698</v>
      </c>
      <c r="AS1104" s="60">
        <v>6002027328</v>
      </c>
      <c r="AT1104" s="61">
        <v>44698</v>
      </c>
      <c r="AU1104" s="60" t="s">
        <v>3403</v>
      </c>
      <c r="AV1104" s="61">
        <v>44701</v>
      </c>
      <c r="AW1104" s="91">
        <v>44712</v>
      </c>
      <c r="AX1104" s="91">
        <v>44732</v>
      </c>
      <c r="AY1104" s="99">
        <v>8832</v>
      </c>
      <c r="AZ1104" s="99">
        <f>ROUNDDOWN(AY1104+(AY1104*MASTER!$A$2/100),0)</f>
        <v>9715</v>
      </c>
      <c r="BC1104" s="64">
        <v>0</v>
      </c>
      <c r="BG1104" s="64">
        <v>0</v>
      </c>
      <c r="BI1104" s="60" t="s">
        <v>748</v>
      </c>
      <c r="BJ1104" s="64">
        <v>5980</v>
      </c>
      <c r="BK1104" s="64">
        <v>6578</v>
      </c>
      <c r="BL1104" s="60" t="s">
        <v>643</v>
      </c>
      <c r="BS1104" s="64">
        <v>0</v>
      </c>
      <c r="BV1104" s="65">
        <v>0</v>
      </c>
      <c r="BW1104" s="65">
        <v>6578</v>
      </c>
      <c r="BX1104" s="65">
        <v>44678</v>
      </c>
      <c r="BY1104" s="65">
        <v>-6578</v>
      </c>
      <c r="BZ1104" s="81" t="s">
        <v>309</v>
      </c>
    </row>
    <row r="1105" spans="1:89" x14ac:dyDescent="0.15">
      <c r="A1105" s="60">
        <v>2</v>
      </c>
      <c r="B1105" s="61">
        <v>44743</v>
      </c>
      <c r="C1105" s="61">
        <v>44748</v>
      </c>
      <c r="D1105" s="61" t="s">
        <v>764</v>
      </c>
      <c r="E1105" s="61">
        <v>44750</v>
      </c>
      <c r="F1105" s="61">
        <v>44755</v>
      </c>
      <c r="G1105" s="61">
        <v>44749</v>
      </c>
      <c r="H1105" s="61">
        <v>44751</v>
      </c>
      <c r="I1105" s="60" t="s">
        <v>511</v>
      </c>
      <c r="J1105" s="60">
        <v>1</v>
      </c>
      <c r="L1105" s="60">
        <v>0</v>
      </c>
      <c r="M1105" s="61">
        <v>44678</v>
      </c>
      <c r="O1105" s="62" t="s">
        <v>331</v>
      </c>
      <c r="P1105" s="60" t="s">
        <v>26</v>
      </c>
      <c r="Q1105" s="62" t="s">
        <v>136</v>
      </c>
      <c r="R1105" s="62" t="s">
        <v>3822</v>
      </c>
      <c r="S1105" s="63" t="s">
        <v>655</v>
      </c>
      <c r="T1105" s="63" t="s">
        <v>3823</v>
      </c>
      <c r="U1105" s="64">
        <v>23900</v>
      </c>
      <c r="V1105" s="64">
        <v>26290</v>
      </c>
      <c r="W1105" s="64">
        <v>14700</v>
      </c>
      <c r="X1105" s="64">
        <v>16170</v>
      </c>
      <c r="Y1105" s="64">
        <v>9200</v>
      </c>
      <c r="Z1105" s="64">
        <v>10120</v>
      </c>
      <c r="AA1105" s="61">
        <v>44746</v>
      </c>
      <c r="AB1105" s="61">
        <v>44748</v>
      </c>
      <c r="AC1105" s="61">
        <v>44748</v>
      </c>
      <c r="AD1105" s="60">
        <v>0</v>
      </c>
      <c r="AG1105" s="60">
        <v>0</v>
      </c>
      <c r="AJ1105" s="60">
        <v>0</v>
      </c>
      <c r="AM1105" s="60" t="s">
        <v>273</v>
      </c>
      <c r="AN1105" s="60" t="s">
        <v>3824</v>
      </c>
      <c r="AQ1105" s="60" t="s">
        <v>3568</v>
      </c>
      <c r="AR1105" s="61">
        <v>44719</v>
      </c>
      <c r="AS1105" s="60">
        <v>6002036654</v>
      </c>
      <c r="AT1105" s="61">
        <v>44720</v>
      </c>
      <c r="AU1105" s="60" t="s">
        <v>3588</v>
      </c>
      <c r="AV1105" s="61">
        <v>44748</v>
      </c>
      <c r="AW1105" s="91">
        <v>44773</v>
      </c>
      <c r="AX1105" s="91">
        <v>44793</v>
      </c>
      <c r="AY1105" s="99">
        <v>22944</v>
      </c>
      <c r="AZ1105" s="99">
        <f>ROUNDDOWN(AY1105+(AY1105*MASTER!$A$2/100),0)</f>
        <v>25238</v>
      </c>
      <c r="BA1105" s="60" t="s">
        <v>765</v>
      </c>
      <c r="BC1105" s="64">
        <v>0</v>
      </c>
      <c r="BG1105" s="64">
        <v>0</v>
      </c>
      <c r="BI1105" s="60" t="s">
        <v>748</v>
      </c>
      <c r="BJ1105" s="64">
        <v>5980</v>
      </c>
      <c r="BK1105" s="64">
        <v>6578</v>
      </c>
      <c r="BL1105" s="60" t="s">
        <v>3800</v>
      </c>
      <c r="BS1105" s="64">
        <v>0</v>
      </c>
      <c r="BV1105" s="65">
        <v>16170</v>
      </c>
      <c r="BW1105" s="65">
        <v>6578</v>
      </c>
      <c r="BX1105" s="65">
        <v>44678</v>
      </c>
      <c r="BY1105" s="65">
        <v>9592</v>
      </c>
      <c r="BZ1105" s="81">
        <v>59.319727891156461</v>
      </c>
    </row>
    <row r="1106" spans="1:89" s="152" customFormat="1" x14ac:dyDescent="0.15">
      <c r="A1106" s="142">
        <v>3</v>
      </c>
      <c r="B1106" s="143"/>
      <c r="C1106" s="143" t="s">
        <v>309</v>
      </c>
      <c r="D1106" s="143"/>
      <c r="E1106" s="143"/>
      <c r="F1106" s="143" t="s">
        <v>309</v>
      </c>
      <c r="G1106" s="143"/>
      <c r="H1106" s="143" t="s">
        <v>309</v>
      </c>
      <c r="I1106" s="142"/>
      <c r="J1106" s="142">
        <v>2</v>
      </c>
      <c r="K1106" s="143"/>
      <c r="L1106" s="142">
        <v>0</v>
      </c>
      <c r="M1106" s="143">
        <v>44678</v>
      </c>
      <c r="N1106" s="143"/>
      <c r="O1106" s="144" t="s">
        <v>331</v>
      </c>
      <c r="P1106" s="142" t="s">
        <v>26</v>
      </c>
      <c r="Q1106" s="144" t="s">
        <v>136</v>
      </c>
      <c r="R1106" s="144" t="s">
        <v>3772</v>
      </c>
      <c r="S1106" s="145" t="s">
        <v>589</v>
      </c>
      <c r="T1106" s="145" t="s">
        <v>656</v>
      </c>
      <c r="U1106" s="146">
        <v>49500</v>
      </c>
      <c r="V1106" s="146">
        <v>54450</v>
      </c>
      <c r="W1106" s="146">
        <v>49500</v>
      </c>
      <c r="X1106" s="146">
        <v>54450</v>
      </c>
      <c r="Y1106" s="146">
        <v>0</v>
      </c>
      <c r="Z1106" s="146">
        <v>0</v>
      </c>
      <c r="AA1106" s="143"/>
      <c r="AB1106" s="143"/>
      <c r="AC1106" s="143"/>
      <c r="AD1106" s="142">
        <v>0</v>
      </c>
      <c r="AE1106" s="142"/>
      <c r="AF1106" s="142"/>
      <c r="AG1106" s="142">
        <v>0</v>
      </c>
      <c r="AH1106" s="142"/>
      <c r="AI1106" s="142"/>
      <c r="AJ1106" s="142">
        <v>0</v>
      </c>
      <c r="AK1106" s="142"/>
      <c r="AL1106" s="142"/>
      <c r="AM1106" s="142"/>
      <c r="AN1106" s="142" t="s">
        <v>309</v>
      </c>
      <c r="AO1106" s="143"/>
      <c r="AP1106" s="142"/>
      <c r="AQ1106" s="142"/>
      <c r="AR1106" s="143"/>
      <c r="AS1106" s="142"/>
      <c r="AT1106" s="143"/>
      <c r="AU1106" s="142"/>
      <c r="AV1106" s="143"/>
      <c r="AW1106" s="147"/>
      <c r="AX1106" s="147"/>
      <c r="AY1106" s="148">
        <v>47520</v>
      </c>
      <c r="AZ1106" s="148">
        <f>ROUNDDOWN(AY1106+(AY1106*MASTER!$A$2/100),0)</f>
        <v>52272</v>
      </c>
      <c r="BA1106" s="142"/>
      <c r="BB1106" s="146"/>
      <c r="BC1106" s="146">
        <v>0</v>
      </c>
      <c r="BD1106" s="142"/>
      <c r="BE1106" s="142"/>
      <c r="BF1106" s="146"/>
      <c r="BG1106" s="146">
        <v>0</v>
      </c>
      <c r="BH1106" s="142"/>
      <c r="BI1106" s="142"/>
      <c r="BJ1106" s="146"/>
      <c r="BK1106" s="146">
        <v>0</v>
      </c>
      <c r="BL1106" s="142"/>
      <c r="BM1106" s="146"/>
      <c r="BN1106" s="146"/>
      <c r="BO1106" s="146"/>
      <c r="BP1106" s="146"/>
      <c r="BQ1106" s="146"/>
      <c r="BR1106" s="146"/>
      <c r="BS1106" s="146">
        <v>0</v>
      </c>
      <c r="BT1106" s="149"/>
      <c r="BU1106" s="149"/>
      <c r="BV1106" s="150">
        <v>54450</v>
      </c>
      <c r="BW1106" s="150">
        <v>0</v>
      </c>
      <c r="BX1106" s="150">
        <v>44678</v>
      </c>
      <c r="BY1106" s="150">
        <v>54450</v>
      </c>
      <c r="BZ1106" s="151">
        <v>100</v>
      </c>
      <c r="CA1106" s="142"/>
      <c r="CB1106" s="142"/>
      <c r="CC1106" s="142"/>
      <c r="CD1106" s="145" t="s">
        <v>3773</v>
      </c>
      <c r="CE1106" s="143"/>
      <c r="CF1106" s="143"/>
      <c r="CG1106" s="143"/>
      <c r="CH1106" s="143"/>
      <c r="CI1106" s="143"/>
      <c r="CJ1106" s="143"/>
      <c r="CK1106" s="146"/>
    </row>
    <row r="1107" spans="1:89" x14ac:dyDescent="0.15">
      <c r="A1107" s="60">
        <v>1</v>
      </c>
      <c r="B1107" s="61">
        <v>44750</v>
      </c>
      <c r="C1107" s="61">
        <v>44771</v>
      </c>
      <c r="F1107" s="61" t="s">
        <v>309</v>
      </c>
      <c r="H1107" s="61" t="s">
        <v>309</v>
      </c>
      <c r="J1107" s="60">
        <v>3</v>
      </c>
      <c r="L1107" s="60">
        <v>0</v>
      </c>
      <c r="M1107" s="61">
        <v>44679</v>
      </c>
      <c r="O1107" s="62" t="s">
        <v>331</v>
      </c>
      <c r="P1107" s="60" t="s">
        <v>6</v>
      </c>
      <c r="Q1107" s="62" t="s">
        <v>136</v>
      </c>
      <c r="R1107" s="62" t="s">
        <v>3288</v>
      </c>
      <c r="S1107" s="63" t="s">
        <v>589</v>
      </c>
      <c r="T1107" s="63" t="s">
        <v>463</v>
      </c>
      <c r="U1107" s="64">
        <v>9000</v>
      </c>
      <c r="V1107" s="64">
        <v>9900</v>
      </c>
      <c r="X1107" s="64">
        <v>0</v>
      </c>
      <c r="Y1107" s="64">
        <v>9000</v>
      </c>
      <c r="Z1107" s="64">
        <v>9900</v>
      </c>
      <c r="AD1107" s="60">
        <v>0</v>
      </c>
      <c r="AG1107" s="60">
        <v>0</v>
      </c>
      <c r="AJ1107" s="60">
        <v>0</v>
      </c>
      <c r="AN1107" s="60" t="s">
        <v>309</v>
      </c>
      <c r="AQ1107" s="60" t="s">
        <v>3432</v>
      </c>
      <c r="AR1107" s="61">
        <v>44700</v>
      </c>
      <c r="AS1107" s="60">
        <v>6002028582</v>
      </c>
      <c r="AT1107" s="61">
        <v>44703</v>
      </c>
      <c r="AU1107" s="60" t="s">
        <v>3439</v>
      </c>
      <c r="AV1107" s="61">
        <v>44771</v>
      </c>
      <c r="AW1107" s="91">
        <v>44773</v>
      </c>
      <c r="AX1107" s="91">
        <v>44793</v>
      </c>
      <c r="AY1107" s="99">
        <v>8640</v>
      </c>
      <c r="AZ1107" s="99">
        <f>ROUNDDOWN(AY1107+(AY1107*MASTER!$A$2/100),0)</f>
        <v>9504</v>
      </c>
      <c r="BC1107" s="64">
        <v>0</v>
      </c>
      <c r="BG1107" s="64">
        <v>0</v>
      </c>
      <c r="BK1107" s="64">
        <v>0</v>
      </c>
      <c r="BS1107" s="64">
        <v>0</v>
      </c>
      <c r="BV1107" s="65">
        <v>0</v>
      </c>
      <c r="BW1107" s="65">
        <v>0</v>
      </c>
      <c r="BX1107" s="65">
        <v>44679</v>
      </c>
      <c r="BY1107" s="65">
        <v>0</v>
      </c>
      <c r="BZ1107" s="81" t="s">
        <v>309</v>
      </c>
    </row>
    <row r="1108" spans="1:89" s="152" customFormat="1" x14ac:dyDescent="0.15">
      <c r="A1108" s="142">
        <v>3</v>
      </c>
      <c r="B1108" s="143"/>
      <c r="C1108" s="143" t="s">
        <v>309</v>
      </c>
      <c r="D1108" s="143"/>
      <c r="E1108" s="143"/>
      <c r="F1108" s="143" t="s">
        <v>309</v>
      </c>
      <c r="G1108" s="143"/>
      <c r="H1108" s="143" t="s">
        <v>309</v>
      </c>
      <c r="I1108" s="142"/>
      <c r="J1108" s="142">
        <v>1</v>
      </c>
      <c r="K1108" s="143"/>
      <c r="L1108" s="142">
        <v>0</v>
      </c>
      <c r="M1108" s="143">
        <v>44679</v>
      </c>
      <c r="N1108" s="143"/>
      <c r="O1108" s="144" t="s">
        <v>331</v>
      </c>
      <c r="P1108" s="142" t="s">
        <v>26</v>
      </c>
      <c r="Q1108" s="144" t="s">
        <v>136</v>
      </c>
      <c r="R1108" s="144" t="s">
        <v>3453</v>
      </c>
      <c r="S1108" s="145" t="s">
        <v>1221</v>
      </c>
      <c r="T1108" s="145" t="s">
        <v>621</v>
      </c>
      <c r="U1108" s="146">
        <v>50000</v>
      </c>
      <c r="V1108" s="146">
        <v>55000</v>
      </c>
      <c r="W1108" s="146">
        <v>47000</v>
      </c>
      <c r="X1108" s="146">
        <v>51700</v>
      </c>
      <c r="Y1108" s="146">
        <v>3000</v>
      </c>
      <c r="Z1108" s="146">
        <v>3300</v>
      </c>
      <c r="AA1108" s="143">
        <v>44720</v>
      </c>
      <c r="AB1108" s="143">
        <v>44721</v>
      </c>
      <c r="AC1108" s="143"/>
      <c r="AD1108" s="142">
        <v>0</v>
      </c>
      <c r="AE1108" s="142"/>
      <c r="AF1108" s="142"/>
      <c r="AG1108" s="142">
        <v>0</v>
      </c>
      <c r="AH1108" s="142"/>
      <c r="AI1108" s="142"/>
      <c r="AJ1108" s="142">
        <v>0</v>
      </c>
      <c r="AK1108" s="142"/>
      <c r="AL1108" s="142"/>
      <c r="AM1108" s="142" t="s">
        <v>273</v>
      </c>
      <c r="AN1108" s="142" t="s">
        <v>3454</v>
      </c>
      <c r="AO1108" s="143"/>
      <c r="AP1108" s="142"/>
      <c r="AQ1108" s="142"/>
      <c r="AR1108" s="143"/>
      <c r="AS1108" s="142"/>
      <c r="AT1108" s="143"/>
      <c r="AU1108" s="142"/>
      <c r="AV1108" s="143"/>
      <c r="AW1108" s="147"/>
      <c r="AX1108" s="147"/>
      <c r="AY1108" s="148">
        <v>48000</v>
      </c>
      <c r="AZ1108" s="148">
        <f>ROUNDDOWN(AY1108+(AY1108*MASTER!$A$2/100),0)</f>
        <v>52800</v>
      </c>
      <c r="BA1108" s="142"/>
      <c r="BB1108" s="146"/>
      <c r="BC1108" s="146">
        <v>0</v>
      </c>
      <c r="BD1108" s="142"/>
      <c r="BE1108" s="142"/>
      <c r="BF1108" s="146"/>
      <c r="BG1108" s="146">
        <v>0</v>
      </c>
      <c r="BH1108" s="142"/>
      <c r="BI1108" s="142"/>
      <c r="BJ1108" s="146"/>
      <c r="BK1108" s="146">
        <v>0</v>
      </c>
      <c r="BL1108" s="142"/>
      <c r="BM1108" s="146"/>
      <c r="BN1108" s="146"/>
      <c r="BO1108" s="146"/>
      <c r="BP1108" s="146"/>
      <c r="BQ1108" s="146"/>
      <c r="BR1108" s="146"/>
      <c r="BS1108" s="146">
        <v>0</v>
      </c>
      <c r="BT1108" s="149"/>
      <c r="BU1108" s="149"/>
      <c r="BV1108" s="150">
        <v>51700</v>
      </c>
      <c r="BW1108" s="150">
        <v>0</v>
      </c>
      <c r="BX1108" s="150">
        <v>44679</v>
      </c>
      <c r="BY1108" s="150">
        <v>51700</v>
      </c>
      <c r="BZ1108" s="151">
        <v>100</v>
      </c>
      <c r="CA1108" s="142"/>
      <c r="CB1108" s="142"/>
      <c r="CC1108" s="142"/>
      <c r="CD1108" s="145" t="s">
        <v>3551</v>
      </c>
      <c r="CE1108" s="143"/>
      <c r="CF1108" s="143"/>
      <c r="CG1108" s="143"/>
      <c r="CH1108" s="143"/>
      <c r="CI1108" s="143"/>
      <c r="CJ1108" s="143"/>
      <c r="CK1108" s="146"/>
    </row>
    <row r="1109" spans="1:89" x14ac:dyDescent="0.15">
      <c r="A1109" s="60">
        <v>2</v>
      </c>
      <c r="B1109" s="61">
        <v>44743</v>
      </c>
      <c r="C1109" s="61">
        <v>44748</v>
      </c>
      <c r="D1109" s="61">
        <v>44753</v>
      </c>
      <c r="F1109" s="61">
        <v>44754</v>
      </c>
      <c r="G1109" s="61">
        <v>44754</v>
      </c>
      <c r="H1109" s="61">
        <v>44750</v>
      </c>
      <c r="I1109" s="60" t="s">
        <v>774</v>
      </c>
      <c r="J1109" s="60">
        <v>2</v>
      </c>
      <c r="L1109" s="60">
        <v>0</v>
      </c>
      <c r="M1109" s="61">
        <v>44679</v>
      </c>
      <c r="O1109" s="62" t="s">
        <v>331</v>
      </c>
      <c r="P1109" s="60" t="s">
        <v>26</v>
      </c>
      <c r="Q1109" s="62" t="s">
        <v>136</v>
      </c>
      <c r="R1109" s="62" t="s">
        <v>3751</v>
      </c>
      <c r="S1109" s="63" t="s">
        <v>1829</v>
      </c>
      <c r="T1109" s="63" t="s">
        <v>908</v>
      </c>
      <c r="U1109" s="64">
        <v>479000</v>
      </c>
      <c r="V1109" s="64">
        <v>526900</v>
      </c>
      <c r="W1109" s="64">
        <v>479000</v>
      </c>
      <c r="X1109" s="64">
        <v>526900</v>
      </c>
      <c r="Z1109" s="64">
        <v>0</v>
      </c>
      <c r="AA1109" s="61">
        <v>44743</v>
      </c>
      <c r="AB1109" s="61">
        <v>44747</v>
      </c>
      <c r="AC1109" s="61">
        <v>44747</v>
      </c>
      <c r="AD1109" s="60">
        <v>0</v>
      </c>
      <c r="AG1109" s="60">
        <v>0</v>
      </c>
      <c r="AJ1109" s="60">
        <v>0</v>
      </c>
      <c r="AN1109" s="60" t="s">
        <v>309</v>
      </c>
      <c r="AQ1109" s="60" t="s">
        <v>3567</v>
      </c>
      <c r="AR1109" s="61">
        <v>44719</v>
      </c>
      <c r="AS1109" s="60">
        <v>6002036654</v>
      </c>
      <c r="AT1109" s="61">
        <v>44720</v>
      </c>
      <c r="AU1109" s="60" t="s">
        <v>3588</v>
      </c>
      <c r="AV1109" s="61">
        <v>44748</v>
      </c>
      <c r="AW1109" s="91">
        <v>44773</v>
      </c>
      <c r="AX1109" s="91">
        <v>44793</v>
      </c>
      <c r="AY1109" s="99">
        <v>459840</v>
      </c>
      <c r="AZ1109" s="99">
        <f>ROUNDDOWN(AY1109+(AY1109*MASTER!$A$2/100),0)</f>
        <v>505824</v>
      </c>
      <c r="BA1109" s="60" t="s">
        <v>318</v>
      </c>
      <c r="BB1109" s="64">
        <v>146000</v>
      </c>
      <c r="BC1109" s="64">
        <v>160600</v>
      </c>
      <c r="BD1109" s="60" t="s">
        <v>3800</v>
      </c>
      <c r="BG1109" s="64">
        <v>0</v>
      </c>
      <c r="BK1109" s="64">
        <v>0</v>
      </c>
      <c r="BS1109" s="64">
        <v>0</v>
      </c>
      <c r="BV1109" s="65">
        <v>526900</v>
      </c>
      <c r="BW1109" s="65">
        <v>160600</v>
      </c>
      <c r="BX1109" s="65">
        <v>44679</v>
      </c>
      <c r="BY1109" s="65">
        <v>366300</v>
      </c>
      <c r="BZ1109" s="81">
        <v>69.519832985386216</v>
      </c>
      <c r="CD1109" s="63" t="s">
        <v>3815</v>
      </c>
    </row>
    <row r="1110" spans="1:89" s="152" customFormat="1" x14ac:dyDescent="0.15">
      <c r="A1110" s="142">
        <v>3</v>
      </c>
      <c r="B1110" s="143"/>
      <c r="C1110" s="143" t="s">
        <v>309</v>
      </c>
      <c r="D1110" s="143"/>
      <c r="E1110" s="143"/>
      <c r="F1110" s="143" t="s">
        <v>309</v>
      </c>
      <c r="G1110" s="143"/>
      <c r="H1110" s="143" t="s">
        <v>309</v>
      </c>
      <c r="I1110" s="142"/>
      <c r="J1110" s="142">
        <v>2</v>
      </c>
      <c r="K1110" s="143"/>
      <c r="L1110" s="142">
        <v>0</v>
      </c>
      <c r="M1110" s="143">
        <v>44679</v>
      </c>
      <c r="N1110" s="143"/>
      <c r="O1110" s="144" t="s">
        <v>331</v>
      </c>
      <c r="P1110" s="142" t="s">
        <v>26</v>
      </c>
      <c r="Q1110" s="144" t="s">
        <v>136</v>
      </c>
      <c r="R1110" s="144" t="s">
        <v>3759</v>
      </c>
      <c r="S1110" s="145" t="s">
        <v>3760</v>
      </c>
      <c r="T1110" s="145" t="s">
        <v>908</v>
      </c>
      <c r="U1110" s="146">
        <v>457000</v>
      </c>
      <c r="V1110" s="146">
        <v>502700</v>
      </c>
      <c r="W1110" s="146">
        <v>457000</v>
      </c>
      <c r="X1110" s="146">
        <v>502700</v>
      </c>
      <c r="Y1110" s="146">
        <v>0</v>
      </c>
      <c r="Z1110" s="146">
        <v>0</v>
      </c>
      <c r="AA1110" s="143"/>
      <c r="AB1110" s="143"/>
      <c r="AC1110" s="143"/>
      <c r="AD1110" s="142">
        <v>0</v>
      </c>
      <c r="AE1110" s="142"/>
      <c r="AF1110" s="142"/>
      <c r="AG1110" s="142">
        <v>0</v>
      </c>
      <c r="AH1110" s="142"/>
      <c r="AI1110" s="142"/>
      <c r="AJ1110" s="142">
        <v>0</v>
      </c>
      <c r="AK1110" s="142"/>
      <c r="AL1110" s="142"/>
      <c r="AM1110" s="142"/>
      <c r="AN1110" s="142" t="s">
        <v>309</v>
      </c>
      <c r="AO1110" s="143"/>
      <c r="AP1110" s="142"/>
      <c r="AQ1110" s="142"/>
      <c r="AR1110" s="143"/>
      <c r="AS1110" s="142"/>
      <c r="AT1110" s="143"/>
      <c r="AU1110" s="142"/>
      <c r="AV1110" s="143"/>
      <c r="AW1110" s="147"/>
      <c r="AX1110" s="147"/>
      <c r="AY1110" s="148">
        <v>438720</v>
      </c>
      <c r="AZ1110" s="148">
        <f>ROUNDDOWN(AY1110+(AY1110*MASTER!$A$2/100),0)</f>
        <v>482592</v>
      </c>
      <c r="BA1110" s="142"/>
      <c r="BB1110" s="146"/>
      <c r="BC1110" s="146">
        <v>0</v>
      </c>
      <c r="BD1110" s="142"/>
      <c r="BE1110" s="142"/>
      <c r="BF1110" s="146"/>
      <c r="BG1110" s="146">
        <v>0</v>
      </c>
      <c r="BH1110" s="142"/>
      <c r="BI1110" s="142"/>
      <c r="BJ1110" s="146"/>
      <c r="BK1110" s="146">
        <v>0</v>
      </c>
      <c r="BL1110" s="142"/>
      <c r="BM1110" s="146"/>
      <c r="BN1110" s="146"/>
      <c r="BO1110" s="146"/>
      <c r="BP1110" s="146"/>
      <c r="BQ1110" s="146"/>
      <c r="BR1110" s="146"/>
      <c r="BS1110" s="146">
        <v>0</v>
      </c>
      <c r="BT1110" s="149"/>
      <c r="BU1110" s="149"/>
      <c r="BV1110" s="150">
        <v>502700</v>
      </c>
      <c r="BW1110" s="150">
        <v>0</v>
      </c>
      <c r="BX1110" s="150">
        <v>44679</v>
      </c>
      <c r="BY1110" s="150">
        <v>502700</v>
      </c>
      <c r="BZ1110" s="151">
        <v>100</v>
      </c>
      <c r="CA1110" s="142"/>
      <c r="CB1110" s="142"/>
      <c r="CC1110" s="142"/>
      <c r="CD1110" s="145" t="s">
        <v>3761</v>
      </c>
      <c r="CE1110" s="143"/>
      <c r="CF1110" s="143"/>
      <c r="CG1110" s="143"/>
      <c r="CH1110" s="143"/>
      <c r="CI1110" s="143"/>
      <c r="CJ1110" s="143"/>
      <c r="CK1110" s="146"/>
    </row>
    <row r="1111" spans="1:89" x14ac:dyDescent="0.15">
      <c r="A1111" s="60">
        <v>1</v>
      </c>
      <c r="C1111" s="61" t="s">
        <v>309</v>
      </c>
      <c r="F1111" s="61" t="s">
        <v>309</v>
      </c>
      <c r="H1111" s="61" t="s">
        <v>309</v>
      </c>
      <c r="J1111" s="60">
        <v>4</v>
      </c>
      <c r="L1111" s="60">
        <v>0</v>
      </c>
      <c r="M1111" s="61">
        <v>44681</v>
      </c>
      <c r="O1111" s="62" t="s">
        <v>335</v>
      </c>
      <c r="P1111" s="60" t="s">
        <v>430</v>
      </c>
      <c r="Q1111" s="62" t="s">
        <v>2989</v>
      </c>
      <c r="R1111" s="62" t="s">
        <v>3296</v>
      </c>
      <c r="S1111" s="63" t="s">
        <v>602</v>
      </c>
      <c r="T1111" s="63" t="s">
        <v>3295</v>
      </c>
      <c r="U1111" s="64">
        <v>0</v>
      </c>
      <c r="V1111" s="64">
        <v>0</v>
      </c>
      <c r="W1111" s="64">
        <v>0</v>
      </c>
      <c r="X1111" s="64">
        <v>0</v>
      </c>
      <c r="Y1111" s="64">
        <v>0</v>
      </c>
      <c r="Z1111" s="64">
        <v>0</v>
      </c>
      <c r="AD1111" s="60">
        <v>0</v>
      </c>
      <c r="AG1111" s="60">
        <v>0</v>
      </c>
      <c r="AJ1111" s="60">
        <v>0</v>
      </c>
      <c r="AN1111" s="60" t="s">
        <v>309</v>
      </c>
      <c r="AY1111" s="99">
        <f>ROUNDDOWN((0.96*U1111),0)</f>
        <v>0</v>
      </c>
      <c r="AZ1111" s="99">
        <f>ROUNDDOWN(AY1111+(AY1111*MASTER!$A$2/100),0)</f>
        <v>0</v>
      </c>
      <c r="BA1111" s="60" t="s">
        <v>107</v>
      </c>
      <c r="BC1111" s="64">
        <v>0</v>
      </c>
      <c r="BG1111" s="64">
        <v>0</v>
      </c>
      <c r="BK1111" s="64">
        <v>0</v>
      </c>
      <c r="BS1111" s="64">
        <v>0</v>
      </c>
      <c r="BV1111" s="65">
        <v>0</v>
      </c>
      <c r="BW1111" s="65">
        <v>0</v>
      </c>
      <c r="BX1111" s="65">
        <v>44681</v>
      </c>
      <c r="BY1111" s="65">
        <v>0</v>
      </c>
      <c r="BZ1111" s="81" t="s">
        <v>309</v>
      </c>
    </row>
    <row r="1112" spans="1:89" x14ac:dyDescent="0.15">
      <c r="A1112" s="60">
        <v>2</v>
      </c>
      <c r="C1112" s="61" t="s">
        <v>309</v>
      </c>
      <c r="F1112" s="61" t="s">
        <v>309</v>
      </c>
      <c r="H1112" s="61" t="s">
        <v>309</v>
      </c>
      <c r="J1112" s="60">
        <v>4</v>
      </c>
      <c r="L1112" s="60">
        <v>0</v>
      </c>
      <c r="M1112" s="61">
        <v>44681</v>
      </c>
      <c r="O1112" s="62" t="s">
        <v>331</v>
      </c>
      <c r="P1112" s="60" t="s">
        <v>263</v>
      </c>
      <c r="Q1112" s="62" t="s">
        <v>136</v>
      </c>
      <c r="R1112" s="62" t="s">
        <v>3298</v>
      </c>
      <c r="S1112" s="63" t="s">
        <v>354</v>
      </c>
      <c r="T1112" s="63" t="s">
        <v>3299</v>
      </c>
      <c r="U1112" s="64">
        <v>0</v>
      </c>
      <c r="V1112" s="64">
        <v>0</v>
      </c>
      <c r="W1112" s="64">
        <v>0</v>
      </c>
      <c r="X1112" s="64">
        <v>0</v>
      </c>
      <c r="Y1112" s="64">
        <v>0</v>
      </c>
      <c r="Z1112" s="64">
        <v>0</v>
      </c>
      <c r="AA1112" s="61">
        <v>44652</v>
      </c>
      <c r="AB1112" s="61">
        <v>44681</v>
      </c>
      <c r="AD1112" s="60">
        <v>0</v>
      </c>
      <c r="AG1112" s="60">
        <v>0</v>
      </c>
      <c r="AJ1112" s="60">
        <v>0</v>
      </c>
      <c r="AN1112" s="60" t="s">
        <v>309</v>
      </c>
      <c r="AY1112" s="99">
        <f>ROUNDDOWN((0.96*U1112),0)</f>
        <v>0</v>
      </c>
      <c r="AZ1112" s="99">
        <f>ROUNDDOWN(AY1112+(AY1112*MASTER!$A$2/100),0)</f>
        <v>0</v>
      </c>
      <c r="BA1112" s="60" t="s">
        <v>318</v>
      </c>
      <c r="BB1112" s="64">
        <v>32000</v>
      </c>
      <c r="BC1112" s="64">
        <v>35200</v>
      </c>
      <c r="BD1112" s="60" t="s">
        <v>643</v>
      </c>
      <c r="BG1112" s="64">
        <v>0</v>
      </c>
      <c r="BK1112" s="64">
        <v>0</v>
      </c>
      <c r="BS1112" s="64">
        <v>0</v>
      </c>
      <c r="BV1112" s="65">
        <v>0</v>
      </c>
      <c r="BW1112" s="65">
        <v>35200</v>
      </c>
      <c r="BX1112" s="65">
        <v>44681</v>
      </c>
      <c r="BY1112" s="65">
        <v>-35200</v>
      </c>
      <c r="BZ1112" s="81" t="s">
        <v>309</v>
      </c>
    </row>
    <row r="1113" spans="1:89" x14ac:dyDescent="0.15">
      <c r="A1113" s="60">
        <v>2</v>
      </c>
      <c r="C1113" s="61" t="s">
        <v>309</v>
      </c>
      <c r="F1113" s="61" t="s">
        <v>309</v>
      </c>
      <c r="H1113" s="61" t="s">
        <v>309</v>
      </c>
      <c r="J1113" s="60">
        <v>4</v>
      </c>
      <c r="L1113" s="60">
        <v>0</v>
      </c>
      <c r="M1113" s="61">
        <v>44683</v>
      </c>
      <c r="O1113" s="62" t="s">
        <v>331</v>
      </c>
      <c r="P1113" s="60" t="s">
        <v>263</v>
      </c>
      <c r="Q1113" s="62" t="s">
        <v>137</v>
      </c>
      <c r="R1113" s="62" t="s">
        <v>3303</v>
      </c>
      <c r="S1113" s="63" t="s">
        <v>1239</v>
      </c>
      <c r="T1113" s="63" t="s">
        <v>3304</v>
      </c>
      <c r="U1113" s="64">
        <v>0</v>
      </c>
      <c r="V1113" s="64">
        <v>0</v>
      </c>
      <c r="W1113" s="64">
        <v>0</v>
      </c>
      <c r="X1113" s="64">
        <v>0</v>
      </c>
      <c r="Y1113" s="64">
        <v>0</v>
      </c>
      <c r="Z1113" s="64">
        <v>0</v>
      </c>
      <c r="AA1113" s="61">
        <v>44658</v>
      </c>
      <c r="AB1113" s="61">
        <v>44658</v>
      </c>
      <c r="AD1113" s="60">
        <v>0</v>
      </c>
      <c r="AG1113" s="60">
        <v>0</v>
      </c>
      <c r="AJ1113" s="60">
        <v>0</v>
      </c>
      <c r="AN1113" s="60" t="s">
        <v>309</v>
      </c>
      <c r="AY1113" s="99">
        <f>ROUNDDOWN((0.96*U1113),0)</f>
        <v>0</v>
      </c>
      <c r="AZ1113" s="99">
        <f>ROUNDDOWN(AY1113+(AY1113*MASTER!$A$2/100),0)</f>
        <v>0</v>
      </c>
      <c r="BA1113" s="60" t="s">
        <v>780</v>
      </c>
      <c r="BB1113" s="64">
        <v>39000</v>
      </c>
      <c r="BC1113" s="64">
        <v>42900</v>
      </c>
      <c r="BD1113" s="60" t="s">
        <v>643</v>
      </c>
      <c r="BG1113" s="64">
        <v>0</v>
      </c>
      <c r="BK1113" s="64">
        <v>0</v>
      </c>
      <c r="BS1113" s="64">
        <v>0</v>
      </c>
      <c r="BV1113" s="65">
        <v>0</v>
      </c>
      <c r="BW1113" s="65">
        <v>42900</v>
      </c>
      <c r="BX1113" s="65">
        <v>44683</v>
      </c>
      <c r="BY1113" s="65">
        <v>-42900</v>
      </c>
      <c r="BZ1113" s="81" t="s">
        <v>309</v>
      </c>
    </row>
    <row r="1114" spans="1:89" x14ac:dyDescent="0.15">
      <c r="A1114" s="60">
        <v>1</v>
      </c>
      <c r="B1114" s="61">
        <v>44697</v>
      </c>
      <c r="C1114" s="61">
        <v>44706</v>
      </c>
      <c r="F1114" s="61" t="s">
        <v>309</v>
      </c>
      <c r="H1114" s="61" t="s">
        <v>309</v>
      </c>
      <c r="J1114" s="60">
        <v>2</v>
      </c>
      <c r="L1114" s="60">
        <v>0</v>
      </c>
      <c r="M1114" s="61">
        <v>44683</v>
      </c>
      <c r="O1114" s="62" t="s">
        <v>331</v>
      </c>
      <c r="P1114" s="60" t="s">
        <v>26</v>
      </c>
      <c r="Q1114" s="62" t="s">
        <v>137</v>
      </c>
      <c r="R1114" s="62" t="s">
        <v>3309</v>
      </c>
      <c r="S1114" s="63" t="s">
        <v>326</v>
      </c>
      <c r="T1114" s="63" t="s">
        <v>3305</v>
      </c>
      <c r="U1114" s="64">
        <v>438000</v>
      </c>
      <c r="V1114" s="64">
        <v>481800</v>
      </c>
      <c r="W1114" s="64">
        <v>438000</v>
      </c>
      <c r="X1114" s="64">
        <v>481800</v>
      </c>
      <c r="Y1114" s="64">
        <v>0</v>
      </c>
      <c r="Z1114" s="64">
        <v>0</v>
      </c>
      <c r="AA1114" s="61">
        <v>44682</v>
      </c>
      <c r="AB1114" s="61">
        <v>44712</v>
      </c>
      <c r="AD1114" s="60">
        <v>0</v>
      </c>
      <c r="AG1114" s="60">
        <v>0</v>
      </c>
      <c r="AJ1114" s="60">
        <v>0</v>
      </c>
      <c r="AQ1114" s="60" t="s">
        <v>3371</v>
      </c>
      <c r="AR1114" s="61">
        <v>44692</v>
      </c>
      <c r="AS1114" s="60">
        <v>6002024328</v>
      </c>
      <c r="AT1114" s="61">
        <v>44694</v>
      </c>
      <c r="AU1114" s="60" t="s">
        <v>3389</v>
      </c>
      <c r="AV1114" s="61">
        <v>44706</v>
      </c>
      <c r="AW1114" s="91">
        <v>44712</v>
      </c>
      <c r="AX1114" s="91">
        <v>44732</v>
      </c>
      <c r="AY1114" s="107">
        <v>438000</v>
      </c>
      <c r="AZ1114" s="107">
        <f>ROUNDDOWN(AY1114+(AY1114*MASTER!$A$2/100),0)</f>
        <v>481800</v>
      </c>
      <c r="BC1114" s="64">
        <v>0</v>
      </c>
      <c r="BG1114" s="64">
        <v>0</v>
      </c>
      <c r="BK1114" s="64">
        <v>0</v>
      </c>
      <c r="BS1114" s="64">
        <v>0</v>
      </c>
      <c r="BV1114" s="65">
        <v>481800</v>
      </c>
      <c r="BW1114" s="65">
        <v>0</v>
      </c>
      <c r="BX1114" s="65">
        <v>44683</v>
      </c>
      <c r="BY1114" s="65">
        <v>481800</v>
      </c>
      <c r="BZ1114" s="81">
        <v>100</v>
      </c>
    </row>
    <row r="1115" spans="1:89" x14ac:dyDescent="0.15">
      <c r="A1115" s="60">
        <v>1</v>
      </c>
      <c r="B1115" s="61">
        <v>44697</v>
      </c>
      <c r="C1115" s="61">
        <v>44706</v>
      </c>
      <c r="F1115" s="61" t="s">
        <v>309</v>
      </c>
      <c r="H1115" s="61" t="s">
        <v>309</v>
      </c>
      <c r="J1115" s="60">
        <v>2</v>
      </c>
      <c r="L1115" s="60">
        <v>0</v>
      </c>
      <c r="M1115" s="61">
        <v>44683</v>
      </c>
      <c r="O1115" s="62" t="s">
        <v>331</v>
      </c>
      <c r="P1115" s="60" t="s">
        <v>26</v>
      </c>
      <c r="Q1115" s="62" t="s">
        <v>137</v>
      </c>
      <c r="R1115" s="62" t="s">
        <v>3372</v>
      </c>
      <c r="S1115" s="63" t="s">
        <v>326</v>
      </c>
      <c r="T1115" s="63" t="s">
        <v>3306</v>
      </c>
      <c r="U1115" s="64">
        <v>438000</v>
      </c>
      <c r="V1115" s="64">
        <v>481800</v>
      </c>
      <c r="W1115" s="64">
        <v>438000</v>
      </c>
      <c r="X1115" s="64">
        <v>481800</v>
      </c>
      <c r="Y1115" s="64">
        <v>0</v>
      </c>
      <c r="Z1115" s="64">
        <v>0</v>
      </c>
      <c r="AA1115" s="61">
        <v>44682</v>
      </c>
      <c r="AB1115" s="61">
        <v>44712</v>
      </c>
      <c r="AD1115" s="60">
        <v>0</v>
      </c>
      <c r="AG1115" s="60">
        <v>0</v>
      </c>
      <c r="AJ1115" s="60">
        <v>0</v>
      </c>
      <c r="AQ1115" s="60" t="s">
        <v>3392</v>
      </c>
      <c r="AR1115" s="61">
        <v>44692</v>
      </c>
      <c r="AS1115" s="60">
        <v>6002024328</v>
      </c>
      <c r="AT1115" s="61">
        <v>44694</v>
      </c>
      <c r="AU1115" s="60" t="s">
        <v>3389</v>
      </c>
      <c r="AV1115" s="61">
        <v>44706</v>
      </c>
      <c r="AW1115" s="91">
        <v>44712</v>
      </c>
      <c r="AX1115" s="91">
        <v>44732</v>
      </c>
      <c r="AY1115" s="107">
        <v>438000</v>
      </c>
      <c r="AZ1115" s="107">
        <f>ROUNDDOWN(AY1115+(AY1115*MASTER!$A$2/100),0)</f>
        <v>481800</v>
      </c>
      <c r="BC1115" s="64">
        <v>0</v>
      </c>
      <c r="BG1115" s="64">
        <v>0</v>
      </c>
      <c r="BK1115" s="64">
        <v>0</v>
      </c>
      <c r="BS1115" s="64">
        <v>0</v>
      </c>
      <c r="BV1115" s="65">
        <v>481800</v>
      </c>
      <c r="BW1115" s="65">
        <v>0</v>
      </c>
      <c r="BX1115" s="65">
        <v>44683</v>
      </c>
      <c r="BY1115" s="65">
        <v>481800</v>
      </c>
      <c r="BZ1115" s="81">
        <v>100</v>
      </c>
    </row>
    <row r="1116" spans="1:89" x14ac:dyDescent="0.15">
      <c r="A1116" s="60">
        <v>1</v>
      </c>
      <c r="B1116" s="61">
        <v>44697</v>
      </c>
      <c r="C1116" s="61">
        <v>44706</v>
      </c>
      <c r="F1116" s="61" t="s">
        <v>309</v>
      </c>
      <c r="H1116" s="61" t="s">
        <v>309</v>
      </c>
      <c r="J1116" s="60">
        <v>2</v>
      </c>
      <c r="L1116" s="60">
        <v>0</v>
      </c>
      <c r="M1116" s="61">
        <v>44683</v>
      </c>
      <c r="O1116" s="62" t="s">
        <v>331</v>
      </c>
      <c r="P1116" s="60" t="s">
        <v>26</v>
      </c>
      <c r="Q1116" s="62" t="s">
        <v>137</v>
      </c>
      <c r="R1116" s="62" t="s">
        <v>3373</v>
      </c>
      <c r="S1116" s="63" t="s">
        <v>326</v>
      </c>
      <c r="T1116" s="63" t="s">
        <v>3307</v>
      </c>
      <c r="U1116" s="64">
        <v>262000</v>
      </c>
      <c r="V1116" s="64">
        <v>288200</v>
      </c>
      <c r="W1116" s="64">
        <v>262000</v>
      </c>
      <c r="X1116" s="64">
        <v>288200</v>
      </c>
      <c r="Y1116" s="64">
        <v>0</v>
      </c>
      <c r="Z1116" s="64">
        <v>0</v>
      </c>
      <c r="AA1116" s="61">
        <v>44682</v>
      </c>
      <c r="AB1116" s="61">
        <v>44712</v>
      </c>
      <c r="AD1116" s="60">
        <v>0</v>
      </c>
      <c r="AG1116" s="60">
        <v>0</v>
      </c>
      <c r="AJ1116" s="60">
        <v>0</v>
      </c>
      <c r="AQ1116" s="60" t="s">
        <v>3371</v>
      </c>
      <c r="AR1116" s="61">
        <v>44692</v>
      </c>
      <c r="AS1116" s="60">
        <v>6002024328</v>
      </c>
      <c r="AT1116" s="61">
        <v>44694</v>
      </c>
      <c r="AU1116" s="60" t="s">
        <v>3389</v>
      </c>
      <c r="AV1116" s="61">
        <v>44706</v>
      </c>
      <c r="AW1116" s="91">
        <v>44712</v>
      </c>
      <c r="AX1116" s="91">
        <v>44732</v>
      </c>
      <c r="AY1116" s="107">
        <v>262000</v>
      </c>
      <c r="AZ1116" s="107">
        <f>ROUNDDOWN(AY1116+(AY1116*MASTER!$A$2/100),0)</f>
        <v>288200</v>
      </c>
      <c r="BC1116" s="64">
        <v>0</v>
      </c>
      <c r="BG1116" s="64">
        <v>0</v>
      </c>
      <c r="BK1116" s="64">
        <v>0</v>
      </c>
      <c r="BS1116" s="64">
        <v>0</v>
      </c>
      <c r="BV1116" s="65">
        <v>288200</v>
      </c>
      <c r="BW1116" s="65">
        <v>0</v>
      </c>
      <c r="BX1116" s="65">
        <v>44683</v>
      </c>
      <c r="BY1116" s="65">
        <v>288200</v>
      </c>
      <c r="BZ1116" s="81">
        <v>100</v>
      </c>
    </row>
    <row r="1117" spans="1:89" x14ac:dyDescent="0.15">
      <c r="A1117" s="60">
        <v>1</v>
      </c>
      <c r="B1117" s="61">
        <v>44697</v>
      </c>
      <c r="C1117" s="61">
        <v>44706</v>
      </c>
      <c r="F1117" s="61" t="s">
        <v>309</v>
      </c>
      <c r="H1117" s="61" t="s">
        <v>309</v>
      </c>
      <c r="J1117" s="60">
        <v>2</v>
      </c>
      <c r="L1117" s="60">
        <v>0</v>
      </c>
      <c r="M1117" s="61">
        <v>44683</v>
      </c>
      <c r="O1117" s="62" t="s">
        <v>331</v>
      </c>
      <c r="P1117" s="60" t="s">
        <v>26</v>
      </c>
      <c r="Q1117" s="62" t="s">
        <v>137</v>
      </c>
      <c r="R1117" s="62" t="s">
        <v>3369</v>
      </c>
      <c r="S1117" s="63" t="s">
        <v>417</v>
      </c>
      <c r="T1117" s="63" t="s">
        <v>3308</v>
      </c>
      <c r="U1117" s="64">
        <v>66000</v>
      </c>
      <c r="V1117" s="64">
        <v>72600</v>
      </c>
      <c r="W1117" s="64">
        <v>66000</v>
      </c>
      <c r="X1117" s="64">
        <v>72600</v>
      </c>
      <c r="Y1117" s="64">
        <v>0</v>
      </c>
      <c r="Z1117" s="64">
        <v>0</v>
      </c>
      <c r="AA1117" s="61">
        <v>44682</v>
      </c>
      <c r="AB1117" s="61">
        <v>44712</v>
      </c>
      <c r="AD1117" s="60">
        <v>0</v>
      </c>
      <c r="AG1117" s="60">
        <v>0</v>
      </c>
      <c r="AJ1117" s="60">
        <v>0</v>
      </c>
      <c r="AQ1117" s="60" t="s">
        <v>3370</v>
      </c>
      <c r="AR1117" s="61">
        <v>44692</v>
      </c>
      <c r="AS1117" s="60">
        <v>6002024328</v>
      </c>
      <c r="AT1117" s="61">
        <v>44694</v>
      </c>
      <c r="AU1117" s="60" t="s">
        <v>3389</v>
      </c>
      <c r="AV1117" s="61">
        <v>44706</v>
      </c>
      <c r="AW1117" s="91">
        <v>44712</v>
      </c>
      <c r="AX1117" s="91">
        <v>44732</v>
      </c>
      <c r="AY1117" s="99">
        <v>63360</v>
      </c>
      <c r="AZ1117" s="99">
        <f>ROUNDDOWN(AY1117+(AY1117*MASTER!$A$2/100),0)</f>
        <v>69696</v>
      </c>
      <c r="BC1117" s="64">
        <v>0</v>
      </c>
      <c r="BG1117" s="64">
        <v>0</v>
      </c>
      <c r="BK1117" s="64">
        <v>0</v>
      </c>
      <c r="BS1117" s="64">
        <v>0</v>
      </c>
      <c r="BV1117" s="65">
        <v>72600</v>
      </c>
      <c r="BW1117" s="65">
        <v>0</v>
      </c>
      <c r="BX1117" s="65">
        <v>44683</v>
      </c>
      <c r="BY1117" s="65">
        <v>72600</v>
      </c>
      <c r="BZ1117" s="81">
        <v>100</v>
      </c>
    </row>
    <row r="1118" spans="1:89" x14ac:dyDescent="0.15">
      <c r="A1118" s="60">
        <v>1</v>
      </c>
      <c r="B1118" s="61">
        <v>44700</v>
      </c>
      <c r="C1118" s="61">
        <v>44699</v>
      </c>
      <c r="F1118" s="61" t="s">
        <v>309</v>
      </c>
      <c r="G1118" s="61">
        <v>44687</v>
      </c>
      <c r="H1118" s="61" t="s">
        <v>309</v>
      </c>
      <c r="J1118" s="60">
        <v>1</v>
      </c>
      <c r="L1118" s="60">
        <v>0</v>
      </c>
      <c r="M1118" s="61">
        <v>44683</v>
      </c>
      <c r="O1118" s="62" t="s">
        <v>331</v>
      </c>
      <c r="P1118" s="60" t="s">
        <v>26</v>
      </c>
      <c r="Q1118" s="62" t="s">
        <v>137</v>
      </c>
      <c r="R1118" s="62" t="s">
        <v>3311</v>
      </c>
      <c r="S1118" s="63" t="s">
        <v>2485</v>
      </c>
      <c r="T1118" s="63" t="s">
        <v>3310</v>
      </c>
      <c r="U1118" s="64">
        <v>37500</v>
      </c>
      <c r="V1118" s="64">
        <v>41250</v>
      </c>
      <c r="W1118" s="64">
        <v>34500</v>
      </c>
      <c r="X1118" s="64">
        <v>37950</v>
      </c>
      <c r="Y1118" s="64">
        <v>3000</v>
      </c>
      <c r="Z1118" s="64">
        <v>3300</v>
      </c>
      <c r="AA1118" s="61">
        <v>44720</v>
      </c>
      <c r="AB1118" s="61">
        <v>44721</v>
      </c>
      <c r="AD1118" s="60">
        <v>0</v>
      </c>
      <c r="AG1118" s="60">
        <v>0</v>
      </c>
      <c r="AJ1118" s="60">
        <v>0</v>
      </c>
      <c r="AM1118" s="60" t="s">
        <v>273</v>
      </c>
      <c r="AN1118" s="60" t="s">
        <v>3312</v>
      </c>
      <c r="AQ1118" s="60" t="s">
        <v>3387</v>
      </c>
      <c r="AR1118" s="61">
        <v>44694</v>
      </c>
      <c r="AS1118" s="60">
        <v>6002026012</v>
      </c>
      <c r="AT1118" s="61">
        <v>44698</v>
      </c>
      <c r="AU1118" s="60" t="s">
        <v>3402</v>
      </c>
      <c r="AV1118" s="61">
        <v>44699</v>
      </c>
      <c r="AW1118" s="91">
        <v>44712</v>
      </c>
      <c r="AX1118" s="91">
        <v>44732</v>
      </c>
      <c r="AY1118" s="107">
        <v>37500</v>
      </c>
      <c r="AZ1118" s="107">
        <f>ROUNDDOWN(AY1118+(AY1118*MASTER!$A$2/100),0)</f>
        <v>41250</v>
      </c>
      <c r="BC1118" s="64">
        <v>0</v>
      </c>
      <c r="BG1118" s="64">
        <v>0</v>
      </c>
      <c r="BK1118" s="64">
        <v>0</v>
      </c>
      <c r="BS1118" s="64">
        <v>0</v>
      </c>
      <c r="BV1118" s="65">
        <v>37950</v>
      </c>
      <c r="BW1118" s="65">
        <v>0</v>
      </c>
      <c r="BX1118" s="65">
        <v>44683</v>
      </c>
      <c r="BY1118" s="65">
        <v>37950</v>
      </c>
      <c r="BZ1118" s="81">
        <v>100</v>
      </c>
    </row>
    <row r="1119" spans="1:89" x14ac:dyDescent="0.15">
      <c r="A1119" s="60">
        <v>2</v>
      </c>
      <c r="C1119" s="61" t="s">
        <v>309</v>
      </c>
      <c r="F1119" s="61" t="s">
        <v>309</v>
      </c>
      <c r="H1119" s="61" t="s">
        <v>309</v>
      </c>
      <c r="J1119" s="60">
        <v>4</v>
      </c>
      <c r="L1119" s="60">
        <v>0</v>
      </c>
      <c r="M1119" s="61">
        <v>44683</v>
      </c>
      <c r="O1119" s="62" t="s">
        <v>331</v>
      </c>
      <c r="P1119" s="60" t="s">
        <v>77</v>
      </c>
      <c r="Q1119" s="62" t="s">
        <v>137</v>
      </c>
      <c r="R1119" s="62" t="s">
        <v>3321</v>
      </c>
      <c r="S1119" s="63" t="s">
        <v>354</v>
      </c>
      <c r="T1119" s="63" t="s">
        <v>3322</v>
      </c>
      <c r="U1119" s="64">
        <v>0</v>
      </c>
      <c r="V1119" s="64">
        <v>0</v>
      </c>
      <c r="W1119" s="64">
        <v>0</v>
      </c>
      <c r="X1119" s="64">
        <v>0</v>
      </c>
      <c r="Y1119" s="64">
        <v>0</v>
      </c>
      <c r="Z1119" s="64">
        <v>0</v>
      </c>
      <c r="AA1119" s="61">
        <v>44652</v>
      </c>
      <c r="AB1119" s="61">
        <v>44681</v>
      </c>
      <c r="AD1119" s="60">
        <v>0</v>
      </c>
      <c r="AG1119" s="60">
        <v>0</v>
      </c>
      <c r="AJ1119" s="60">
        <v>0</v>
      </c>
      <c r="AN1119" s="60" t="s">
        <v>309</v>
      </c>
      <c r="AY1119" s="99">
        <v>0</v>
      </c>
      <c r="AZ1119" s="99">
        <f>ROUNDDOWN(AY1119+(AY1119*MASTER!$A$2/100),0)</f>
        <v>0</v>
      </c>
      <c r="BA1119" s="60" t="s">
        <v>321</v>
      </c>
      <c r="BB1119" s="64">
        <v>600950</v>
      </c>
      <c r="BC1119" s="64">
        <v>661045</v>
      </c>
      <c r="BD1119" s="60" t="s">
        <v>643</v>
      </c>
      <c r="BG1119" s="64">
        <v>0</v>
      </c>
      <c r="BK1119" s="64">
        <v>0</v>
      </c>
      <c r="BS1119" s="64">
        <v>0</v>
      </c>
      <c r="BV1119" s="65">
        <v>0</v>
      </c>
      <c r="BW1119" s="65">
        <v>661045</v>
      </c>
      <c r="BX1119" s="65">
        <v>44683</v>
      </c>
      <c r="BY1119" s="65">
        <v>-661045</v>
      </c>
      <c r="BZ1119" s="81" t="s">
        <v>309</v>
      </c>
    </row>
    <row r="1120" spans="1:89" x14ac:dyDescent="0.15">
      <c r="A1120" s="60">
        <v>2</v>
      </c>
      <c r="C1120" s="61" t="s">
        <v>309</v>
      </c>
      <c r="F1120" s="61" t="s">
        <v>309</v>
      </c>
      <c r="H1120" s="61" t="s">
        <v>309</v>
      </c>
      <c r="J1120" s="60">
        <v>4</v>
      </c>
      <c r="L1120" s="60">
        <v>0</v>
      </c>
      <c r="M1120" s="61">
        <v>44683</v>
      </c>
      <c r="O1120" s="62" t="s">
        <v>331</v>
      </c>
      <c r="P1120" s="60" t="s">
        <v>77</v>
      </c>
      <c r="Q1120" s="62" t="s">
        <v>137</v>
      </c>
      <c r="R1120" s="62" t="s">
        <v>3361</v>
      </c>
      <c r="S1120" s="63" t="s">
        <v>354</v>
      </c>
      <c r="T1120" s="63" t="s">
        <v>3362</v>
      </c>
      <c r="U1120" s="64">
        <v>0</v>
      </c>
      <c r="V1120" s="64">
        <v>0</v>
      </c>
      <c r="W1120" s="64">
        <v>0</v>
      </c>
      <c r="X1120" s="64">
        <v>0</v>
      </c>
      <c r="Y1120" s="64">
        <v>0</v>
      </c>
      <c r="Z1120" s="64">
        <v>0</v>
      </c>
      <c r="AA1120" s="61">
        <v>44652</v>
      </c>
      <c r="AB1120" s="61">
        <v>44681</v>
      </c>
      <c r="AD1120" s="60">
        <v>0</v>
      </c>
      <c r="AG1120" s="60">
        <v>0</v>
      </c>
      <c r="AJ1120" s="60">
        <v>0</v>
      </c>
      <c r="AN1120" s="60" t="s">
        <v>309</v>
      </c>
      <c r="AY1120" s="99">
        <v>0</v>
      </c>
      <c r="AZ1120" s="99">
        <f>ROUNDDOWN(AY1120+(AY1120*MASTER!$A$2/100),0)</f>
        <v>0</v>
      </c>
      <c r="BA1120" s="60" t="s">
        <v>272</v>
      </c>
      <c r="BB1120" s="64">
        <v>541454</v>
      </c>
      <c r="BC1120" s="64">
        <v>595600</v>
      </c>
      <c r="BD1120" s="60" t="s">
        <v>643</v>
      </c>
      <c r="BG1120" s="64">
        <v>0</v>
      </c>
      <c r="BK1120" s="64">
        <v>0</v>
      </c>
      <c r="BS1120" s="64">
        <v>0</v>
      </c>
      <c r="BV1120" s="65">
        <v>0</v>
      </c>
      <c r="BW1120" s="65">
        <v>595599.4</v>
      </c>
      <c r="BX1120" s="65">
        <v>44683</v>
      </c>
      <c r="BY1120" s="65">
        <v>-595599.4</v>
      </c>
      <c r="BZ1120" s="81" t="s">
        <v>309</v>
      </c>
    </row>
    <row r="1121" spans="1:89" x14ac:dyDescent="0.15">
      <c r="A1121" s="60">
        <v>2</v>
      </c>
      <c r="C1121" s="61" t="s">
        <v>309</v>
      </c>
      <c r="F1121" s="61" t="s">
        <v>309</v>
      </c>
      <c r="H1121" s="61" t="s">
        <v>309</v>
      </c>
      <c r="J1121" s="60">
        <v>4</v>
      </c>
      <c r="L1121" s="60">
        <v>0</v>
      </c>
      <c r="M1121" s="61">
        <v>44683</v>
      </c>
      <c r="O1121" s="62" t="s">
        <v>331</v>
      </c>
      <c r="P1121" s="60" t="s">
        <v>263</v>
      </c>
      <c r="Q1121" s="62" t="s">
        <v>137</v>
      </c>
      <c r="R1121" s="62" t="s">
        <v>3377</v>
      </c>
      <c r="S1121" s="63" t="s">
        <v>354</v>
      </c>
      <c r="T1121" s="63" t="s">
        <v>3378</v>
      </c>
      <c r="U1121" s="64">
        <v>0</v>
      </c>
      <c r="V1121" s="64">
        <v>0</v>
      </c>
      <c r="W1121" s="64">
        <v>0</v>
      </c>
      <c r="X1121" s="64">
        <v>0</v>
      </c>
      <c r="Y1121" s="64">
        <v>0</v>
      </c>
      <c r="Z1121" s="64">
        <v>0</v>
      </c>
      <c r="AA1121" s="61">
        <v>44652</v>
      </c>
      <c r="AB1121" s="61">
        <v>44681</v>
      </c>
      <c r="AD1121" s="60">
        <v>0</v>
      </c>
      <c r="AG1121" s="60">
        <v>0</v>
      </c>
      <c r="AJ1121" s="60">
        <v>0</v>
      </c>
      <c r="AN1121" s="60" t="s">
        <v>309</v>
      </c>
      <c r="AY1121" s="99">
        <v>0</v>
      </c>
      <c r="AZ1121" s="99">
        <f>ROUNDDOWN(AY1121+(AY1121*MASTER!$A$2/100),0)</f>
        <v>0</v>
      </c>
      <c r="BA1121" s="60" t="s">
        <v>14</v>
      </c>
      <c r="BB1121" s="64">
        <v>445280</v>
      </c>
      <c r="BC1121" s="64">
        <v>489808</v>
      </c>
      <c r="BD1121" s="60" t="s">
        <v>643</v>
      </c>
      <c r="BG1121" s="64">
        <v>0</v>
      </c>
      <c r="BK1121" s="64">
        <v>0</v>
      </c>
      <c r="BS1121" s="64">
        <v>0</v>
      </c>
      <c r="BV1121" s="65">
        <v>0</v>
      </c>
      <c r="BW1121" s="65">
        <v>489808</v>
      </c>
      <c r="BX1121" s="65">
        <v>44683</v>
      </c>
      <c r="BY1121" s="65">
        <v>-489808</v>
      </c>
      <c r="BZ1121" s="81" t="s">
        <v>309</v>
      </c>
    </row>
    <row r="1122" spans="1:89" x14ac:dyDescent="0.15">
      <c r="A1122" s="60">
        <v>2</v>
      </c>
      <c r="C1122" s="61" t="s">
        <v>309</v>
      </c>
      <c r="F1122" s="61" t="s">
        <v>309</v>
      </c>
      <c r="H1122" s="61" t="s">
        <v>309</v>
      </c>
      <c r="J1122" s="60">
        <v>4</v>
      </c>
      <c r="L1122" s="60">
        <v>0</v>
      </c>
      <c r="M1122" s="61">
        <v>44683</v>
      </c>
      <c r="O1122" s="62" t="s">
        <v>331</v>
      </c>
      <c r="P1122" s="60" t="s">
        <v>263</v>
      </c>
      <c r="Q1122" s="62" t="s">
        <v>137</v>
      </c>
      <c r="R1122" s="62" t="s">
        <v>3315</v>
      </c>
      <c r="S1122" s="63" t="s">
        <v>342</v>
      </c>
      <c r="T1122" s="63" t="s">
        <v>2975</v>
      </c>
      <c r="U1122" s="64">
        <v>0</v>
      </c>
      <c r="V1122" s="64">
        <v>0</v>
      </c>
      <c r="X1122" s="64">
        <v>0</v>
      </c>
      <c r="Z1122" s="64">
        <v>0</v>
      </c>
      <c r="AA1122" s="61">
        <v>44627</v>
      </c>
      <c r="AB1122" s="61">
        <v>44634</v>
      </c>
      <c r="AD1122" s="60">
        <v>0</v>
      </c>
      <c r="AG1122" s="60">
        <v>0</v>
      </c>
      <c r="AJ1122" s="60">
        <v>0</v>
      </c>
      <c r="AY1122" s="99">
        <v>0</v>
      </c>
      <c r="AZ1122" s="99">
        <f>ROUNDDOWN(AY1122+(AY1122*MASTER!$A$2/100),0)</f>
        <v>0</v>
      </c>
      <c r="BC1122" s="64">
        <v>0</v>
      </c>
      <c r="BG1122" s="64">
        <v>0</v>
      </c>
      <c r="BI1122" s="60" t="s">
        <v>748</v>
      </c>
      <c r="BJ1122" s="64">
        <v>22750</v>
      </c>
      <c r="BK1122" s="64">
        <v>25025</v>
      </c>
      <c r="BL1122" s="60" t="s">
        <v>2916</v>
      </c>
      <c r="BS1122" s="64">
        <v>0</v>
      </c>
      <c r="BV1122" s="65">
        <v>0</v>
      </c>
      <c r="BW1122" s="65">
        <v>25025</v>
      </c>
      <c r="BX1122" s="65">
        <v>44683</v>
      </c>
      <c r="BY1122" s="65">
        <v>-25025</v>
      </c>
      <c r="BZ1122" s="81" t="s">
        <v>309</v>
      </c>
    </row>
    <row r="1123" spans="1:89" x14ac:dyDescent="0.15">
      <c r="A1123" s="60">
        <v>2</v>
      </c>
      <c r="C1123" s="61" t="s">
        <v>309</v>
      </c>
      <c r="F1123" s="61" t="s">
        <v>309</v>
      </c>
      <c r="H1123" s="61" t="s">
        <v>309</v>
      </c>
      <c r="J1123" s="60">
        <v>4</v>
      </c>
      <c r="L1123" s="60">
        <v>0</v>
      </c>
      <c r="M1123" s="61">
        <v>44683</v>
      </c>
      <c r="O1123" s="62" t="s">
        <v>331</v>
      </c>
      <c r="P1123" s="60" t="s">
        <v>263</v>
      </c>
      <c r="Q1123" s="62" t="s">
        <v>137</v>
      </c>
      <c r="R1123" s="62" t="s">
        <v>3316</v>
      </c>
      <c r="S1123" s="63" t="s">
        <v>342</v>
      </c>
      <c r="T1123" s="63" t="s">
        <v>3314</v>
      </c>
      <c r="U1123" s="64">
        <v>0</v>
      </c>
      <c r="V1123" s="64">
        <v>0</v>
      </c>
      <c r="X1123" s="64">
        <v>0</v>
      </c>
      <c r="Z1123" s="64">
        <v>0</v>
      </c>
      <c r="AA1123" s="61">
        <v>44643</v>
      </c>
      <c r="AB1123" s="61">
        <v>44644</v>
      </c>
      <c r="AD1123" s="60">
        <v>0</v>
      </c>
      <c r="AG1123" s="60">
        <v>0</v>
      </c>
      <c r="AJ1123" s="60">
        <v>0</v>
      </c>
      <c r="AY1123" s="99">
        <v>0</v>
      </c>
      <c r="AZ1123" s="99">
        <f>ROUNDDOWN(AY1123+(AY1123*MASTER!$A$2/100),0)</f>
        <v>0</v>
      </c>
      <c r="BC1123" s="64">
        <v>0</v>
      </c>
      <c r="BG1123" s="64">
        <v>0</v>
      </c>
      <c r="BI1123" s="60" t="s">
        <v>748</v>
      </c>
      <c r="BJ1123" s="64">
        <v>19500</v>
      </c>
      <c r="BK1123" s="64">
        <v>21450</v>
      </c>
      <c r="BL1123" s="60" t="s">
        <v>2916</v>
      </c>
      <c r="BS1123" s="64">
        <v>0</v>
      </c>
      <c r="BV1123" s="65">
        <v>0</v>
      </c>
      <c r="BW1123" s="65">
        <v>21450</v>
      </c>
      <c r="BX1123" s="65">
        <v>44683</v>
      </c>
      <c r="BY1123" s="65">
        <v>-21450</v>
      </c>
      <c r="BZ1123" s="81" t="s">
        <v>309</v>
      </c>
    </row>
    <row r="1124" spans="1:89" x14ac:dyDescent="0.15">
      <c r="A1124" s="60">
        <v>2</v>
      </c>
      <c r="C1124" s="61" t="s">
        <v>309</v>
      </c>
      <c r="F1124" s="61" t="s">
        <v>309</v>
      </c>
      <c r="H1124" s="61" t="s">
        <v>309</v>
      </c>
      <c r="J1124" s="60">
        <v>4</v>
      </c>
      <c r="L1124" s="60">
        <v>0</v>
      </c>
      <c r="M1124" s="61">
        <v>44687</v>
      </c>
      <c r="O1124" s="62" t="s">
        <v>331</v>
      </c>
      <c r="P1124" s="60" t="s">
        <v>263</v>
      </c>
      <c r="Q1124" s="62" t="s">
        <v>137</v>
      </c>
      <c r="R1124" s="62" t="s">
        <v>3318</v>
      </c>
      <c r="S1124" s="63" t="s">
        <v>1647</v>
      </c>
      <c r="T1124" s="63" t="s">
        <v>3319</v>
      </c>
      <c r="U1124" s="64">
        <v>0</v>
      </c>
      <c r="V1124" s="64">
        <v>0</v>
      </c>
      <c r="W1124" s="64">
        <v>0</v>
      </c>
      <c r="X1124" s="64">
        <v>0</v>
      </c>
      <c r="Y1124" s="64">
        <v>0</v>
      </c>
      <c r="Z1124" s="64">
        <v>0</v>
      </c>
      <c r="AA1124" s="61">
        <v>44665</v>
      </c>
      <c r="AB1124" s="61">
        <v>44666</v>
      </c>
      <c r="AD1124" s="60">
        <v>0</v>
      </c>
      <c r="AG1124" s="60">
        <v>0</v>
      </c>
      <c r="AJ1124" s="60">
        <v>0</v>
      </c>
      <c r="AN1124" s="60" t="s">
        <v>309</v>
      </c>
      <c r="AY1124" s="99">
        <f>ROUNDDOWN((0.96*U1124),0)</f>
        <v>0</v>
      </c>
      <c r="AZ1124" s="99">
        <f>ROUNDDOWN(AY1124+(AY1124*MASTER!$A$2/100),0)</f>
        <v>0</v>
      </c>
      <c r="BA1124" s="60" t="s">
        <v>321</v>
      </c>
      <c r="BB1124" s="64">
        <v>115000</v>
      </c>
      <c r="BC1124" s="64">
        <v>126500</v>
      </c>
      <c r="BD1124" s="60" t="s">
        <v>643</v>
      </c>
      <c r="BG1124" s="64">
        <v>0</v>
      </c>
      <c r="BK1124" s="64">
        <v>0</v>
      </c>
      <c r="BS1124" s="64">
        <v>0</v>
      </c>
      <c r="BV1124" s="65">
        <v>0</v>
      </c>
      <c r="BW1124" s="65">
        <v>126500</v>
      </c>
      <c r="BX1124" s="65">
        <v>44687</v>
      </c>
      <c r="BY1124" s="65">
        <v>-126500</v>
      </c>
      <c r="BZ1124" s="81" t="s">
        <v>309</v>
      </c>
    </row>
    <row r="1125" spans="1:89" x14ac:dyDescent="0.15">
      <c r="A1125" s="60">
        <v>1</v>
      </c>
      <c r="C1125" s="61" t="s">
        <v>309</v>
      </c>
      <c r="F1125" s="61" t="s">
        <v>309</v>
      </c>
      <c r="H1125" s="61" t="s">
        <v>309</v>
      </c>
      <c r="J1125" s="60">
        <v>4</v>
      </c>
      <c r="L1125" s="60">
        <v>0</v>
      </c>
      <c r="M1125" s="61">
        <v>44687</v>
      </c>
      <c r="O1125" s="62" t="s">
        <v>331</v>
      </c>
      <c r="P1125" s="60" t="s">
        <v>263</v>
      </c>
      <c r="Q1125" s="62" t="s">
        <v>137</v>
      </c>
      <c r="R1125" s="62" t="s">
        <v>3320</v>
      </c>
      <c r="S1125" s="63" t="s">
        <v>354</v>
      </c>
      <c r="T1125" s="63" t="s">
        <v>3323</v>
      </c>
      <c r="U1125" s="64">
        <v>0</v>
      </c>
      <c r="V1125" s="64">
        <v>0</v>
      </c>
      <c r="W1125" s="64">
        <v>0</v>
      </c>
      <c r="X1125" s="64">
        <v>0</v>
      </c>
      <c r="Y1125" s="64">
        <v>0</v>
      </c>
      <c r="Z1125" s="64">
        <v>0</v>
      </c>
      <c r="AD1125" s="60">
        <v>0</v>
      </c>
      <c r="AG1125" s="60">
        <v>0</v>
      </c>
      <c r="AJ1125" s="60">
        <v>0</v>
      </c>
      <c r="AN1125" s="60" t="s">
        <v>309</v>
      </c>
      <c r="AY1125" s="99">
        <f>ROUNDDOWN((0.96*U1125),0)</f>
        <v>0</v>
      </c>
      <c r="AZ1125" s="99">
        <f>ROUNDDOWN(AY1125+(AY1125*MASTER!$A$2/100),0)</f>
        <v>0</v>
      </c>
      <c r="BA1125" s="60" t="s">
        <v>321</v>
      </c>
      <c r="BB1125" s="64">
        <v>2509</v>
      </c>
      <c r="BC1125" s="64">
        <v>2759.9</v>
      </c>
      <c r="BD1125" s="60" t="s">
        <v>643</v>
      </c>
      <c r="BG1125" s="64">
        <v>0</v>
      </c>
      <c r="BK1125" s="64">
        <v>0</v>
      </c>
      <c r="BS1125" s="64">
        <v>0</v>
      </c>
      <c r="BV1125" s="65">
        <v>0</v>
      </c>
      <c r="BW1125" s="65">
        <v>2759.9</v>
      </c>
      <c r="BX1125" s="65">
        <v>44687</v>
      </c>
      <c r="BY1125" s="65">
        <v>-2759.9</v>
      </c>
      <c r="BZ1125" s="81" t="s">
        <v>309</v>
      </c>
    </row>
    <row r="1126" spans="1:89" x14ac:dyDescent="0.15">
      <c r="A1126" s="60">
        <v>2</v>
      </c>
      <c r="B1126" s="61">
        <v>44700</v>
      </c>
      <c r="C1126" s="61">
        <v>44701</v>
      </c>
      <c r="D1126" s="61">
        <v>44690</v>
      </c>
      <c r="E1126" s="61">
        <v>44690</v>
      </c>
      <c r="F1126" s="61" t="s">
        <v>309</v>
      </c>
      <c r="G1126" s="61">
        <v>44690</v>
      </c>
      <c r="H1126" s="61" t="s">
        <v>309</v>
      </c>
      <c r="I1126" s="60" t="s">
        <v>766</v>
      </c>
      <c r="J1126" s="60">
        <v>2</v>
      </c>
      <c r="L1126" s="60">
        <v>0</v>
      </c>
      <c r="M1126" s="61">
        <v>44690</v>
      </c>
      <c r="O1126" s="62" t="s">
        <v>331</v>
      </c>
      <c r="P1126" s="60" t="s">
        <v>6</v>
      </c>
      <c r="Q1126" s="62" t="s">
        <v>137</v>
      </c>
      <c r="R1126" s="62" t="s">
        <v>3336</v>
      </c>
      <c r="S1126" s="63" t="s">
        <v>717</v>
      </c>
      <c r="T1126" s="63" t="s">
        <v>364</v>
      </c>
      <c r="U1126" s="64">
        <v>35000</v>
      </c>
      <c r="V1126" s="64">
        <v>38500</v>
      </c>
      <c r="W1126" s="64">
        <v>35000</v>
      </c>
      <c r="X1126" s="64">
        <v>38500</v>
      </c>
      <c r="Z1126" s="64">
        <v>0</v>
      </c>
      <c r="AA1126" s="61">
        <v>44683</v>
      </c>
      <c r="AB1126" s="61">
        <v>44683</v>
      </c>
      <c r="AD1126" s="60">
        <v>0</v>
      </c>
      <c r="AG1126" s="60">
        <v>0</v>
      </c>
      <c r="AJ1126" s="60">
        <v>0</v>
      </c>
      <c r="AN1126" s="60" t="s">
        <v>309</v>
      </c>
      <c r="AQ1126" s="60" t="s">
        <v>3398</v>
      </c>
      <c r="AR1126" s="61">
        <v>44698</v>
      </c>
      <c r="AS1126" s="60">
        <v>6002027328</v>
      </c>
      <c r="AT1126" s="61">
        <v>44698</v>
      </c>
      <c r="AU1126" s="60" t="s">
        <v>3403</v>
      </c>
      <c r="AV1126" s="61">
        <v>44701</v>
      </c>
      <c r="AW1126" s="91">
        <v>44712</v>
      </c>
      <c r="AX1126" s="91">
        <v>44732</v>
      </c>
      <c r="AY1126" s="99">
        <v>33600</v>
      </c>
      <c r="AZ1126" s="99">
        <f>ROUNDDOWN(AY1126+(AY1126*MASTER!$A$2/100),0)</f>
        <v>36960</v>
      </c>
      <c r="BA1126" s="60" t="s">
        <v>613</v>
      </c>
      <c r="BB1126" s="64">
        <v>21000</v>
      </c>
      <c r="BC1126" s="64">
        <v>23100</v>
      </c>
      <c r="BD1126" s="60" t="s">
        <v>3360</v>
      </c>
      <c r="BG1126" s="64">
        <v>0</v>
      </c>
      <c r="BK1126" s="64">
        <v>0</v>
      </c>
      <c r="BS1126" s="64">
        <v>0</v>
      </c>
      <c r="BV1126" s="65">
        <v>38500</v>
      </c>
      <c r="BW1126" s="65">
        <v>23100</v>
      </c>
      <c r="BX1126" s="65">
        <v>44690</v>
      </c>
      <c r="BY1126" s="65">
        <v>15400</v>
      </c>
      <c r="BZ1126" s="81">
        <v>40</v>
      </c>
    </row>
    <row r="1127" spans="1:89" x14ac:dyDescent="0.15">
      <c r="A1127" s="60">
        <v>2</v>
      </c>
      <c r="B1127" s="61">
        <v>44700</v>
      </c>
      <c r="C1127" s="61">
        <v>44701</v>
      </c>
      <c r="D1127" s="61">
        <v>44693</v>
      </c>
      <c r="E1127" s="61">
        <v>44693</v>
      </c>
      <c r="F1127" s="61" t="s">
        <v>309</v>
      </c>
      <c r="G1127" s="61">
        <v>44693</v>
      </c>
      <c r="H1127" s="61" t="s">
        <v>309</v>
      </c>
      <c r="I1127" s="60" t="s">
        <v>766</v>
      </c>
      <c r="J1127" s="60">
        <v>2</v>
      </c>
      <c r="L1127" s="60">
        <v>0</v>
      </c>
      <c r="M1127" s="61">
        <v>44690</v>
      </c>
      <c r="O1127" s="62" t="s">
        <v>331</v>
      </c>
      <c r="P1127" s="60" t="s">
        <v>6</v>
      </c>
      <c r="Q1127" s="62" t="s">
        <v>137</v>
      </c>
      <c r="R1127" s="62" t="s">
        <v>3385</v>
      </c>
      <c r="S1127" s="63" t="s">
        <v>866</v>
      </c>
      <c r="T1127" s="63" t="s">
        <v>364</v>
      </c>
      <c r="U1127" s="64">
        <v>35000</v>
      </c>
      <c r="V1127" s="64">
        <v>38500</v>
      </c>
      <c r="W1127" s="64">
        <v>35000</v>
      </c>
      <c r="X1127" s="64">
        <v>38500</v>
      </c>
      <c r="Z1127" s="64">
        <v>0</v>
      </c>
      <c r="AA1127" s="61">
        <v>44692</v>
      </c>
      <c r="AB1127" s="61">
        <v>44692</v>
      </c>
      <c r="AD1127" s="60">
        <v>0</v>
      </c>
      <c r="AG1127" s="60">
        <v>0</v>
      </c>
      <c r="AJ1127" s="60">
        <v>0</v>
      </c>
      <c r="AN1127" s="60" t="s">
        <v>309</v>
      </c>
      <c r="AQ1127" s="60" t="s">
        <v>3399</v>
      </c>
      <c r="AR1127" s="61">
        <v>44698</v>
      </c>
      <c r="AS1127" s="60">
        <v>6002027328</v>
      </c>
      <c r="AT1127" s="61">
        <v>44698</v>
      </c>
      <c r="AU1127" s="60" t="s">
        <v>3403</v>
      </c>
      <c r="AV1127" s="61">
        <v>44701</v>
      </c>
      <c r="AW1127" s="91">
        <v>44712</v>
      </c>
      <c r="AX1127" s="91">
        <v>44732</v>
      </c>
      <c r="AY1127" s="99">
        <v>33600</v>
      </c>
      <c r="AZ1127" s="99">
        <f>ROUNDDOWN(AY1127+(AY1127*MASTER!$A$2/100),0)</f>
        <v>36960</v>
      </c>
      <c r="BA1127" s="60" t="s">
        <v>318</v>
      </c>
      <c r="BB1127" s="64">
        <v>36000</v>
      </c>
      <c r="BC1127" s="64">
        <v>39600</v>
      </c>
      <c r="BD1127" s="60" t="s">
        <v>3360</v>
      </c>
      <c r="BG1127" s="64">
        <v>0</v>
      </c>
      <c r="BK1127" s="64">
        <v>0</v>
      </c>
      <c r="BS1127" s="64">
        <v>0</v>
      </c>
      <c r="BV1127" s="65">
        <v>38500</v>
      </c>
      <c r="BW1127" s="65">
        <v>39600</v>
      </c>
      <c r="BX1127" s="65">
        <v>44690</v>
      </c>
      <c r="BY1127" s="65">
        <v>-1100</v>
      </c>
      <c r="BZ1127" s="81">
        <v>-2.8571428571428572</v>
      </c>
    </row>
    <row r="1128" spans="1:89" x14ac:dyDescent="0.15">
      <c r="A1128" s="60">
        <v>3</v>
      </c>
      <c r="B1128" s="61">
        <v>44700</v>
      </c>
      <c r="C1128" s="61" t="s">
        <v>309</v>
      </c>
      <c r="F1128" s="61" t="s">
        <v>309</v>
      </c>
      <c r="H1128" s="61" t="s">
        <v>309</v>
      </c>
      <c r="J1128" s="60">
        <v>3</v>
      </c>
      <c r="K1128" s="61">
        <v>44691</v>
      </c>
      <c r="L1128" s="60" t="s">
        <v>529</v>
      </c>
      <c r="M1128" s="61">
        <v>44690</v>
      </c>
      <c r="O1128" s="62" t="s">
        <v>331</v>
      </c>
      <c r="P1128" s="60" t="s">
        <v>6</v>
      </c>
      <c r="Q1128" s="62" t="s">
        <v>137</v>
      </c>
      <c r="R1128" s="62" t="s">
        <v>3352</v>
      </c>
      <c r="S1128" s="63" t="s">
        <v>567</v>
      </c>
      <c r="T1128" s="63" t="s">
        <v>3209</v>
      </c>
      <c r="U1128" s="64">
        <v>3000</v>
      </c>
      <c r="V1128" s="64">
        <v>3300</v>
      </c>
      <c r="W1128" s="64">
        <v>0</v>
      </c>
      <c r="X1128" s="64">
        <v>0</v>
      </c>
      <c r="Y1128" s="64">
        <v>3000</v>
      </c>
      <c r="Z1128" s="64">
        <v>3300</v>
      </c>
      <c r="AD1128" s="60">
        <v>0</v>
      </c>
      <c r="AG1128" s="60">
        <v>0</v>
      </c>
      <c r="AJ1128" s="60">
        <v>0</v>
      </c>
      <c r="AN1128" s="60" t="s">
        <v>309</v>
      </c>
      <c r="AY1128" s="99">
        <v>2880</v>
      </c>
      <c r="AZ1128" s="99">
        <f>ROUNDDOWN(AY1128+(AY1128*MASTER!$A$2/100),0)</f>
        <v>3168</v>
      </c>
      <c r="BC1128" s="64">
        <v>0</v>
      </c>
      <c r="BG1128" s="64">
        <v>0</v>
      </c>
      <c r="BK1128" s="64">
        <v>0</v>
      </c>
      <c r="BS1128" s="64">
        <v>0</v>
      </c>
      <c r="BV1128" s="65">
        <v>0</v>
      </c>
      <c r="BW1128" s="65">
        <v>0</v>
      </c>
      <c r="BX1128" s="65">
        <v>0</v>
      </c>
      <c r="BY1128" s="65">
        <v>44691</v>
      </c>
      <c r="BZ1128" s="81" t="s">
        <v>309</v>
      </c>
      <c r="CD1128" s="63" t="s">
        <v>3445</v>
      </c>
    </row>
    <row r="1129" spans="1:89" x14ac:dyDescent="0.15">
      <c r="A1129" s="60">
        <v>2</v>
      </c>
      <c r="B1129" s="61">
        <v>44722</v>
      </c>
      <c r="C1129" s="61">
        <v>44726</v>
      </c>
      <c r="D1129" s="61">
        <v>44747</v>
      </c>
      <c r="F1129" s="61">
        <v>44733</v>
      </c>
      <c r="G1129" s="61">
        <v>44727</v>
      </c>
      <c r="H1129" s="61">
        <v>44729</v>
      </c>
      <c r="I1129" s="60" t="s">
        <v>774</v>
      </c>
      <c r="J1129" s="60">
        <v>1</v>
      </c>
      <c r="L1129" s="60">
        <v>0</v>
      </c>
      <c r="M1129" s="61">
        <v>44691</v>
      </c>
      <c r="O1129" s="62" t="s">
        <v>331</v>
      </c>
      <c r="P1129" s="60" t="s">
        <v>26</v>
      </c>
      <c r="Q1129" s="62" t="s">
        <v>137</v>
      </c>
      <c r="R1129" s="62" t="s">
        <v>3591</v>
      </c>
      <c r="S1129" s="63" t="s">
        <v>409</v>
      </c>
      <c r="T1129" s="63" t="s">
        <v>3592</v>
      </c>
      <c r="U1129" s="64">
        <v>195500</v>
      </c>
      <c r="V1129" s="64">
        <v>215050</v>
      </c>
      <c r="W1129" s="64">
        <v>78000</v>
      </c>
      <c r="X1129" s="64">
        <v>85800</v>
      </c>
      <c r="Y1129" s="64">
        <v>117500</v>
      </c>
      <c r="Z1129" s="64">
        <v>129250</v>
      </c>
      <c r="AA1129" s="61">
        <v>44725</v>
      </c>
      <c r="AB1129" s="61">
        <v>44726</v>
      </c>
      <c r="AC1129" s="61">
        <v>44726</v>
      </c>
      <c r="AD1129" s="60">
        <v>0</v>
      </c>
      <c r="AG1129" s="60">
        <v>0</v>
      </c>
      <c r="AJ1129" s="60">
        <v>0</v>
      </c>
      <c r="AM1129" s="60" t="s">
        <v>273</v>
      </c>
      <c r="AN1129" s="60" t="s">
        <v>3593</v>
      </c>
      <c r="AQ1129" s="60" t="s">
        <v>3566</v>
      </c>
      <c r="AR1129" s="61">
        <v>44719</v>
      </c>
      <c r="AS1129" s="60">
        <v>6002036654</v>
      </c>
      <c r="AT1129" s="61">
        <v>44720</v>
      </c>
      <c r="AU1129" s="60" t="s">
        <v>3588</v>
      </c>
      <c r="AV1129" s="61">
        <v>44726</v>
      </c>
      <c r="AW1129" s="91">
        <v>44742</v>
      </c>
      <c r="AX1129" s="91">
        <v>44762</v>
      </c>
      <c r="AY1129" s="99">
        <v>187680</v>
      </c>
      <c r="AZ1129" s="99">
        <f>ROUNDDOWN(AY1129+(AY1129*MASTER!$A$2/100),0)</f>
        <v>206448</v>
      </c>
      <c r="BA1129" s="60" t="s">
        <v>317</v>
      </c>
      <c r="BB1129" s="64">
        <v>32000</v>
      </c>
      <c r="BC1129" s="64">
        <v>35200</v>
      </c>
      <c r="BD1129" s="60" t="s">
        <v>3530</v>
      </c>
      <c r="BG1129" s="64">
        <v>0</v>
      </c>
      <c r="BI1129" s="60" t="s">
        <v>748</v>
      </c>
      <c r="BJ1129" s="64">
        <v>76375</v>
      </c>
      <c r="BK1129" s="64">
        <v>84012.5</v>
      </c>
      <c r="BL1129" s="60" t="s">
        <v>3530</v>
      </c>
      <c r="BS1129" s="64">
        <v>0</v>
      </c>
      <c r="BV1129" s="65">
        <v>85800</v>
      </c>
      <c r="BW1129" s="65">
        <v>119212.5</v>
      </c>
      <c r="BX1129" s="65">
        <v>44691</v>
      </c>
      <c r="BY1129" s="65">
        <v>-33412.5</v>
      </c>
      <c r="BZ1129" s="81">
        <v>-38.942307692307693</v>
      </c>
    </row>
    <row r="1130" spans="1:89" x14ac:dyDescent="0.15">
      <c r="A1130" s="60">
        <v>2</v>
      </c>
      <c r="B1130" s="61">
        <v>44704</v>
      </c>
      <c r="C1130" s="61">
        <v>44706</v>
      </c>
      <c r="F1130" s="61">
        <v>44713</v>
      </c>
      <c r="G1130" s="61">
        <v>44707</v>
      </c>
      <c r="H1130" s="61">
        <v>44709</v>
      </c>
      <c r="I1130" s="60" t="s">
        <v>774</v>
      </c>
      <c r="J1130" s="60">
        <v>1</v>
      </c>
      <c r="L1130" s="60">
        <v>0</v>
      </c>
      <c r="M1130" s="61">
        <v>44691</v>
      </c>
      <c r="O1130" s="62" t="s">
        <v>331</v>
      </c>
      <c r="P1130" s="60" t="s">
        <v>26</v>
      </c>
      <c r="Q1130" s="62" t="s">
        <v>137</v>
      </c>
      <c r="R1130" s="62" t="s">
        <v>3407</v>
      </c>
      <c r="S1130" s="63" t="s">
        <v>2485</v>
      </c>
      <c r="T1130" s="63" t="s">
        <v>1093</v>
      </c>
      <c r="U1130" s="64">
        <v>23900</v>
      </c>
      <c r="V1130" s="64">
        <v>26290</v>
      </c>
      <c r="W1130" s="64">
        <v>14700</v>
      </c>
      <c r="X1130" s="64">
        <v>16170</v>
      </c>
      <c r="Y1130" s="64">
        <v>9200</v>
      </c>
      <c r="Z1130" s="64">
        <v>10120</v>
      </c>
      <c r="AA1130" s="61">
        <v>44704</v>
      </c>
      <c r="AB1130" s="61">
        <v>44706</v>
      </c>
      <c r="AC1130" s="61">
        <v>44706</v>
      </c>
      <c r="AD1130" s="60">
        <v>0</v>
      </c>
      <c r="AG1130" s="60">
        <v>0</v>
      </c>
      <c r="AJ1130" s="60">
        <v>0</v>
      </c>
      <c r="AM1130" s="60" t="s">
        <v>273</v>
      </c>
      <c r="AN1130" s="60" t="s">
        <v>3408</v>
      </c>
      <c r="AQ1130" s="60" t="s">
        <v>3409</v>
      </c>
      <c r="AR1130" s="61">
        <v>44699</v>
      </c>
      <c r="AS1130" s="60">
        <v>6002027833</v>
      </c>
      <c r="AT1130" s="61">
        <v>44703</v>
      </c>
      <c r="AU1130" s="60" t="s">
        <v>3437</v>
      </c>
      <c r="AV1130" s="61">
        <v>44706</v>
      </c>
      <c r="AW1130" s="91">
        <v>44712</v>
      </c>
      <c r="AX1130" s="91">
        <v>44732</v>
      </c>
      <c r="AY1130" s="99">
        <v>22944</v>
      </c>
      <c r="AZ1130" s="99">
        <f>ROUNDDOWN(AY1130+(AY1130*MASTER!$A$2/100),0)</f>
        <v>25238</v>
      </c>
      <c r="BA1130" s="60" t="s">
        <v>765</v>
      </c>
      <c r="BC1130" s="64">
        <v>0</v>
      </c>
      <c r="BG1130" s="64">
        <v>0</v>
      </c>
      <c r="BI1130" s="60" t="s">
        <v>267</v>
      </c>
      <c r="BJ1130" s="64">
        <v>5980</v>
      </c>
      <c r="BK1130" s="64">
        <v>6578</v>
      </c>
      <c r="BL1130" s="60" t="s">
        <v>3393</v>
      </c>
      <c r="BS1130" s="64">
        <v>0</v>
      </c>
      <c r="BV1130" s="65">
        <v>16170</v>
      </c>
      <c r="BW1130" s="65">
        <v>6578</v>
      </c>
      <c r="BX1130" s="65">
        <v>44691</v>
      </c>
      <c r="BY1130" s="65">
        <v>9592</v>
      </c>
      <c r="BZ1130" s="81">
        <v>59.319727891156461</v>
      </c>
    </row>
    <row r="1131" spans="1:89" x14ac:dyDescent="0.15">
      <c r="A1131" s="60">
        <v>2</v>
      </c>
      <c r="B1131" s="61">
        <v>44714</v>
      </c>
      <c r="C1131" s="61">
        <v>44719</v>
      </c>
      <c r="D1131" s="61">
        <v>44750</v>
      </c>
      <c r="E1131" s="61">
        <v>44726</v>
      </c>
      <c r="F1131" s="61">
        <v>44726</v>
      </c>
      <c r="G1131" s="61">
        <v>44719</v>
      </c>
      <c r="H1131" s="61">
        <v>44722</v>
      </c>
      <c r="I1131" s="60" t="s">
        <v>511</v>
      </c>
      <c r="J1131" s="60">
        <v>1</v>
      </c>
      <c r="L1131" s="60">
        <v>0</v>
      </c>
      <c r="M1131" s="61">
        <v>44691</v>
      </c>
      <c r="O1131" s="62" t="s">
        <v>331</v>
      </c>
      <c r="P1131" s="60" t="s">
        <v>26</v>
      </c>
      <c r="Q1131" s="62" t="s">
        <v>137</v>
      </c>
      <c r="R1131" s="62" t="s">
        <v>3520</v>
      </c>
      <c r="S1131" s="63" t="s">
        <v>606</v>
      </c>
      <c r="T1131" s="63" t="s">
        <v>498</v>
      </c>
      <c r="U1131" s="64">
        <v>50000</v>
      </c>
      <c r="V1131" s="64">
        <v>55000</v>
      </c>
      <c r="W1131" s="64">
        <v>47000</v>
      </c>
      <c r="X1131" s="64">
        <v>51700</v>
      </c>
      <c r="Y1131" s="64">
        <v>3000</v>
      </c>
      <c r="Z1131" s="64">
        <v>3300</v>
      </c>
      <c r="AA1131" s="61">
        <v>44718</v>
      </c>
      <c r="AB1131" s="61">
        <v>44719</v>
      </c>
      <c r="AC1131" s="61">
        <v>44719</v>
      </c>
      <c r="AD1131" s="60">
        <v>0</v>
      </c>
      <c r="AG1131" s="60">
        <v>0</v>
      </c>
      <c r="AJ1131" s="60">
        <v>0</v>
      </c>
      <c r="AM1131" s="60" t="s">
        <v>273</v>
      </c>
      <c r="AN1131" s="60" t="s">
        <v>3521</v>
      </c>
      <c r="AQ1131" s="60" t="s">
        <v>3461</v>
      </c>
      <c r="AR1131" s="61">
        <v>44706</v>
      </c>
      <c r="AS1131" s="60">
        <v>6002030880</v>
      </c>
      <c r="AT1131" s="61">
        <v>44706</v>
      </c>
      <c r="AU1131" s="60" t="s">
        <v>3475</v>
      </c>
      <c r="AV1131" s="61">
        <v>44719</v>
      </c>
      <c r="AW1131" s="91">
        <v>44742</v>
      </c>
      <c r="AX1131" s="91">
        <v>44762</v>
      </c>
      <c r="AY1131" s="99">
        <v>48000</v>
      </c>
      <c r="AZ1131" s="99">
        <f>ROUNDDOWN(AY1131+(AY1131*MASTER!$A$2/100),0)</f>
        <v>52800</v>
      </c>
      <c r="BA1131" s="60" t="s">
        <v>314</v>
      </c>
      <c r="BB1131" s="64">
        <v>32000</v>
      </c>
      <c r="BC1131" s="64">
        <v>35200</v>
      </c>
      <c r="BD1131" s="60" t="s">
        <v>3530</v>
      </c>
      <c r="BG1131" s="64">
        <v>0</v>
      </c>
      <c r="BI1131" s="60" t="s">
        <v>748</v>
      </c>
      <c r="BJ1131" s="64">
        <v>1950</v>
      </c>
      <c r="BK1131" s="64">
        <v>2145</v>
      </c>
      <c r="BL1131" s="60" t="s">
        <v>3530</v>
      </c>
      <c r="BS1131" s="64">
        <v>0</v>
      </c>
      <c r="BV1131" s="65">
        <v>51700</v>
      </c>
      <c r="BW1131" s="65">
        <v>37345</v>
      </c>
      <c r="BX1131" s="65">
        <v>44691</v>
      </c>
      <c r="BY1131" s="65">
        <v>14355</v>
      </c>
      <c r="BZ1131" s="81">
        <v>27.76595744680851</v>
      </c>
    </row>
    <row r="1132" spans="1:89" x14ac:dyDescent="0.15">
      <c r="A1132" s="60">
        <v>2</v>
      </c>
      <c r="B1132" s="61">
        <v>44714</v>
      </c>
      <c r="C1132" s="61">
        <v>44721</v>
      </c>
      <c r="D1132" s="61">
        <v>44747</v>
      </c>
      <c r="E1132" s="61">
        <v>44726</v>
      </c>
      <c r="F1132" s="61">
        <v>44728</v>
      </c>
      <c r="G1132" s="61">
        <v>44722</v>
      </c>
      <c r="H1132" s="61">
        <v>44724</v>
      </c>
      <c r="I1132" s="60" t="s">
        <v>774</v>
      </c>
      <c r="J1132" s="60">
        <v>1</v>
      </c>
      <c r="K1132" s="61">
        <v>44704</v>
      </c>
      <c r="L1132" s="60" t="s">
        <v>529</v>
      </c>
      <c r="M1132" s="61">
        <v>44691</v>
      </c>
      <c r="O1132" s="62" t="s">
        <v>331</v>
      </c>
      <c r="P1132" s="60" t="s">
        <v>26</v>
      </c>
      <c r="Q1132" s="62" t="s">
        <v>137</v>
      </c>
      <c r="R1132" s="62" t="s">
        <v>3435</v>
      </c>
      <c r="S1132" s="63" t="s">
        <v>439</v>
      </c>
      <c r="T1132" s="63" t="s">
        <v>498</v>
      </c>
      <c r="U1132" s="64">
        <v>50000</v>
      </c>
      <c r="V1132" s="64">
        <v>55000</v>
      </c>
      <c r="W1132" s="64">
        <v>47000</v>
      </c>
      <c r="X1132" s="64">
        <v>51700</v>
      </c>
      <c r="Y1132" s="64">
        <v>3000</v>
      </c>
      <c r="Z1132" s="64">
        <v>3300</v>
      </c>
      <c r="AA1132" s="61">
        <v>44719</v>
      </c>
      <c r="AB1132" s="61">
        <v>44721</v>
      </c>
      <c r="AC1132" s="61">
        <v>44721</v>
      </c>
      <c r="AD1132" s="60">
        <v>0</v>
      </c>
      <c r="AG1132" s="60">
        <v>0</v>
      </c>
      <c r="AJ1132" s="60">
        <v>0</v>
      </c>
      <c r="AM1132" s="60" t="s">
        <v>273</v>
      </c>
      <c r="AN1132" s="60" t="s">
        <v>3436</v>
      </c>
      <c r="AQ1132" s="60" t="s">
        <v>3488</v>
      </c>
      <c r="AR1132" s="61">
        <v>44711</v>
      </c>
      <c r="AS1132" s="60">
        <v>6002032724</v>
      </c>
      <c r="AT1132" s="61">
        <v>44711</v>
      </c>
      <c r="AU1132" s="60" t="s">
        <v>3493</v>
      </c>
      <c r="AV1132" s="61">
        <v>44721</v>
      </c>
      <c r="AW1132" s="91">
        <v>44742</v>
      </c>
      <c r="AX1132" s="91">
        <v>44762</v>
      </c>
      <c r="AY1132" s="99">
        <v>48000</v>
      </c>
      <c r="AZ1132" s="99">
        <f>ROUNDDOWN(AY1132+(AY1132*MASTER!$A$2/100),0)</f>
        <v>52800</v>
      </c>
      <c r="BA1132" s="60" t="s">
        <v>317</v>
      </c>
      <c r="BB1132" s="64">
        <v>35000</v>
      </c>
      <c r="BC1132" s="64">
        <v>38500</v>
      </c>
      <c r="BD1132" s="60" t="s">
        <v>3530</v>
      </c>
      <c r="BG1132" s="64">
        <v>0</v>
      </c>
      <c r="BK1132" s="64">
        <v>0</v>
      </c>
      <c r="BS1132" s="64">
        <v>0</v>
      </c>
      <c r="BV1132" s="65">
        <v>51700</v>
      </c>
      <c r="BW1132" s="65">
        <v>38500</v>
      </c>
      <c r="BX1132" s="65">
        <v>0</v>
      </c>
      <c r="BY1132" s="65">
        <v>44704</v>
      </c>
      <c r="BZ1132" s="81">
        <v>25.531914893617021</v>
      </c>
    </row>
    <row r="1133" spans="1:89" x14ac:dyDescent="0.15">
      <c r="A1133" s="60">
        <v>1</v>
      </c>
      <c r="C1133" s="61" t="s">
        <v>309</v>
      </c>
      <c r="F1133" s="61" t="s">
        <v>309</v>
      </c>
      <c r="H1133" s="61" t="s">
        <v>309</v>
      </c>
      <c r="J1133" s="60">
        <v>4</v>
      </c>
      <c r="L1133" s="60">
        <v>0</v>
      </c>
      <c r="M1133" s="61">
        <v>44691</v>
      </c>
      <c r="O1133" s="62" t="s">
        <v>331</v>
      </c>
      <c r="P1133" s="60" t="s">
        <v>263</v>
      </c>
      <c r="Q1133" s="62" t="s">
        <v>137</v>
      </c>
      <c r="R1133" s="62" t="s">
        <v>3356</v>
      </c>
      <c r="S1133" s="63" t="s">
        <v>326</v>
      </c>
      <c r="T1133" s="63" t="s">
        <v>3357</v>
      </c>
      <c r="U1133" s="64">
        <v>0</v>
      </c>
      <c r="V1133" s="64">
        <v>0</v>
      </c>
      <c r="W1133" s="64">
        <v>0</v>
      </c>
      <c r="X1133" s="64">
        <v>0</v>
      </c>
      <c r="Y1133" s="64">
        <v>0</v>
      </c>
      <c r="Z1133" s="64">
        <v>0</v>
      </c>
      <c r="AD1133" s="60">
        <v>0</v>
      </c>
      <c r="AG1133" s="60">
        <v>0</v>
      </c>
      <c r="AJ1133" s="60">
        <v>0</v>
      </c>
      <c r="AY1133" s="99">
        <f>ROUNDDOWN((0.96*U1133),0)</f>
        <v>0</v>
      </c>
      <c r="AZ1133" s="99">
        <f>ROUNDDOWN(AY1133+(AY1133*MASTER!$A$2/100),0)</f>
        <v>0</v>
      </c>
      <c r="BC1133" s="64">
        <v>0</v>
      </c>
      <c r="BG1133" s="64">
        <v>0</v>
      </c>
      <c r="BK1133" s="64">
        <v>0</v>
      </c>
      <c r="BS1133" s="64">
        <v>0</v>
      </c>
      <c r="BV1133" s="65">
        <v>0</v>
      </c>
      <c r="BW1133" s="65">
        <v>0</v>
      </c>
      <c r="BX1133" s="65">
        <v>44691</v>
      </c>
      <c r="BY1133" s="65">
        <v>0</v>
      </c>
      <c r="BZ1133" s="81" t="s">
        <v>309</v>
      </c>
      <c r="CD1133" s="63" t="s">
        <v>3358</v>
      </c>
    </row>
    <row r="1134" spans="1:89" s="152" customFormat="1" x14ac:dyDescent="0.15">
      <c r="A1134" s="142">
        <v>3</v>
      </c>
      <c r="B1134" s="143"/>
      <c r="C1134" s="143" t="s">
        <v>309</v>
      </c>
      <c r="D1134" s="143"/>
      <c r="E1134" s="143"/>
      <c r="F1134" s="143" t="s">
        <v>309</v>
      </c>
      <c r="G1134" s="143"/>
      <c r="H1134" s="143" t="s">
        <v>309</v>
      </c>
      <c r="I1134" s="142"/>
      <c r="J1134" s="142">
        <v>1</v>
      </c>
      <c r="K1134" s="143"/>
      <c r="L1134" s="142">
        <v>0</v>
      </c>
      <c r="M1134" s="143">
        <v>44692</v>
      </c>
      <c r="N1134" s="143"/>
      <c r="O1134" s="144" t="s">
        <v>331</v>
      </c>
      <c r="P1134" s="142" t="s">
        <v>26</v>
      </c>
      <c r="Q1134" s="144" t="s">
        <v>137</v>
      </c>
      <c r="R1134" s="144" t="s">
        <v>4019</v>
      </c>
      <c r="S1134" s="145" t="s">
        <v>813</v>
      </c>
      <c r="T1134" s="145" t="s">
        <v>2934</v>
      </c>
      <c r="U1134" s="146">
        <v>59000</v>
      </c>
      <c r="V1134" s="146">
        <v>64900</v>
      </c>
      <c r="W1134" s="146">
        <v>47000</v>
      </c>
      <c r="X1134" s="146">
        <v>51700</v>
      </c>
      <c r="Y1134" s="146">
        <v>12000</v>
      </c>
      <c r="Z1134" s="146">
        <v>13200</v>
      </c>
      <c r="AA1134" s="143"/>
      <c r="AB1134" s="143"/>
      <c r="AC1134" s="143"/>
      <c r="AD1134" s="142">
        <v>0</v>
      </c>
      <c r="AE1134" s="142"/>
      <c r="AF1134" s="142"/>
      <c r="AG1134" s="142">
        <v>0</v>
      </c>
      <c r="AH1134" s="142"/>
      <c r="AI1134" s="142"/>
      <c r="AJ1134" s="142">
        <v>0</v>
      </c>
      <c r="AK1134" s="142"/>
      <c r="AL1134" s="142"/>
      <c r="AM1134" s="142" t="s">
        <v>273</v>
      </c>
      <c r="AN1134" s="142" t="s">
        <v>4020</v>
      </c>
      <c r="AO1134" s="143"/>
      <c r="AP1134" s="142"/>
      <c r="AQ1134" s="142"/>
      <c r="AR1134" s="143"/>
      <c r="AS1134" s="142"/>
      <c r="AT1134" s="143"/>
      <c r="AU1134" s="142"/>
      <c r="AV1134" s="143"/>
      <c r="AW1134" s="147"/>
      <c r="AX1134" s="147"/>
      <c r="AY1134" s="148">
        <v>56640</v>
      </c>
      <c r="AZ1134" s="148">
        <f>ROUNDDOWN(AY1134+(AY1134*MASTER!$A$2/100),0)</f>
        <v>62304</v>
      </c>
      <c r="BA1134" s="142"/>
      <c r="BB1134" s="146"/>
      <c r="BC1134" s="146">
        <v>0</v>
      </c>
      <c r="BD1134" s="142"/>
      <c r="BE1134" s="142"/>
      <c r="BF1134" s="146"/>
      <c r="BG1134" s="146">
        <v>0</v>
      </c>
      <c r="BH1134" s="142"/>
      <c r="BI1134" s="142"/>
      <c r="BJ1134" s="146"/>
      <c r="BK1134" s="146">
        <v>0</v>
      </c>
      <c r="BL1134" s="142"/>
      <c r="BM1134" s="146"/>
      <c r="BN1134" s="146"/>
      <c r="BO1134" s="146"/>
      <c r="BP1134" s="146"/>
      <c r="BQ1134" s="146"/>
      <c r="BR1134" s="146"/>
      <c r="BS1134" s="146">
        <v>0</v>
      </c>
      <c r="BT1134" s="149"/>
      <c r="BU1134" s="149"/>
      <c r="BV1134" s="150">
        <v>51700</v>
      </c>
      <c r="BW1134" s="150">
        <v>0</v>
      </c>
      <c r="BX1134" s="150">
        <v>44692</v>
      </c>
      <c r="BY1134" s="150">
        <v>51700</v>
      </c>
      <c r="BZ1134" s="151">
        <v>100</v>
      </c>
      <c r="CA1134" s="142"/>
      <c r="CB1134" s="142"/>
      <c r="CC1134" s="142"/>
      <c r="CD1134" s="145" t="s">
        <v>4021</v>
      </c>
      <c r="CE1134" s="143"/>
      <c r="CF1134" s="143"/>
      <c r="CG1134" s="143"/>
      <c r="CH1134" s="143"/>
      <c r="CI1134" s="143"/>
      <c r="CJ1134" s="143"/>
      <c r="CK1134" s="146"/>
    </row>
    <row r="1135" spans="1:89" x14ac:dyDescent="0.15">
      <c r="A1135" s="60">
        <v>2</v>
      </c>
      <c r="B1135" s="61">
        <v>44707</v>
      </c>
      <c r="C1135" s="61">
        <v>44708</v>
      </c>
      <c r="D1135" s="61">
        <v>44718</v>
      </c>
      <c r="E1135" s="61">
        <v>44704</v>
      </c>
      <c r="F1135" s="61" t="s">
        <v>309</v>
      </c>
      <c r="G1135" s="61">
        <v>44704</v>
      </c>
      <c r="H1135" s="61" t="s">
        <v>309</v>
      </c>
      <c r="I1135" s="60" t="s">
        <v>511</v>
      </c>
      <c r="J1135" s="60">
        <v>2</v>
      </c>
      <c r="L1135" s="60">
        <v>0</v>
      </c>
      <c r="M1135" s="61">
        <v>44692</v>
      </c>
      <c r="O1135" s="62" t="s">
        <v>331</v>
      </c>
      <c r="P1135" s="60" t="s">
        <v>26</v>
      </c>
      <c r="Q1135" s="62" t="s">
        <v>137</v>
      </c>
      <c r="R1135" s="62" t="s">
        <v>3440</v>
      </c>
      <c r="S1135" s="63" t="s">
        <v>801</v>
      </c>
      <c r="T1135" s="63" t="s">
        <v>3441</v>
      </c>
      <c r="U1135" s="64">
        <v>144000</v>
      </c>
      <c r="V1135" s="64">
        <v>158400</v>
      </c>
      <c r="W1135" s="64">
        <v>144000</v>
      </c>
      <c r="X1135" s="64">
        <v>158400</v>
      </c>
      <c r="Z1135" s="64">
        <v>0</v>
      </c>
      <c r="AA1135" s="61">
        <v>44700</v>
      </c>
      <c r="AB1135" s="61">
        <v>44702</v>
      </c>
      <c r="AD1135" s="60">
        <v>0</v>
      </c>
      <c r="AG1135" s="60">
        <v>0</v>
      </c>
      <c r="AJ1135" s="60">
        <v>0</v>
      </c>
      <c r="AM1135" s="60" t="s">
        <v>273</v>
      </c>
      <c r="AN1135" s="60" t="s">
        <v>3442</v>
      </c>
      <c r="AQ1135" s="60" t="s">
        <v>3459</v>
      </c>
      <c r="AR1135" s="61">
        <v>44706</v>
      </c>
      <c r="AS1135" s="60">
        <v>6002030880</v>
      </c>
      <c r="AT1135" s="61">
        <v>44706</v>
      </c>
      <c r="AU1135" s="60" t="s">
        <v>3475</v>
      </c>
      <c r="AV1135" s="61">
        <v>44708</v>
      </c>
      <c r="AW1135" s="91">
        <v>44712</v>
      </c>
      <c r="AX1135" s="91">
        <v>44732</v>
      </c>
      <c r="AY1135" s="99">
        <v>138240</v>
      </c>
      <c r="AZ1135" s="99">
        <f>ROUNDDOWN(AY1135+(AY1135*MASTER!$A$2/100),0)</f>
        <v>152064</v>
      </c>
      <c r="BA1135" s="60" t="s">
        <v>613</v>
      </c>
      <c r="BB1135" s="64">
        <v>56000</v>
      </c>
      <c r="BC1135" s="64">
        <v>61600</v>
      </c>
      <c r="BD1135" s="60" t="s">
        <v>3360</v>
      </c>
      <c r="BG1135" s="64">
        <v>0</v>
      </c>
      <c r="BK1135" s="64">
        <v>0</v>
      </c>
      <c r="BS1135" s="64">
        <v>0</v>
      </c>
      <c r="BV1135" s="65">
        <v>158400</v>
      </c>
      <c r="BW1135" s="65">
        <v>61600</v>
      </c>
      <c r="BX1135" s="65">
        <v>44692</v>
      </c>
      <c r="BY1135" s="65">
        <v>96800</v>
      </c>
      <c r="BZ1135" s="81">
        <v>61.111111111111114</v>
      </c>
    </row>
    <row r="1136" spans="1:89" x14ac:dyDescent="0.15">
      <c r="A1136" s="60">
        <v>2</v>
      </c>
      <c r="B1136" s="61">
        <v>44700</v>
      </c>
      <c r="C1136" s="61">
        <v>44708</v>
      </c>
      <c r="D1136" s="61">
        <v>44698</v>
      </c>
      <c r="E1136" s="61">
        <v>44698</v>
      </c>
      <c r="F1136" s="61" t="s">
        <v>309</v>
      </c>
      <c r="G1136" s="61">
        <v>44698</v>
      </c>
      <c r="H1136" s="61" t="s">
        <v>309</v>
      </c>
      <c r="I1136" s="60" t="s">
        <v>766</v>
      </c>
      <c r="J1136" s="60">
        <v>2</v>
      </c>
      <c r="L1136" s="60">
        <v>0</v>
      </c>
      <c r="M1136" s="61">
        <v>44692</v>
      </c>
      <c r="O1136" s="62" t="s">
        <v>331</v>
      </c>
      <c r="P1136" s="60" t="s">
        <v>6</v>
      </c>
      <c r="Q1136" s="62" t="s">
        <v>137</v>
      </c>
      <c r="R1136" s="62" t="s">
        <v>3388</v>
      </c>
      <c r="S1136" s="63" t="s">
        <v>1042</v>
      </c>
      <c r="T1136" s="63" t="s">
        <v>364</v>
      </c>
      <c r="U1136" s="64">
        <v>23000</v>
      </c>
      <c r="V1136" s="64">
        <v>25300</v>
      </c>
      <c r="W1136" s="64">
        <v>23000</v>
      </c>
      <c r="X1136" s="64">
        <v>25300</v>
      </c>
      <c r="Y1136" s="64">
        <v>0</v>
      </c>
      <c r="Z1136" s="64">
        <v>0</v>
      </c>
      <c r="AA1136" s="61">
        <v>44697</v>
      </c>
      <c r="AB1136" s="61">
        <v>44697</v>
      </c>
      <c r="AD1136" s="60">
        <v>0</v>
      </c>
      <c r="AG1136" s="60">
        <v>0</v>
      </c>
      <c r="AJ1136" s="60">
        <v>0</v>
      </c>
      <c r="AN1136" s="60" t="s">
        <v>309</v>
      </c>
      <c r="AQ1136" s="60" t="s">
        <v>3386</v>
      </c>
      <c r="AR1136" s="61">
        <v>44694</v>
      </c>
      <c r="AS1136" s="60">
        <v>6002026012</v>
      </c>
      <c r="AT1136" s="61">
        <v>44698</v>
      </c>
      <c r="AU1136" s="60" t="s">
        <v>3402</v>
      </c>
      <c r="AV1136" s="61">
        <v>44708</v>
      </c>
      <c r="AW1136" s="91">
        <v>44712</v>
      </c>
      <c r="AX1136" s="91">
        <v>44732</v>
      </c>
      <c r="AY1136" s="99">
        <v>22080</v>
      </c>
      <c r="AZ1136" s="99">
        <f>ROUNDDOWN(AY1136+(AY1136*MASTER!$A$2/100),0)</f>
        <v>24288</v>
      </c>
      <c r="BA1136" s="60" t="s">
        <v>314</v>
      </c>
      <c r="BB1136" s="64">
        <v>23000</v>
      </c>
      <c r="BC1136" s="64">
        <v>25300</v>
      </c>
      <c r="BD1136" s="60" t="s">
        <v>3360</v>
      </c>
      <c r="BG1136" s="64">
        <v>0</v>
      </c>
      <c r="BK1136" s="64">
        <v>0</v>
      </c>
      <c r="BS1136" s="64">
        <v>0</v>
      </c>
      <c r="BV1136" s="65">
        <v>25300</v>
      </c>
      <c r="BW1136" s="65">
        <v>25300</v>
      </c>
      <c r="BX1136" s="65">
        <v>44692</v>
      </c>
      <c r="BY1136" s="65">
        <v>0</v>
      </c>
      <c r="BZ1136" s="81">
        <v>0</v>
      </c>
      <c r="CD1136" s="63" t="s">
        <v>3412</v>
      </c>
    </row>
    <row r="1137" spans="1:89" x14ac:dyDescent="0.15">
      <c r="A1137" s="60">
        <v>2</v>
      </c>
      <c r="B1137" s="61">
        <v>44714</v>
      </c>
      <c r="C1137" s="61">
        <v>44720</v>
      </c>
      <c r="D1137" s="61">
        <v>44750</v>
      </c>
      <c r="E1137" s="61">
        <v>44726</v>
      </c>
      <c r="F1137" s="61">
        <v>44727</v>
      </c>
      <c r="G1137" s="61">
        <v>44720</v>
      </c>
      <c r="H1137" s="61">
        <v>44723</v>
      </c>
      <c r="I1137" s="60" t="s">
        <v>511</v>
      </c>
      <c r="J1137" s="60">
        <v>1</v>
      </c>
      <c r="L1137" s="60">
        <v>0</v>
      </c>
      <c r="M1137" s="61">
        <v>44692</v>
      </c>
      <c r="O1137" s="62" t="s">
        <v>331</v>
      </c>
      <c r="P1137" s="60" t="s">
        <v>26</v>
      </c>
      <c r="Q1137" s="62" t="s">
        <v>137</v>
      </c>
      <c r="R1137" s="62" t="s">
        <v>3374</v>
      </c>
      <c r="S1137" s="63" t="s">
        <v>2378</v>
      </c>
      <c r="T1137" s="63" t="s">
        <v>1394</v>
      </c>
      <c r="U1137" s="64">
        <v>59000</v>
      </c>
      <c r="V1137" s="64">
        <v>64900</v>
      </c>
      <c r="W1137" s="64">
        <v>47000</v>
      </c>
      <c r="X1137" s="64">
        <v>51700</v>
      </c>
      <c r="Y1137" s="64">
        <v>12000</v>
      </c>
      <c r="Z1137" s="64">
        <v>13200</v>
      </c>
      <c r="AA1137" s="61">
        <v>44719</v>
      </c>
      <c r="AB1137" s="61">
        <v>44720</v>
      </c>
      <c r="AC1137" s="61">
        <v>44720</v>
      </c>
      <c r="AD1137" s="60">
        <v>0</v>
      </c>
      <c r="AG1137" s="60">
        <v>0</v>
      </c>
      <c r="AJ1137" s="60">
        <v>0</v>
      </c>
      <c r="AM1137" s="60" t="s">
        <v>273</v>
      </c>
      <c r="AN1137" s="60" t="s">
        <v>3529</v>
      </c>
      <c r="AQ1137" s="60" t="s">
        <v>3484</v>
      </c>
      <c r="AR1137" s="61">
        <v>44711</v>
      </c>
      <c r="AS1137" s="60">
        <v>6002032724</v>
      </c>
      <c r="AT1137" s="61">
        <v>44711</v>
      </c>
      <c r="AU1137" s="60" t="s">
        <v>3493</v>
      </c>
      <c r="AV1137" s="61">
        <v>44720</v>
      </c>
      <c r="AW1137" s="91">
        <v>44742</v>
      </c>
      <c r="AX1137" s="91">
        <v>44762</v>
      </c>
      <c r="AY1137" s="99">
        <v>56640</v>
      </c>
      <c r="AZ1137" s="99">
        <f>ROUNDDOWN(AY1137+(AY1137*MASTER!$A$2/100),0)</f>
        <v>62304</v>
      </c>
      <c r="BA1137" s="60" t="s">
        <v>613</v>
      </c>
      <c r="BB1137" s="64">
        <v>21000</v>
      </c>
      <c r="BC1137" s="64">
        <v>23100</v>
      </c>
      <c r="BD1137" s="60" t="s">
        <v>3530</v>
      </c>
      <c r="BG1137" s="64">
        <v>0</v>
      </c>
      <c r="BI1137" s="60" t="s">
        <v>748</v>
      </c>
      <c r="BJ1137" s="64">
        <v>7800</v>
      </c>
      <c r="BK1137" s="64">
        <v>8580</v>
      </c>
      <c r="BL1137" s="60" t="s">
        <v>3530</v>
      </c>
      <c r="BS1137" s="64">
        <v>0</v>
      </c>
      <c r="BV1137" s="65">
        <v>51700</v>
      </c>
      <c r="BW1137" s="65">
        <v>31680</v>
      </c>
      <c r="BX1137" s="65">
        <v>44692</v>
      </c>
      <c r="BY1137" s="65">
        <v>20020</v>
      </c>
      <c r="BZ1137" s="81">
        <v>38.723404255319153</v>
      </c>
    </row>
    <row r="1138" spans="1:89" x14ac:dyDescent="0.15">
      <c r="A1138" s="60">
        <v>2</v>
      </c>
      <c r="B1138" s="61">
        <v>44704</v>
      </c>
      <c r="C1138" s="61">
        <v>44707</v>
      </c>
      <c r="D1138" s="61">
        <v>44715</v>
      </c>
      <c r="E1138" s="61">
        <v>44714</v>
      </c>
      <c r="F1138" s="61">
        <v>44714</v>
      </c>
      <c r="G1138" s="61">
        <v>44707</v>
      </c>
      <c r="H1138" s="61">
        <v>44710</v>
      </c>
      <c r="I1138" s="60" t="s">
        <v>511</v>
      </c>
      <c r="J1138" s="60">
        <v>1</v>
      </c>
      <c r="L1138" s="60">
        <v>0</v>
      </c>
      <c r="M1138" s="61">
        <v>44692</v>
      </c>
      <c r="O1138" s="62" t="s">
        <v>331</v>
      </c>
      <c r="P1138" s="60" t="s">
        <v>26</v>
      </c>
      <c r="Q1138" s="62" t="s">
        <v>137</v>
      </c>
      <c r="R1138" s="62" t="s">
        <v>3376</v>
      </c>
      <c r="S1138" s="63" t="s">
        <v>1647</v>
      </c>
      <c r="T1138" s="63" t="s">
        <v>3375</v>
      </c>
      <c r="U1138" s="64">
        <v>50000</v>
      </c>
      <c r="V1138" s="64">
        <v>55000</v>
      </c>
      <c r="W1138" s="64">
        <v>47000</v>
      </c>
      <c r="X1138" s="64">
        <v>51700</v>
      </c>
      <c r="Y1138" s="64">
        <v>3000</v>
      </c>
      <c r="Z1138" s="64">
        <v>3300</v>
      </c>
      <c r="AA1138" s="61">
        <v>44706</v>
      </c>
      <c r="AB1138" s="61">
        <v>44707</v>
      </c>
      <c r="AC1138" s="61">
        <v>44707</v>
      </c>
      <c r="AD1138" s="60">
        <v>0</v>
      </c>
      <c r="AG1138" s="60">
        <v>0</v>
      </c>
      <c r="AJ1138" s="60">
        <v>0</v>
      </c>
      <c r="AM1138" s="60" t="s">
        <v>273</v>
      </c>
      <c r="AN1138" s="60" t="s">
        <v>3434</v>
      </c>
      <c r="AQ1138" s="60" t="s">
        <v>3433</v>
      </c>
      <c r="AR1138" s="61">
        <v>44700</v>
      </c>
      <c r="AS1138" s="60">
        <v>6002028582</v>
      </c>
      <c r="AT1138" s="61">
        <v>44703</v>
      </c>
      <c r="AU1138" s="60" t="s">
        <v>3439</v>
      </c>
      <c r="AV1138" s="61">
        <v>44707</v>
      </c>
      <c r="AW1138" s="91">
        <v>44712</v>
      </c>
      <c r="AX1138" s="91">
        <v>44732</v>
      </c>
      <c r="AY1138" s="99">
        <v>48000</v>
      </c>
      <c r="AZ1138" s="99">
        <f>ROUNDDOWN(AY1138+(AY1138*MASTER!$A$2/100),0)</f>
        <v>52800</v>
      </c>
      <c r="BA1138" s="60" t="s">
        <v>314</v>
      </c>
      <c r="BB1138" s="64">
        <v>26000</v>
      </c>
      <c r="BC1138" s="64">
        <v>28600</v>
      </c>
      <c r="BD1138" s="60" t="s">
        <v>3360</v>
      </c>
      <c r="BG1138" s="64">
        <v>0</v>
      </c>
      <c r="BK1138" s="64">
        <v>0</v>
      </c>
      <c r="BS1138" s="64">
        <v>0</v>
      </c>
      <c r="BV1138" s="65">
        <v>51700</v>
      </c>
      <c r="BW1138" s="65">
        <v>28600</v>
      </c>
      <c r="BX1138" s="65">
        <v>44692</v>
      </c>
      <c r="BY1138" s="65">
        <v>23100</v>
      </c>
      <c r="BZ1138" s="81">
        <v>44.680851063829785</v>
      </c>
    </row>
    <row r="1139" spans="1:89" x14ac:dyDescent="0.15">
      <c r="A1139" s="60">
        <v>2</v>
      </c>
      <c r="B1139" s="61">
        <v>44762</v>
      </c>
      <c r="C1139" s="61">
        <v>44771</v>
      </c>
      <c r="F1139" s="61" t="s">
        <v>309</v>
      </c>
      <c r="H1139" s="61" t="s">
        <v>309</v>
      </c>
      <c r="J1139" s="60">
        <v>2</v>
      </c>
      <c r="L1139" s="60">
        <v>0</v>
      </c>
      <c r="M1139" s="61">
        <v>44693</v>
      </c>
      <c r="O1139" s="62" t="s">
        <v>331</v>
      </c>
      <c r="P1139" s="60" t="s">
        <v>6</v>
      </c>
      <c r="Q1139" s="62" t="s">
        <v>137</v>
      </c>
      <c r="R1139" s="62" t="s">
        <v>3405</v>
      </c>
      <c r="S1139" s="63" t="s">
        <v>2734</v>
      </c>
      <c r="T1139" s="63" t="s">
        <v>364</v>
      </c>
      <c r="U1139" s="64">
        <v>35000</v>
      </c>
      <c r="V1139" s="64">
        <v>38500</v>
      </c>
      <c r="W1139" s="64">
        <v>35000</v>
      </c>
      <c r="X1139" s="64">
        <v>38500</v>
      </c>
      <c r="Y1139" s="64">
        <v>0</v>
      </c>
      <c r="Z1139" s="64">
        <v>0</v>
      </c>
      <c r="AA1139" s="61">
        <v>44764</v>
      </c>
      <c r="AB1139" s="61">
        <v>44764</v>
      </c>
      <c r="AD1139" s="60">
        <v>0</v>
      </c>
      <c r="AG1139" s="60">
        <v>0</v>
      </c>
      <c r="AJ1139" s="60">
        <v>0</v>
      </c>
      <c r="AN1139" s="60" t="s">
        <v>309</v>
      </c>
      <c r="AQ1139" s="60" t="s">
        <v>3406</v>
      </c>
      <c r="AR1139" s="61">
        <v>44699</v>
      </c>
      <c r="AS1139" s="60">
        <v>6002027833</v>
      </c>
      <c r="AT1139" s="61">
        <v>44703</v>
      </c>
      <c r="AU1139" s="60" t="s">
        <v>3437</v>
      </c>
      <c r="AV1139" s="61">
        <v>44771</v>
      </c>
      <c r="AW1139" s="91">
        <v>44773</v>
      </c>
      <c r="AX1139" s="91">
        <v>44793</v>
      </c>
      <c r="AY1139" s="99">
        <v>33600</v>
      </c>
      <c r="AZ1139" s="99">
        <f>ROUNDDOWN(AY1139+(AY1139*MASTER!$A$2/100),0)</f>
        <v>36960</v>
      </c>
      <c r="BA1139" s="60" t="s">
        <v>318</v>
      </c>
      <c r="BB1139" s="64">
        <v>27000</v>
      </c>
      <c r="BC1139" s="64">
        <v>29700</v>
      </c>
      <c r="BD1139" s="60" t="s">
        <v>3800</v>
      </c>
      <c r="BG1139" s="64">
        <v>0</v>
      </c>
      <c r="BK1139" s="64">
        <v>0</v>
      </c>
      <c r="BS1139" s="64">
        <v>0</v>
      </c>
      <c r="BV1139" s="65">
        <v>38500</v>
      </c>
      <c r="BW1139" s="65">
        <v>29700</v>
      </c>
      <c r="BX1139" s="65">
        <v>44693</v>
      </c>
      <c r="BY1139" s="65">
        <v>8800</v>
      </c>
      <c r="BZ1139" s="81">
        <v>22.857142857142858</v>
      </c>
    </row>
    <row r="1140" spans="1:89" s="152" customFormat="1" x14ac:dyDescent="0.15">
      <c r="A1140" s="142">
        <v>3</v>
      </c>
      <c r="B1140" s="143"/>
      <c r="C1140" s="143" t="s">
        <v>309</v>
      </c>
      <c r="D1140" s="143"/>
      <c r="E1140" s="143"/>
      <c r="F1140" s="143" t="s">
        <v>309</v>
      </c>
      <c r="G1140" s="143"/>
      <c r="H1140" s="143" t="s">
        <v>309</v>
      </c>
      <c r="I1140" s="142"/>
      <c r="J1140" s="142">
        <v>2</v>
      </c>
      <c r="K1140" s="143"/>
      <c r="L1140" s="142">
        <v>0</v>
      </c>
      <c r="M1140" s="143">
        <v>44693</v>
      </c>
      <c r="N1140" s="143"/>
      <c r="O1140" s="144" t="s">
        <v>331</v>
      </c>
      <c r="P1140" s="142" t="s">
        <v>26</v>
      </c>
      <c r="Q1140" s="144" t="s">
        <v>137</v>
      </c>
      <c r="R1140" s="144" t="s">
        <v>3455</v>
      </c>
      <c r="S1140" s="145" t="s">
        <v>326</v>
      </c>
      <c r="T1140" s="145" t="s">
        <v>3456</v>
      </c>
      <c r="U1140" s="146">
        <v>19170</v>
      </c>
      <c r="V1140" s="146">
        <v>21087</v>
      </c>
      <c r="W1140" s="146">
        <v>19170</v>
      </c>
      <c r="X1140" s="146">
        <v>21087</v>
      </c>
      <c r="Y1140" s="146">
        <v>0</v>
      </c>
      <c r="Z1140" s="146">
        <v>0</v>
      </c>
      <c r="AA1140" s="143"/>
      <c r="AB1140" s="143"/>
      <c r="AC1140" s="143"/>
      <c r="AD1140" s="142">
        <v>0</v>
      </c>
      <c r="AE1140" s="142"/>
      <c r="AF1140" s="142"/>
      <c r="AG1140" s="142">
        <v>0</v>
      </c>
      <c r="AH1140" s="142"/>
      <c r="AI1140" s="142"/>
      <c r="AJ1140" s="142">
        <v>0</v>
      </c>
      <c r="AK1140" s="142"/>
      <c r="AL1140" s="142"/>
      <c r="AM1140" s="142"/>
      <c r="AN1140" s="142" t="s">
        <v>309</v>
      </c>
      <c r="AO1140" s="143"/>
      <c r="AP1140" s="142"/>
      <c r="AQ1140" s="142"/>
      <c r="AR1140" s="143"/>
      <c r="AS1140" s="142"/>
      <c r="AT1140" s="143"/>
      <c r="AU1140" s="142"/>
      <c r="AV1140" s="143"/>
      <c r="AW1140" s="147"/>
      <c r="AX1140" s="147"/>
      <c r="AY1140" s="154">
        <v>19170</v>
      </c>
      <c r="AZ1140" s="154">
        <v>21087</v>
      </c>
      <c r="BA1140" s="142"/>
      <c r="BB1140" s="146"/>
      <c r="BC1140" s="146">
        <v>0</v>
      </c>
      <c r="BD1140" s="142"/>
      <c r="BE1140" s="142"/>
      <c r="BF1140" s="146"/>
      <c r="BG1140" s="146">
        <v>0</v>
      </c>
      <c r="BH1140" s="142"/>
      <c r="BI1140" s="142"/>
      <c r="BJ1140" s="146"/>
      <c r="BK1140" s="146">
        <v>0</v>
      </c>
      <c r="BL1140" s="142"/>
      <c r="BM1140" s="146"/>
      <c r="BN1140" s="146"/>
      <c r="BO1140" s="146"/>
      <c r="BP1140" s="146"/>
      <c r="BQ1140" s="146"/>
      <c r="BR1140" s="146"/>
      <c r="BS1140" s="146">
        <v>0</v>
      </c>
      <c r="BT1140" s="149"/>
      <c r="BU1140" s="149"/>
      <c r="BV1140" s="150">
        <v>21087</v>
      </c>
      <c r="BW1140" s="150">
        <v>0</v>
      </c>
      <c r="BX1140" s="150">
        <v>44693</v>
      </c>
      <c r="BY1140" s="150">
        <v>21087</v>
      </c>
      <c r="BZ1140" s="151">
        <v>100</v>
      </c>
      <c r="CA1140" s="142"/>
      <c r="CB1140" s="142"/>
      <c r="CC1140" s="142"/>
      <c r="CD1140" s="145" t="s">
        <v>3457</v>
      </c>
      <c r="CE1140" s="143"/>
      <c r="CF1140" s="143"/>
      <c r="CG1140" s="143"/>
      <c r="CH1140" s="143"/>
      <c r="CI1140" s="143"/>
      <c r="CJ1140" s="143"/>
      <c r="CK1140" s="146"/>
    </row>
    <row r="1141" spans="1:89" x14ac:dyDescent="0.15">
      <c r="A1141" s="60">
        <v>2</v>
      </c>
      <c r="B1141" s="61">
        <v>44727</v>
      </c>
      <c r="C1141" s="61">
        <v>44742</v>
      </c>
      <c r="D1141" s="61">
        <v>44726</v>
      </c>
      <c r="E1141" s="61">
        <v>44726</v>
      </c>
      <c r="F1141" s="61">
        <v>44728</v>
      </c>
      <c r="G1141" s="61">
        <v>44725</v>
      </c>
      <c r="H1141" s="61">
        <v>44724</v>
      </c>
      <c r="I1141" s="60" t="s">
        <v>511</v>
      </c>
      <c r="J1141" s="60">
        <v>1</v>
      </c>
      <c r="K1141" s="61">
        <v>44715</v>
      </c>
      <c r="L1141" s="60" t="s">
        <v>529</v>
      </c>
      <c r="M1141" s="61">
        <v>44694</v>
      </c>
      <c r="O1141" s="62" t="s">
        <v>331</v>
      </c>
      <c r="P1141" s="60" t="s">
        <v>26</v>
      </c>
      <c r="Q1141" s="62" t="s">
        <v>137</v>
      </c>
      <c r="R1141" s="62" t="s">
        <v>3535</v>
      </c>
      <c r="S1141" s="63" t="s">
        <v>3536</v>
      </c>
      <c r="T1141" s="63" t="s">
        <v>3538</v>
      </c>
      <c r="U1141" s="64">
        <v>896000</v>
      </c>
      <c r="V1141" s="64">
        <v>985600</v>
      </c>
      <c r="W1141" s="64">
        <v>746000</v>
      </c>
      <c r="X1141" s="64">
        <v>820600</v>
      </c>
      <c r="Y1141" s="64">
        <v>150000</v>
      </c>
      <c r="Z1141" s="64">
        <v>165000</v>
      </c>
      <c r="AA1141" s="61">
        <v>44719</v>
      </c>
      <c r="AB1141" s="61">
        <v>44721</v>
      </c>
      <c r="AC1141" s="61">
        <v>44721</v>
      </c>
      <c r="AD1141" s="60">
        <v>0</v>
      </c>
      <c r="AG1141" s="60">
        <v>0</v>
      </c>
      <c r="AJ1141" s="60">
        <v>0</v>
      </c>
      <c r="AM1141" s="60" t="s">
        <v>3537</v>
      </c>
      <c r="AN1141" s="60" t="s">
        <v>3539</v>
      </c>
      <c r="AQ1141" s="60" t="s">
        <v>3627</v>
      </c>
      <c r="AR1141" s="61">
        <v>44721</v>
      </c>
      <c r="AS1141" s="60">
        <v>6002038201</v>
      </c>
      <c r="AT1141" s="61">
        <v>44725</v>
      </c>
      <c r="AU1141" s="60" t="s">
        <v>3615</v>
      </c>
      <c r="AV1141" s="61">
        <v>44742</v>
      </c>
      <c r="AW1141" s="91">
        <v>44742</v>
      </c>
      <c r="AX1141" s="91">
        <v>44762</v>
      </c>
      <c r="AY1141" s="107">
        <v>896000</v>
      </c>
      <c r="AZ1141" s="107">
        <f>ROUNDDOWN(AY1141+(AY1141*MASTER!$A$2/100),0)</f>
        <v>985600</v>
      </c>
      <c r="BA1141" s="60" t="s">
        <v>319</v>
      </c>
      <c r="BB1141" s="64">
        <v>88000</v>
      </c>
      <c r="BC1141" s="64">
        <v>96800</v>
      </c>
      <c r="BD1141" s="60" t="s">
        <v>3530</v>
      </c>
      <c r="BG1141" s="64">
        <v>0</v>
      </c>
      <c r="BI1141" s="60" t="s">
        <v>267</v>
      </c>
      <c r="BJ1141" s="64">
        <v>97500</v>
      </c>
      <c r="BK1141" s="64">
        <v>107250</v>
      </c>
      <c r="BL1141" s="60" t="s">
        <v>3048</v>
      </c>
      <c r="BS1141" s="64">
        <v>0</v>
      </c>
      <c r="BV1141" s="65">
        <v>820600</v>
      </c>
      <c r="BW1141" s="65">
        <v>204050</v>
      </c>
      <c r="BX1141" s="65">
        <v>0</v>
      </c>
      <c r="BY1141" s="65">
        <v>44715</v>
      </c>
      <c r="BZ1141" s="81">
        <v>75.134048257372655</v>
      </c>
    </row>
    <row r="1142" spans="1:89" s="152" customFormat="1" x14ac:dyDescent="0.15">
      <c r="A1142" s="142">
        <v>3</v>
      </c>
      <c r="B1142" s="143"/>
      <c r="C1142" s="143" t="s">
        <v>309</v>
      </c>
      <c r="D1142" s="143"/>
      <c r="E1142" s="143"/>
      <c r="F1142" s="143" t="s">
        <v>309</v>
      </c>
      <c r="G1142" s="143"/>
      <c r="H1142" s="143" t="s">
        <v>309</v>
      </c>
      <c r="I1142" s="142"/>
      <c r="J1142" s="142">
        <v>2</v>
      </c>
      <c r="K1142" s="143"/>
      <c r="L1142" s="142">
        <v>0</v>
      </c>
      <c r="M1142" s="143">
        <v>44694</v>
      </c>
      <c r="N1142" s="143"/>
      <c r="O1142" s="144" t="s">
        <v>331</v>
      </c>
      <c r="P1142" s="142" t="s">
        <v>6</v>
      </c>
      <c r="Q1142" s="144" t="s">
        <v>137</v>
      </c>
      <c r="R1142" s="144" t="s">
        <v>4030</v>
      </c>
      <c r="S1142" s="145" t="s">
        <v>1458</v>
      </c>
      <c r="T1142" s="145" t="s">
        <v>364</v>
      </c>
      <c r="U1142" s="146">
        <v>51000</v>
      </c>
      <c r="V1142" s="146">
        <v>56100</v>
      </c>
      <c r="W1142" s="146">
        <v>51000</v>
      </c>
      <c r="X1142" s="146">
        <v>56100</v>
      </c>
      <c r="Y1142" s="146"/>
      <c r="Z1142" s="146">
        <v>0</v>
      </c>
      <c r="AA1142" s="143"/>
      <c r="AB1142" s="143"/>
      <c r="AC1142" s="143"/>
      <c r="AD1142" s="142">
        <v>0</v>
      </c>
      <c r="AE1142" s="142"/>
      <c r="AF1142" s="142"/>
      <c r="AG1142" s="142">
        <v>0</v>
      </c>
      <c r="AH1142" s="142"/>
      <c r="AI1142" s="142"/>
      <c r="AJ1142" s="142">
        <v>0</v>
      </c>
      <c r="AK1142" s="142"/>
      <c r="AL1142" s="142"/>
      <c r="AM1142" s="142"/>
      <c r="AN1142" s="142" t="s">
        <v>309</v>
      </c>
      <c r="AO1142" s="143"/>
      <c r="AP1142" s="142"/>
      <c r="AQ1142" s="142"/>
      <c r="AR1142" s="143"/>
      <c r="AS1142" s="142"/>
      <c r="AT1142" s="143"/>
      <c r="AU1142" s="142"/>
      <c r="AV1142" s="143"/>
      <c r="AW1142" s="147"/>
      <c r="AX1142" s="147"/>
      <c r="AY1142" s="148">
        <v>48960</v>
      </c>
      <c r="AZ1142" s="148">
        <f>ROUNDDOWN(AY1142+(AY1142*MASTER!$A$2/100),0)</f>
        <v>53856</v>
      </c>
      <c r="BA1142" s="142"/>
      <c r="BB1142" s="146"/>
      <c r="BC1142" s="146">
        <v>0</v>
      </c>
      <c r="BD1142" s="142"/>
      <c r="BE1142" s="142"/>
      <c r="BF1142" s="146"/>
      <c r="BG1142" s="146">
        <v>0</v>
      </c>
      <c r="BH1142" s="142"/>
      <c r="BI1142" s="142"/>
      <c r="BJ1142" s="146"/>
      <c r="BK1142" s="146">
        <v>0</v>
      </c>
      <c r="BL1142" s="142"/>
      <c r="BM1142" s="146"/>
      <c r="BN1142" s="146"/>
      <c r="BO1142" s="146"/>
      <c r="BP1142" s="146"/>
      <c r="BQ1142" s="146"/>
      <c r="BR1142" s="146"/>
      <c r="BS1142" s="146">
        <v>0</v>
      </c>
      <c r="BT1142" s="149"/>
      <c r="BU1142" s="149"/>
      <c r="BV1142" s="150">
        <v>56100</v>
      </c>
      <c r="BW1142" s="150">
        <v>0</v>
      </c>
      <c r="BX1142" s="150">
        <v>44694</v>
      </c>
      <c r="BY1142" s="150">
        <v>56100</v>
      </c>
      <c r="BZ1142" s="151">
        <v>100</v>
      </c>
      <c r="CA1142" s="142"/>
      <c r="CB1142" s="142"/>
      <c r="CC1142" s="142"/>
      <c r="CD1142" s="145" t="s">
        <v>4031</v>
      </c>
      <c r="CE1142" s="143"/>
      <c r="CF1142" s="143"/>
      <c r="CG1142" s="143"/>
      <c r="CH1142" s="143"/>
      <c r="CI1142" s="143"/>
      <c r="CJ1142" s="143"/>
      <c r="CK1142" s="146"/>
    </row>
    <row r="1143" spans="1:89" x14ac:dyDescent="0.15">
      <c r="A1143" s="60">
        <v>1</v>
      </c>
      <c r="B1143" s="61">
        <v>44700</v>
      </c>
      <c r="C1143" s="61">
        <v>44706</v>
      </c>
      <c r="F1143" s="61" t="s">
        <v>309</v>
      </c>
      <c r="H1143" s="61" t="s">
        <v>309</v>
      </c>
      <c r="J1143" s="60">
        <v>3</v>
      </c>
      <c r="L1143" s="60">
        <v>0</v>
      </c>
      <c r="M1143" s="61">
        <v>44694</v>
      </c>
      <c r="O1143" s="62" t="s">
        <v>331</v>
      </c>
      <c r="P1143" s="60" t="s">
        <v>6</v>
      </c>
      <c r="Q1143" s="62" t="s">
        <v>137</v>
      </c>
      <c r="R1143" s="62" t="s">
        <v>3427</v>
      </c>
      <c r="S1143" s="63" t="s">
        <v>567</v>
      </c>
      <c r="T1143" s="63" t="s">
        <v>385</v>
      </c>
      <c r="U1143" s="64">
        <v>18000</v>
      </c>
      <c r="V1143" s="64">
        <v>19800</v>
      </c>
      <c r="X1143" s="64">
        <v>0</v>
      </c>
      <c r="Y1143" s="64">
        <v>18000</v>
      </c>
      <c r="Z1143" s="64">
        <v>19800</v>
      </c>
      <c r="AD1143" s="60">
        <v>0</v>
      </c>
      <c r="AG1143" s="60">
        <v>0</v>
      </c>
      <c r="AJ1143" s="60">
        <v>0</v>
      </c>
      <c r="AN1143" s="60" t="s">
        <v>309</v>
      </c>
      <c r="AQ1143" s="60" t="s">
        <v>3371</v>
      </c>
      <c r="AR1143" s="61">
        <v>44698</v>
      </c>
      <c r="AS1143" s="60">
        <v>6002027328</v>
      </c>
      <c r="AT1143" s="61">
        <v>44698</v>
      </c>
      <c r="AU1143" s="60" t="s">
        <v>3403</v>
      </c>
      <c r="AV1143" s="61">
        <v>44706</v>
      </c>
      <c r="AW1143" s="91">
        <v>44712</v>
      </c>
      <c r="AX1143" s="91">
        <v>44732</v>
      </c>
      <c r="AY1143" s="99">
        <v>17280</v>
      </c>
      <c r="AZ1143" s="99">
        <f>ROUNDDOWN(AY1143+(AY1143*MASTER!$A$2/100),0)</f>
        <v>19008</v>
      </c>
      <c r="BC1143" s="64">
        <v>0</v>
      </c>
      <c r="BG1143" s="64">
        <v>0</v>
      </c>
      <c r="BK1143" s="64">
        <v>0</v>
      </c>
      <c r="BS1143" s="64">
        <v>0</v>
      </c>
      <c r="BV1143" s="65">
        <v>0</v>
      </c>
      <c r="BW1143" s="65">
        <v>0</v>
      </c>
      <c r="BX1143" s="65">
        <v>44694</v>
      </c>
      <c r="BY1143" s="65">
        <v>0</v>
      </c>
      <c r="BZ1143" s="81" t="s">
        <v>309</v>
      </c>
    </row>
    <row r="1144" spans="1:89" x14ac:dyDescent="0.15">
      <c r="A1144" s="60">
        <v>1</v>
      </c>
      <c r="B1144" s="61">
        <v>44704</v>
      </c>
      <c r="C1144" s="61">
        <v>44704</v>
      </c>
      <c r="F1144" s="61" t="s">
        <v>309</v>
      </c>
      <c r="G1144" s="61">
        <v>44697</v>
      </c>
      <c r="H1144" s="61" t="s">
        <v>309</v>
      </c>
      <c r="J1144" s="60">
        <v>2</v>
      </c>
      <c r="L1144" s="60">
        <v>0</v>
      </c>
      <c r="M1144" s="61">
        <v>44697</v>
      </c>
      <c r="O1144" s="62" t="s">
        <v>331</v>
      </c>
      <c r="P1144" s="60" t="s">
        <v>6</v>
      </c>
      <c r="Q1144" s="62" t="s">
        <v>137</v>
      </c>
      <c r="R1144" s="62" t="s">
        <v>3395</v>
      </c>
      <c r="S1144" s="63" t="s">
        <v>1239</v>
      </c>
      <c r="T1144" s="63" t="s">
        <v>364</v>
      </c>
      <c r="U1144" s="64">
        <v>35000</v>
      </c>
      <c r="V1144" s="64">
        <v>38500</v>
      </c>
      <c r="W1144" s="64">
        <v>35000</v>
      </c>
      <c r="X1144" s="64">
        <v>38500</v>
      </c>
      <c r="Y1144" s="64">
        <v>0</v>
      </c>
      <c r="Z1144" s="64">
        <v>0</v>
      </c>
      <c r="AA1144" s="61">
        <v>44696</v>
      </c>
      <c r="AB1144" s="61">
        <v>44696</v>
      </c>
      <c r="AD1144" s="60">
        <v>0</v>
      </c>
      <c r="AG1144" s="60">
        <v>0</v>
      </c>
      <c r="AJ1144" s="60">
        <v>0</v>
      </c>
      <c r="AN1144" s="60" t="s">
        <v>309</v>
      </c>
      <c r="AQ1144" s="60" t="s">
        <v>3404</v>
      </c>
      <c r="AR1144" s="61">
        <v>44699</v>
      </c>
      <c r="AS1144" s="60">
        <v>6002028103</v>
      </c>
      <c r="AT1144" s="61">
        <v>44703</v>
      </c>
      <c r="AU1144" s="60" t="s">
        <v>3438</v>
      </c>
      <c r="AV1144" s="61">
        <v>44704</v>
      </c>
      <c r="AW1144" s="91">
        <v>44712</v>
      </c>
      <c r="AX1144" s="91">
        <v>44732</v>
      </c>
      <c r="AY1144" s="99">
        <v>33600</v>
      </c>
      <c r="AZ1144" s="99">
        <f>ROUNDDOWN(AY1144+(AY1144*MASTER!$A$2/100),0)</f>
        <v>36960</v>
      </c>
      <c r="BA1144" s="60" t="s">
        <v>799</v>
      </c>
      <c r="BB1144" s="64">
        <v>21000</v>
      </c>
      <c r="BC1144" s="64">
        <v>23100</v>
      </c>
      <c r="BD1144" s="60" t="s">
        <v>3393</v>
      </c>
      <c r="BG1144" s="64">
        <v>0</v>
      </c>
      <c r="BK1144" s="64">
        <v>0</v>
      </c>
      <c r="BS1144" s="64">
        <v>0</v>
      </c>
      <c r="BV1144" s="65">
        <v>38500</v>
      </c>
      <c r="BW1144" s="65">
        <v>23100</v>
      </c>
      <c r="BX1144" s="65">
        <v>44697</v>
      </c>
      <c r="BY1144" s="65">
        <v>15400</v>
      </c>
      <c r="BZ1144" s="81">
        <v>40</v>
      </c>
    </row>
    <row r="1145" spans="1:89" x14ac:dyDescent="0.15">
      <c r="A1145" s="60">
        <v>2</v>
      </c>
      <c r="B1145" s="61">
        <v>44743</v>
      </c>
      <c r="C1145" s="61">
        <v>44748</v>
      </c>
      <c r="D1145" s="61">
        <v>44775</v>
      </c>
      <c r="F1145" s="61">
        <v>44755</v>
      </c>
      <c r="G1145" s="61">
        <v>44748</v>
      </c>
      <c r="H1145" s="61">
        <v>44751</v>
      </c>
      <c r="I1145" s="60" t="s">
        <v>774</v>
      </c>
      <c r="J1145" s="60">
        <v>1</v>
      </c>
      <c r="L1145" s="60">
        <v>0</v>
      </c>
      <c r="M1145" s="61">
        <v>44698</v>
      </c>
      <c r="O1145" s="62" t="s">
        <v>331</v>
      </c>
      <c r="P1145" s="60" t="s">
        <v>26</v>
      </c>
      <c r="Q1145" s="62" t="s">
        <v>137</v>
      </c>
      <c r="R1145" s="62" t="s">
        <v>3396</v>
      </c>
      <c r="S1145" s="63" t="s">
        <v>702</v>
      </c>
      <c r="T1145" s="63" t="s">
        <v>1336</v>
      </c>
      <c r="U1145" s="64">
        <v>170500</v>
      </c>
      <c r="V1145" s="64">
        <v>187550</v>
      </c>
      <c r="W1145" s="64">
        <v>78000</v>
      </c>
      <c r="X1145" s="64">
        <v>85800</v>
      </c>
      <c r="Y1145" s="64">
        <v>92500</v>
      </c>
      <c r="Z1145" s="64">
        <v>101750</v>
      </c>
      <c r="AA1145" s="61">
        <v>44746</v>
      </c>
      <c r="AB1145" s="61">
        <v>44748</v>
      </c>
      <c r="AC1145" s="61">
        <v>44748</v>
      </c>
      <c r="AD1145" s="60">
        <v>0</v>
      </c>
      <c r="AG1145" s="60">
        <v>0</v>
      </c>
      <c r="AJ1145" s="60">
        <v>0</v>
      </c>
      <c r="AM1145" s="60" t="s">
        <v>273</v>
      </c>
      <c r="AN1145" s="60" t="s">
        <v>3397</v>
      </c>
      <c r="AQ1145" s="60" t="s">
        <v>3487</v>
      </c>
      <c r="AR1145" s="61">
        <v>44711</v>
      </c>
      <c r="AS1145" s="60">
        <v>6002032724</v>
      </c>
      <c r="AT1145" s="61">
        <v>44711</v>
      </c>
      <c r="AU1145" s="60" t="s">
        <v>3493</v>
      </c>
      <c r="AV1145" s="61">
        <v>44748</v>
      </c>
      <c r="AW1145" s="91">
        <v>44773</v>
      </c>
      <c r="AX1145" s="91">
        <v>44793</v>
      </c>
      <c r="AY1145" s="99">
        <v>163680</v>
      </c>
      <c r="AZ1145" s="99">
        <f>ROUNDDOWN(AY1145+(AY1145*MASTER!$A$2/100),0)</f>
        <v>180048</v>
      </c>
      <c r="BA1145" s="60" t="s">
        <v>317</v>
      </c>
      <c r="BB1145" s="64">
        <v>44000</v>
      </c>
      <c r="BC1145" s="64">
        <v>48400</v>
      </c>
      <c r="BD1145" s="60" t="s">
        <v>3800</v>
      </c>
      <c r="BG1145" s="64">
        <v>0</v>
      </c>
      <c r="BI1145" s="60" t="s">
        <v>748</v>
      </c>
      <c r="BJ1145" s="64">
        <v>60125</v>
      </c>
      <c r="BK1145" s="64">
        <v>66137.5</v>
      </c>
      <c r="BL1145" s="60" t="s">
        <v>3800</v>
      </c>
      <c r="BS1145" s="64">
        <v>0</v>
      </c>
      <c r="BV1145" s="65">
        <v>85800</v>
      </c>
      <c r="BW1145" s="65">
        <v>114537.5</v>
      </c>
      <c r="BX1145" s="65">
        <v>44698</v>
      </c>
      <c r="BY1145" s="65">
        <v>-28737.5</v>
      </c>
      <c r="BZ1145" s="81">
        <v>-33.493589743589745</v>
      </c>
    </row>
    <row r="1146" spans="1:89" x14ac:dyDescent="0.15">
      <c r="A1146" s="60">
        <v>2</v>
      </c>
      <c r="B1146" s="61">
        <v>44714</v>
      </c>
      <c r="C1146" s="61">
        <v>44719</v>
      </c>
      <c r="D1146" s="61" t="s">
        <v>764</v>
      </c>
      <c r="E1146" s="61">
        <v>44726</v>
      </c>
      <c r="F1146" s="61">
        <v>44726</v>
      </c>
      <c r="G1146" s="61">
        <v>44725</v>
      </c>
      <c r="H1146" s="61">
        <v>44722</v>
      </c>
      <c r="I1146" s="60" t="s">
        <v>511</v>
      </c>
      <c r="J1146" s="60">
        <v>1</v>
      </c>
      <c r="L1146" s="60">
        <v>0</v>
      </c>
      <c r="M1146" s="61">
        <v>44698</v>
      </c>
      <c r="O1146" s="62" t="s">
        <v>331</v>
      </c>
      <c r="P1146" s="60" t="s">
        <v>26</v>
      </c>
      <c r="Q1146" s="62" t="s">
        <v>137</v>
      </c>
      <c r="R1146" s="62" t="s">
        <v>3522</v>
      </c>
      <c r="S1146" s="63" t="s">
        <v>1381</v>
      </c>
      <c r="T1146" s="63" t="s">
        <v>502</v>
      </c>
      <c r="U1146" s="64">
        <v>23900</v>
      </c>
      <c r="V1146" s="64">
        <v>26290</v>
      </c>
      <c r="W1146" s="64">
        <v>14700</v>
      </c>
      <c r="X1146" s="64">
        <v>16170</v>
      </c>
      <c r="Y1146" s="64">
        <v>9200</v>
      </c>
      <c r="Z1146" s="64">
        <v>10120</v>
      </c>
      <c r="AA1146" s="61">
        <v>44718</v>
      </c>
      <c r="AB1146" s="61">
        <v>44719</v>
      </c>
      <c r="AC1146" s="61">
        <v>44719</v>
      </c>
      <c r="AD1146" s="60">
        <v>0</v>
      </c>
      <c r="AG1146" s="60">
        <v>0</v>
      </c>
      <c r="AJ1146" s="60">
        <v>0</v>
      </c>
      <c r="AM1146" s="60" t="s">
        <v>273</v>
      </c>
      <c r="AN1146" s="60" t="s">
        <v>3523</v>
      </c>
      <c r="AQ1146" s="60" t="s">
        <v>3462</v>
      </c>
      <c r="AR1146" s="61">
        <v>44706</v>
      </c>
      <c r="AS1146" s="60">
        <v>6002030880</v>
      </c>
      <c r="AT1146" s="61">
        <v>44706</v>
      </c>
      <c r="AU1146" s="60" t="s">
        <v>3475</v>
      </c>
      <c r="AV1146" s="61">
        <v>44719</v>
      </c>
      <c r="AW1146" s="91">
        <v>44742</v>
      </c>
      <c r="AX1146" s="91">
        <v>44762</v>
      </c>
      <c r="AY1146" s="99">
        <v>22944</v>
      </c>
      <c r="AZ1146" s="99">
        <f>ROUNDDOWN(AY1146+(AY1146*MASTER!$A$2/100),0)</f>
        <v>25238</v>
      </c>
      <c r="BA1146" s="60" t="s">
        <v>765</v>
      </c>
      <c r="BC1146" s="64">
        <v>0</v>
      </c>
      <c r="BG1146" s="64">
        <v>0</v>
      </c>
      <c r="BI1146" s="60" t="s">
        <v>267</v>
      </c>
      <c r="BJ1146" s="64">
        <v>5980</v>
      </c>
      <c r="BK1146" s="64">
        <v>6578</v>
      </c>
      <c r="BL1146" s="60" t="s">
        <v>3048</v>
      </c>
      <c r="BS1146" s="64">
        <v>0</v>
      </c>
      <c r="BV1146" s="65">
        <v>16170</v>
      </c>
      <c r="BW1146" s="65">
        <v>6578</v>
      </c>
      <c r="BX1146" s="65">
        <v>44698</v>
      </c>
      <c r="BY1146" s="65">
        <v>9592</v>
      </c>
      <c r="BZ1146" s="81">
        <v>59.319727891156461</v>
      </c>
    </row>
    <row r="1147" spans="1:89" x14ac:dyDescent="0.15">
      <c r="A1147" s="60">
        <v>2</v>
      </c>
      <c r="B1147" s="61">
        <v>44727</v>
      </c>
      <c r="C1147" s="61">
        <v>44729</v>
      </c>
      <c r="D1147" s="61" t="s">
        <v>764</v>
      </c>
      <c r="E1147" s="61">
        <v>44732</v>
      </c>
      <c r="F1147" s="61">
        <v>44736</v>
      </c>
      <c r="G1147" s="61">
        <v>44732</v>
      </c>
      <c r="H1147" s="61">
        <v>44732</v>
      </c>
      <c r="I1147" s="60" t="s">
        <v>511</v>
      </c>
      <c r="J1147" s="60">
        <v>1</v>
      </c>
      <c r="L1147" s="60">
        <v>0</v>
      </c>
      <c r="M1147" s="61">
        <v>44698</v>
      </c>
      <c r="O1147" s="62" t="s">
        <v>331</v>
      </c>
      <c r="P1147" s="60" t="s">
        <v>26</v>
      </c>
      <c r="Q1147" s="62" t="s">
        <v>137</v>
      </c>
      <c r="R1147" s="62" t="s">
        <v>3642</v>
      </c>
      <c r="S1147" s="63" t="s">
        <v>3341</v>
      </c>
      <c r="T1147" s="63" t="s">
        <v>1377</v>
      </c>
      <c r="U1147" s="64">
        <v>23900</v>
      </c>
      <c r="V1147" s="64">
        <v>26290</v>
      </c>
      <c r="W1147" s="64">
        <v>14700</v>
      </c>
      <c r="X1147" s="64">
        <v>16170</v>
      </c>
      <c r="Y1147" s="64">
        <v>9200</v>
      </c>
      <c r="Z1147" s="64">
        <v>10120</v>
      </c>
      <c r="AA1147" s="61">
        <v>44728</v>
      </c>
      <c r="AB1147" s="61">
        <v>44729</v>
      </c>
      <c r="AC1147" s="61">
        <v>44729</v>
      </c>
      <c r="AD1147" s="60">
        <v>0</v>
      </c>
      <c r="AG1147" s="60">
        <v>0</v>
      </c>
      <c r="AJ1147" s="60">
        <v>0</v>
      </c>
      <c r="AM1147" s="60" t="s">
        <v>273</v>
      </c>
      <c r="AN1147" s="60" t="s">
        <v>3643</v>
      </c>
      <c r="AQ1147" s="60" t="s">
        <v>3463</v>
      </c>
      <c r="AR1147" s="61">
        <v>44706</v>
      </c>
      <c r="AS1147" s="60">
        <v>6002030880</v>
      </c>
      <c r="AT1147" s="61">
        <v>44706</v>
      </c>
      <c r="AU1147" s="60" t="s">
        <v>3475</v>
      </c>
      <c r="AV1147" s="61">
        <v>44729</v>
      </c>
      <c r="AW1147" s="91">
        <v>44742</v>
      </c>
      <c r="AX1147" s="91">
        <v>44762</v>
      </c>
      <c r="AY1147" s="99">
        <v>22944</v>
      </c>
      <c r="AZ1147" s="99">
        <f>ROUNDDOWN(AY1147+(AY1147*MASTER!$A$2/100),0)</f>
        <v>25238</v>
      </c>
      <c r="BA1147" s="60" t="s">
        <v>765</v>
      </c>
      <c r="BC1147" s="64">
        <v>0</v>
      </c>
      <c r="BG1147" s="64">
        <v>0</v>
      </c>
      <c r="BI1147" s="60" t="s">
        <v>267</v>
      </c>
      <c r="BJ1147" s="64">
        <v>5980</v>
      </c>
      <c r="BK1147" s="64">
        <v>6578</v>
      </c>
      <c r="BL1147" s="60" t="s">
        <v>3048</v>
      </c>
      <c r="BS1147" s="64">
        <v>0</v>
      </c>
      <c r="BV1147" s="65">
        <v>16170</v>
      </c>
      <c r="BW1147" s="65">
        <v>6578</v>
      </c>
      <c r="BX1147" s="65">
        <v>44698</v>
      </c>
      <c r="BY1147" s="65">
        <v>9592</v>
      </c>
      <c r="BZ1147" s="81">
        <v>59.319727891156461</v>
      </c>
    </row>
    <row r="1148" spans="1:89" x14ac:dyDescent="0.15">
      <c r="A1148" s="60">
        <v>2</v>
      </c>
      <c r="B1148" s="61">
        <v>44714</v>
      </c>
      <c r="C1148" s="61">
        <v>44715</v>
      </c>
      <c r="D1148" s="61">
        <v>44750</v>
      </c>
      <c r="E1148" s="61">
        <v>44718</v>
      </c>
      <c r="F1148" s="61">
        <v>44722</v>
      </c>
      <c r="G1148" s="61">
        <v>44715</v>
      </c>
      <c r="H1148" s="61">
        <v>44718</v>
      </c>
      <c r="I1148" s="60" t="s">
        <v>511</v>
      </c>
      <c r="J1148" s="60">
        <v>1</v>
      </c>
      <c r="L1148" s="60">
        <v>0</v>
      </c>
      <c r="M1148" s="61">
        <v>44698</v>
      </c>
      <c r="O1148" s="62" t="s">
        <v>331</v>
      </c>
      <c r="P1148" s="60" t="s">
        <v>26</v>
      </c>
      <c r="Q1148" s="62" t="s">
        <v>137</v>
      </c>
      <c r="R1148" s="62" t="s">
        <v>3527</v>
      </c>
      <c r="S1148" s="63" t="s">
        <v>801</v>
      </c>
      <c r="T1148" s="63" t="s">
        <v>498</v>
      </c>
      <c r="U1148" s="64">
        <v>50000</v>
      </c>
      <c r="V1148" s="64">
        <v>55000</v>
      </c>
      <c r="W1148" s="64">
        <v>47000</v>
      </c>
      <c r="X1148" s="64">
        <v>51700</v>
      </c>
      <c r="Y1148" s="64">
        <v>3000</v>
      </c>
      <c r="Z1148" s="64">
        <v>3300</v>
      </c>
      <c r="AA1148" s="61">
        <v>44714</v>
      </c>
      <c r="AB1148" s="61">
        <v>44715</v>
      </c>
      <c r="AC1148" s="61">
        <v>44715</v>
      </c>
      <c r="AD1148" s="60">
        <v>0</v>
      </c>
      <c r="AG1148" s="60">
        <v>0</v>
      </c>
      <c r="AJ1148" s="60">
        <v>0</v>
      </c>
      <c r="AM1148" s="60" t="s">
        <v>273</v>
      </c>
      <c r="AN1148" s="60" t="s">
        <v>3528</v>
      </c>
      <c r="AQ1148" s="60" t="s">
        <v>3489</v>
      </c>
      <c r="AR1148" s="61">
        <v>44711</v>
      </c>
      <c r="AS1148" s="60">
        <v>6002032724</v>
      </c>
      <c r="AT1148" s="61">
        <v>44711</v>
      </c>
      <c r="AU1148" s="60" t="s">
        <v>3493</v>
      </c>
      <c r="AV1148" s="61">
        <v>44715</v>
      </c>
      <c r="AW1148" s="91">
        <v>44742</v>
      </c>
      <c r="AX1148" s="91">
        <v>44762</v>
      </c>
      <c r="AY1148" s="99">
        <v>48000</v>
      </c>
      <c r="AZ1148" s="99">
        <f>ROUNDDOWN(AY1148+(AY1148*MASTER!$A$2/100),0)</f>
        <v>52800</v>
      </c>
      <c r="BA1148" s="60" t="s">
        <v>613</v>
      </c>
      <c r="BB1148" s="64">
        <v>26000</v>
      </c>
      <c r="BC1148" s="64">
        <v>28600</v>
      </c>
      <c r="BD1148" s="60" t="s">
        <v>3530</v>
      </c>
      <c r="BG1148" s="64">
        <v>0</v>
      </c>
      <c r="BI1148" s="60" t="s">
        <v>748</v>
      </c>
      <c r="BJ1148" s="64">
        <v>1950</v>
      </c>
      <c r="BK1148" s="64">
        <v>2145</v>
      </c>
      <c r="BL1148" s="60" t="s">
        <v>3530</v>
      </c>
      <c r="BS1148" s="64">
        <v>0</v>
      </c>
      <c r="BV1148" s="65">
        <v>51700</v>
      </c>
      <c r="BW1148" s="65">
        <v>30745</v>
      </c>
      <c r="BX1148" s="65">
        <v>44698</v>
      </c>
      <c r="BY1148" s="65">
        <v>20955</v>
      </c>
      <c r="BZ1148" s="81">
        <v>40.531914893617021</v>
      </c>
    </row>
    <row r="1149" spans="1:89" x14ac:dyDescent="0.15">
      <c r="A1149" s="60">
        <v>1</v>
      </c>
      <c r="B1149" s="61">
        <v>44706</v>
      </c>
      <c r="C1149" s="61">
        <v>44706</v>
      </c>
      <c r="F1149" s="61" t="s">
        <v>309</v>
      </c>
      <c r="G1149" s="61">
        <v>44699</v>
      </c>
      <c r="H1149" s="61" t="s">
        <v>309</v>
      </c>
      <c r="J1149" s="60">
        <v>2</v>
      </c>
      <c r="L1149" s="60">
        <v>0</v>
      </c>
      <c r="M1149" s="61">
        <v>44699</v>
      </c>
      <c r="O1149" s="62" t="s">
        <v>331</v>
      </c>
      <c r="P1149" s="60" t="s">
        <v>6</v>
      </c>
      <c r="Q1149" s="62" t="s">
        <v>137</v>
      </c>
      <c r="R1149" s="62" t="s">
        <v>3411</v>
      </c>
      <c r="S1149" s="63" t="s">
        <v>1019</v>
      </c>
      <c r="T1149" s="63" t="s">
        <v>364</v>
      </c>
      <c r="U1149" s="64">
        <v>35000</v>
      </c>
      <c r="V1149" s="64">
        <v>38500</v>
      </c>
      <c r="W1149" s="64">
        <v>35000</v>
      </c>
      <c r="X1149" s="64">
        <v>38500</v>
      </c>
      <c r="Z1149" s="64">
        <v>0</v>
      </c>
      <c r="AA1149" s="61">
        <v>44698</v>
      </c>
      <c r="AB1149" s="61">
        <v>44698</v>
      </c>
      <c r="AD1149" s="60">
        <v>0</v>
      </c>
      <c r="AG1149" s="60">
        <v>0</v>
      </c>
      <c r="AJ1149" s="60">
        <v>0</v>
      </c>
      <c r="AN1149" s="60" t="s">
        <v>309</v>
      </c>
      <c r="AQ1149" s="60" t="s">
        <v>3443</v>
      </c>
      <c r="AR1149" s="61">
        <v>44704</v>
      </c>
      <c r="AS1149" s="60">
        <v>6002029465</v>
      </c>
      <c r="AT1149" s="61">
        <v>44704</v>
      </c>
      <c r="AU1149" s="60" t="s">
        <v>3446</v>
      </c>
      <c r="AV1149" s="61">
        <v>44706</v>
      </c>
      <c r="AW1149" s="91">
        <v>44712</v>
      </c>
      <c r="AX1149" s="91">
        <v>44732</v>
      </c>
      <c r="AY1149" s="99">
        <v>33600</v>
      </c>
      <c r="AZ1149" s="99">
        <f>ROUNDDOWN(AY1149+(AY1149*MASTER!$A$2/100),0)</f>
        <v>36960</v>
      </c>
      <c r="BA1149" s="60" t="s">
        <v>538</v>
      </c>
      <c r="BB1149" s="64">
        <v>33000</v>
      </c>
      <c r="BC1149" s="64">
        <v>36300</v>
      </c>
      <c r="BD1149" s="60" t="s">
        <v>3393</v>
      </c>
      <c r="BG1149" s="64">
        <v>0</v>
      </c>
      <c r="BK1149" s="64">
        <v>0</v>
      </c>
      <c r="BS1149" s="64">
        <v>0</v>
      </c>
      <c r="BV1149" s="65">
        <v>38500</v>
      </c>
      <c r="BW1149" s="65">
        <v>36300</v>
      </c>
      <c r="BX1149" s="65">
        <v>44699</v>
      </c>
      <c r="BY1149" s="65">
        <v>2200</v>
      </c>
      <c r="BZ1149" s="81">
        <v>5.7142857142857144</v>
      </c>
    </row>
    <row r="1150" spans="1:89" s="152" customFormat="1" x14ac:dyDescent="0.15">
      <c r="A1150" s="142">
        <v>3</v>
      </c>
      <c r="B1150" s="143"/>
      <c r="C1150" s="143" t="s">
        <v>309</v>
      </c>
      <c r="D1150" s="143"/>
      <c r="E1150" s="143"/>
      <c r="F1150" s="143" t="s">
        <v>309</v>
      </c>
      <c r="G1150" s="143"/>
      <c r="H1150" s="143" t="s">
        <v>309</v>
      </c>
      <c r="I1150" s="142"/>
      <c r="J1150" s="142">
        <v>2</v>
      </c>
      <c r="K1150" s="143"/>
      <c r="L1150" s="142">
        <v>0</v>
      </c>
      <c r="M1150" s="143">
        <v>44700</v>
      </c>
      <c r="N1150" s="143"/>
      <c r="O1150" s="144" t="s">
        <v>331</v>
      </c>
      <c r="P1150" s="142" t="s">
        <v>26</v>
      </c>
      <c r="Q1150" s="144" t="s">
        <v>137</v>
      </c>
      <c r="R1150" s="144" t="s">
        <v>4087</v>
      </c>
      <c r="S1150" s="145" t="s">
        <v>4088</v>
      </c>
      <c r="T1150" s="145" t="s">
        <v>656</v>
      </c>
      <c r="U1150" s="146">
        <v>49500</v>
      </c>
      <c r="V1150" s="146">
        <v>54450</v>
      </c>
      <c r="W1150" s="146">
        <v>49500</v>
      </c>
      <c r="X1150" s="146">
        <v>54450</v>
      </c>
      <c r="Y1150" s="146">
        <v>0</v>
      </c>
      <c r="Z1150" s="146">
        <v>0</v>
      </c>
      <c r="AA1150" s="143"/>
      <c r="AB1150" s="143"/>
      <c r="AC1150" s="143"/>
      <c r="AD1150" s="142">
        <v>0</v>
      </c>
      <c r="AE1150" s="142"/>
      <c r="AF1150" s="142"/>
      <c r="AG1150" s="142">
        <v>0</v>
      </c>
      <c r="AH1150" s="142"/>
      <c r="AI1150" s="142"/>
      <c r="AJ1150" s="142">
        <v>0</v>
      </c>
      <c r="AK1150" s="142"/>
      <c r="AL1150" s="142"/>
      <c r="AM1150" s="142"/>
      <c r="AN1150" s="142" t="s">
        <v>309</v>
      </c>
      <c r="AO1150" s="143"/>
      <c r="AP1150" s="142"/>
      <c r="AQ1150" s="142"/>
      <c r="AR1150" s="143"/>
      <c r="AS1150" s="142"/>
      <c r="AT1150" s="143"/>
      <c r="AU1150" s="142"/>
      <c r="AV1150" s="143"/>
      <c r="AW1150" s="147"/>
      <c r="AX1150" s="147"/>
      <c r="AY1150" s="148">
        <v>47520</v>
      </c>
      <c r="AZ1150" s="148">
        <f>ROUNDDOWN(AY1150+(AY1150*MASTER!$A$2/100),0)</f>
        <v>52272</v>
      </c>
      <c r="BA1150" s="142"/>
      <c r="BB1150" s="146"/>
      <c r="BC1150" s="146">
        <v>0</v>
      </c>
      <c r="BD1150" s="142"/>
      <c r="BE1150" s="142"/>
      <c r="BF1150" s="146"/>
      <c r="BG1150" s="146">
        <v>0</v>
      </c>
      <c r="BH1150" s="142"/>
      <c r="BI1150" s="142"/>
      <c r="BJ1150" s="146"/>
      <c r="BK1150" s="146">
        <v>0</v>
      </c>
      <c r="BL1150" s="142"/>
      <c r="BM1150" s="146"/>
      <c r="BN1150" s="146"/>
      <c r="BO1150" s="146"/>
      <c r="BP1150" s="146"/>
      <c r="BQ1150" s="146"/>
      <c r="BR1150" s="146"/>
      <c r="BS1150" s="146">
        <v>0</v>
      </c>
      <c r="BT1150" s="149"/>
      <c r="BU1150" s="149"/>
      <c r="BV1150" s="150">
        <v>54450</v>
      </c>
      <c r="BW1150" s="150">
        <v>0</v>
      </c>
      <c r="BX1150" s="150">
        <v>44700</v>
      </c>
      <c r="BY1150" s="150">
        <v>54450</v>
      </c>
      <c r="BZ1150" s="151">
        <v>100</v>
      </c>
      <c r="CA1150" s="142"/>
      <c r="CB1150" s="142"/>
      <c r="CC1150" s="142"/>
      <c r="CD1150" s="145" t="s">
        <v>4089</v>
      </c>
      <c r="CE1150" s="143"/>
      <c r="CF1150" s="143"/>
      <c r="CG1150" s="143"/>
      <c r="CH1150" s="143"/>
      <c r="CI1150" s="143"/>
      <c r="CJ1150" s="143"/>
      <c r="CK1150" s="146"/>
    </row>
    <row r="1151" spans="1:89" x14ac:dyDescent="0.15">
      <c r="A1151" s="60">
        <v>1</v>
      </c>
      <c r="B1151" s="61">
        <v>44704</v>
      </c>
      <c r="C1151" s="61">
        <v>44704</v>
      </c>
      <c r="F1151" s="61" t="s">
        <v>309</v>
      </c>
      <c r="H1151" s="61" t="s">
        <v>309</v>
      </c>
      <c r="J1151" s="60">
        <v>3</v>
      </c>
      <c r="L1151" s="60">
        <v>0</v>
      </c>
      <c r="M1151" s="61">
        <v>44700</v>
      </c>
      <c r="O1151" s="62" t="s">
        <v>331</v>
      </c>
      <c r="P1151" s="60" t="s">
        <v>6</v>
      </c>
      <c r="Q1151" s="62" t="s">
        <v>137</v>
      </c>
      <c r="R1151" s="62" t="s">
        <v>3410</v>
      </c>
      <c r="S1151" s="63" t="s">
        <v>567</v>
      </c>
      <c r="T1151" s="63" t="s">
        <v>3209</v>
      </c>
      <c r="U1151" s="64">
        <v>3000</v>
      </c>
      <c r="V1151" s="64">
        <v>3300</v>
      </c>
      <c r="W1151" s="64">
        <v>0</v>
      </c>
      <c r="X1151" s="64">
        <v>0</v>
      </c>
      <c r="Y1151" s="64">
        <v>3000</v>
      </c>
      <c r="Z1151" s="64">
        <v>3300</v>
      </c>
      <c r="AD1151" s="60">
        <v>0</v>
      </c>
      <c r="AG1151" s="60">
        <v>0</v>
      </c>
      <c r="AJ1151" s="60">
        <v>0</v>
      </c>
      <c r="AQ1151" s="60" t="s">
        <v>3330</v>
      </c>
      <c r="AR1151" s="61">
        <v>44700</v>
      </c>
      <c r="AS1151" s="60">
        <v>6002028582</v>
      </c>
      <c r="AT1151" s="61">
        <v>44703</v>
      </c>
      <c r="AU1151" s="60" t="s">
        <v>3439</v>
      </c>
      <c r="AV1151" s="61">
        <v>44704</v>
      </c>
      <c r="AW1151" s="91">
        <v>44712</v>
      </c>
      <c r="AX1151" s="91">
        <v>44732</v>
      </c>
      <c r="AY1151" s="99">
        <v>2880</v>
      </c>
      <c r="AZ1151" s="99">
        <f>ROUNDDOWN(AY1151+(AY1151*MASTER!$A$2/100),0)</f>
        <v>3168</v>
      </c>
      <c r="BC1151" s="64">
        <v>0</v>
      </c>
      <c r="BG1151" s="64">
        <v>0</v>
      </c>
      <c r="BK1151" s="64">
        <v>0</v>
      </c>
      <c r="BS1151" s="64">
        <v>0</v>
      </c>
      <c r="BV1151" s="65">
        <v>0</v>
      </c>
      <c r="BW1151" s="65">
        <v>0</v>
      </c>
      <c r="BX1151" s="65">
        <v>44700</v>
      </c>
      <c r="BY1151" s="65">
        <v>0</v>
      </c>
      <c r="BZ1151" s="81" t="s">
        <v>309</v>
      </c>
      <c r="CD1151" s="63" t="s">
        <v>3447</v>
      </c>
    </row>
    <row r="1152" spans="1:89" x14ac:dyDescent="0.15">
      <c r="A1152" s="60">
        <v>1</v>
      </c>
      <c r="B1152" s="61">
        <v>44707</v>
      </c>
      <c r="C1152" s="61">
        <v>44708</v>
      </c>
      <c r="F1152" s="61" t="s">
        <v>309</v>
      </c>
      <c r="G1152" s="61">
        <v>44700</v>
      </c>
      <c r="H1152" s="61" t="s">
        <v>309</v>
      </c>
      <c r="J1152" s="60">
        <v>2</v>
      </c>
      <c r="L1152" s="60">
        <v>0</v>
      </c>
      <c r="M1152" s="61">
        <v>44700</v>
      </c>
      <c r="O1152" s="62" t="s">
        <v>331</v>
      </c>
      <c r="P1152" s="60" t="s">
        <v>6</v>
      </c>
      <c r="Q1152" s="62" t="s">
        <v>137</v>
      </c>
      <c r="R1152" s="62" t="s">
        <v>3428</v>
      </c>
      <c r="S1152" s="63" t="s">
        <v>1207</v>
      </c>
      <c r="T1152" s="63" t="s">
        <v>3431</v>
      </c>
      <c r="U1152" s="64">
        <v>9000</v>
      </c>
      <c r="V1152" s="64">
        <v>9900</v>
      </c>
      <c r="W1152" s="64">
        <v>9000</v>
      </c>
      <c r="X1152" s="64">
        <v>9900</v>
      </c>
      <c r="Y1152" s="64">
        <v>0</v>
      </c>
      <c r="Z1152" s="64">
        <v>0</v>
      </c>
      <c r="AD1152" s="60">
        <v>0</v>
      </c>
      <c r="AG1152" s="60">
        <v>0</v>
      </c>
      <c r="AJ1152" s="60">
        <v>0</v>
      </c>
      <c r="AQ1152" s="60" t="s">
        <v>3460</v>
      </c>
      <c r="AR1152" s="61">
        <v>44706</v>
      </c>
      <c r="AS1152" s="60">
        <v>6002030880</v>
      </c>
      <c r="AT1152" s="61">
        <v>44706</v>
      </c>
      <c r="AU1152" s="60" t="s">
        <v>3475</v>
      </c>
      <c r="AV1152" s="61">
        <v>44708</v>
      </c>
      <c r="AW1152" s="91">
        <v>44712</v>
      </c>
      <c r="AX1152" s="91">
        <v>44732</v>
      </c>
      <c r="AY1152" s="99">
        <v>8640</v>
      </c>
      <c r="AZ1152" s="99">
        <f>ROUNDDOWN(AY1152+(AY1152*MASTER!$A$2/100),0)</f>
        <v>9504</v>
      </c>
      <c r="BC1152" s="64">
        <v>0</v>
      </c>
      <c r="BG1152" s="64">
        <v>0</v>
      </c>
      <c r="BK1152" s="64">
        <v>0</v>
      </c>
      <c r="BS1152" s="64">
        <v>0</v>
      </c>
      <c r="BV1152" s="65">
        <v>9900</v>
      </c>
      <c r="BW1152" s="65">
        <v>0</v>
      </c>
      <c r="BX1152" s="65">
        <v>44700</v>
      </c>
      <c r="BY1152" s="65">
        <v>9900</v>
      </c>
      <c r="BZ1152" s="81">
        <v>100</v>
      </c>
    </row>
    <row r="1153" spans="1:89" x14ac:dyDescent="0.15">
      <c r="A1153" s="60">
        <v>2</v>
      </c>
      <c r="B1153" s="61">
        <v>44714</v>
      </c>
      <c r="C1153" s="61">
        <v>44722</v>
      </c>
      <c r="D1153" s="61">
        <v>44750</v>
      </c>
      <c r="F1153" s="61">
        <v>44722</v>
      </c>
      <c r="H1153" s="61">
        <v>44718</v>
      </c>
      <c r="I1153" s="60" t="s">
        <v>774</v>
      </c>
      <c r="J1153" s="60">
        <v>2</v>
      </c>
      <c r="L1153" s="60">
        <v>0</v>
      </c>
      <c r="M1153" s="61">
        <v>44700</v>
      </c>
      <c r="O1153" s="62" t="s">
        <v>331</v>
      </c>
      <c r="P1153" s="60" t="s">
        <v>77</v>
      </c>
      <c r="Q1153" s="62" t="s">
        <v>137</v>
      </c>
      <c r="R1153" s="62" t="s">
        <v>3430</v>
      </c>
      <c r="S1153" s="63" t="s">
        <v>685</v>
      </c>
      <c r="T1153" s="63" t="s">
        <v>3429</v>
      </c>
      <c r="U1153" s="64">
        <v>90350</v>
      </c>
      <c r="V1153" s="64">
        <v>99385</v>
      </c>
      <c r="W1153" s="64">
        <v>90350</v>
      </c>
      <c r="X1153" s="64">
        <v>99385</v>
      </c>
      <c r="Y1153" s="64">
        <v>0</v>
      </c>
      <c r="Z1153" s="64">
        <v>0</v>
      </c>
      <c r="AA1153" s="61">
        <v>44714</v>
      </c>
      <c r="AB1153" s="61">
        <v>44715</v>
      </c>
      <c r="AC1153" s="61">
        <v>44715</v>
      </c>
      <c r="AD1153" s="60">
        <v>0</v>
      </c>
      <c r="AG1153" s="60">
        <v>0</v>
      </c>
      <c r="AJ1153" s="60">
        <v>0</v>
      </c>
      <c r="AQ1153" s="60" t="s">
        <v>3444</v>
      </c>
      <c r="AR1153" s="61">
        <v>44704</v>
      </c>
      <c r="AS1153" s="60">
        <v>6002029465</v>
      </c>
      <c r="AT1153" s="61">
        <v>44704</v>
      </c>
      <c r="AU1153" s="60" t="s">
        <v>3446</v>
      </c>
      <c r="AV1153" s="61">
        <v>44722</v>
      </c>
      <c r="AW1153" s="91">
        <v>44742</v>
      </c>
      <c r="AX1153" s="91">
        <v>44762</v>
      </c>
      <c r="AY1153" s="107">
        <v>90350</v>
      </c>
      <c r="AZ1153" s="107">
        <f>ROUNDDOWN(AY1153+(AY1153*MASTER!$A$2/100),0)</f>
        <v>99385</v>
      </c>
      <c r="BA1153" s="60" t="s">
        <v>765</v>
      </c>
      <c r="BC1153" s="64">
        <v>0</v>
      </c>
      <c r="BG1153" s="64">
        <v>0</v>
      </c>
      <c r="BK1153" s="64">
        <v>0</v>
      </c>
      <c r="BS1153" s="64">
        <v>0</v>
      </c>
      <c r="BV1153" s="65">
        <v>99385</v>
      </c>
      <c r="BW1153" s="65">
        <v>0</v>
      </c>
      <c r="BX1153" s="65">
        <v>44700</v>
      </c>
      <c r="BY1153" s="65">
        <v>99385</v>
      </c>
      <c r="BZ1153" s="81">
        <v>100</v>
      </c>
    </row>
    <row r="1154" spans="1:89" x14ac:dyDescent="0.15">
      <c r="A1154" s="60">
        <v>2</v>
      </c>
      <c r="B1154" s="61">
        <v>44743</v>
      </c>
      <c r="C1154" s="61">
        <v>44747</v>
      </c>
      <c r="D1154" s="61">
        <v>44775</v>
      </c>
      <c r="F1154" s="61">
        <v>44755</v>
      </c>
      <c r="G1154" s="61">
        <v>44748</v>
      </c>
      <c r="H1154" s="61">
        <v>44751</v>
      </c>
      <c r="I1154" s="60" t="s">
        <v>774</v>
      </c>
      <c r="J1154" s="60">
        <v>1</v>
      </c>
      <c r="L1154" s="60">
        <v>0</v>
      </c>
      <c r="M1154" s="61">
        <v>44701</v>
      </c>
      <c r="O1154" s="62" t="s">
        <v>331</v>
      </c>
      <c r="P1154" s="60" t="s">
        <v>26</v>
      </c>
      <c r="Q1154" s="62" t="s">
        <v>137</v>
      </c>
      <c r="R1154" s="62" t="s">
        <v>3683</v>
      </c>
      <c r="S1154" s="63" t="s">
        <v>1072</v>
      </c>
      <c r="T1154" s="63" t="s">
        <v>3684</v>
      </c>
      <c r="U1154" s="64">
        <v>188700</v>
      </c>
      <c r="V1154" s="64">
        <v>207570</v>
      </c>
      <c r="W1154" s="64">
        <v>94000</v>
      </c>
      <c r="X1154" s="64">
        <v>103400</v>
      </c>
      <c r="Y1154" s="64">
        <v>94700</v>
      </c>
      <c r="Z1154" s="64">
        <v>104170</v>
      </c>
      <c r="AA1154" s="61">
        <v>44746</v>
      </c>
      <c r="AB1154" s="61">
        <v>44748</v>
      </c>
      <c r="AC1154" s="61">
        <v>44748</v>
      </c>
      <c r="AD1154" s="60">
        <v>0</v>
      </c>
      <c r="AG1154" s="60">
        <v>0</v>
      </c>
      <c r="AJ1154" s="60">
        <v>0</v>
      </c>
      <c r="AM1154" s="60" t="s">
        <v>273</v>
      </c>
      <c r="AN1154" s="60" t="s">
        <v>3685</v>
      </c>
      <c r="AQ1154" s="60" t="s">
        <v>3486</v>
      </c>
      <c r="AR1154" s="61">
        <v>44711</v>
      </c>
      <c r="AS1154" s="60">
        <v>6002032724</v>
      </c>
      <c r="AT1154" s="61">
        <v>44711</v>
      </c>
      <c r="AU1154" s="60" t="s">
        <v>3493</v>
      </c>
      <c r="AV1154" s="61">
        <v>44747</v>
      </c>
      <c r="AW1154" s="91">
        <v>44773</v>
      </c>
      <c r="AX1154" s="91">
        <v>44793</v>
      </c>
      <c r="AY1154" s="99">
        <v>181152</v>
      </c>
      <c r="AZ1154" s="99">
        <f>ROUNDDOWN(AY1154+(AY1154*MASTER!$A$2/100),0)</f>
        <v>199267</v>
      </c>
      <c r="BA1154" s="60" t="s">
        <v>317</v>
      </c>
      <c r="BB1154" s="64">
        <v>45000</v>
      </c>
      <c r="BC1154" s="64">
        <v>49500</v>
      </c>
      <c r="BD1154" s="60" t="s">
        <v>3800</v>
      </c>
      <c r="BG1154" s="64">
        <v>0</v>
      </c>
      <c r="BI1154" s="60" t="s">
        <v>748</v>
      </c>
      <c r="BJ1154" s="64">
        <v>61555</v>
      </c>
      <c r="BK1154" s="64">
        <v>67710.5</v>
      </c>
      <c r="BL1154" s="60" t="s">
        <v>3800</v>
      </c>
      <c r="BS1154" s="64">
        <v>0</v>
      </c>
      <c r="BV1154" s="65">
        <v>103400</v>
      </c>
      <c r="BW1154" s="65">
        <v>117210.5</v>
      </c>
      <c r="BX1154" s="65">
        <v>44701</v>
      </c>
      <c r="BY1154" s="65">
        <v>-13810.5</v>
      </c>
      <c r="BZ1154" s="81">
        <v>-13.356382978723405</v>
      </c>
    </row>
    <row r="1155" spans="1:89" x14ac:dyDescent="0.15">
      <c r="A1155" s="60">
        <v>2</v>
      </c>
      <c r="B1155" s="61">
        <v>44743</v>
      </c>
      <c r="C1155" s="61">
        <v>44746</v>
      </c>
      <c r="D1155" s="61">
        <v>44775</v>
      </c>
      <c r="F1155" s="61">
        <v>44753</v>
      </c>
      <c r="G1155" s="61">
        <v>44746</v>
      </c>
      <c r="H1155" s="61">
        <v>44749</v>
      </c>
      <c r="I1155" s="60" t="s">
        <v>774</v>
      </c>
      <c r="J1155" s="60">
        <v>1</v>
      </c>
      <c r="L1155" s="60">
        <v>0</v>
      </c>
      <c r="M1155" s="61">
        <v>44701</v>
      </c>
      <c r="O1155" s="62" t="s">
        <v>331</v>
      </c>
      <c r="P1155" s="60" t="s">
        <v>26</v>
      </c>
      <c r="Q1155" s="62" t="s">
        <v>137</v>
      </c>
      <c r="R1155" s="62" t="s">
        <v>3688</v>
      </c>
      <c r="S1155" s="63" t="s">
        <v>658</v>
      </c>
      <c r="T1155" s="63" t="s">
        <v>3689</v>
      </c>
      <c r="U1155" s="64">
        <v>161500</v>
      </c>
      <c r="V1155" s="64">
        <v>177650</v>
      </c>
      <c r="W1155" s="64">
        <v>94000</v>
      </c>
      <c r="X1155" s="64">
        <v>103400</v>
      </c>
      <c r="Y1155" s="64">
        <v>67500</v>
      </c>
      <c r="Z1155" s="64">
        <v>74250</v>
      </c>
      <c r="AA1155" s="61">
        <v>44745</v>
      </c>
      <c r="AB1155" s="61">
        <v>44746</v>
      </c>
      <c r="AC1155" s="61">
        <v>44746</v>
      </c>
      <c r="AD1155" s="60">
        <v>0</v>
      </c>
      <c r="AG1155" s="60">
        <v>0</v>
      </c>
      <c r="AJ1155" s="60">
        <v>0</v>
      </c>
      <c r="AM1155" s="60" t="s">
        <v>273</v>
      </c>
      <c r="AN1155" s="60" t="s">
        <v>3690</v>
      </c>
      <c r="AQ1155" s="60" t="s">
        <v>3494</v>
      </c>
      <c r="AR1155" s="61">
        <v>44712</v>
      </c>
      <c r="AS1155" s="60">
        <v>6002033461</v>
      </c>
      <c r="AT1155" s="61">
        <v>44712</v>
      </c>
      <c r="AU1155" s="60" t="s">
        <v>3496</v>
      </c>
      <c r="AV1155" s="61">
        <v>44746</v>
      </c>
      <c r="AW1155" s="91">
        <v>44773</v>
      </c>
      <c r="AX1155" s="91">
        <v>44793</v>
      </c>
      <c r="AY1155" s="99">
        <v>155040</v>
      </c>
      <c r="AZ1155" s="99">
        <f>ROUNDDOWN(AY1155+(AY1155*MASTER!$A$2/100),0)</f>
        <v>170544</v>
      </c>
      <c r="BA1155" s="60" t="s">
        <v>317</v>
      </c>
      <c r="BB1155" s="64">
        <v>30000</v>
      </c>
      <c r="BC1155" s="64">
        <v>33000</v>
      </c>
      <c r="BD1155" s="60" t="s">
        <v>3800</v>
      </c>
      <c r="BG1155" s="64">
        <v>0</v>
      </c>
      <c r="BI1155" s="60" t="s">
        <v>748</v>
      </c>
      <c r="BJ1155" s="64">
        <v>43875</v>
      </c>
      <c r="BK1155" s="64">
        <v>48262.5</v>
      </c>
      <c r="BL1155" s="60" t="s">
        <v>3800</v>
      </c>
      <c r="BS1155" s="64">
        <v>0</v>
      </c>
      <c r="BV1155" s="65">
        <v>103400</v>
      </c>
      <c r="BW1155" s="65">
        <v>81262.5</v>
      </c>
      <c r="BX1155" s="65">
        <v>44701</v>
      </c>
      <c r="BY1155" s="65">
        <v>22137.5</v>
      </c>
      <c r="BZ1155" s="81">
        <v>21.409574468085108</v>
      </c>
    </row>
    <row r="1156" spans="1:89" x14ac:dyDescent="0.15">
      <c r="A1156" s="60">
        <v>2</v>
      </c>
      <c r="B1156" s="61">
        <v>44743</v>
      </c>
      <c r="C1156" s="61">
        <v>44746</v>
      </c>
      <c r="D1156" s="61">
        <v>44775</v>
      </c>
      <c r="F1156" s="61">
        <v>44754</v>
      </c>
      <c r="G1156" s="61">
        <v>44747</v>
      </c>
      <c r="H1156" s="61">
        <v>44750</v>
      </c>
      <c r="I1156" s="60" t="s">
        <v>774</v>
      </c>
      <c r="J1156" s="60">
        <v>1</v>
      </c>
      <c r="L1156" s="60">
        <v>0</v>
      </c>
      <c r="M1156" s="61">
        <v>44701</v>
      </c>
      <c r="O1156" s="62" t="s">
        <v>331</v>
      </c>
      <c r="P1156" s="60" t="s">
        <v>26</v>
      </c>
      <c r="Q1156" s="62" t="s">
        <v>137</v>
      </c>
      <c r="R1156" s="62" t="s">
        <v>3686</v>
      </c>
      <c r="S1156" s="63" t="s">
        <v>403</v>
      </c>
      <c r="T1156" s="63" t="s">
        <v>1240</v>
      </c>
      <c r="U1156" s="64">
        <v>210500</v>
      </c>
      <c r="V1156" s="64">
        <v>231550</v>
      </c>
      <c r="W1156" s="64">
        <v>118000</v>
      </c>
      <c r="X1156" s="64">
        <v>129800</v>
      </c>
      <c r="Y1156" s="64">
        <v>92500</v>
      </c>
      <c r="Z1156" s="64">
        <v>101750</v>
      </c>
      <c r="AA1156" s="61">
        <v>44745</v>
      </c>
      <c r="AB1156" s="61">
        <v>44747</v>
      </c>
      <c r="AC1156" s="61">
        <v>44747</v>
      </c>
      <c r="AD1156" s="60">
        <v>0</v>
      </c>
      <c r="AG1156" s="60">
        <v>0</v>
      </c>
      <c r="AJ1156" s="60">
        <v>0</v>
      </c>
      <c r="AM1156" s="60" t="s">
        <v>273</v>
      </c>
      <c r="AN1156" s="60" t="s">
        <v>3687</v>
      </c>
      <c r="AQ1156" s="60" t="s">
        <v>3499</v>
      </c>
      <c r="AR1156" s="61">
        <v>44713</v>
      </c>
      <c r="AS1156" s="60">
        <v>6002034078</v>
      </c>
      <c r="AT1156" s="61">
        <v>44715</v>
      </c>
      <c r="AU1156" s="60" t="s">
        <v>3547</v>
      </c>
      <c r="AV1156" s="61">
        <v>44746</v>
      </c>
      <c r="AW1156" s="91">
        <v>44773</v>
      </c>
      <c r="AX1156" s="91">
        <v>44793</v>
      </c>
      <c r="AY1156" s="99">
        <v>202080</v>
      </c>
      <c r="AZ1156" s="99">
        <f>ROUNDDOWN(AY1156+(AY1156*MASTER!$A$2/100),0)</f>
        <v>222288</v>
      </c>
      <c r="BA1156" s="60" t="s">
        <v>317</v>
      </c>
      <c r="BB1156" s="64">
        <v>45400</v>
      </c>
      <c r="BC1156" s="64">
        <v>49940</v>
      </c>
      <c r="BD1156" s="60" t="s">
        <v>3800</v>
      </c>
      <c r="BG1156" s="64">
        <v>0</v>
      </c>
      <c r="BI1156" s="60" t="s">
        <v>748</v>
      </c>
      <c r="BJ1156" s="64">
        <v>60125</v>
      </c>
      <c r="BK1156" s="64">
        <v>66137.5</v>
      </c>
      <c r="BL1156" s="60" t="s">
        <v>3800</v>
      </c>
      <c r="BS1156" s="64">
        <v>0</v>
      </c>
      <c r="BV1156" s="65">
        <v>129800</v>
      </c>
      <c r="BW1156" s="65">
        <v>116077.5</v>
      </c>
      <c r="BX1156" s="65">
        <v>44701</v>
      </c>
      <c r="BY1156" s="65">
        <v>13722.5</v>
      </c>
      <c r="BZ1156" s="81">
        <v>10.572033898305085</v>
      </c>
    </row>
    <row r="1157" spans="1:89" x14ac:dyDescent="0.15">
      <c r="A1157" s="60">
        <v>1</v>
      </c>
      <c r="B1157" s="61">
        <v>44774</v>
      </c>
      <c r="C1157" s="61">
        <v>44783</v>
      </c>
      <c r="D1157" s="61">
        <v>44809</v>
      </c>
      <c r="F1157" s="61">
        <v>44790</v>
      </c>
      <c r="G1157" s="61">
        <v>44783</v>
      </c>
      <c r="H1157" s="61">
        <v>44786</v>
      </c>
      <c r="I1157" s="60" t="s">
        <v>1630</v>
      </c>
      <c r="J1157" s="60">
        <v>1</v>
      </c>
      <c r="L1157" s="60">
        <v>0</v>
      </c>
      <c r="M1157" s="61">
        <v>44704</v>
      </c>
      <c r="O1157" s="62" t="s">
        <v>331</v>
      </c>
      <c r="P1157" s="60" t="s">
        <v>26</v>
      </c>
      <c r="Q1157" s="62" t="s">
        <v>137</v>
      </c>
      <c r="R1157" s="62" t="s">
        <v>3573</v>
      </c>
      <c r="S1157" s="63" t="s">
        <v>3574</v>
      </c>
      <c r="T1157" s="63" t="s">
        <v>498</v>
      </c>
      <c r="U1157" s="64">
        <v>68200</v>
      </c>
      <c r="V1157" s="64">
        <v>75020</v>
      </c>
      <c r="W1157" s="64">
        <v>47000</v>
      </c>
      <c r="X1157" s="64">
        <v>51700</v>
      </c>
      <c r="Y1157" s="64">
        <v>21200</v>
      </c>
      <c r="Z1157" s="64">
        <v>23320</v>
      </c>
      <c r="AA1157" s="61">
        <v>44780</v>
      </c>
      <c r="AB1157" s="61">
        <v>44783</v>
      </c>
      <c r="AC1157" s="61">
        <v>44783</v>
      </c>
      <c r="AD1157" s="60">
        <v>0</v>
      </c>
      <c r="AG1157" s="60">
        <v>0</v>
      </c>
      <c r="AJ1157" s="60">
        <v>0</v>
      </c>
      <c r="AM1157" s="60" t="s">
        <v>273</v>
      </c>
      <c r="AN1157" s="60" t="s">
        <v>3575</v>
      </c>
      <c r="AQ1157" s="60" t="s">
        <v>4249</v>
      </c>
      <c r="AR1157" s="61">
        <v>44720</v>
      </c>
      <c r="AS1157" s="60">
        <v>6002037361</v>
      </c>
      <c r="AT1157" s="61">
        <v>44725</v>
      </c>
      <c r="AU1157" s="60" t="s">
        <v>3616</v>
      </c>
      <c r="AV1157" s="61">
        <v>44783</v>
      </c>
      <c r="AW1157" s="91">
        <v>44804</v>
      </c>
      <c r="AX1157" s="91">
        <v>44824</v>
      </c>
      <c r="AY1157" s="99">
        <v>65472</v>
      </c>
      <c r="AZ1157" s="99">
        <f>ROUNDDOWN(AY1157+(AY1157*MASTER!$A$2/100),0)</f>
        <v>72019</v>
      </c>
      <c r="BA1157" s="60" t="s">
        <v>317</v>
      </c>
      <c r="BB1157" s="64">
        <v>35000</v>
      </c>
      <c r="BC1157" s="64">
        <v>38500</v>
      </c>
      <c r="BD1157" s="60" t="s">
        <v>3940</v>
      </c>
      <c r="BG1157" s="64">
        <v>0</v>
      </c>
      <c r="BI1157" s="60" t="s">
        <v>748</v>
      </c>
      <c r="BJ1157" s="64">
        <v>13780</v>
      </c>
      <c r="BK1157" s="64">
        <v>15158</v>
      </c>
      <c r="BL1157" s="60" t="s">
        <v>3940</v>
      </c>
      <c r="BS1157" s="64">
        <v>0</v>
      </c>
      <c r="BV1157" s="65">
        <v>51700</v>
      </c>
      <c r="BW1157" s="65">
        <v>53658</v>
      </c>
      <c r="BX1157" s="65">
        <v>44704</v>
      </c>
      <c r="BY1157" s="65">
        <v>-1958</v>
      </c>
      <c r="BZ1157" s="81">
        <v>-3.7872340425531914</v>
      </c>
    </row>
    <row r="1158" spans="1:89" x14ac:dyDescent="0.15">
      <c r="A1158" s="60">
        <v>2</v>
      </c>
      <c r="B1158" s="61">
        <v>44774</v>
      </c>
      <c r="C1158" s="61">
        <v>44782</v>
      </c>
      <c r="D1158" s="61">
        <v>44806</v>
      </c>
      <c r="E1158" s="61">
        <v>44785</v>
      </c>
      <c r="F1158" s="61">
        <v>44789</v>
      </c>
      <c r="G1158" s="61">
        <v>44783</v>
      </c>
      <c r="H1158" s="61">
        <v>44785</v>
      </c>
      <c r="I1158" s="60" t="s">
        <v>511</v>
      </c>
      <c r="J1158" s="60">
        <v>1</v>
      </c>
      <c r="L1158" s="60">
        <v>0</v>
      </c>
      <c r="M1158" s="61">
        <v>44704</v>
      </c>
      <c r="O1158" s="62" t="s">
        <v>331</v>
      </c>
      <c r="P1158" s="60" t="s">
        <v>26</v>
      </c>
      <c r="Q1158" s="62" t="s">
        <v>137</v>
      </c>
      <c r="R1158" s="62" t="s">
        <v>3603</v>
      </c>
      <c r="S1158" s="63" t="s">
        <v>2943</v>
      </c>
      <c r="T1158" s="63" t="s">
        <v>498</v>
      </c>
      <c r="U1158" s="64">
        <v>50000</v>
      </c>
      <c r="V1158" s="64">
        <v>55000</v>
      </c>
      <c r="W1158" s="64">
        <v>47000</v>
      </c>
      <c r="X1158" s="64">
        <v>51700</v>
      </c>
      <c r="Y1158" s="64">
        <v>3000</v>
      </c>
      <c r="Z1158" s="64">
        <v>3300</v>
      </c>
      <c r="AA1158" s="61">
        <v>44781</v>
      </c>
      <c r="AB1158" s="61">
        <v>44782</v>
      </c>
      <c r="AC1158" s="61">
        <v>44782</v>
      </c>
      <c r="AD1158" s="60">
        <v>0</v>
      </c>
      <c r="AG1158" s="60">
        <v>0</v>
      </c>
      <c r="AJ1158" s="60">
        <v>0</v>
      </c>
      <c r="AM1158" s="60" t="s">
        <v>273</v>
      </c>
      <c r="AN1158" s="60" t="s">
        <v>3604</v>
      </c>
      <c r="AQ1158" s="60" t="s">
        <v>4240</v>
      </c>
      <c r="AR1158" s="61">
        <v>44725</v>
      </c>
      <c r="AS1158" s="60">
        <v>6002039330</v>
      </c>
      <c r="AT1158" s="61">
        <v>44727</v>
      </c>
      <c r="AU1158" s="60" t="s">
        <v>3640</v>
      </c>
      <c r="AV1158" s="61">
        <v>44782</v>
      </c>
      <c r="AW1158" s="91">
        <v>44804</v>
      </c>
      <c r="AX1158" s="91">
        <v>44824</v>
      </c>
      <c r="AY1158" s="99">
        <v>48000</v>
      </c>
      <c r="AZ1158" s="99">
        <f>ROUNDDOWN(AY1158+(AY1158*MASTER!$A$2/100),0)</f>
        <v>52800</v>
      </c>
      <c r="BA1158" s="60" t="s">
        <v>613</v>
      </c>
      <c r="BB1158" s="64">
        <v>26000</v>
      </c>
      <c r="BC1158" s="64">
        <v>28600</v>
      </c>
      <c r="BD1158" s="60" t="s">
        <v>3940</v>
      </c>
      <c r="BG1158" s="64">
        <v>0</v>
      </c>
      <c r="BI1158" s="60" t="s">
        <v>748</v>
      </c>
      <c r="BJ1158" s="64">
        <v>1950</v>
      </c>
      <c r="BK1158" s="64">
        <v>2145</v>
      </c>
      <c r="BL1158" s="60" t="s">
        <v>3940</v>
      </c>
      <c r="BS1158" s="64">
        <v>0</v>
      </c>
      <c r="BV1158" s="65">
        <v>51700</v>
      </c>
      <c r="BW1158" s="65">
        <v>30745</v>
      </c>
      <c r="BX1158" s="65">
        <v>44704</v>
      </c>
      <c r="BY1158" s="65">
        <v>20955</v>
      </c>
      <c r="BZ1158" s="81">
        <v>40.531914893617021</v>
      </c>
    </row>
    <row r="1159" spans="1:89" x14ac:dyDescent="0.15">
      <c r="A1159" s="60">
        <v>2</v>
      </c>
      <c r="B1159" s="61">
        <v>44754</v>
      </c>
      <c r="C1159" s="61">
        <v>44757</v>
      </c>
      <c r="D1159" s="61">
        <v>44783</v>
      </c>
      <c r="E1159" s="61">
        <v>44762</v>
      </c>
      <c r="F1159" s="61">
        <v>44764</v>
      </c>
      <c r="G1159" s="61">
        <v>44761</v>
      </c>
      <c r="H1159" s="61">
        <v>44760</v>
      </c>
      <c r="I1159" s="60" t="s">
        <v>511</v>
      </c>
      <c r="J1159" s="60">
        <v>1</v>
      </c>
      <c r="L1159" s="60">
        <v>0</v>
      </c>
      <c r="M1159" s="61">
        <v>44704</v>
      </c>
      <c r="O1159" s="62" t="s">
        <v>331</v>
      </c>
      <c r="P1159" s="60" t="s">
        <v>26</v>
      </c>
      <c r="Q1159" s="62" t="s">
        <v>137</v>
      </c>
      <c r="R1159" s="62" t="s">
        <v>3976</v>
      </c>
      <c r="S1159" s="63" t="s">
        <v>698</v>
      </c>
      <c r="T1159" s="63" t="s">
        <v>3977</v>
      </c>
      <c r="U1159" s="64">
        <v>486155</v>
      </c>
      <c r="V1159" s="64">
        <v>534770.5</v>
      </c>
      <c r="W1159" s="64">
        <v>412455</v>
      </c>
      <c r="X1159" s="64">
        <v>453700.5</v>
      </c>
      <c r="Y1159" s="64">
        <v>73700</v>
      </c>
      <c r="Z1159" s="64">
        <v>81070</v>
      </c>
      <c r="AA1159" s="61">
        <v>44752</v>
      </c>
      <c r="AB1159" s="61">
        <v>44757</v>
      </c>
      <c r="AC1159" s="61">
        <v>44757</v>
      </c>
      <c r="AD1159" s="60">
        <v>0</v>
      </c>
      <c r="AG1159" s="60">
        <v>0</v>
      </c>
      <c r="AJ1159" s="60">
        <v>0</v>
      </c>
      <c r="AM1159" s="60" t="s">
        <v>273</v>
      </c>
      <c r="AN1159" s="60" t="s">
        <v>3978</v>
      </c>
      <c r="AQ1159" s="60" t="s">
        <v>3717</v>
      </c>
      <c r="AR1159" s="61">
        <v>44734</v>
      </c>
      <c r="AS1159" s="60">
        <v>6002043743</v>
      </c>
      <c r="AT1159" s="61">
        <v>44735</v>
      </c>
      <c r="AU1159" s="60" t="s">
        <v>3735</v>
      </c>
      <c r="AV1159" s="61">
        <v>44757</v>
      </c>
      <c r="AW1159" s="91">
        <v>44773</v>
      </c>
      <c r="AX1159" s="91">
        <v>44793</v>
      </c>
      <c r="AY1159" s="99">
        <v>466709</v>
      </c>
      <c r="AZ1159" s="99">
        <v>513380</v>
      </c>
      <c r="BA1159" s="60" t="s">
        <v>314</v>
      </c>
      <c r="BB1159" s="64">
        <v>206000</v>
      </c>
      <c r="BC1159" s="64">
        <v>226600</v>
      </c>
      <c r="BD1159" s="60" t="s">
        <v>3800</v>
      </c>
      <c r="BG1159" s="64">
        <v>0</v>
      </c>
      <c r="BI1159" s="60" t="s">
        <v>748</v>
      </c>
      <c r="BJ1159" s="64">
        <v>47905</v>
      </c>
      <c r="BK1159" s="64">
        <v>52695.5</v>
      </c>
      <c r="BL1159" s="60" t="s">
        <v>3800</v>
      </c>
      <c r="BS1159" s="64">
        <v>0</v>
      </c>
      <c r="BV1159" s="65">
        <v>453700.5</v>
      </c>
      <c r="BW1159" s="65">
        <v>279295.5</v>
      </c>
      <c r="BX1159" s="65">
        <v>44704</v>
      </c>
      <c r="BY1159" s="65">
        <v>174405</v>
      </c>
      <c r="BZ1159" s="81">
        <v>38.440557151689276</v>
      </c>
    </row>
    <row r="1160" spans="1:89" x14ac:dyDescent="0.15">
      <c r="A1160" s="60">
        <v>1</v>
      </c>
      <c r="B1160" s="61">
        <v>44750</v>
      </c>
      <c r="C1160" s="61">
        <v>44771</v>
      </c>
      <c r="F1160" s="61" t="s">
        <v>309</v>
      </c>
      <c r="H1160" s="61" t="s">
        <v>309</v>
      </c>
      <c r="J1160" s="60">
        <v>3</v>
      </c>
      <c r="L1160" s="60">
        <v>0</v>
      </c>
      <c r="M1160" s="61">
        <v>44705</v>
      </c>
      <c r="O1160" s="62" t="s">
        <v>331</v>
      </c>
      <c r="P1160" s="60" t="s">
        <v>6</v>
      </c>
      <c r="Q1160" s="62" t="s">
        <v>137</v>
      </c>
      <c r="R1160" s="62" t="s">
        <v>3959</v>
      </c>
      <c r="S1160" s="63" t="s">
        <v>1987</v>
      </c>
      <c r="T1160" s="63" t="s">
        <v>463</v>
      </c>
      <c r="U1160" s="64">
        <v>9000</v>
      </c>
      <c r="V1160" s="64">
        <v>9900</v>
      </c>
      <c r="X1160" s="64">
        <v>0</v>
      </c>
      <c r="Y1160" s="64">
        <v>9000</v>
      </c>
      <c r="Z1160" s="64">
        <v>9900</v>
      </c>
      <c r="AD1160" s="60">
        <v>0</v>
      </c>
      <c r="AG1160" s="60">
        <v>0</v>
      </c>
      <c r="AJ1160" s="60">
        <v>0</v>
      </c>
      <c r="AN1160" s="60" t="s">
        <v>309</v>
      </c>
      <c r="AQ1160" s="60" t="s">
        <v>3502</v>
      </c>
      <c r="AR1160" s="61">
        <v>44713</v>
      </c>
      <c r="AS1160" s="60">
        <v>6002034078</v>
      </c>
      <c r="AT1160" s="61">
        <v>44715</v>
      </c>
      <c r="AU1160" s="60" t="s">
        <v>3547</v>
      </c>
      <c r="AV1160" s="61">
        <v>44771</v>
      </c>
      <c r="AW1160" s="91">
        <v>44773</v>
      </c>
      <c r="AX1160" s="91">
        <v>44793</v>
      </c>
      <c r="AY1160" s="99">
        <v>8640</v>
      </c>
      <c r="AZ1160" s="99">
        <f>ROUNDDOWN(AY1160+(AY1160*MASTER!$A$2/100),0)</f>
        <v>9504</v>
      </c>
      <c r="BC1160" s="64">
        <v>0</v>
      </c>
      <c r="BG1160" s="64">
        <v>0</v>
      </c>
      <c r="BK1160" s="64">
        <v>0</v>
      </c>
      <c r="BS1160" s="64">
        <v>0</v>
      </c>
      <c r="BV1160" s="65">
        <v>0</v>
      </c>
      <c r="BW1160" s="65">
        <v>0</v>
      </c>
      <c r="BX1160" s="65">
        <v>44705</v>
      </c>
      <c r="BY1160" s="65">
        <v>0</v>
      </c>
      <c r="BZ1160" s="81" t="s">
        <v>309</v>
      </c>
    </row>
    <row r="1161" spans="1:89" s="152" customFormat="1" x14ac:dyDescent="0.15">
      <c r="A1161" s="142">
        <v>3</v>
      </c>
      <c r="B1161" s="143"/>
      <c r="C1161" s="143" t="s">
        <v>309</v>
      </c>
      <c r="D1161" s="143"/>
      <c r="E1161" s="143"/>
      <c r="F1161" s="143" t="s">
        <v>309</v>
      </c>
      <c r="G1161" s="143"/>
      <c r="H1161" s="143" t="s">
        <v>309</v>
      </c>
      <c r="I1161" s="142"/>
      <c r="J1161" s="142">
        <v>2</v>
      </c>
      <c r="K1161" s="143"/>
      <c r="L1161" s="142">
        <v>0</v>
      </c>
      <c r="M1161" s="143">
        <v>44705</v>
      </c>
      <c r="N1161" s="143"/>
      <c r="O1161" s="144" t="s">
        <v>335</v>
      </c>
      <c r="P1161" s="142" t="s">
        <v>369</v>
      </c>
      <c r="Q1161" s="144" t="s">
        <v>3313</v>
      </c>
      <c r="R1161" s="144" t="s">
        <v>3448</v>
      </c>
      <c r="S1161" s="145" t="s">
        <v>3449</v>
      </c>
      <c r="T1161" s="145" t="s">
        <v>373</v>
      </c>
      <c r="U1161" s="146">
        <v>51000</v>
      </c>
      <c r="V1161" s="146">
        <v>56100</v>
      </c>
      <c r="W1161" s="146">
        <v>51000</v>
      </c>
      <c r="X1161" s="146">
        <v>56100</v>
      </c>
      <c r="Y1161" s="146"/>
      <c r="Z1161" s="146">
        <v>0</v>
      </c>
      <c r="AA1161" s="143"/>
      <c r="AB1161" s="143"/>
      <c r="AC1161" s="143"/>
      <c r="AD1161" s="142">
        <v>0</v>
      </c>
      <c r="AE1161" s="142"/>
      <c r="AF1161" s="142"/>
      <c r="AG1161" s="142">
        <v>0</v>
      </c>
      <c r="AH1161" s="142"/>
      <c r="AI1161" s="142"/>
      <c r="AJ1161" s="142">
        <v>0</v>
      </c>
      <c r="AK1161" s="142"/>
      <c r="AL1161" s="142"/>
      <c r="AM1161" s="142"/>
      <c r="AN1161" s="142" t="s">
        <v>309</v>
      </c>
      <c r="AO1161" s="143"/>
      <c r="AP1161" s="142"/>
      <c r="AQ1161" s="142"/>
      <c r="AR1161" s="143"/>
      <c r="AS1161" s="142"/>
      <c r="AT1161" s="143"/>
      <c r="AU1161" s="142"/>
      <c r="AV1161" s="143"/>
      <c r="AW1161" s="147"/>
      <c r="AX1161" s="147"/>
      <c r="AY1161" s="148">
        <f>ROUNDDOWN((0.96*U1161),0)</f>
        <v>48960</v>
      </c>
      <c r="AZ1161" s="148">
        <f>ROUNDDOWN(AY1161+(AY1161*MASTER!$A$2/100),0)</f>
        <v>53856</v>
      </c>
      <c r="BA1161" s="142"/>
      <c r="BB1161" s="146"/>
      <c r="BC1161" s="146">
        <v>0</v>
      </c>
      <c r="BD1161" s="142"/>
      <c r="BE1161" s="142"/>
      <c r="BF1161" s="146"/>
      <c r="BG1161" s="146">
        <v>0</v>
      </c>
      <c r="BH1161" s="142"/>
      <c r="BI1161" s="142"/>
      <c r="BJ1161" s="146"/>
      <c r="BK1161" s="146">
        <v>0</v>
      </c>
      <c r="BL1161" s="142"/>
      <c r="BM1161" s="146"/>
      <c r="BN1161" s="146"/>
      <c r="BO1161" s="146"/>
      <c r="BP1161" s="146"/>
      <c r="BQ1161" s="146"/>
      <c r="BR1161" s="146"/>
      <c r="BS1161" s="146">
        <v>0</v>
      </c>
      <c r="BT1161" s="149"/>
      <c r="BU1161" s="149"/>
      <c r="BV1161" s="150">
        <v>56100</v>
      </c>
      <c r="BW1161" s="150">
        <v>0</v>
      </c>
      <c r="BX1161" s="150">
        <v>44705</v>
      </c>
      <c r="BY1161" s="150">
        <v>56100</v>
      </c>
      <c r="BZ1161" s="151">
        <v>100</v>
      </c>
      <c r="CA1161" s="142"/>
      <c r="CB1161" s="142"/>
      <c r="CC1161" s="142"/>
      <c r="CD1161" s="145"/>
      <c r="CE1161" s="143"/>
      <c r="CF1161" s="143"/>
      <c r="CG1161" s="143"/>
      <c r="CH1161" s="143"/>
      <c r="CI1161" s="143"/>
      <c r="CJ1161" s="143"/>
      <c r="CK1161" s="146"/>
    </row>
    <row r="1162" spans="1:89" x14ac:dyDescent="0.15">
      <c r="A1162" s="60">
        <v>3</v>
      </c>
      <c r="C1162" s="61" t="s">
        <v>309</v>
      </c>
      <c r="F1162" s="61" t="s">
        <v>309</v>
      </c>
      <c r="H1162" s="61" t="s">
        <v>309</v>
      </c>
      <c r="J1162" s="60">
        <v>2</v>
      </c>
      <c r="L1162" s="60">
        <v>0</v>
      </c>
      <c r="M1162" s="61">
        <v>44705</v>
      </c>
      <c r="O1162" s="62" t="s">
        <v>331</v>
      </c>
      <c r="P1162" s="60" t="s">
        <v>26</v>
      </c>
      <c r="Q1162" s="62" t="s">
        <v>137</v>
      </c>
      <c r="R1162" s="62" t="s">
        <v>3467</v>
      </c>
      <c r="S1162" s="63" t="s">
        <v>326</v>
      </c>
      <c r="T1162" s="63" t="s">
        <v>3468</v>
      </c>
      <c r="U1162" s="64">
        <v>12000</v>
      </c>
      <c r="V1162" s="64">
        <v>13200</v>
      </c>
      <c r="W1162" s="64">
        <v>12000</v>
      </c>
      <c r="X1162" s="64">
        <v>13200</v>
      </c>
      <c r="Y1162" s="64">
        <v>0</v>
      </c>
      <c r="Z1162" s="64">
        <v>0</v>
      </c>
      <c r="AD1162" s="60">
        <v>0</v>
      </c>
      <c r="AG1162" s="60">
        <v>0</v>
      </c>
      <c r="AJ1162" s="60">
        <v>0</v>
      </c>
      <c r="AN1162" s="60" t="s">
        <v>309</v>
      </c>
      <c r="AY1162" s="107">
        <v>12000</v>
      </c>
      <c r="AZ1162" s="107">
        <v>13200</v>
      </c>
      <c r="BC1162" s="64">
        <v>0</v>
      </c>
      <c r="BG1162" s="64">
        <v>0</v>
      </c>
      <c r="BK1162" s="64">
        <v>0</v>
      </c>
      <c r="BS1162" s="64">
        <v>0</v>
      </c>
      <c r="BV1162" s="65">
        <v>13200</v>
      </c>
      <c r="BW1162" s="65">
        <v>0</v>
      </c>
      <c r="BX1162" s="65">
        <v>44705</v>
      </c>
      <c r="BY1162" s="65">
        <v>13200</v>
      </c>
      <c r="BZ1162" s="81">
        <v>100</v>
      </c>
      <c r="CD1162" s="63" t="s">
        <v>3474</v>
      </c>
    </row>
    <row r="1163" spans="1:89" x14ac:dyDescent="0.15">
      <c r="A1163" s="60">
        <v>1</v>
      </c>
      <c r="B1163" s="61">
        <v>44714</v>
      </c>
      <c r="C1163" s="61">
        <v>44715</v>
      </c>
      <c r="F1163" s="61" t="s">
        <v>309</v>
      </c>
      <c r="G1163" s="61">
        <v>44708</v>
      </c>
      <c r="H1163" s="61" t="s">
        <v>309</v>
      </c>
      <c r="J1163" s="60">
        <v>2</v>
      </c>
      <c r="L1163" s="60">
        <v>0</v>
      </c>
      <c r="M1163" s="61">
        <v>44706</v>
      </c>
      <c r="O1163" s="62" t="s">
        <v>331</v>
      </c>
      <c r="P1163" s="60" t="s">
        <v>6</v>
      </c>
      <c r="Q1163" s="62" t="s">
        <v>137</v>
      </c>
      <c r="R1163" s="62" t="s">
        <v>3481</v>
      </c>
      <c r="S1163" s="63" t="s">
        <v>361</v>
      </c>
      <c r="T1163" s="63" t="s">
        <v>364</v>
      </c>
      <c r="U1163" s="64">
        <v>35000</v>
      </c>
      <c r="V1163" s="64">
        <v>38500</v>
      </c>
      <c r="W1163" s="64">
        <v>35000</v>
      </c>
      <c r="X1163" s="64">
        <v>38500</v>
      </c>
      <c r="Z1163" s="64">
        <v>0</v>
      </c>
      <c r="AA1163" s="61">
        <v>44707</v>
      </c>
      <c r="AB1163" s="61">
        <v>44707</v>
      </c>
      <c r="AD1163" s="60">
        <v>0</v>
      </c>
      <c r="AG1163" s="60">
        <v>0</v>
      </c>
      <c r="AJ1163" s="60">
        <v>0</v>
      </c>
      <c r="AN1163" s="60" t="s">
        <v>309</v>
      </c>
      <c r="AQ1163" s="60" t="s">
        <v>3485</v>
      </c>
      <c r="AR1163" s="61">
        <v>44711</v>
      </c>
      <c r="AS1163" s="60">
        <v>6002032724</v>
      </c>
      <c r="AT1163" s="61">
        <v>44711</v>
      </c>
      <c r="AU1163" s="60" t="s">
        <v>3493</v>
      </c>
      <c r="AV1163" s="61">
        <v>44715</v>
      </c>
      <c r="AW1163" s="91">
        <v>44742</v>
      </c>
      <c r="AX1163" s="91">
        <v>44762</v>
      </c>
      <c r="AY1163" s="99">
        <v>33600</v>
      </c>
      <c r="AZ1163" s="99">
        <f>ROUNDDOWN(AY1163+(AY1163*MASTER!$A$2/100),0)</f>
        <v>36960</v>
      </c>
      <c r="BA1163" s="60" t="s">
        <v>314</v>
      </c>
      <c r="BB1163" s="64">
        <v>38000</v>
      </c>
      <c r="BC1163" s="64">
        <v>41800</v>
      </c>
      <c r="BD1163" s="60" t="s">
        <v>3360</v>
      </c>
      <c r="BG1163" s="64">
        <v>0</v>
      </c>
      <c r="BK1163" s="64">
        <v>0</v>
      </c>
      <c r="BS1163" s="64">
        <v>0</v>
      </c>
      <c r="BV1163" s="65">
        <v>38500</v>
      </c>
      <c r="BW1163" s="65">
        <v>41800</v>
      </c>
      <c r="BX1163" s="65">
        <v>44706</v>
      </c>
      <c r="BY1163" s="65">
        <v>-3300</v>
      </c>
      <c r="BZ1163" s="81">
        <v>-8.5714285714285712</v>
      </c>
    </row>
    <row r="1164" spans="1:89" x14ac:dyDescent="0.15">
      <c r="A1164" s="60">
        <v>2</v>
      </c>
      <c r="B1164" s="61">
        <v>44774</v>
      </c>
      <c r="C1164" s="61">
        <v>44781</v>
      </c>
      <c r="D1164" s="61" t="s">
        <v>764</v>
      </c>
      <c r="E1164" s="61">
        <v>44785</v>
      </c>
      <c r="F1164" s="61">
        <v>44788</v>
      </c>
      <c r="G1164" s="61">
        <v>44782</v>
      </c>
      <c r="H1164" s="61">
        <v>44784</v>
      </c>
      <c r="I1164" s="60" t="s">
        <v>511</v>
      </c>
      <c r="J1164" s="60">
        <v>1</v>
      </c>
      <c r="L1164" s="60">
        <v>0</v>
      </c>
      <c r="M1164" s="61">
        <v>44706</v>
      </c>
      <c r="O1164" s="62" t="s">
        <v>331</v>
      </c>
      <c r="P1164" s="60" t="s">
        <v>26</v>
      </c>
      <c r="Q1164" s="62" t="s">
        <v>137</v>
      </c>
      <c r="R1164" s="62" t="s">
        <v>4230</v>
      </c>
      <c r="S1164" s="63" t="s">
        <v>3933</v>
      </c>
      <c r="T1164" s="63" t="s">
        <v>1093</v>
      </c>
      <c r="U1164" s="64">
        <v>23900</v>
      </c>
      <c r="V1164" s="64">
        <v>26290</v>
      </c>
      <c r="W1164" s="64">
        <v>14700</v>
      </c>
      <c r="X1164" s="64">
        <v>16170</v>
      </c>
      <c r="Y1164" s="64">
        <v>9200</v>
      </c>
      <c r="Z1164" s="64">
        <v>10120</v>
      </c>
      <c r="AA1164" s="61">
        <v>44780</v>
      </c>
      <c r="AB1164" s="61">
        <v>44781</v>
      </c>
      <c r="AC1164" s="61">
        <v>44781</v>
      </c>
      <c r="AD1164" s="60">
        <v>0</v>
      </c>
      <c r="AG1164" s="60">
        <v>0</v>
      </c>
      <c r="AJ1164" s="60">
        <v>0</v>
      </c>
      <c r="AM1164" s="60" t="s">
        <v>273</v>
      </c>
      <c r="AN1164" s="60" t="s">
        <v>4231</v>
      </c>
      <c r="AQ1164" s="60" t="s">
        <v>3518</v>
      </c>
      <c r="AR1164" s="61">
        <v>44714</v>
      </c>
      <c r="AS1164" s="60">
        <v>6002034630</v>
      </c>
      <c r="AT1164" s="61">
        <v>44715</v>
      </c>
      <c r="AU1164" s="60" t="s">
        <v>3548</v>
      </c>
      <c r="AV1164" s="61">
        <v>44781</v>
      </c>
      <c r="AW1164" s="91">
        <v>44804</v>
      </c>
      <c r="AX1164" s="91">
        <v>44824</v>
      </c>
      <c r="AY1164" s="99">
        <v>22944</v>
      </c>
      <c r="AZ1164" s="99">
        <f>ROUNDDOWN(AY1164+(AY1164*MASTER!$A$2/100),0)</f>
        <v>25238</v>
      </c>
      <c r="BA1164" s="60" t="s">
        <v>765</v>
      </c>
      <c r="BC1164" s="64">
        <v>0</v>
      </c>
      <c r="BG1164" s="64">
        <v>0</v>
      </c>
      <c r="BI1164" s="60" t="s">
        <v>267</v>
      </c>
      <c r="BJ1164" s="64">
        <v>5980</v>
      </c>
      <c r="BK1164" s="64">
        <v>6578</v>
      </c>
      <c r="BL1164" s="60" t="s">
        <v>4069</v>
      </c>
      <c r="BS1164" s="64">
        <v>0</v>
      </c>
      <c r="BV1164" s="65">
        <v>16170</v>
      </c>
      <c r="BW1164" s="65">
        <v>6578</v>
      </c>
      <c r="BX1164" s="65">
        <v>44706</v>
      </c>
      <c r="BY1164" s="65">
        <v>9592</v>
      </c>
      <c r="BZ1164" s="81">
        <v>59.319727891156461</v>
      </c>
    </row>
    <row r="1165" spans="1:89" x14ac:dyDescent="0.15">
      <c r="A1165" s="60">
        <v>1</v>
      </c>
      <c r="B1165" s="61">
        <v>44743</v>
      </c>
      <c r="C1165" s="61">
        <v>44748</v>
      </c>
      <c r="F1165" s="61" t="s">
        <v>309</v>
      </c>
      <c r="G1165" s="61">
        <v>44749</v>
      </c>
      <c r="H1165" s="61" t="s">
        <v>309</v>
      </c>
      <c r="J1165" s="60">
        <v>1</v>
      </c>
      <c r="L1165" s="60">
        <v>0</v>
      </c>
      <c r="M1165" s="61">
        <v>44706</v>
      </c>
      <c r="O1165" s="62" t="s">
        <v>331</v>
      </c>
      <c r="P1165" s="60" t="s">
        <v>26</v>
      </c>
      <c r="Q1165" s="62" t="s">
        <v>137</v>
      </c>
      <c r="R1165" s="62" t="s">
        <v>3576</v>
      </c>
      <c r="S1165" s="63" t="s">
        <v>707</v>
      </c>
      <c r="T1165" s="63" t="s">
        <v>3577</v>
      </c>
      <c r="U1165" s="64">
        <v>23900</v>
      </c>
      <c r="V1165" s="64">
        <v>26290</v>
      </c>
      <c r="W1165" s="64">
        <v>14700</v>
      </c>
      <c r="X1165" s="64">
        <v>16170</v>
      </c>
      <c r="Y1165" s="64">
        <v>9200</v>
      </c>
      <c r="Z1165" s="64">
        <v>10120</v>
      </c>
      <c r="AA1165" s="61">
        <v>44746</v>
      </c>
      <c r="AB1165" s="61">
        <v>44748</v>
      </c>
      <c r="AD1165" s="60">
        <v>0</v>
      </c>
      <c r="AG1165" s="60">
        <v>0</v>
      </c>
      <c r="AJ1165" s="60">
        <v>0</v>
      </c>
      <c r="AM1165" s="60" t="s">
        <v>273</v>
      </c>
      <c r="AN1165" s="60" t="s">
        <v>3578</v>
      </c>
      <c r="AQ1165" s="60" t="s">
        <v>3825</v>
      </c>
      <c r="AR1165" s="61">
        <v>44720</v>
      </c>
      <c r="AS1165" s="60">
        <v>6002037361</v>
      </c>
      <c r="AT1165" s="61">
        <v>44725</v>
      </c>
      <c r="AU1165" s="60" t="s">
        <v>3616</v>
      </c>
      <c r="AV1165" s="61">
        <v>44748</v>
      </c>
      <c r="AW1165" s="91">
        <v>44773</v>
      </c>
      <c r="AX1165" s="91">
        <v>44793</v>
      </c>
      <c r="AY1165" s="99">
        <v>22944</v>
      </c>
      <c r="AZ1165" s="99">
        <f>ROUNDDOWN(AY1165+(AY1165*MASTER!$A$2/100),0)</f>
        <v>25238</v>
      </c>
      <c r="BC1165" s="64">
        <v>0</v>
      </c>
      <c r="BG1165" s="64">
        <v>0</v>
      </c>
      <c r="BI1165" s="60" t="s">
        <v>748</v>
      </c>
      <c r="BJ1165" s="64">
        <v>5980</v>
      </c>
      <c r="BK1165" s="64">
        <v>6578</v>
      </c>
      <c r="BL1165" s="60" t="s">
        <v>3885</v>
      </c>
      <c r="BS1165" s="64">
        <v>0</v>
      </c>
      <c r="BV1165" s="65">
        <v>16170</v>
      </c>
      <c r="BW1165" s="65">
        <v>6578</v>
      </c>
      <c r="BX1165" s="65">
        <v>44706</v>
      </c>
      <c r="BY1165" s="65">
        <v>9592</v>
      </c>
      <c r="BZ1165" s="81">
        <v>59.319727891156461</v>
      </c>
    </row>
    <row r="1166" spans="1:89" x14ac:dyDescent="0.15">
      <c r="A1166" s="60">
        <v>2</v>
      </c>
      <c r="B1166" s="61">
        <v>44736</v>
      </c>
      <c r="C1166" s="61">
        <v>44737</v>
      </c>
      <c r="D1166" s="61">
        <v>44750</v>
      </c>
      <c r="E1166" s="61">
        <v>44739</v>
      </c>
      <c r="F1166" s="61">
        <v>44744</v>
      </c>
      <c r="G1166" s="61">
        <v>44739</v>
      </c>
      <c r="H1166" s="61">
        <v>44740</v>
      </c>
      <c r="I1166" s="60" t="s">
        <v>511</v>
      </c>
      <c r="J1166" s="60">
        <v>1</v>
      </c>
      <c r="L1166" s="60">
        <v>0</v>
      </c>
      <c r="M1166" s="61">
        <v>44706</v>
      </c>
      <c r="O1166" s="62" t="s">
        <v>331</v>
      </c>
      <c r="P1166" s="60" t="s">
        <v>26</v>
      </c>
      <c r="Q1166" s="62" t="s">
        <v>137</v>
      </c>
      <c r="R1166" s="62" t="s">
        <v>3730</v>
      </c>
      <c r="S1166" s="63" t="s">
        <v>655</v>
      </c>
      <c r="T1166" s="63" t="s">
        <v>783</v>
      </c>
      <c r="U1166" s="64">
        <v>56000</v>
      </c>
      <c r="V1166" s="64">
        <v>61600</v>
      </c>
      <c r="W1166" s="64">
        <v>47000</v>
      </c>
      <c r="X1166" s="64">
        <v>51700</v>
      </c>
      <c r="Y1166" s="64">
        <v>9000</v>
      </c>
      <c r="Z1166" s="64">
        <v>9900</v>
      </c>
      <c r="AA1166" s="61">
        <v>44736</v>
      </c>
      <c r="AB1166" s="61">
        <v>44737</v>
      </c>
      <c r="AC1166" s="61">
        <v>44737</v>
      </c>
      <c r="AD1166" s="60">
        <v>0</v>
      </c>
      <c r="AG1166" s="60">
        <v>0</v>
      </c>
      <c r="AJ1166" s="60">
        <v>0</v>
      </c>
      <c r="AM1166" s="60" t="s">
        <v>273</v>
      </c>
      <c r="AN1166" s="60" t="s">
        <v>3731</v>
      </c>
      <c r="AQ1166" s="60" t="s">
        <v>3666</v>
      </c>
      <c r="AR1166" s="61">
        <v>44733</v>
      </c>
      <c r="AS1166" s="60">
        <v>6002043049</v>
      </c>
      <c r="AT1166" s="61">
        <v>44733</v>
      </c>
      <c r="AU1166" s="60" t="s">
        <v>3705</v>
      </c>
      <c r="AV1166" s="61">
        <v>44737</v>
      </c>
      <c r="AW1166" s="91">
        <v>44742</v>
      </c>
      <c r="AX1166" s="91">
        <v>44762</v>
      </c>
      <c r="AY1166" s="99">
        <v>53760</v>
      </c>
      <c r="AZ1166" s="99">
        <f>ROUNDDOWN(AY1166+(AY1166*MASTER!$A$2/100),0)</f>
        <v>59136</v>
      </c>
      <c r="BA1166" s="60" t="s">
        <v>613</v>
      </c>
      <c r="BB1166" s="64">
        <v>28000</v>
      </c>
      <c r="BC1166" s="64">
        <v>30800</v>
      </c>
      <c r="BD1166" s="60" t="s">
        <v>3530</v>
      </c>
      <c r="BG1166" s="64">
        <v>0</v>
      </c>
      <c r="BI1166" s="60" t="s">
        <v>748</v>
      </c>
      <c r="BJ1166" s="64">
        <v>5850</v>
      </c>
      <c r="BK1166" s="64">
        <v>6435</v>
      </c>
      <c r="BL1166" s="60" t="s">
        <v>3530</v>
      </c>
      <c r="BS1166" s="64">
        <v>0</v>
      </c>
      <c r="BV1166" s="65">
        <v>51700</v>
      </c>
      <c r="BW1166" s="65">
        <v>37235</v>
      </c>
      <c r="BX1166" s="65">
        <v>44706</v>
      </c>
      <c r="BY1166" s="65">
        <v>14465</v>
      </c>
      <c r="BZ1166" s="81">
        <v>27.978723404255319</v>
      </c>
    </row>
    <row r="1167" spans="1:89" x14ac:dyDescent="0.15">
      <c r="A1167" s="60">
        <v>1</v>
      </c>
      <c r="B1167" s="61">
        <v>44740</v>
      </c>
      <c r="C1167" s="61">
        <v>44741</v>
      </c>
      <c r="F1167" s="61" t="s">
        <v>309</v>
      </c>
      <c r="G1167" s="61">
        <v>44735</v>
      </c>
      <c r="H1167" s="61" t="s">
        <v>309</v>
      </c>
      <c r="J1167" s="60">
        <v>2</v>
      </c>
      <c r="L1167" s="60">
        <v>0</v>
      </c>
      <c r="M1167" s="61">
        <v>44706</v>
      </c>
      <c r="O1167" s="62" t="s">
        <v>331</v>
      </c>
      <c r="P1167" s="60" t="s">
        <v>6</v>
      </c>
      <c r="Q1167" s="62" t="s">
        <v>137</v>
      </c>
      <c r="R1167" s="62" t="s">
        <v>3729</v>
      </c>
      <c r="S1167" s="63" t="s">
        <v>2357</v>
      </c>
      <c r="T1167" s="63" t="s">
        <v>364</v>
      </c>
      <c r="U1167" s="64">
        <v>51000</v>
      </c>
      <c r="V1167" s="64">
        <v>56100</v>
      </c>
      <c r="W1167" s="64">
        <v>51000</v>
      </c>
      <c r="X1167" s="64">
        <v>56100</v>
      </c>
      <c r="Z1167" s="64">
        <v>0</v>
      </c>
      <c r="AD1167" s="60">
        <v>0</v>
      </c>
      <c r="AG1167" s="60">
        <v>0</v>
      </c>
      <c r="AJ1167" s="60">
        <v>0</v>
      </c>
      <c r="AN1167" s="60" t="s">
        <v>309</v>
      </c>
      <c r="AQ1167" s="60" t="s">
        <v>3753</v>
      </c>
      <c r="AR1167" s="61">
        <v>44739</v>
      </c>
      <c r="AS1167" s="60">
        <v>6002045511</v>
      </c>
      <c r="AT1167" s="61">
        <v>44739</v>
      </c>
      <c r="AU1167" s="60" t="s">
        <v>3768</v>
      </c>
      <c r="AV1167" s="61">
        <v>44741</v>
      </c>
      <c r="AW1167" s="91">
        <v>44742</v>
      </c>
      <c r="AX1167" s="91">
        <v>44762</v>
      </c>
      <c r="AY1167" s="99">
        <v>48960</v>
      </c>
      <c r="AZ1167" s="99">
        <f>ROUNDDOWN(AY1167+(AY1167*MASTER!$A$2/100),0)</f>
        <v>53856</v>
      </c>
      <c r="BC1167" s="64">
        <v>0</v>
      </c>
      <c r="BG1167" s="64">
        <v>0</v>
      </c>
      <c r="BK1167" s="64">
        <v>0</v>
      </c>
      <c r="BS1167" s="64">
        <v>0</v>
      </c>
      <c r="BV1167" s="65">
        <v>56100</v>
      </c>
      <c r="BW1167" s="65">
        <v>0</v>
      </c>
      <c r="BX1167" s="65">
        <v>44706</v>
      </c>
      <c r="BY1167" s="65">
        <v>56100</v>
      </c>
      <c r="BZ1167" s="81">
        <v>100</v>
      </c>
    </row>
    <row r="1168" spans="1:89" x14ac:dyDescent="0.15">
      <c r="A1168" s="60">
        <v>2</v>
      </c>
      <c r="B1168" s="61">
        <v>44774</v>
      </c>
      <c r="C1168" s="61">
        <v>44781</v>
      </c>
      <c r="D1168" s="61" t="s">
        <v>764</v>
      </c>
      <c r="E1168" s="61">
        <v>44785</v>
      </c>
      <c r="F1168" s="61">
        <v>44788</v>
      </c>
      <c r="G1168" s="61">
        <v>44782</v>
      </c>
      <c r="H1168" s="61">
        <v>44784</v>
      </c>
      <c r="I1168" s="60" t="s">
        <v>511</v>
      </c>
      <c r="J1168" s="60">
        <v>1</v>
      </c>
      <c r="L1168" s="60">
        <v>0</v>
      </c>
      <c r="M1168" s="61">
        <v>44706</v>
      </c>
      <c r="O1168" s="62" t="s">
        <v>331</v>
      </c>
      <c r="P1168" s="60" t="s">
        <v>26</v>
      </c>
      <c r="Q1168" s="62" t="s">
        <v>137</v>
      </c>
      <c r="R1168" s="62" t="s">
        <v>3612</v>
      </c>
      <c r="S1168" s="63" t="s">
        <v>3613</v>
      </c>
      <c r="T1168" s="63" t="s">
        <v>1093</v>
      </c>
      <c r="U1168" s="64">
        <v>23900</v>
      </c>
      <c r="V1168" s="64">
        <v>26290</v>
      </c>
      <c r="W1168" s="64">
        <v>14700</v>
      </c>
      <c r="X1168" s="64">
        <v>16170</v>
      </c>
      <c r="Y1168" s="64">
        <v>9200</v>
      </c>
      <c r="Z1168" s="64">
        <v>10120</v>
      </c>
      <c r="AA1168" s="61">
        <v>44780</v>
      </c>
      <c r="AB1168" s="61">
        <v>44781</v>
      </c>
      <c r="AC1168" s="61">
        <v>44781</v>
      </c>
      <c r="AD1168" s="60">
        <v>0</v>
      </c>
      <c r="AG1168" s="60">
        <v>0</v>
      </c>
      <c r="AJ1168" s="60">
        <v>0</v>
      </c>
      <c r="AM1168" s="60" t="s">
        <v>273</v>
      </c>
      <c r="AN1168" s="60" t="s">
        <v>3614</v>
      </c>
      <c r="AQ1168" s="60" t="s">
        <v>4229</v>
      </c>
      <c r="AR1168" s="61">
        <v>44725</v>
      </c>
      <c r="AS1168" s="60">
        <v>6002039330</v>
      </c>
      <c r="AT1168" s="61">
        <v>44727</v>
      </c>
      <c r="AU1168" s="60" t="s">
        <v>3640</v>
      </c>
      <c r="AV1168" s="61">
        <v>44781</v>
      </c>
      <c r="AW1168" s="91">
        <v>44804</v>
      </c>
      <c r="AX1168" s="91">
        <v>44824</v>
      </c>
      <c r="AY1168" s="99">
        <v>22944</v>
      </c>
      <c r="AZ1168" s="99">
        <f>ROUNDDOWN(AY1168+(AY1168*MASTER!$A$2/100),0)</f>
        <v>25238</v>
      </c>
      <c r="BA1168" s="60" t="s">
        <v>765</v>
      </c>
      <c r="BC1168" s="64">
        <v>0</v>
      </c>
      <c r="BG1168" s="64">
        <v>0</v>
      </c>
      <c r="BI1168" s="60" t="s">
        <v>267</v>
      </c>
      <c r="BJ1168" s="64">
        <v>5980</v>
      </c>
      <c r="BK1168" s="64">
        <v>6578</v>
      </c>
      <c r="BL1168" s="60" t="s">
        <v>4069</v>
      </c>
      <c r="BS1168" s="64">
        <v>0</v>
      </c>
      <c r="BV1168" s="65">
        <v>16170</v>
      </c>
      <c r="BW1168" s="65">
        <v>6578</v>
      </c>
      <c r="BX1168" s="65">
        <v>44706</v>
      </c>
      <c r="BY1168" s="65">
        <v>9592</v>
      </c>
      <c r="BZ1168" s="81">
        <v>59.319727891156461</v>
      </c>
    </row>
    <row r="1169" spans="1:82" x14ac:dyDescent="0.15">
      <c r="A1169" s="60">
        <v>2</v>
      </c>
      <c r="B1169" s="61">
        <v>44762</v>
      </c>
      <c r="C1169" s="61">
        <v>44771</v>
      </c>
      <c r="D1169" s="61">
        <v>44783</v>
      </c>
      <c r="E1169" s="61">
        <v>44769</v>
      </c>
      <c r="F1169" s="61" t="s">
        <v>309</v>
      </c>
      <c r="G1169" s="61">
        <v>44768</v>
      </c>
      <c r="H1169" s="61" t="s">
        <v>309</v>
      </c>
      <c r="I1169" s="60" t="s">
        <v>511</v>
      </c>
      <c r="J1169" s="60">
        <v>2</v>
      </c>
      <c r="L1169" s="60">
        <v>0</v>
      </c>
      <c r="M1169" s="61">
        <v>44706</v>
      </c>
      <c r="O1169" s="62" t="s">
        <v>331</v>
      </c>
      <c r="P1169" s="60" t="s">
        <v>26</v>
      </c>
      <c r="Q1169" s="62" t="s">
        <v>137</v>
      </c>
      <c r="R1169" s="62" t="s">
        <v>3466</v>
      </c>
      <c r="S1169" s="63" t="s">
        <v>1136</v>
      </c>
      <c r="T1169" s="63" t="s">
        <v>656</v>
      </c>
      <c r="U1169" s="64">
        <v>49500</v>
      </c>
      <c r="V1169" s="64">
        <v>54450</v>
      </c>
      <c r="W1169" s="64">
        <v>49500</v>
      </c>
      <c r="X1169" s="64">
        <v>54450</v>
      </c>
      <c r="Z1169" s="64">
        <v>0</v>
      </c>
      <c r="AA1169" s="61">
        <v>44767</v>
      </c>
      <c r="AB1169" s="61">
        <v>44768</v>
      </c>
      <c r="AD1169" s="60">
        <v>0</v>
      </c>
      <c r="AG1169" s="60">
        <v>0</v>
      </c>
      <c r="AJ1169" s="60">
        <v>0</v>
      </c>
      <c r="AN1169" s="60" t="s">
        <v>309</v>
      </c>
      <c r="AQ1169" s="60" t="s">
        <v>3564</v>
      </c>
      <c r="AR1169" s="61">
        <v>44719</v>
      </c>
      <c r="AS1169" s="60">
        <v>6002036654</v>
      </c>
      <c r="AT1169" s="61">
        <v>44720</v>
      </c>
      <c r="AU1169" s="60" t="s">
        <v>3588</v>
      </c>
      <c r="AV1169" s="61">
        <v>44771</v>
      </c>
      <c r="AW1169" s="91">
        <v>44773</v>
      </c>
      <c r="AX1169" s="91">
        <v>44793</v>
      </c>
      <c r="AY1169" s="99">
        <v>47520</v>
      </c>
      <c r="AZ1169" s="99">
        <f>ROUNDDOWN(AY1169+(AY1169*MASTER!$A$2/100),0)</f>
        <v>52272</v>
      </c>
      <c r="BA1169" s="60" t="s">
        <v>314</v>
      </c>
      <c r="BB1169" s="64">
        <v>24000</v>
      </c>
      <c r="BC1169" s="64">
        <v>26400</v>
      </c>
      <c r="BD1169" s="60" t="s">
        <v>3800</v>
      </c>
      <c r="BG1169" s="64">
        <v>0</v>
      </c>
      <c r="BK1169" s="64">
        <v>0</v>
      </c>
      <c r="BS1169" s="64">
        <v>0</v>
      </c>
      <c r="BV1169" s="65">
        <v>54450</v>
      </c>
      <c r="BW1169" s="65">
        <v>26400</v>
      </c>
      <c r="BX1169" s="65">
        <v>44706</v>
      </c>
      <c r="BY1169" s="65">
        <v>28050</v>
      </c>
      <c r="BZ1169" s="81">
        <v>51.515151515151516</v>
      </c>
    </row>
    <row r="1170" spans="1:82" x14ac:dyDescent="0.15">
      <c r="A1170" s="60">
        <v>1</v>
      </c>
      <c r="B1170" s="61">
        <v>44714</v>
      </c>
      <c r="C1170" s="61">
        <v>44742</v>
      </c>
      <c r="F1170" s="61" t="s">
        <v>309</v>
      </c>
      <c r="H1170" s="61" t="s">
        <v>309</v>
      </c>
      <c r="J1170" s="60">
        <v>2</v>
      </c>
      <c r="L1170" s="60">
        <v>0</v>
      </c>
      <c r="M1170" s="61">
        <v>44706</v>
      </c>
      <c r="O1170" s="62" t="s">
        <v>331</v>
      </c>
      <c r="P1170" s="60" t="s">
        <v>26</v>
      </c>
      <c r="Q1170" s="62" t="s">
        <v>137</v>
      </c>
      <c r="R1170" s="62" t="s">
        <v>3471</v>
      </c>
      <c r="S1170" s="63" t="s">
        <v>326</v>
      </c>
      <c r="T1170" s="63" t="s">
        <v>3469</v>
      </c>
      <c r="U1170" s="64">
        <v>6000</v>
      </c>
      <c r="V1170" s="64">
        <v>6600</v>
      </c>
      <c r="W1170" s="64">
        <v>6000</v>
      </c>
      <c r="X1170" s="64">
        <v>6600</v>
      </c>
      <c r="Y1170" s="64">
        <v>0</v>
      </c>
      <c r="Z1170" s="64">
        <v>0</v>
      </c>
      <c r="AD1170" s="60">
        <v>0</v>
      </c>
      <c r="AG1170" s="60">
        <v>0</v>
      </c>
      <c r="AJ1170" s="60">
        <v>0</v>
      </c>
      <c r="AQ1170" s="60" t="s">
        <v>3331</v>
      </c>
      <c r="AR1170" s="61">
        <v>44708</v>
      </c>
      <c r="AS1170" s="60">
        <v>6002032218</v>
      </c>
      <c r="AT1170" s="61">
        <v>44708</v>
      </c>
      <c r="AU1170" s="60" t="s">
        <v>3482</v>
      </c>
      <c r="AV1170" s="61">
        <v>44742</v>
      </c>
      <c r="AW1170" s="91">
        <v>44742</v>
      </c>
      <c r="AX1170" s="91">
        <v>44762</v>
      </c>
      <c r="AY1170" s="107">
        <v>6000</v>
      </c>
      <c r="AZ1170" s="107">
        <f>ROUNDDOWN(AY1170+(AY1170*MASTER!$A$2/100),0)</f>
        <v>6600</v>
      </c>
      <c r="BC1170" s="64">
        <v>0</v>
      </c>
      <c r="BG1170" s="64">
        <v>0</v>
      </c>
      <c r="BK1170" s="64">
        <v>0</v>
      </c>
      <c r="BS1170" s="64">
        <v>0</v>
      </c>
      <c r="BV1170" s="65">
        <v>6600</v>
      </c>
      <c r="BW1170" s="65">
        <v>0</v>
      </c>
      <c r="BX1170" s="65">
        <v>44706</v>
      </c>
      <c r="BY1170" s="65">
        <v>6600</v>
      </c>
      <c r="BZ1170" s="81">
        <v>100</v>
      </c>
      <c r="CD1170" s="63" t="s">
        <v>3526</v>
      </c>
    </row>
    <row r="1171" spans="1:82" x14ac:dyDescent="0.15">
      <c r="A1171" s="60">
        <v>1</v>
      </c>
      <c r="B1171" s="61">
        <v>44714</v>
      </c>
      <c r="C1171" s="61">
        <v>44742</v>
      </c>
      <c r="F1171" s="61" t="s">
        <v>309</v>
      </c>
      <c r="H1171" s="61" t="s">
        <v>309</v>
      </c>
      <c r="J1171" s="60">
        <v>2</v>
      </c>
      <c r="L1171" s="60">
        <v>0</v>
      </c>
      <c r="M1171" s="61">
        <v>44706</v>
      </c>
      <c r="O1171" s="62" t="s">
        <v>331</v>
      </c>
      <c r="P1171" s="60" t="s">
        <v>26</v>
      </c>
      <c r="Q1171" s="62" t="s">
        <v>137</v>
      </c>
      <c r="R1171" s="62" t="s">
        <v>3472</v>
      </c>
      <c r="S1171" s="63" t="s">
        <v>326</v>
      </c>
      <c r="T1171" s="63" t="s">
        <v>3470</v>
      </c>
      <c r="U1171" s="64">
        <v>6000</v>
      </c>
      <c r="V1171" s="64">
        <v>6600</v>
      </c>
      <c r="W1171" s="64">
        <v>6000</v>
      </c>
      <c r="X1171" s="64">
        <v>6600</v>
      </c>
      <c r="Y1171" s="64">
        <v>0</v>
      </c>
      <c r="Z1171" s="64">
        <v>0</v>
      </c>
      <c r="AD1171" s="60">
        <v>0</v>
      </c>
      <c r="AG1171" s="60">
        <v>0</v>
      </c>
      <c r="AJ1171" s="60">
        <v>0</v>
      </c>
      <c r="AQ1171" s="60" t="s">
        <v>3332</v>
      </c>
      <c r="AR1171" s="61">
        <v>44708</v>
      </c>
      <c r="AS1171" s="60">
        <v>6002032218</v>
      </c>
      <c r="AT1171" s="61">
        <v>44708</v>
      </c>
      <c r="AU1171" s="60" t="s">
        <v>3482</v>
      </c>
      <c r="AV1171" s="61">
        <v>44742</v>
      </c>
      <c r="AW1171" s="91">
        <v>44742</v>
      </c>
      <c r="AX1171" s="91">
        <v>44762</v>
      </c>
      <c r="AY1171" s="107">
        <v>6000</v>
      </c>
      <c r="AZ1171" s="107">
        <f>ROUNDDOWN(AY1171+(AY1171*MASTER!$A$2/100),0)</f>
        <v>6600</v>
      </c>
      <c r="BC1171" s="64">
        <v>0</v>
      </c>
      <c r="BG1171" s="64">
        <v>0</v>
      </c>
      <c r="BK1171" s="64">
        <v>0</v>
      </c>
      <c r="BS1171" s="64">
        <v>0</v>
      </c>
      <c r="BV1171" s="65">
        <v>6600</v>
      </c>
      <c r="BW1171" s="65">
        <v>0</v>
      </c>
      <c r="BX1171" s="65">
        <v>44706</v>
      </c>
      <c r="BY1171" s="65">
        <v>6600</v>
      </c>
      <c r="BZ1171" s="81">
        <v>100</v>
      </c>
      <c r="CD1171" s="63" t="s">
        <v>3473</v>
      </c>
    </row>
    <row r="1172" spans="1:82" x14ac:dyDescent="0.15">
      <c r="A1172" s="60">
        <v>1</v>
      </c>
      <c r="B1172" s="61">
        <v>44783</v>
      </c>
      <c r="C1172" s="61">
        <v>44798</v>
      </c>
      <c r="D1172" s="61">
        <v>44809</v>
      </c>
      <c r="E1172" s="61">
        <v>44785</v>
      </c>
      <c r="F1172" s="61" t="s">
        <v>309</v>
      </c>
      <c r="G1172" s="61">
        <v>44790</v>
      </c>
      <c r="H1172" s="61" t="s">
        <v>309</v>
      </c>
      <c r="I1172" s="60" t="s">
        <v>774</v>
      </c>
      <c r="J1172" s="60">
        <v>2</v>
      </c>
      <c r="L1172" s="60">
        <v>0</v>
      </c>
      <c r="M1172" s="61">
        <v>44707</v>
      </c>
      <c r="O1172" s="62" t="s">
        <v>331</v>
      </c>
      <c r="P1172" s="60" t="s">
        <v>26</v>
      </c>
      <c r="Q1172" s="62" t="s">
        <v>137</v>
      </c>
      <c r="R1172" s="62" t="s">
        <v>4343</v>
      </c>
      <c r="S1172" s="63" t="s">
        <v>449</v>
      </c>
      <c r="T1172" s="63" t="s">
        <v>4344</v>
      </c>
      <c r="U1172" s="64">
        <v>100500</v>
      </c>
      <c r="V1172" s="64">
        <v>110550</v>
      </c>
      <c r="W1172" s="64">
        <v>100500</v>
      </c>
      <c r="X1172" s="64">
        <v>110550</v>
      </c>
      <c r="Z1172" s="64">
        <v>0</v>
      </c>
      <c r="AA1172" s="61">
        <v>44783</v>
      </c>
      <c r="AB1172" s="61">
        <v>44783</v>
      </c>
      <c r="AD1172" s="60">
        <v>0</v>
      </c>
      <c r="AG1172" s="60">
        <v>0</v>
      </c>
      <c r="AJ1172" s="60">
        <v>0</v>
      </c>
      <c r="AN1172" s="60" t="s">
        <v>309</v>
      </c>
      <c r="AQ1172" s="60" t="s">
        <v>4103</v>
      </c>
      <c r="AR1172" s="61">
        <v>44769</v>
      </c>
      <c r="AS1172" s="60">
        <v>6002056433</v>
      </c>
      <c r="AT1172" s="61">
        <v>44774</v>
      </c>
      <c r="AU1172" s="60" t="s">
        <v>4204</v>
      </c>
      <c r="AV1172" s="61">
        <v>44798</v>
      </c>
      <c r="AW1172" s="91">
        <v>44804</v>
      </c>
      <c r="AX1172" s="91">
        <v>44824</v>
      </c>
      <c r="AY1172" s="141">
        <v>96480</v>
      </c>
      <c r="AZ1172" s="141">
        <f>ROUNDDOWN(AY1172+(AY1172*MASTER!$A$2/100),0)</f>
        <v>106128</v>
      </c>
      <c r="BA1172" s="60" t="s">
        <v>317</v>
      </c>
      <c r="BB1172" s="64">
        <v>45000</v>
      </c>
      <c r="BC1172" s="64">
        <v>49500</v>
      </c>
      <c r="BD1172" s="60" t="s">
        <v>3940</v>
      </c>
      <c r="BG1172" s="64">
        <v>0</v>
      </c>
      <c r="BK1172" s="64">
        <v>0</v>
      </c>
      <c r="BS1172" s="64">
        <v>0</v>
      </c>
      <c r="BV1172" s="65">
        <v>110550</v>
      </c>
      <c r="BW1172" s="65">
        <v>49500</v>
      </c>
      <c r="BX1172" s="65">
        <v>44707</v>
      </c>
      <c r="BY1172" s="65">
        <v>61050</v>
      </c>
      <c r="BZ1172" s="81">
        <v>55.223880597014926</v>
      </c>
    </row>
    <row r="1173" spans="1:82" x14ac:dyDescent="0.15">
      <c r="A1173" s="60">
        <v>1</v>
      </c>
      <c r="B1173" s="61">
        <v>44714</v>
      </c>
      <c r="C1173" s="61">
        <v>44722</v>
      </c>
      <c r="F1173" s="61" t="s">
        <v>309</v>
      </c>
      <c r="G1173" s="61">
        <v>44713</v>
      </c>
      <c r="H1173" s="61" t="s">
        <v>309</v>
      </c>
      <c r="J1173" s="60">
        <v>2</v>
      </c>
      <c r="L1173" s="60">
        <v>0</v>
      </c>
      <c r="M1173" s="61">
        <v>44707</v>
      </c>
      <c r="O1173" s="62" t="s">
        <v>331</v>
      </c>
      <c r="P1173" s="60" t="s">
        <v>6</v>
      </c>
      <c r="Q1173" s="62" t="s">
        <v>137</v>
      </c>
      <c r="R1173" s="62" t="s">
        <v>3497</v>
      </c>
      <c r="S1173" s="63" t="s">
        <v>1129</v>
      </c>
      <c r="T1173" s="63" t="s">
        <v>364</v>
      </c>
      <c r="U1173" s="64">
        <v>51000</v>
      </c>
      <c r="V1173" s="64">
        <v>56100</v>
      </c>
      <c r="W1173" s="64">
        <v>51000</v>
      </c>
      <c r="X1173" s="64">
        <v>56100</v>
      </c>
      <c r="Z1173" s="64">
        <v>0</v>
      </c>
      <c r="AA1173" s="61">
        <v>44712</v>
      </c>
      <c r="AB1173" s="61">
        <v>44712</v>
      </c>
      <c r="AD1173" s="60">
        <v>0</v>
      </c>
      <c r="AG1173" s="60">
        <v>0</v>
      </c>
      <c r="AJ1173" s="60">
        <v>0</v>
      </c>
      <c r="AN1173" s="60" t="s">
        <v>309</v>
      </c>
      <c r="AQ1173" s="60" t="s">
        <v>3495</v>
      </c>
      <c r="AR1173" s="61">
        <v>44712</v>
      </c>
      <c r="AS1173" s="60">
        <v>6002033461</v>
      </c>
      <c r="AT1173" s="61">
        <v>44712</v>
      </c>
      <c r="AU1173" s="60" t="s">
        <v>3496</v>
      </c>
      <c r="AV1173" s="61">
        <v>44722</v>
      </c>
      <c r="AW1173" s="91">
        <v>44742</v>
      </c>
      <c r="AX1173" s="91">
        <v>44762</v>
      </c>
      <c r="AY1173" s="141">
        <v>48960</v>
      </c>
      <c r="AZ1173" s="141">
        <f>ROUNDDOWN(AY1173+(AY1173*MASTER!$A$2/100),0)</f>
        <v>53856</v>
      </c>
      <c r="BA1173" s="60" t="s">
        <v>317</v>
      </c>
      <c r="BB1173" s="64">
        <v>24000</v>
      </c>
      <c r="BC1173" s="64">
        <v>26400</v>
      </c>
      <c r="BD1173" s="60" t="s">
        <v>3360</v>
      </c>
      <c r="BG1173" s="64">
        <v>0</v>
      </c>
      <c r="BK1173" s="64">
        <v>0</v>
      </c>
      <c r="BS1173" s="64">
        <v>0</v>
      </c>
      <c r="BV1173" s="65">
        <v>56100</v>
      </c>
      <c r="BW1173" s="65">
        <v>26400</v>
      </c>
      <c r="BX1173" s="65">
        <v>44707</v>
      </c>
      <c r="BY1173" s="65">
        <v>29700</v>
      </c>
      <c r="BZ1173" s="81">
        <v>52.941176470588239</v>
      </c>
    </row>
    <row r="1174" spans="1:82" x14ac:dyDescent="0.15">
      <c r="A1174" s="60">
        <v>1</v>
      </c>
      <c r="B1174" s="61">
        <v>44714</v>
      </c>
      <c r="C1174" s="61">
        <v>44722</v>
      </c>
      <c r="F1174" s="61" t="s">
        <v>309</v>
      </c>
      <c r="H1174" s="61" t="s">
        <v>309</v>
      </c>
      <c r="J1174" s="60">
        <v>2</v>
      </c>
      <c r="L1174" s="60">
        <v>0</v>
      </c>
      <c r="M1174" s="61">
        <v>44707</v>
      </c>
      <c r="O1174" s="62" t="s">
        <v>331</v>
      </c>
      <c r="P1174" s="60" t="s">
        <v>26</v>
      </c>
      <c r="Q1174" s="62" t="s">
        <v>137</v>
      </c>
      <c r="R1174" s="62" t="s">
        <v>3524</v>
      </c>
      <c r="S1174" s="63" t="s">
        <v>426</v>
      </c>
      <c r="T1174" s="63" t="s">
        <v>3525</v>
      </c>
      <c r="U1174" s="64">
        <v>96000</v>
      </c>
      <c r="V1174" s="64">
        <v>105600</v>
      </c>
      <c r="W1174" s="64">
        <v>96000</v>
      </c>
      <c r="X1174" s="64">
        <v>105600</v>
      </c>
      <c r="Z1174" s="64">
        <v>0</v>
      </c>
      <c r="AA1174" s="61">
        <v>44703</v>
      </c>
      <c r="AB1174" s="61">
        <v>44705</v>
      </c>
      <c r="AD1174" s="60">
        <v>0</v>
      </c>
      <c r="AG1174" s="60">
        <v>0</v>
      </c>
      <c r="AJ1174" s="60">
        <v>0</v>
      </c>
      <c r="AN1174" s="60" t="s">
        <v>309</v>
      </c>
      <c r="AQ1174" s="60" t="s">
        <v>3483</v>
      </c>
      <c r="AR1174" s="61">
        <v>44711</v>
      </c>
      <c r="AS1174" s="60">
        <v>6002032724</v>
      </c>
      <c r="AT1174" s="61">
        <v>44711</v>
      </c>
      <c r="AU1174" s="60" t="s">
        <v>3493</v>
      </c>
      <c r="AV1174" s="61">
        <v>44722</v>
      </c>
      <c r="AW1174" s="91">
        <v>44742</v>
      </c>
      <c r="AX1174" s="91">
        <v>44762</v>
      </c>
      <c r="AY1174" s="107">
        <v>96000</v>
      </c>
      <c r="AZ1174" s="107">
        <v>105600</v>
      </c>
      <c r="BC1174" s="64">
        <v>0</v>
      </c>
      <c r="BG1174" s="64">
        <v>0</v>
      </c>
      <c r="BK1174" s="64">
        <v>0</v>
      </c>
      <c r="BS1174" s="64">
        <v>0</v>
      </c>
      <c r="BV1174" s="65">
        <v>105600</v>
      </c>
      <c r="BW1174" s="65">
        <v>0</v>
      </c>
      <c r="BX1174" s="65">
        <v>44707</v>
      </c>
      <c r="BY1174" s="65">
        <v>105600</v>
      </c>
      <c r="BZ1174" s="81">
        <v>100</v>
      </c>
    </row>
    <row r="1175" spans="1:82" x14ac:dyDescent="0.15">
      <c r="A1175" s="60">
        <v>2</v>
      </c>
      <c r="B1175" s="61">
        <v>44743</v>
      </c>
      <c r="C1175" s="61">
        <v>44743</v>
      </c>
      <c r="D1175" s="61" t="s">
        <v>764</v>
      </c>
      <c r="F1175" s="61">
        <v>44750</v>
      </c>
      <c r="G1175" s="61">
        <v>44746</v>
      </c>
      <c r="H1175" s="61">
        <v>44746</v>
      </c>
      <c r="I1175" s="60" t="s">
        <v>774</v>
      </c>
      <c r="J1175" s="60">
        <v>1</v>
      </c>
      <c r="L1175" s="60">
        <v>0</v>
      </c>
      <c r="M1175" s="61">
        <v>44707</v>
      </c>
      <c r="O1175" s="62" t="s">
        <v>331</v>
      </c>
      <c r="P1175" s="60" t="s">
        <v>26</v>
      </c>
      <c r="Q1175" s="62" t="s">
        <v>137</v>
      </c>
      <c r="R1175" s="62" t="s">
        <v>3608</v>
      </c>
      <c r="S1175" s="63" t="s">
        <v>1129</v>
      </c>
      <c r="T1175" s="63" t="s">
        <v>3609</v>
      </c>
      <c r="U1175" s="64">
        <v>23900</v>
      </c>
      <c r="V1175" s="64">
        <v>26290</v>
      </c>
      <c r="W1175" s="64">
        <v>14700</v>
      </c>
      <c r="X1175" s="64">
        <v>16170</v>
      </c>
      <c r="Y1175" s="64">
        <v>9200</v>
      </c>
      <c r="Z1175" s="64">
        <v>10120</v>
      </c>
      <c r="AA1175" s="61">
        <v>44742</v>
      </c>
      <c r="AB1175" s="61">
        <v>44743</v>
      </c>
      <c r="AC1175" s="61">
        <v>44743</v>
      </c>
      <c r="AD1175" s="60">
        <v>0</v>
      </c>
      <c r="AG1175" s="60">
        <v>0</v>
      </c>
      <c r="AJ1175" s="60">
        <v>0</v>
      </c>
      <c r="AM1175" s="60" t="s">
        <v>273</v>
      </c>
      <c r="AN1175" s="60" t="s">
        <v>3610</v>
      </c>
      <c r="AQ1175" s="60" t="s">
        <v>3821</v>
      </c>
      <c r="AR1175" s="61">
        <v>44725</v>
      </c>
      <c r="AS1175" s="60">
        <v>6002039330</v>
      </c>
      <c r="AT1175" s="61">
        <v>44727</v>
      </c>
      <c r="AU1175" s="60" t="s">
        <v>3640</v>
      </c>
      <c r="AV1175" s="61">
        <v>44743</v>
      </c>
      <c r="AW1175" s="91">
        <v>44773</v>
      </c>
      <c r="AX1175" s="91">
        <v>44793</v>
      </c>
      <c r="AY1175" s="99">
        <v>22944</v>
      </c>
      <c r="AZ1175" s="99">
        <f>ROUNDDOWN(AY1175+(AY1175*MASTER!$A$2/100),0)</f>
        <v>25238</v>
      </c>
      <c r="BA1175" s="60" t="s">
        <v>765</v>
      </c>
      <c r="BC1175" s="64">
        <v>0</v>
      </c>
      <c r="BG1175" s="64">
        <v>0</v>
      </c>
      <c r="BI1175" s="60" t="s">
        <v>748</v>
      </c>
      <c r="BJ1175" s="64">
        <v>5980</v>
      </c>
      <c r="BK1175" s="64">
        <v>6578</v>
      </c>
      <c r="BL1175" s="60" t="s">
        <v>3885</v>
      </c>
      <c r="BS1175" s="64">
        <v>0</v>
      </c>
      <c r="BV1175" s="65">
        <v>16170</v>
      </c>
      <c r="BW1175" s="65">
        <v>6578</v>
      </c>
      <c r="BX1175" s="65">
        <v>44707</v>
      </c>
      <c r="BY1175" s="65">
        <v>9592</v>
      </c>
      <c r="BZ1175" s="81">
        <v>59.319727891156461</v>
      </c>
    </row>
    <row r="1176" spans="1:82" x14ac:dyDescent="0.15">
      <c r="A1176" s="60">
        <v>2</v>
      </c>
      <c r="B1176" s="61">
        <v>44774</v>
      </c>
      <c r="C1176" s="61">
        <v>44781</v>
      </c>
      <c r="D1176" s="61" t="s">
        <v>764</v>
      </c>
      <c r="E1176" s="61">
        <v>44785</v>
      </c>
      <c r="F1176" s="61">
        <v>44789</v>
      </c>
      <c r="H1176" s="61">
        <v>44785</v>
      </c>
      <c r="I1176" s="60" t="s">
        <v>511</v>
      </c>
      <c r="J1176" s="60">
        <v>1</v>
      </c>
      <c r="L1176" s="60">
        <v>0</v>
      </c>
      <c r="M1176" s="61">
        <v>44707</v>
      </c>
      <c r="O1176" s="62" t="s">
        <v>331</v>
      </c>
      <c r="P1176" s="60" t="s">
        <v>26</v>
      </c>
      <c r="Q1176" s="62" t="s">
        <v>137</v>
      </c>
      <c r="R1176" s="62" t="s">
        <v>4223</v>
      </c>
      <c r="S1176" s="63" t="s">
        <v>1042</v>
      </c>
      <c r="T1176" s="63" t="s">
        <v>1333</v>
      </c>
      <c r="U1176" s="64">
        <v>23900</v>
      </c>
      <c r="V1176" s="64">
        <v>26290</v>
      </c>
      <c r="W1176" s="64">
        <v>14700</v>
      </c>
      <c r="X1176" s="64">
        <v>16170</v>
      </c>
      <c r="Y1176" s="64">
        <v>9200</v>
      </c>
      <c r="Z1176" s="64">
        <v>10120</v>
      </c>
      <c r="AA1176" s="61">
        <v>44780</v>
      </c>
      <c r="AB1176" s="61">
        <v>44782</v>
      </c>
      <c r="AC1176" s="61">
        <v>44782</v>
      </c>
      <c r="AD1176" s="60">
        <v>0</v>
      </c>
      <c r="AG1176" s="60">
        <v>0</v>
      </c>
      <c r="AJ1176" s="60">
        <v>0</v>
      </c>
      <c r="AM1176" s="60" t="s">
        <v>273</v>
      </c>
      <c r="AN1176" s="60" t="s">
        <v>4224</v>
      </c>
      <c r="AQ1176" s="60" t="s">
        <v>3677</v>
      </c>
      <c r="AR1176" s="61">
        <v>44733</v>
      </c>
      <c r="AS1176" s="60">
        <v>6002043049</v>
      </c>
      <c r="AT1176" s="61">
        <v>44733</v>
      </c>
      <c r="AU1176" s="60" t="s">
        <v>3705</v>
      </c>
      <c r="AV1176" s="61">
        <v>44781</v>
      </c>
      <c r="AW1176" s="91">
        <v>44804</v>
      </c>
      <c r="AX1176" s="91">
        <v>44824</v>
      </c>
      <c r="AY1176" s="99">
        <v>22944</v>
      </c>
      <c r="AZ1176" s="99">
        <f>ROUNDDOWN(AY1176+(AY1176*MASTER!$A$2/100),0)</f>
        <v>25238</v>
      </c>
      <c r="BA1176" s="60" t="s">
        <v>765</v>
      </c>
      <c r="BC1176" s="64">
        <v>0</v>
      </c>
      <c r="BG1176" s="64">
        <v>0</v>
      </c>
      <c r="BI1176" s="60" t="s">
        <v>267</v>
      </c>
      <c r="BJ1176" s="64">
        <v>5980</v>
      </c>
      <c r="BK1176" s="64">
        <v>6578</v>
      </c>
      <c r="BL1176" s="60" t="s">
        <v>4069</v>
      </c>
      <c r="BS1176" s="64">
        <v>0</v>
      </c>
      <c r="BV1176" s="65">
        <v>16170</v>
      </c>
      <c r="BW1176" s="65">
        <v>6578</v>
      </c>
      <c r="BX1176" s="65">
        <v>44707</v>
      </c>
      <c r="BY1176" s="65">
        <v>9592</v>
      </c>
      <c r="BZ1176" s="81">
        <v>59.319727891156461</v>
      </c>
    </row>
    <row r="1177" spans="1:82" x14ac:dyDescent="0.15">
      <c r="A1177" s="60">
        <v>1</v>
      </c>
      <c r="B1177" s="61">
        <v>44719</v>
      </c>
      <c r="C1177" s="61">
        <v>44718</v>
      </c>
      <c r="F1177" s="61" t="s">
        <v>309</v>
      </c>
      <c r="G1177" s="61">
        <v>44708</v>
      </c>
      <c r="H1177" s="61" t="s">
        <v>309</v>
      </c>
      <c r="J1177" s="60">
        <v>2</v>
      </c>
      <c r="L1177" s="60">
        <v>0</v>
      </c>
      <c r="M1177" s="61">
        <v>44708</v>
      </c>
      <c r="O1177" s="62" t="s">
        <v>331</v>
      </c>
      <c r="P1177" s="60" t="s">
        <v>6</v>
      </c>
      <c r="Q1177" s="62" t="s">
        <v>137</v>
      </c>
      <c r="R1177" s="62" t="s">
        <v>3477</v>
      </c>
      <c r="S1177" s="63" t="s">
        <v>1732</v>
      </c>
      <c r="T1177" s="63" t="s">
        <v>364</v>
      </c>
      <c r="U1177" s="64">
        <v>35000</v>
      </c>
      <c r="V1177" s="64">
        <v>38500</v>
      </c>
      <c r="W1177" s="64">
        <v>35000</v>
      </c>
      <c r="X1177" s="64">
        <v>38500</v>
      </c>
      <c r="Z1177" s="64">
        <v>0</v>
      </c>
      <c r="AA1177" s="61">
        <v>44707</v>
      </c>
      <c r="AB1177" s="61">
        <v>44707</v>
      </c>
      <c r="AD1177" s="60">
        <v>0</v>
      </c>
      <c r="AG1177" s="60">
        <v>0</v>
      </c>
      <c r="AJ1177" s="60">
        <v>0</v>
      </c>
      <c r="AN1177" s="60" t="s">
        <v>309</v>
      </c>
      <c r="AQ1177" s="60" t="s">
        <v>3500</v>
      </c>
      <c r="AR1177" s="61">
        <v>44713</v>
      </c>
      <c r="AS1177" s="60">
        <v>6002034078</v>
      </c>
      <c r="AT1177" s="61">
        <v>44715</v>
      </c>
      <c r="AU1177" s="60" t="s">
        <v>3547</v>
      </c>
      <c r="AV1177" s="61">
        <v>44718</v>
      </c>
      <c r="AW1177" s="91">
        <v>44742</v>
      </c>
      <c r="AX1177" s="91">
        <v>44762</v>
      </c>
      <c r="AY1177" s="99">
        <v>33600</v>
      </c>
      <c r="AZ1177" s="99">
        <f>ROUNDDOWN(AY1177+(AY1177*MASTER!$A$2/100),0)</f>
        <v>36960</v>
      </c>
      <c r="BA1177" s="60" t="s">
        <v>314</v>
      </c>
      <c r="BB1177" s="64">
        <v>31000</v>
      </c>
      <c r="BC1177" s="64">
        <v>34100</v>
      </c>
      <c r="BD1177" s="60" t="s">
        <v>3360</v>
      </c>
      <c r="BG1177" s="64">
        <v>0</v>
      </c>
      <c r="BK1177" s="64">
        <v>0</v>
      </c>
      <c r="BS1177" s="64">
        <v>0</v>
      </c>
      <c r="BV1177" s="65">
        <v>38500</v>
      </c>
      <c r="BW1177" s="65">
        <v>34100</v>
      </c>
      <c r="BX1177" s="65">
        <v>44708</v>
      </c>
      <c r="BY1177" s="65">
        <v>4400</v>
      </c>
      <c r="BZ1177" s="81">
        <v>11.428571428571429</v>
      </c>
    </row>
    <row r="1178" spans="1:82" x14ac:dyDescent="0.15">
      <c r="A1178" s="60">
        <v>2</v>
      </c>
      <c r="C1178" s="61" t="s">
        <v>309</v>
      </c>
      <c r="F1178" s="61" t="s">
        <v>309</v>
      </c>
      <c r="H1178" s="61" t="s">
        <v>309</v>
      </c>
      <c r="J1178" s="60">
        <v>4</v>
      </c>
      <c r="L1178" s="60">
        <v>0</v>
      </c>
      <c r="M1178" s="61">
        <v>44708</v>
      </c>
      <c r="O1178" s="62" t="s">
        <v>331</v>
      </c>
      <c r="P1178" s="60" t="s">
        <v>263</v>
      </c>
      <c r="Q1178" s="62" t="s">
        <v>137</v>
      </c>
      <c r="R1178" s="62" t="s">
        <v>3478</v>
      </c>
      <c r="S1178" s="63" t="s">
        <v>354</v>
      </c>
      <c r="T1178" s="63" t="s">
        <v>3479</v>
      </c>
      <c r="U1178" s="64">
        <v>0</v>
      </c>
      <c r="V1178" s="64">
        <v>0</v>
      </c>
      <c r="W1178" s="64">
        <v>0</v>
      </c>
      <c r="X1178" s="64">
        <v>0</v>
      </c>
      <c r="Y1178" s="64">
        <v>0</v>
      </c>
      <c r="Z1178" s="64">
        <v>0</v>
      </c>
      <c r="AA1178" s="61">
        <v>44682</v>
      </c>
      <c r="AB1178" s="61">
        <v>44712</v>
      </c>
      <c r="AD1178" s="60">
        <v>0</v>
      </c>
      <c r="AG1178" s="60">
        <v>0</v>
      </c>
      <c r="AJ1178" s="60">
        <v>0</v>
      </c>
      <c r="AN1178" s="60" t="s">
        <v>309</v>
      </c>
      <c r="AY1178" s="99">
        <f>ROUNDDOWN((0.96*U1178),0)</f>
        <v>0</v>
      </c>
      <c r="AZ1178" s="99">
        <f>ROUNDDOWN(AY1178+(AY1178*MASTER!$A$2/100),0)</f>
        <v>0</v>
      </c>
      <c r="BA1178" s="60" t="s">
        <v>318</v>
      </c>
      <c r="BB1178" s="64">
        <v>16000</v>
      </c>
      <c r="BC1178" s="64">
        <v>17600</v>
      </c>
      <c r="BD1178" s="60" t="s">
        <v>3360</v>
      </c>
      <c r="BG1178" s="64">
        <v>0</v>
      </c>
      <c r="BK1178" s="64">
        <v>0</v>
      </c>
      <c r="BS1178" s="64">
        <v>0</v>
      </c>
      <c r="BV1178" s="65">
        <v>0</v>
      </c>
      <c r="BW1178" s="65">
        <v>17600</v>
      </c>
      <c r="BX1178" s="65">
        <v>44708</v>
      </c>
      <c r="BY1178" s="65">
        <v>-17600</v>
      </c>
      <c r="BZ1178" s="81" t="s">
        <v>309</v>
      </c>
    </row>
    <row r="1179" spans="1:82" x14ac:dyDescent="0.15">
      <c r="A1179" s="60">
        <v>2</v>
      </c>
      <c r="C1179" s="61" t="s">
        <v>309</v>
      </c>
      <c r="F1179" s="61" t="s">
        <v>309</v>
      </c>
      <c r="H1179" s="61" t="s">
        <v>309</v>
      </c>
      <c r="J1179" s="60">
        <v>4</v>
      </c>
      <c r="L1179" s="60">
        <v>0</v>
      </c>
      <c r="M1179" s="61">
        <v>44708</v>
      </c>
      <c r="O1179" s="62" t="s">
        <v>331</v>
      </c>
      <c r="P1179" s="60" t="s">
        <v>77</v>
      </c>
      <c r="Q1179" s="62" t="s">
        <v>137</v>
      </c>
      <c r="R1179" s="62" t="s">
        <v>3516</v>
      </c>
      <c r="S1179" s="63" t="s">
        <v>354</v>
      </c>
      <c r="T1179" s="63" t="s">
        <v>3517</v>
      </c>
      <c r="U1179" s="64">
        <v>0</v>
      </c>
      <c r="V1179" s="64">
        <v>0</v>
      </c>
      <c r="W1179" s="64">
        <v>0</v>
      </c>
      <c r="X1179" s="64">
        <v>0</v>
      </c>
      <c r="Y1179" s="64">
        <v>0</v>
      </c>
      <c r="Z1179" s="64">
        <v>0</v>
      </c>
      <c r="AA1179" s="61">
        <v>44682</v>
      </c>
      <c r="AB1179" s="61">
        <v>44712</v>
      </c>
      <c r="AD1179" s="60">
        <v>0</v>
      </c>
      <c r="AG1179" s="60">
        <v>0</v>
      </c>
      <c r="AJ1179" s="60">
        <v>0</v>
      </c>
      <c r="AN1179" s="60" t="s">
        <v>309</v>
      </c>
      <c r="AY1179" s="99">
        <v>0</v>
      </c>
      <c r="AZ1179" s="99">
        <f>ROUNDDOWN(AY1179+(AY1179*MASTER!$A$2/100),0)</f>
        <v>0</v>
      </c>
      <c r="BA1179" s="60" t="s">
        <v>321</v>
      </c>
      <c r="BB1179" s="64">
        <v>8690</v>
      </c>
      <c r="BC1179" s="64">
        <v>9559</v>
      </c>
      <c r="BD1179" s="60" t="s">
        <v>3360</v>
      </c>
      <c r="BG1179" s="64">
        <v>0</v>
      </c>
      <c r="BK1179" s="64">
        <v>0</v>
      </c>
      <c r="BS1179" s="64">
        <v>0</v>
      </c>
      <c r="BV1179" s="65">
        <v>0</v>
      </c>
      <c r="BW1179" s="65">
        <v>9559</v>
      </c>
      <c r="BX1179" s="65">
        <v>44708</v>
      </c>
      <c r="BY1179" s="65">
        <v>-9559</v>
      </c>
      <c r="BZ1179" s="81" t="s">
        <v>309</v>
      </c>
    </row>
    <row r="1180" spans="1:82" x14ac:dyDescent="0.15">
      <c r="A1180" s="60">
        <v>2</v>
      </c>
      <c r="C1180" s="61" t="s">
        <v>309</v>
      </c>
      <c r="F1180" s="61" t="s">
        <v>309</v>
      </c>
      <c r="H1180" s="61" t="s">
        <v>309</v>
      </c>
      <c r="J1180" s="60">
        <v>4</v>
      </c>
      <c r="L1180" s="60">
        <v>0</v>
      </c>
      <c r="M1180" s="61">
        <v>44708</v>
      </c>
      <c r="O1180" s="62" t="s">
        <v>331</v>
      </c>
      <c r="P1180" s="60" t="s">
        <v>77</v>
      </c>
      <c r="Q1180" s="62" t="s">
        <v>137</v>
      </c>
      <c r="R1180" s="62" t="s">
        <v>3554</v>
      </c>
      <c r="S1180" s="63" t="s">
        <v>354</v>
      </c>
      <c r="T1180" s="63" t="s">
        <v>3555</v>
      </c>
      <c r="U1180" s="64">
        <v>0</v>
      </c>
      <c r="V1180" s="64">
        <v>0</v>
      </c>
      <c r="W1180" s="64">
        <v>0</v>
      </c>
      <c r="X1180" s="64">
        <v>0</v>
      </c>
      <c r="Y1180" s="64">
        <v>0</v>
      </c>
      <c r="Z1180" s="64">
        <v>0</v>
      </c>
      <c r="AA1180" s="61">
        <v>44682</v>
      </c>
      <c r="AB1180" s="61">
        <v>44712</v>
      </c>
      <c r="AD1180" s="60">
        <v>0</v>
      </c>
      <c r="AG1180" s="60">
        <v>0</v>
      </c>
      <c r="AJ1180" s="60">
        <v>0</v>
      </c>
      <c r="AN1180" s="60" t="s">
        <v>309</v>
      </c>
      <c r="AY1180" s="99">
        <v>0</v>
      </c>
      <c r="AZ1180" s="99">
        <f>ROUNDDOWN(AY1180+(AY1180*MASTER!$A$2/100),0)</f>
        <v>0</v>
      </c>
      <c r="BA1180" s="60" t="s">
        <v>272</v>
      </c>
      <c r="BB1180" s="64">
        <v>341959</v>
      </c>
      <c r="BC1180" s="64">
        <v>376154.9</v>
      </c>
      <c r="BD1180" s="60" t="s">
        <v>3360</v>
      </c>
      <c r="BG1180" s="64">
        <v>0</v>
      </c>
      <c r="BK1180" s="64">
        <v>0</v>
      </c>
      <c r="BS1180" s="64">
        <v>0</v>
      </c>
      <c r="BV1180" s="65">
        <v>0</v>
      </c>
      <c r="BW1180" s="65">
        <v>376154.9</v>
      </c>
      <c r="BX1180" s="65">
        <v>44708</v>
      </c>
      <c r="BY1180" s="65">
        <v>-376154.9</v>
      </c>
      <c r="BZ1180" s="81" t="s">
        <v>309</v>
      </c>
    </row>
    <row r="1181" spans="1:82" x14ac:dyDescent="0.15">
      <c r="A1181" s="60">
        <v>2</v>
      </c>
      <c r="C1181" s="61" t="s">
        <v>309</v>
      </c>
      <c r="F1181" s="61" t="s">
        <v>309</v>
      </c>
      <c r="H1181" s="61" t="s">
        <v>309</v>
      </c>
      <c r="J1181" s="60">
        <v>4</v>
      </c>
      <c r="L1181" s="60">
        <v>0</v>
      </c>
      <c r="M1181" s="61">
        <v>44708</v>
      </c>
      <c r="O1181" s="62" t="s">
        <v>331</v>
      </c>
      <c r="P1181" s="60" t="s">
        <v>263</v>
      </c>
      <c r="Q1181" s="62" t="s">
        <v>137</v>
      </c>
      <c r="R1181" s="62" t="s">
        <v>3545</v>
      </c>
      <c r="S1181" s="63" t="s">
        <v>354</v>
      </c>
      <c r="T1181" s="63" t="s">
        <v>3546</v>
      </c>
      <c r="U1181" s="64">
        <v>0</v>
      </c>
      <c r="V1181" s="64">
        <v>0</v>
      </c>
      <c r="W1181" s="64">
        <v>0</v>
      </c>
      <c r="X1181" s="64">
        <v>0</v>
      </c>
      <c r="Y1181" s="64">
        <v>0</v>
      </c>
      <c r="Z1181" s="64">
        <v>0</v>
      </c>
      <c r="AA1181" s="61">
        <v>44682</v>
      </c>
      <c r="AB1181" s="61">
        <v>44712</v>
      </c>
      <c r="AD1181" s="60">
        <v>0</v>
      </c>
      <c r="AG1181" s="60">
        <v>0</v>
      </c>
      <c r="AJ1181" s="60">
        <v>0</v>
      </c>
      <c r="AN1181" s="60" t="s">
        <v>309</v>
      </c>
      <c r="AY1181" s="99">
        <v>0</v>
      </c>
      <c r="AZ1181" s="99">
        <f>ROUNDDOWN(AY1181+(AY1181*MASTER!$A$2/100),0)</f>
        <v>0</v>
      </c>
      <c r="BA1181" s="60" t="s">
        <v>14</v>
      </c>
      <c r="BB1181" s="64">
        <v>439800</v>
      </c>
      <c r="BC1181" s="64">
        <v>483780</v>
      </c>
      <c r="BD1181" s="60" t="s">
        <v>3360</v>
      </c>
      <c r="BG1181" s="64">
        <v>0</v>
      </c>
      <c r="BK1181" s="64">
        <v>0</v>
      </c>
      <c r="BS1181" s="64">
        <v>0</v>
      </c>
      <c r="BV1181" s="65">
        <v>0</v>
      </c>
      <c r="BW1181" s="65">
        <v>483780</v>
      </c>
      <c r="BX1181" s="65">
        <v>44708</v>
      </c>
      <c r="BY1181" s="65">
        <v>-483780</v>
      </c>
      <c r="BZ1181" s="81" t="s">
        <v>309</v>
      </c>
    </row>
    <row r="1182" spans="1:82" x14ac:dyDescent="0.15">
      <c r="A1182" s="60">
        <v>2</v>
      </c>
      <c r="B1182" s="61">
        <v>44727</v>
      </c>
      <c r="C1182" s="61">
        <v>44727</v>
      </c>
      <c r="D1182" s="61">
        <v>44722</v>
      </c>
      <c r="E1182" s="61">
        <v>44722</v>
      </c>
      <c r="F1182" s="61" t="s">
        <v>309</v>
      </c>
      <c r="G1182" s="61">
        <v>44722</v>
      </c>
      <c r="H1182" s="61" t="s">
        <v>309</v>
      </c>
      <c r="I1182" s="60" t="s">
        <v>766</v>
      </c>
      <c r="J1182" s="60">
        <v>2</v>
      </c>
      <c r="L1182" s="60">
        <v>0</v>
      </c>
      <c r="M1182" s="61">
        <v>44708</v>
      </c>
      <c r="O1182" s="62" t="s">
        <v>331</v>
      </c>
      <c r="P1182" s="60" t="s">
        <v>6</v>
      </c>
      <c r="Q1182" s="62" t="s">
        <v>137</v>
      </c>
      <c r="R1182" s="62" t="s">
        <v>3480</v>
      </c>
      <c r="S1182" s="63" t="s">
        <v>700</v>
      </c>
      <c r="T1182" s="63" t="s">
        <v>364</v>
      </c>
      <c r="U1182" s="64">
        <v>35000</v>
      </c>
      <c r="V1182" s="64">
        <v>38500</v>
      </c>
      <c r="W1182" s="64">
        <v>35000</v>
      </c>
      <c r="X1182" s="64">
        <v>38500</v>
      </c>
      <c r="Y1182" s="64">
        <v>0</v>
      </c>
      <c r="Z1182" s="64">
        <v>0</v>
      </c>
      <c r="AA1182" s="61">
        <v>44720</v>
      </c>
      <c r="AB1182" s="61">
        <v>44720</v>
      </c>
      <c r="AD1182" s="60">
        <v>0</v>
      </c>
      <c r="AG1182" s="60">
        <v>0</v>
      </c>
      <c r="AJ1182" s="60">
        <v>0</v>
      </c>
      <c r="AN1182" s="60" t="s">
        <v>309</v>
      </c>
      <c r="AQ1182" s="60" t="s">
        <v>3628</v>
      </c>
      <c r="AR1182" s="61">
        <v>44721</v>
      </c>
      <c r="AS1182" s="60">
        <v>6002038201</v>
      </c>
      <c r="AT1182" s="61">
        <v>44725</v>
      </c>
      <c r="AU1182" s="60" t="s">
        <v>3615</v>
      </c>
      <c r="AV1182" s="61">
        <v>44727</v>
      </c>
      <c r="AW1182" s="91">
        <v>44742</v>
      </c>
      <c r="AX1182" s="91">
        <v>44762</v>
      </c>
      <c r="AY1182" s="99">
        <v>33600</v>
      </c>
      <c r="AZ1182" s="99">
        <f>ROUNDDOWN(AY1182+(AY1182*MASTER!$A$2/100),0)</f>
        <v>36960</v>
      </c>
      <c r="BA1182" s="60" t="s">
        <v>613</v>
      </c>
      <c r="BB1182" s="64">
        <v>24000</v>
      </c>
      <c r="BC1182" s="64">
        <v>26400</v>
      </c>
      <c r="BD1182" s="60" t="s">
        <v>3530</v>
      </c>
      <c r="BG1182" s="64">
        <v>0</v>
      </c>
      <c r="BK1182" s="64">
        <v>0</v>
      </c>
      <c r="BS1182" s="64">
        <v>0</v>
      </c>
      <c r="BV1182" s="65">
        <v>38500</v>
      </c>
      <c r="BW1182" s="65">
        <v>26400</v>
      </c>
      <c r="BX1182" s="65">
        <v>44708</v>
      </c>
      <c r="BY1182" s="65">
        <v>12100</v>
      </c>
      <c r="BZ1182" s="81">
        <v>31.428571428571427</v>
      </c>
    </row>
    <row r="1183" spans="1:82" x14ac:dyDescent="0.15">
      <c r="A1183" s="60">
        <v>2</v>
      </c>
      <c r="B1183" s="61">
        <v>44719</v>
      </c>
      <c r="C1183" s="61">
        <v>44718</v>
      </c>
      <c r="D1183" s="61">
        <v>44713</v>
      </c>
      <c r="E1183" s="61">
        <v>44713</v>
      </c>
      <c r="F1183" s="61" t="s">
        <v>309</v>
      </c>
      <c r="G1183" s="61">
        <v>44713</v>
      </c>
      <c r="H1183" s="61" t="s">
        <v>309</v>
      </c>
      <c r="I1183" s="60" t="s">
        <v>766</v>
      </c>
      <c r="J1183" s="60">
        <v>2</v>
      </c>
      <c r="L1183" s="60">
        <v>0</v>
      </c>
      <c r="M1183" s="61">
        <v>44711</v>
      </c>
      <c r="O1183" s="62" t="s">
        <v>331</v>
      </c>
      <c r="P1183" s="60" t="s">
        <v>6</v>
      </c>
      <c r="Q1183" s="62" t="s">
        <v>137</v>
      </c>
      <c r="R1183" s="62" t="s">
        <v>3498</v>
      </c>
      <c r="S1183" s="63" t="s">
        <v>550</v>
      </c>
      <c r="T1183" s="63" t="s">
        <v>364</v>
      </c>
      <c r="U1183" s="64">
        <v>35000</v>
      </c>
      <c r="V1183" s="64">
        <v>38500</v>
      </c>
      <c r="W1183" s="64">
        <v>35000</v>
      </c>
      <c r="X1183" s="64">
        <v>38500</v>
      </c>
      <c r="Z1183" s="64">
        <v>0</v>
      </c>
      <c r="AA1183" s="61">
        <v>44712</v>
      </c>
      <c r="AB1183" s="61">
        <v>44712</v>
      </c>
      <c r="AD1183" s="60">
        <v>0</v>
      </c>
      <c r="AG1183" s="60">
        <v>0</v>
      </c>
      <c r="AJ1183" s="60">
        <v>0</v>
      </c>
      <c r="AN1183" s="60" t="s">
        <v>309</v>
      </c>
      <c r="AQ1183" s="60" t="s">
        <v>3501</v>
      </c>
      <c r="AR1183" s="61">
        <v>44713</v>
      </c>
      <c r="AS1183" s="60">
        <v>6002034078</v>
      </c>
      <c r="AT1183" s="61">
        <v>44715</v>
      </c>
      <c r="AU1183" s="60" t="s">
        <v>3547</v>
      </c>
      <c r="AV1183" s="61">
        <v>44718</v>
      </c>
      <c r="AW1183" s="91">
        <v>44742</v>
      </c>
      <c r="AX1183" s="91">
        <v>44762</v>
      </c>
      <c r="AY1183" s="99">
        <v>33600</v>
      </c>
      <c r="AZ1183" s="99">
        <f>ROUNDDOWN(AY1183+(AY1183*MASTER!$A$2/100),0)</f>
        <v>36960</v>
      </c>
      <c r="BA1183" s="60" t="s">
        <v>613</v>
      </c>
      <c r="BB1183" s="64">
        <v>21000</v>
      </c>
      <c r="BC1183" s="64">
        <v>23100</v>
      </c>
      <c r="BD1183" s="60" t="s">
        <v>3530</v>
      </c>
      <c r="BG1183" s="64">
        <v>0</v>
      </c>
      <c r="BK1183" s="64">
        <v>0</v>
      </c>
      <c r="BS1183" s="64">
        <v>0</v>
      </c>
      <c r="BV1183" s="65">
        <v>38500</v>
      </c>
      <c r="BW1183" s="65">
        <v>23100</v>
      </c>
      <c r="BX1183" s="65">
        <v>44711</v>
      </c>
      <c r="BY1183" s="65">
        <v>15400</v>
      </c>
      <c r="BZ1183" s="81">
        <v>40</v>
      </c>
    </row>
    <row r="1184" spans="1:82" x14ac:dyDescent="0.15">
      <c r="A1184" s="60">
        <v>1</v>
      </c>
      <c r="B1184" s="61">
        <v>44714</v>
      </c>
      <c r="C1184" s="61">
        <v>44713</v>
      </c>
      <c r="F1184" s="61" t="s">
        <v>309</v>
      </c>
      <c r="H1184" s="61" t="s">
        <v>309</v>
      </c>
      <c r="J1184" s="60">
        <v>2</v>
      </c>
      <c r="L1184" s="60">
        <v>0</v>
      </c>
      <c r="M1184" s="61">
        <v>44711</v>
      </c>
      <c r="O1184" s="62" t="s">
        <v>331</v>
      </c>
      <c r="P1184" s="60" t="s">
        <v>77</v>
      </c>
      <c r="Q1184" s="62" t="s">
        <v>137</v>
      </c>
      <c r="R1184" s="62" t="s">
        <v>3490</v>
      </c>
      <c r="S1184" s="63" t="s">
        <v>489</v>
      </c>
      <c r="T1184" s="63" t="s">
        <v>883</v>
      </c>
      <c r="U1184" s="64">
        <v>7020</v>
      </c>
      <c r="V1184" s="64">
        <v>7722</v>
      </c>
      <c r="W1184" s="64">
        <v>7020</v>
      </c>
      <c r="X1184" s="64">
        <v>7722</v>
      </c>
      <c r="Z1184" s="64">
        <v>0</v>
      </c>
      <c r="AD1184" s="60">
        <v>0</v>
      </c>
      <c r="AG1184" s="60">
        <v>0</v>
      </c>
      <c r="AJ1184" s="60">
        <v>0</v>
      </c>
      <c r="AQ1184" s="60" t="s">
        <v>3491</v>
      </c>
      <c r="AR1184" s="61">
        <v>44711</v>
      </c>
      <c r="AS1184" s="60">
        <v>6002032728</v>
      </c>
      <c r="AT1184" s="61">
        <v>44711</v>
      </c>
      <c r="AU1184" s="60" t="s">
        <v>3492</v>
      </c>
      <c r="AV1184" s="61">
        <v>44713</v>
      </c>
      <c r="AW1184" s="91">
        <v>44742</v>
      </c>
      <c r="AX1184" s="91">
        <v>44762</v>
      </c>
      <c r="AY1184" s="107">
        <v>7020</v>
      </c>
      <c r="AZ1184" s="107">
        <v>7722</v>
      </c>
      <c r="BC1184" s="64">
        <v>0</v>
      </c>
      <c r="BG1184" s="64">
        <v>0</v>
      </c>
      <c r="BK1184" s="64">
        <v>0</v>
      </c>
      <c r="BS1184" s="64">
        <v>0</v>
      </c>
      <c r="BV1184" s="65">
        <v>7722</v>
      </c>
      <c r="BW1184" s="65">
        <v>0</v>
      </c>
      <c r="BX1184" s="65">
        <v>44711</v>
      </c>
      <c r="BY1184" s="65">
        <v>7722</v>
      </c>
      <c r="BZ1184" s="81">
        <v>100</v>
      </c>
    </row>
    <row r="1185" spans="1:89" x14ac:dyDescent="0.15">
      <c r="A1185" s="60">
        <v>2</v>
      </c>
      <c r="B1185" s="61">
        <v>44754</v>
      </c>
      <c r="C1185" s="61">
        <v>44757</v>
      </c>
      <c r="D1185" s="61">
        <v>44783</v>
      </c>
      <c r="E1185" s="61">
        <v>44762</v>
      </c>
      <c r="F1185" s="61">
        <v>44764</v>
      </c>
      <c r="G1185" s="61">
        <v>44757</v>
      </c>
      <c r="H1185" s="61">
        <v>44760</v>
      </c>
      <c r="I1185" s="60" t="s">
        <v>511</v>
      </c>
      <c r="J1185" s="60">
        <v>1</v>
      </c>
      <c r="L1185" s="60">
        <v>0</v>
      </c>
      <c r="M1185" s="61">
        <v>44712</v>
      </c>
      <c r="O1185" s="62" t="s">
        <v>331</v>
      </c>
      <c r="P1185" s="60" t="s">
        <v>26</v>
      </c>
      <c r="Q1185" s="62" t="s">
        <v>137</v>
      </c>
      <c r="R1185" s="62" t="s">
        <v>3979</v>
      </c>
      <c r="S1185" s="63" t="s">
        <v>1071</v>
      </c>
      <c r="T1185" s="63" t="s">
        <v>442</v>
      </c>
      <c r="U1185" s="64">
        <v>59000</v>
      </c>
      <c r="V1185" s="64">
        <v>64900</v>
      </c>
      <c r="W1185" s="64">
        <v>47000</v>
      </c>
      <c r="X1185" s="64">
        <v>51700</v>
      </c>
      <c r="Y1185" s="64">
        <v>12000</v>
      </c>
      <c r="Z1185" s="64">
        <v>13200</v>
      </c>
      <c r="AA1185" s="61">
        <v>44752</v>
      </c>
      <c r="AB1185" s="61">
        <v>44757</v>
      </c>
      <c r="AC1185" s="61">
        <v>44757</v>
      </c>
      <c r="AD1185" s="60">
        <v>0</v>
      </c>
      <c r="AG1185" s="60">
        <v>0</v>
      </c>
      <c r="AJ1185" s="60">
        <v>0</v>
      </c>
      <c r="AM1185" s="60" t="s">
        <v>273</v>
      </c>
      <c r="AN1185" s="60" t="s">
        <v>3980</v>
      </c>
      <c r="AQ1185" s="60" t="s">
        <v>3722</v>
      </c>
      <c r="AR1185" s="61">
        <v>44734</v>
      </c>
      <c r="AS1185" s="60">
        <v>6002043743</v>
      </c>
      <c r="AT1185" s="61">
        <v>44735</v>
      </c>
      <c r="AU1185" s="60" t="s">
        <v>3735</v>
      </c>
      <c r="AV1185" s="61">
        <v>44757</v>
      </c>
      <c r="AW1185" s="91">
        <v>44773</v>
      </c>
      <c r="AX1185" s="91">
        <v>44793</v>
      </c>
      <c r="AY1185" s="99">
        <v>56640</v>
      </c>
      <c r="AZ1185" s="99">
        <f>ROUNDDOWN(AY1185+(AY1185*MASTER!$A$2/100),0)</f>
        <v>62304</v>
      </c>
      <c r="BA1185" s="60" t="s">
        <v>582</v>
      </c>
      <c r="BB1185" s="64">
        <v>62000</v>
      </c>
      <c r="BC1185" s="64">
        <v>68200</v>
      </c>
      <c r="BD1185" s="60" t="s">
        <v>3800</v>
      </c>
      <c r="BG1185" s="64">
        <v>0</v>
      </c>
      <c r="BI1185" s="60" t="s">
        <v>748</v>
      </c>
      <c r="BJ1185" s="64">
        <v>7800</v>
      </c>
      <c r="BK1185" s="64">
        <v>8580</v>
      </c>
      <c r="BL1185" s="60" t="s">
        <v>3800</v>
      </c>
      <c r="BS1185" s="64">
        <v>0</v>
      </c>
      <c r="BV1185" s="65">
        <v>51700</v>
      </c>
      <c r="BW1185" s="65">
        <v>76780</v>
      </c>
      <c r="BX1185" s="65">
        <v>44712</v>
      </c>
      <c r="BY1185" s="65">
        <v>-25080</v>
      </c>
      <c r="BZ1185" s="81">
        <v>-48.51063829787234</v>
      </c>
    </row>
    <row r="1186" spans="1:89" x14ac:dyDescent="0.15">
      <c r="A1186" s="60">
        <v>2</v>
      </c>
      <c r="B1186" s="61">
        <v>44746</v>
      </c>
      <c r="C1186" s="61">
        <v>44749</v>
      </c>
      <c r="D1186" s="61" t="s">
        <v>764</v>
      </c>
      <c r="E1186" s="61">
        <v>44762</v>
      </c>
      <c r="F1186" s="61">
        <v>44756</v>
      </c>
      <c r="G1186" s="61">
        <v>44749</v>
      </c>
      <c r="H1186" s="61">
        <v>44752</v>
      </c>
      <c r="I1186" s="60" t="s">
        <v>511</v>
      </c>
      <c r="J1186" s="60">
        <v>1</v>
      </c>
      <c r="L1186" s="60">
        <v>0</v>
      </c>
      <c r="M1186" s="61">
        <v>44712</v>
      </c>
      <c r="O1186" s="62" t="s">
        <v>331</v>
      </c>
      <c r="P1186" s="60" t="s">
        <v>26</v>
      </c>
      <c r="Q1186" s="62" t="s">
        <v>137</v>
      </c>
      <c r="R1186" s="62" t="s">
        <v>3605</v>
      </c>
      <c r="S1186" s="63" t="s">
        <v>1259</v>
      </c>
      <c r="T1186" s="63" t="s">
        <v>3606</v>
      </c>
      <c r="U1186" s="64">
        <v>23900</v>
      </c>
      <c r="V1186" s="64">
        <v>26290</v>
      </c>
      <c r="W1186" s="64">
        <v>14700</v>
      </c>
      <c r="X1186" s="64">
        <v>16170</v>
      </c>
      <c r="Y1186" s="64">
        <v>9200</v>
      </c>
      <c r="Z1186" s="64">
        <v>10120</v>
      </c>
      <c r="AA1186" s="61">
        <v>44748</v>
      </c>
      <c r="AB1186" s="61">
        <v>44749</v>
      </c>
      <c r="AC1186" s="61">
        <v>44749</v>
      </c>
      <c r="AD1186" s="60">
        <v>0</v>
      </c>
      <c r="AG1186" s="60">
        <v>0</v>
      </c>
      <c r="AJ1186" s="60">
        <v>0</v>
      </c>
      <c r="AM1186" s="60" t="s">
        <v>273</v>
      </c>
      <c r="AN1186" s="60" t="s">
        <v>3607</v>
      </c>
      <c r="AQ1186" s="60" t="s">
        <v>3896</v>
      </c>
      <c r="AR1186" s="61">
        <v>44725</v>
      </c>
      <c r="AS1186" s="60">
        <v>6002039330</v>
      </c>
      <c r="AT1186" s="61">
        <v>44727</v>
      </c>
      <c r="AU1186" s="60" t="s">
        <v>3640</v>
      </c>
      <c r="AV1186" s="61">
        <v>44749</v>
      </c>
      <c r="AW1186" s="91">
        <v>44773</v>
      </c>
      <c r="AX1186" s="91">
        <v>44793</v>
      </c>
      <c r="AY1186" s="99">
        <v>22944</v>
      </c>
      <c r="AZ1186" s="99">
        <f>ROUNDDOWN(AY1186+(AY1186*MASTER!$A$2/100),0)</f>
        <v>25238</v>
      </c>
      <c r="BA1186" s="60" t="s">
        <v>765</v>
      </c>
      <c r="BC1186" s="64">
        <v>0</v>
      </c>
      <c r="BG1186" s="64">
        <v>0</v>
      </c>
      <c r="BI1186" s="60" t="s">
        <v>748</v>
      </c>
      <c r="BJ1186" s="64">
        <v>5980</v>
      </c>
      <c r="BK1186" s="64">
        <v>6578</v>
      </c>
      <c r="BL1186" s="60" t="s">
        <v>3885</v>
      </c>
      <c r="BS1186" s="64">
        <v>0</v>
      </c>
      <c r="BV1186" s="65">
        <v>16170</v>
      </c>
      <c r="BW1186" s="65">
        <v>6578</v>
      </c>
      <c r="BX1186" s="65">
        <v>44712</v>
      </c>
      <c r="BY1186" s="65">
        <v>9592</v>
      </c>
      <c r="BZ1186" s="81">
        <v>59.319727891156461</v>
      </c>
    </row>
    <row r="1187" spans="1:89" s="152" customFormat="1" x14ac:dyDescent="0.15">
      <c r="A1187" s="142">
        <v>3</v>
      </c>
      <c r="B1187" s="143"/>
      <c r="C1187" s="143" t="s">
        <v>309</v>
      </c>
      <c r="D1187" s="143"/>
      <c r="E1187" s="143"/>
      <c r="F1187" s="143" t="s">
        <v>309</v>
      </c>
      <c r="G1187" s="143"/>
      <c r="H1187" s="143" t="s">
        <v>309</v>
      </c>
      <c r="I1187" s="142"/>
      <c r="J1187" s="142">
        <v>2</v>
      </c>
      <c r="K1187" s="143"/>
      <c r="L1187" s="142">
        <v>0</v>
      </c>
      <c r="M1187" s="143">
        <v>44713</v>
      </c>
      <c r="N1187" s="143"/>
      <c r="O1187" s="144" t="s">
        <v>331</v>
      </c>
      <c r="P1187" s="142" t="s">
        <v>26</v>
      </c>
      <c r="Q1187" s="144" t="s">
        <v>138</v>
      </c>
      <c r="R1187" s="144" t="s">
        <v>3680</v>
      </c>
      <c r="S1187" s="145" t="s">
        <v>354</v>
      </c>
      <c r="T1187" s="145" t="s">
        <v>3681</v>
      </c>
      <c r="U1187" s="146">
        <v>32000</v>
      </c>
      <c r="V1187" s="146">
        <v>35200</v>
      </c>
      <c r="W1187" s="146">
        <v>32000</v>
      </c>
      <c r="X1187" s="146">
        <v>35200</v>
      </c>
      <c r="Y1187" s="146">
        <v>0</v>
      </c>
      <c r="Z1187" s="146">
        <v>0</v>
      </c>
      <c r="AA1187" s="143">
        <v>44704</v>
      </c>
      <c r="AB1187" s="143">
        <v>44708</v>
      </c>
      <c r="AC1187" s="143"/>
      <c r="AD1187" s="142">
        <v>0</v>
      </c>
      <c r="AE1187" s="142"/>
      <c r="AF1187" s="142"/>
      <c r="AG1187" s="142">
        <v>0</v>
      </c>
      <c r="AH1187" s="142"/>
      <c r="AI1187" s="142"/>
      <c r="AJ1187" s="142">
        <v>0</v>
      </c>
      <c r="AK1187" s="142"/>
      <c r="AL1187" s="142"/>
      <c r="AM1187" s="142"/>
      <c r="AN1187" s="142" t="s">
        <v>309</v>
      </c>
      <c r="AO1187" s="143"/>
      <c r="AP1187" s="142"/>
      <c r="AQ1187" s="142"/>
      <c r="AR1187" s="143"/>
      <c r="AS1187" s="142"/>
      <c r="AT1187" s="143"/>
      <c r="AU1187" s="142"/>
      <c r="AV1187" s="143"/>
      <c r="AW1187" s="147"/>
      <c r="AX1187" s="147"/>
      <c r="AY1187" s="154">
        <v>32000</v>
      </c>
      <c r="AZ1187" s="154">
        <v>35200</v>
      </c>
      <c r="BA1187" s="142"/>
      <c r="BB1187" s="146"/>
      <c r="BC1187" s="146">
        <v>0</v>
      </c>
      <c r="BD1187" s="142"/>
      <c r="BE1187" s="142"/>
      <c r="BF1187" s="146"/>
      <c r="BG1187" s="146">
        <v>0</v>
      </c>
      <c r="BH1187" s="142"/>
      <c r="BI1187" s="142"/>
      <c r="BJ1187" s="146"/>
      <c r="BK1187" s="146">
        <v>0</v>
      </c>
      <c r="BL1187" s="142"/>
      <c r="BM1187" s="146"/>
      <c r="BN1187" s="146"/>
      <c r="BO1187" s="146"/>
      <c r="BP1187" s="146"/>
      <c r="BQ1187" s="146"/>
      <c r="BR1187" s="146"/>
      <c r="BS1187" s="146">
        <v>0</v>
      </c>
      <c r="BT1187" s="149"/>
      <c r="BU1187" s="149"/>
      <c r="BV1187" s="150">
        <v>35200</v>
      </c>
      <c r="BW1187" s="150">
        <v>0</v>
      </c>
      <c r="BX1187" s="150">
        <v>44713</v>
      </c>
      <c r="BY1187" s="150">
        <v>35200</v>
      </c>
      <c r="BZ1187" s="151">
        <v>100</v>
      </c>
      <c r="CA1187" s="142"/>
      <c r="CB1187" s="142"/>
      <c r="CC1187" s="142"/>
      <c r="CD1187" s="145" t="s">
        <v>3682</v>
      </c>
      <c r="CE1187" s="143"/>
      <c r="CF1187" s="143"/>
      <c r="CG1187" s="143"/>
      <c r="CH1187" s="143"/>
      <c r="CI1187" s="143"/>
      <c r="CJ1187" s="143"/>
      <c r="CK1187" s="146"/>
    </row>
    <row r="1188" spans="1:89" x14ac:dyDescent="0.15">
      <c r="A1188" s="60">
        <v>1</v>
      </c>
      <c r="B1188" s="61">
        <v>44727</v>
      </c>
      <c r="C1188" s="61">
        <v>44736</v>
      </c>
      <c r="F1188" s="61" t="s">
        <v>309</v>
      </c>
      <c r="H1188" s="61" t="s">
        <v>309</v>
      </c>
      <c r="J1188" s="60">
        <v>2</v>
      </c>
      <c r="L1188" s="60">
        <v>0</v>
      </c>
      <c r="M1188" s="61">
        <v>44713</v>
      </c>
      <c r="O1188" s="62" t="s">
        <v>331</v>
      </c>
      <c r="P1188" s="60" t="s">
        <v>262</v>
      </c>
      <c r="Q1188" s="62" t="s">
        <v>138</v>
      </c>
      <c r="R1188" s="62" t="s">
        <v>3503</v>
      </c>
      <c r="S1188" s="63" t="s">
        <v>326</v>
      </c>
      <c r="T1188" s="63" t="s">
        <v>3504</v>
      </c>
      <c r="U1188" s="64">
        <v>438000</v>
      </c>
      <c r="V1188" s="64">
        <v>481800</v>
      </c>
      <c r="W1188" s="64">
        <v>438000</v>
      </c>
      <c r="X1188" s="64">
        <v>481800</v>
      </c>
      <c r="Y1188" s="64">
        <v>0</v>
      </c>
      <c r="Z1188" s="64">
        <v>0</v>
      </c>
      <c r="AA1188" s="61">
        <v>44713</v>
      </c>
      <c r="AB1188" s="61">
        <v>44742</v>
      </c>
      <c r="AD1188" s="60">
        <v>0</v>
      </c>
      <c r="AG1188" s="60">
        <v>0</v>
      </c>
      <c r="AJ1188" s="60">
        <v>0</v>
      </c>
      <c r="AQ1188" s="60" t="s">
        <v>3579</v>
      </c>
      <c r="AR1188" s="61">
        <v>44720</v>
      </c>
      <c r="AS1188" s="60">
        <v>6002037361</v>
      </c>
      <c r="AT1188" s="61">
        <v>44725</v>
      </c>
      <c r="AU1188" s="60" t="s">
        <v>3616</v>
      </c>
      <c r="AV1188" s="61">
        <v>44736</v>
      </c>
      <c r="AW1188" s="91">
        <v>44742</v>
      </c>
      <c r="AX1188" s="91">
        <v>44762</v>
      </c>
      <c r="AY1188" s="107">
        <v>438000</v>
      </c>
      <c r="AZ1188" s="99">
        <f>ROUNDDOWN(AY1188+(AY1188*MASTER!$A$2/100),0)</f>
        <v>481800</v>
      </c>
      <c r="BC1188" s="64">
        <v>0</v>
      </c>
      <c r="BG1188" s="64">
        <v>0</v>
      </c>
      <c r="BK1188" s="64">
        <v>0</v>
      </c>
      <c r="BS1188" s="64">
        <v>0</v>
      </c>
      <c r="BV1188" s="65">
        <v>481800</v>
      </c>
      <c r="BW1188" s="65">
        <v>0</v>
      </c>
      <c r="BX1188" s="65">
        <v>44713</v>
      </c>
      <c r="BY1188" s="65">
        <v>481800</v>
      </c>
      <c r="BZ1188" s="81">
        <v>100</v>
      </c>
    </row>
    <row r="1189" spans="1:89" x14ac:dyDescent="0.15">
      <c r="A1189" s="60">
        <v>1</v>
      </c>
      <c r="B1189" s="61">
        <v>44727</v>
      </c>
      <c r="C1189" s="61">
        <v>44736</v>
      </c>
      <c r="F1189" s="61" t="s">
        <v>309</v>
      </c>
      <c r="H1189" s="61" t="s">
        <v>309</v>
      </c>
      <c r="J1189" s="60">
        <v>2</v>
      </c>
      <c r="L1189" s="60">
        <v>0</v>
      </c>
      <c r="M1189" s="61">
        <v>44713</v>
      </c>
      <c r="O1189" s="62" t="s">
        <v>331</v>
      </c>
      <c r="P1189" s="60" t="s">
        <v>262</v>
      </c>
      <c r="Q1189" s="62" t="s">
        <v>138</v>
      </c>
      <c r="R1189" s="62" t="s">
        <v>3505</v>
      </c>
      <c r="S1189" s="63" t="s">
        <v>326</v>
      </c>
      <c r="T1189" s="63" t="s">
        <v>3506</v>
      </c>
      <c r="U1189" s="64">
        <v>438000</v>
      </c>
      <c r="V1189" s="64">
        <v>481800</v>
      </c>
      <c r="W1189" s="64">
        <v>438000</v>
      </c>
      <c r="X1189" s="64">
        <v>481800</v>
      </c>
      <c r="Y1189" s="64">
        <v>0</v>
      </c>
      <c r="Z1189" s="64">
        <v>0</v>
      </c>
      <c r="AA1189" s="61">
        <v>44713</v>
      </c>
      <c r="AB1189" s="61">
        <v>44742</v>
      </c>
      <c r="AD1189" s="60">
        <v>0</v>
      </c>
      <c r="AG1189" s="60">
        <v>0</v>
      </c>
      <c r="AJ1189" s="60">
        <v>0</v>
      </c>
      <c r="AQ1189" s="60" t="s">
        <v>3579</v>
      </c>
      <c r="AR1189" s="61">
        <v>44720</v>
      </c>
      <c r="AS1189" s="60">
        <v>6002037361</v>
      </c>
      <c r="AT1189" s="61">
        <v>44725</v>
      </c>
      <c r="AU1189" s="60" t="s">
        <v>3616</v>
      </c>
      <c r="AV1189" s="61">
        <v>44736</v>
      </c>
      <c r="AW1189" s="91">
        <v>44742</v>
      </c>
      <c r="AX1189" s="91">
        <v>44762</v>
      </c>
      <c r="AY1189" s="107">
        <v>438000</v>
      </c>
      <c r="AZ1189" s="99">
        <f>ROUNDDOWN(AY1189+(AY1189*MASTER!$A$2/100),0)</f>
        <v>481800</v>
      </c>
      <c r="BC1189" s="64">
        <v>0</v>
      </c>
      <c r="BG1189" s="64">
        <v>0</v>
      </c>
      <c r="BK1189" s="64">
        <v>0</v>
      </c>
      <c r="BS1189" s="64">
        <v>0</v>
      </c>
      <c r="BV1189" s="65">
        <v>481800</v>
      </c>
      <c r="BW1189" s="65">
        <v>0</v>
      </c>
      <c r="BX1189" s="65">
        <v>44713</v>
      </c>
      <c r="BY1189" s="65">
        <v>481800</v>
      </c>
      <c r="BZ1189" s="81">
        <v>100</v>
      </c>
    </row>
    <row r="1190" spans="1:89" x14ac:dyDescent="0.15">
      <c r="A1190" s="60">
        <v>1</v>
      </c>
      <c r="B1190" s="61">
        <v>44727</v>
      </c>
      <c r="C1190" s="61">
        <v>44736</v>
      </c>
      <c r="F1190" s="61" t="s">
        <v>309</v>
      </c>
      <c r="H1190" s="61" t="s">
        <v>309</v>
      </c>
      <c r="J1190" s="60">
        <v>2</v>
      </c>
      <c r="L1190" s="60">
        <v>0</v>
      </c>
      <c r="M1190" s="61">
        <v>44713</v>
      </c>
      <c r="O1190" s="62" t="s">
        <v>331</v>
      </c>
      <c r="P1190" s="60" t="s">
        <v>262</v>
      </c>
      <c r="Q1190" s="62" t="s">
        <v>138</v>
      </c>
      <c r="R1190" s="62" t="s">
        <v>3507</v>
      </c>
      <c r="S1190" s="63" t="s">
        <v>326</v>
      </c>
      <c r="T1190" s="63" t="s">
        <v>3508</v>
      </c>
      <c r="U1190" s="64">
        <v>262000</v>
      </c>
      <c r="V1190" s="64">
        <v>288200</v>
      </c>
      <c r="W1190" s="64">
        <v>262000</v>
      </c>
      <c r="X1190" s="64">
        <v>288200</v>
      </c>
      <c r="Y1190" s="64">
        <v>0</v>
      </c>
      <c r="Z1190" s="64">
        <v>0</v>
      </c>
      <c r="AA1190" s="61">
        <v>44713</v>
      </c>
      <c r="AB1190" s="61">
        <v>44742</v>
      </c>
      <c r="AD1190" s="60">
        <v>0</v>
      </c>
      <c r="AG1190" s="60">
        <v>0</v>
      </c>
      <c r="AJ1190" s="60">
        <v>0</v>
      </c>
      <c r="AQ1190" s="60" t="s">
        <v>3579</v>
      </c>
      <c r="AR1190" s="61">
        <v>44720</v>
      </c>
      <c r="AS1190" s="60">
        <v>6002037361</v>
      </c>
      <c r="AT1190" s="61">
        <v>44725</v>
      </c>
      <c r="AU1190" s="60" t="s">
        <v>3616</v>
      </c>
      <c r="AV1190" s="61">
        <v>44736</v>
      </c>
      <c r="AW1190" s="91">
        <v>44742</v>
      </c>
      <c r="AX1190" s="91">
        <v>44762</v>
      </c>
      <c r="AY1190" s="107">
        <v>262000</v>
      </c>
      <c r="AZ1190" s="99">
        <f>ROUNDDOWN(AY1190+(AY1190*MASTER!$A$2/100),0)</f>
        <v>288200</v>
      </c>
      <c r="BC1190" s="64">
        <v>0</v>
      </c>
      <c r="BG1190" s="64">
        <v>0</v>
      </c>
      <c r="BK1190" s="64">
        <v>0</v>
      </c>
      <c r="BS1190" s="64">
        <v>0</v>
      </c>
      <c r="BV1190" s="65">
        <v>288200</v>
      </c>
      <c r="BW1190" s="65">
        <v>0</v>
      </c>
      <c r="BX1190" s="65">
        <v>44713</v>
      </c>
      <c r="BY1190" s="65">
        <v>288200</v>
      </c>
      <c r="BZ1190" s="81">
        <v>100</v>
      </c>
    </row>
    <row r="1191" spans="1:89" x14ac:dyDescent="0.15">
      <c r="A1191" s="60">
        <v>1</v>
      </c>
      <c r="B1191" s="61">
        <v>44727</v>
      </c>
      <c r="C1191" s="61">
        <v>44736</v>
      </c>
      <c r="F1191" s="61" t="s">
        <v>309</v>
      </c>
      <c r="H1191" s="61" t="s">
        <v>309</v>
      </c>
      <c r="J1191" s="60">
        <v>2</v>
      </c>
      <c r="L1191" s="60">
        <v>0</v>
      </c>
      <c r="M1191" s="61">
        <v>44713</v>
      </c>
      <c r="O1191" s="62" t="s">
        <v>331</v>
      </c>
      <c r="P1191" s="60" t="s">
        <v>260</v>
      </c>
      <c r="Q1191" s="62" t="s">
        <v>138</v>
      </c>
      <c r="R1191" s="62" t="s">
        <v>3509</v>
      </c>
      <c r="S1191" s="63" t="s">
        <v>417</v>
      </c>
      <c r="T1191" s="63" t="s">
        <v>3510</v>
      </c>
      <c r="U1191" s="64">
        <v>66000</v>
      </c>
      <c r="V1191" s="64">
        <v>72600</v>
      </c>
      <c r="W1191" s="64">
        <v>66000</v>
      </c>
      <c r="X1191" s="64">
        <v>72600</v>
      </c>
      <c r="Y1191" s="64">
        <v>0</v>
      </c>
      <c r="Z1191" s="64">
        <v>0</v>
      </c>
      <c r="AA1191" s="61">
        <v>44713</v>
      </c>
      <c r="AB1191" s="61">
        <v>44742</v>
      </c>
      <c r="AD1191" s="60">
        <v>0</v>
      </c>
      <c r="AG1191" s="60">
        <v>0</v>
      </c>
      <c r="AJ1191" s="60">
        <v>0</v>
      </c>
      <c r="AQ1191" s="60" t="s">
        <v>3641</v>
      </c>
      <c r="AR1191" s="61">
        <v>44721</v>
      </c>
      <c r="AS1191" s="60">
        <v>6002038201</v>
      </c>
      <c r="AT1191" s="61">
        <v>44725</v>
      </c>
      <c r="AU1191" s="60" t="s">
        <v>3615</v>
      </c>
      <c r="AV1191" s="61">
        <v>44736</v>
      </c>
      <c r="AW1191" s="91">
        <v>44742</v>
      </c>
      <c r="AX1191" s="91">
        <v>44762</v>
      </c>
      <c r="AY1191" s="107">
        <v>66000</v>
      </c>
      <c r="AZ1191" s="99">
        <f>ROUNDDOWN(AY1191+(AY1191*MASTER!$A$2/100),0)</f>
        <v>72600</v>
      </c>
      <c r="BC1191" s="64">
        <v>0</v>
      </c>
      <c r="BG1191" s="64">
        <v>0</v>
      </c>
      <c r="BK1191" s="64">
        <v>0</v>
      </c>
      <c r="BS1191" s="64">
        <v>0</v>
      </c>
      <c r="BV1191" s="65">
        <v>72600</v>
      </c>
      <c r="BW1191" s="65">
        <v>0</v>
      </c>
      <c r="BX1191" s="65">
        <v>44713</v>
      </c>
      <c r="BY1191" s="65">
        <v>72600</v>
      </c>
      <c r="BZ1191" s="81">
        <v>100</v>
      </c>
    </row>
    <row r="1192" spans="1:89" x14ac:dyDescent="0.15">
      <c r="A1192" s="60">
        <v>2</v>
      </c>
      <c r="B1192" s="61">
        <v>44756</v>
      </c>
      <c r="C1192" s="61">
        <v>44771</v>
      </c>
      <c r="D1192" s="61">
        <v>44780</v>
      </c>
      <c r="E1192" s="61">
        <v>44769</v>
      </c>
      <c r="F1192" s="61">
        <v>44766</v>
      </c>
      <c r="G1192" s="61">
        <v>44761</v>
      </c>
      <c r="H1192" s="61">
        <v>44762</v>
      </c>
      <c r="I1192" s="60" t="s">
        <v>511</v>
      </c>
      <c r="J1192" s="60">
        <v>1</v>
      </c>
      <c r="L1192" s="60">
        <v>0</v>
      </c>
      <c r="M1192" s="61">
        <v>44713</v>
      </c>
      <c r="O1192" s="62" t="s">
        <v>331</v>
      </c>
      <c r="P1192" s="60" t="s">
        <v>26</v>
      </c>
      <c r="Q1192" s="62" t="s">
        <v>138</v>
      </c>
      <c r="R1192" s="62" t="s">
        <v>4011</v>
      </c>
      <c r="S1192" s="63" t="s">
        <v>1915</v>
      </c>
      <c r="T1192" s="63" t="s">
        <v>340</v>
      </c>
      <c r="U1192" s="64">
        <v>84000</v>
      </c>
      <c r="V1192" s="64">
        <v>92400</v>
      </c>
      <c r="W1192" s="64">
        <v>68000</v>
      </c>
      <c r="X1192" s="64">
        <v>74800</v>
      </c>
      <c r="Y1192" s="64">
        <v>16000</v>
      </c>
      <c r="Z1192" s="64">
        <v>17600</v>
      </c>
      <c r="AA1192" s="61">
        <v>44758</v>
      </c>
      <c r="AB1192" s="61">
        <v>44759</v>
      </c>
      <c r="AC1192" s="61">
        <v>44759</v>
      </c>
      <c r="AD1192" s="60">
        <v>0</v>
      </c>
      <c r="AG1192" s="60">
        <v>0</v>
      </c>
      <c r="AJ1192" s="60">
        <v>0</v>
      </c>
      <c r="AQ1192" s="60" t="s">
        <v>3559</v>
      </c>
      <c r="AR1192" s="61">
        <v>44719</v>
      </c>
      <c r="AS1192" s="60">
        <v>6002036654</v>
      </c>
      <c r="AT1192" s="61">
        <v>44720</v>
      </c>
      <c r="AU1192" s="60" t="s">
        <v>3588</v>
      </c>
      <c r="AV1192" s="61">
        <v>44771</v>
      </c>
      <c r="AW1192" s="91">
        <v>44773</v>
      </c>
      <c r="AX1192" s="91">
        <v>44793</v>
      </c>
      <c r="AY1192" s="99">
        <v>80640</v>
      </c>
      <c r="AZ1192" s="99">
        <f>ROUNDDOWN(AY1192+(AY1192*MASTER!$A$2/100),0)</f>
        <v>88704</v>
      </c>
      <c r="BA1192" s="60" t="s">
        <v>613</v>
      </c>
      <c r="BB1192" s="64">
        <v>25000</v>
      </c>
      <c r="BC1192" s="64">
        <v>27500</v>
      </c>
      <c r="BD1192" s="60" t="s">
        <v>3800</v>
      </c>
      <c r="BG1192" s="64">
        <v>0</v>
      </c>
      <c r="BK1192" s="64">
        <v>0</v>
      </c>
      <c r="BS1192" s="64">
        <v>0</v>
      </c>
      <c r="BV1192" s="65">
        <v>74800</v>
      </c>
      <c r="BW1192" s="65">
        <v>27500</v>
      </c>
      <c r="BX1192" s="65">
        <v>44713</v>
      </c>
      <c r="BY1192" s="65">
        <v>47300</v>
      </c>
      <c r="BZ1192" s="81">
        <v>63.235294117647058</v>
      </c>
    </row>
    <row r="1193" spans="1:89" x14ac:dyDescent="0.15">
      <c r="A1193" s="60">
        <v>2</v>
      </c>
      <c r="B1193" s="61">
        <v>44747</v>
      </c>
      <c r="C1193" s="61">
        <v>44771</v>
      </c>
      <c r="D1193" s="61">
        <v>44783</v>
      </c>
      <c r="E1193" s="61">
        <v>44769</v>
      </c>
      <c r="F1193" s="61">
        <v>44772</v>
      </c>
      <c r="G1193" s="61">
        <v>44768</v>
      </c>
      <c r="H1193" s="61">
        <v>44768</v>
      </c>
      <c r="I1193" s="60" t="s">
        <v>4010</v>
      </c>
      <c r="J1193" s="60">
        <v>1</v>
      </c>
      <c r="L1193" s="60">
        <v>0</v>
      </c>
      <c r="M1193" s="61">
        <v>44713</v>
      </c>
      <c r="O1193" s="62" t="s">
        <v>331</v>
      </c>
      <c r="P1193" s="60" t="s">
        <v>26</v>
      </c>
      <c r="Q1193" s="62" t="s">
        <v>138</v>
      </c>
      <c r="R1193" s="62" t="s">
        <v>3912</v>
      </c>
      <c r="S1193" s="63" t="s">
        <v>2376</v>
      </c>
      <c r="T1193" s="63" t="s">
        <v>485</v>
      </c>
      <c r="U1193" s="64">
        <v>95000</v>
      </c>
      <c r="V1193" s="64">
        <v>104500</v>
      </c>
      <c r="W1193" s="64">
        <v>80000</v>
      </c>
      <c r="X1193" s="64">
        <v>88000</v>
      </c>
      <c r="Y1193" s="64">
        <v>15000</v>
      </c>
      <c r="Z1193" s="64">
        <v>16500</v>
      </c>
      <c r="AA1193" s="61">
        <v>44764</v>
      </c>
      <c r="AB1193" s="61">
        <v>44765</v>
      </c>
      <c r="AC1193" s="61">
        <v>44765</v>
      </c>
      <c r="AD1193" s="60">
        <v>0</v>
      </c>
      <c r="AG1193" s="60">
        <v>0</v>
      </c>
      <c r="AJ1193" s="60">
        <v>0</v>
      </c>
      <c r="AQ1193" s="60" t="s">
        <v>3561</v>
      </c>
      <c r="AR1193" s="61">
        <v>44719</v>
      </c>
      <c r="AS1193" s="60">
        <v>6002036654</v>
      </c>
      <c r="AT1193" s="61">
        <v>44720</v>
      </c>
      <c r="AU1193" s="60" t="s">
        <v>3588</v>
      </c>
      <c r="AV1193" s="61">
        <v>44771</v>
      </c>
      <c r="AW1193" s="91">
        <v>44773</v>
      </c>
      <c r="AX1193" s="91">
        <v>44793</v>
      </c>
      <c r="AY1193" s="99">
        <v>91200</v>
      </c>
      <c r="AZ1193" s="99">
        <f>ROUNDDOWN(AY1193+(AY1193*MASTER!$A$2/100),0)</f>
        <v>100320</v>
      </c>
      <c r="BA1193" s="60" t="s">
        <v>314</v>
      </c>
      <c r="BB1193" s="64">
        <v>21000</v>
      </c>
      <c r="BC1193" s="64">
        <v>23100</v>
      </c>
      <c r="BD1193" s="60" t="s">
        <v>3800</v>
      </c>
      <c r="BG1193" s="64">
        <v>0</v>
      </c>
      <c r="BI1193" s="60" t="s">
        <v>748</v>
      </c>
      <c r="BJ1193" s="64">
        <v>9750</v>
      </c>
      <c r="BK1193" s="64">
        <v>10725</v>
      </c>
      <c r="BL1193" s="60" t="s">
        <v>3800</v>
      </c>
      <c r="BS1193" s="64">
        <v>0</v>
      </c>
      <c r="BV1193" s="65">
        <v>88000</v>
      </c>
      <c r="BW1193" s="65">
        <v>33825</v>
      </c>
      <c r="BX1193" s="65">
        <v>44713</v>
      </c>
      <c r="BY1193" s="65">
        <v>54175</v>
      </c>
      <c r="BZ1193" s="81">
        <v>61.5625</v>
      </c>
    </row>
    <row r="1194" spans="1:89" x14ac:dyDescent="0.15">
      <c r="A1194" s="60">
        <v>2</v>
      </c>
      <c r="B1194" s="61">
        <v>44746</v>
      </c>
      <c r="C1194" s="61">
        <v>44771</v>
      </c>
      <c r="D1194" s="61">
        <v>44780</v>
      </c>
      <c r="F1194" s="61" t="s">
        <v>309</v>
      </c>
      <c r="H1194" s="61" t="s">
        <v>309</v>
      </c>
      <c r="I1194" s="60" t="s">
        <v>1630</v>
      </c>
      <c r="J1194" s="60">
        <v>2</v>
      </c>
      <c r="L1194" s="60">
        <v>0</v>
      </c>
      <c r="M1194" s="61">
        <v>44713</v>
      </c>
      <c r="O1194" s="62" t="s">
        <v>331</v>
      </c>
      <c r="P1194" s="60" t="s">
        <v>77</v>
      </c>
      <c r="Q1194" s="62" t="s">
        <v>138</v>
      </c>
      <c r="R1194" s="62" t="s">
        <v>3908</v>
      </c>
      <c r="S1194" s="63" t="s">
        <v>1526</v>
      </c>
      <c r="T1194" s="63" t="s">
        <v>3046</v>
      </c>
      <c r="U1194" s="64">
        <v>65000</v>
      </c>
      <c r="V1194" s="64">
        <v>71500</v>
      </c>
      <c r="W1194" s="64">
        <v>65000</v>
      </c>
      <c r="X1194" s="64">
        <v>71500</v>
      </c>
      <c r="Y1194" s="64">
        <v>0</v>
      </c>
      <c r="Z1194" s="64">
        <v>0</v>
      </c>
      <c r="AA1194" s="61">
        <v>44767</v>
      </c>
      <c r="AB1194" s="61">
        <v>44768</v>
      </c>
      <c r="AD1194" s="60">
        <v>0</v>
      </c>
      <c r="AG1194" s="60">
        <v>0</v>
      </c>
      <c r="AJ1194" s="60">
        <v>0</v>
      </c>
      <c r="AQ1194" s="60" t="s">
        <v>3562</v>
      </c>
      <c r="AR1194" s="61">
        <v>44719</v>
      </c>
      <c r="AS1194" s="60">
        <v>6002036654</v>
      </c>
      <c r="AT1194" s="61">
        <v>44720</v>
      </c>
      <c r="AU1194" s="60" t="s">
        <v>3588</v>
      </c>
      <c r="AV1194" s="61">
        <v>44771</v>
      </c>
      <c r="AW1194" s="91">
        <v>44773</v>
      </c>
      <c r="AX1194" s="91">
        <v>44793</v>
      </c>
      <c r="AY1194" s="107">
        <v>65000</v>
      </c>
      <c r="AZ1194" s="99">
        <f>ROUNDDOWN(AY1194+(AY1194*MASTER!$A$2/100),0)</f>
        <v>71500</v>
      </c>
      <c r="BA1194" s="60" t="s">
        <v>107</v>
      </c>
      <c r="BC1194" s="64">
        <v>0</v>
      </c>
      <c r="BG1194" s="64">
        <v>0</v>
      </c>
      <c r="BK1194" s="64">
        <v>0</v>
      </c>
      <c r="BS1194" s="64">
        <v>0</v>
      </c>
      <c r="BV1194" s="65">
        <v>71500</v>
      </c>
      <c r="BW1194" s="65">
        <v>0</v>
      </c>
      <c r="BX1194" s="65">
        <v>44713</v>
      </c>
      <c r="BY1194" s="65">
        <v>71500</v>
      </c>
      <c r="BZ1194" s="81">
        <v>100</v>
      </c>
    </row>
    <row r="1195" spans="1:89" x14ac:dyDescent="0.15">
      <c r="A1195" s="60">
        <v>2</v>
      </c>
      <c r="B1195" s="61">
        <v>44722</v>
      </c>
      <c r="C1195" s="61">
        <v>44727</v>
      </c>
      <c r="D1195" s="61">
        <v>44750</v>
      </c>
      <c r="E1195" s="61">
        <v>44727</v>
      </c>
      <c r="F1195" s="61">
        <v>44734</v>
      </c>
      <c r="G1195" s="61">
        <v>44727</v>
      </c>
      <c r="H1195" s="61">
        <v>44730</v>
      </c>
      <c r="I1195" s="60" t="s">
        <v>511</v>
      </c>
      <c r="J1195" s="60">
        <v>2</v>
      </c>
      <c r="L1195" s="60">
        <v>0</v>
      </c>
      <c r="M1195" s="61">
        <v>44714</v>
      </c>
      <c r="O1195" s="62" t="s">
        <v>331</v>
      </c>
      <c r="P1195" s="60" t="s">
        <v>26</v>
      </c>
      <c r="Q1195" s="62" t="s">
        <v>138</v>
      </c>
      <c r="R1195" s="62" t="s">
        <v>3594</v>
      </c>
      <c r="S1195" s="63" t="s">
        <v>484</v>
      </c>
      <c r="T1195" s="63" t="s">
        <v>3595</v>
      </c>
      <c r="U1195" s="64">
        <v>47000</v>
      </c>
      <c r="V1195" s="64">
        <v>51700</v>
      </c>
      <c r="W1195" s="64">
        <v>47000</v>
      </c>
      <c r="X1195" s="64">
        <v>51700</v>
      </c>
      <c r="Z1195" s="64">
        <v>0</v>
      </c>
      <c r="AA1195" s="61">
        <v>44726</v>
      </c>
      <c r="AB1195" s="61">
        <v>44727</v>
      </c>
      <c r="AC1195" s="61">
        <v>44727</v>
      </c>
      <c r="AD1195" s="60">
        <v>0</v>
      </c>
      <c r="AG1195" s="60">
        <v>0</v>
      </c>
      <c r="AJ1195" s="60">
        <v>0</v>
      </c>
      <c r="AM1195" s="60" t="s">
        <v>273</v>
      </c>
      <c r="AN1195" s="60" t="s">
        <v>2899</v>
      </c>
      <c r="AQ1195" s="60" t="s">
        <v>3565</v>
      </c>
      <c r="AR1195" s="61">
        <v>44719</v>
      </c>
      <c r="AS1195" s="60">
        <v>6002036654</v>
      </c>
      <c r="AT1195" s="61">
        <v>44720</v>
      </c>
      <c r="AU1195" s="60" t="s">
        <v>3588</v>
      </c>
      <c r="AV1195" s="61">
        <v>44727</v>
      </c>
      <c r="AW1195" s="91">
        <v>44742</v>
      </c>
      <c r="AX1195" s="91">
        <v>44762</v>
      </c>
      <c r="AY1195" s="99">
        <v>45120</v>
      </c>
      <c r="AZ1195" s="99">
        <f>ROUNDDOWN(AY1195+(AY1195*MASTER!$A$2/100),0)</f>
        <v>49632</v>
      </c>
      <c r="BA1195" s="60" t="s">
        <v>613</v>
      </c>
      <c r="BB1195" s="64">
        <v>23000</v>
      </c>
      <c r="BC1195" s="64">
        <v>25300</v>
      </c>
      <c r="BD1195" s="60" t="s">
        <v>3530</v>
      </c>
      <c r="BG1195" s="64">
        <v>0</v>
      </c>
      <c r="BK1195" s="64">
        <v>0</v>
      </c>
      <c r="BS1195" s="64">
        <v>0</v>
      </c>
      <c r="BV1195" s="65">
        <v>51700</v>
      </c>
      <c r="BW1195" s="65">
        <v>25300</v>
      </c>
      <c r="BX1195" s="65">
        <v>44714</v>
      </c>
      <c r="BY1195" s="65">
        <v>26400</v>
      </c>
      <c r="BZ1195" s="81">
        <v>51.063829787234042</v>
      </c>
    </row>
    <row r="1196" spans="1:89" x14ac:dyDescent="0.15">
      <c r="A1196" s="60">
        <v>2</v>
      </c>
      <c r="B1196" s="61">
        <v>44736</v>
      </c>
      <c r="C1196" s="61">
        <v>44739</v>
      </c>
      <c r="D1196" s="61" t="s">
        <v>764</v>
      </c>
      <c r="F1196" s="61">
        <v>44746</v>
      </c>
      <c r="G1196" s="61">
        <v>44740</v>
      </c>
      <c r="H1196" s="61">
        <v>44742</v>
      </c>
      <c r="I1196" s="60" t="s">
        <v>774</v>
      </c>
      <c r="J1196" s="60">
        <v>1</v>
      </c>
      <c r="L1196" s="60">
        <v>0</v>
      </c>
      <c r="M1196" s="61">
        <v>44714</v>
      </c>
      <c r="O1196" s="62" t="s">
        <v>331</v>
      </c>
      <c r="P1196" s="60" t="s">
        <v>26</v>
      </c>
      <c r="Q1196" s="62" t="s">
        <v>138</v>
      </c>
      <c r="R1196" s="62" t="s">
        <v>3644</v>
      </c>
      <c r="S1196" s="63" t="s">
        <v>658</v>
      </c>
      <c r="T1196" s="63" t="s">
        <v>2562</v>
      </c>
      <c r="U1196" s="64">
        <v>23900</v>
      </c>
      <c r="V1196" s="64">
        <v>26290</v>
      </c>
      <c r="W1196" s="64">
        <v>14700</v>
      </c>
      <c r="X1196" s="64">
        <v>16170</v>
      </c>
      <c r="Y1196" s="64">
        <v>9200</v>
      </c>
      <c r="Z1196" s="64">
        <v>10120</v>
      </c>
      <c r="AA1196" s="61">
        <v>44738</v>
      </c>
      <c r="AB1196" s="61">
        <v>44739</v>
      </c>
      <c r="AC1196" s="61">
        <v>44739</v>
      </c>
      <c r="AD1196" s="60">
        <v>0</v>
      </c>
      <c r="AG1196" s="60">
        <v>0</v>
      </c>
      <c r="AJ1196" s="60">
        <v>0</v>
      </c>
      <c r="AM1196" s="60" t="s">
        <v>273</v>
      </c>
      <c r="AN1196" s="60" t="s">
        <v>3645</v>
      </c>
      <c r="AQ1196" s="60" t="s">
        <v>3676</v>
      </c>
      <c r="AR1196" s="61">
        <v>44733</v>
      </c>
      <c r="AS1196" s="60">
        <v>6002043049</v>
      </c>
      <c r="AT1196" s="61">
        <v>44733</v>
      </c>
      <c r="AU1196" s="60" t="s">
        <v>3705</v>
      </c>
      <c r="AV1196" s="61">
        <v>44739</v>
      </c>
      <c r="AW1196" s="91">
        <v>44742</v>
      </c>
      <c r="AX1196" s="91">
        <v>44762</v>
      </c>
      <c r="AY1196" s="99">
        <v>22944</v>
      </c>
      <c r="AZ1196" s="99">
        <f>ROUNDDOWN(AY1196+(AY1196*MASTER!$A$2/100),0)</f>
        <v>25238</v>
      </c>
      <c r="BA1196" s="60" t="s">
        <v>765</v>
      </c>
      <c r="BC1196" s="64">
        <v>0</v>
      </c>
      <c r="BG1196" s="64">
        <v>0</v>
      </c>
      <c r="BI1196" s="60" t="s">
        <v>748</v>
      </c>
      <c r="BJ1196" s="64">
        <v>5980</v>
      </c>
      <c r="BK1196" s="64">
        <v>6578</v>
      </c>
      <c r="BL1196" s="60" t="s">
        <v>3530</v>
      </c>
      <c r="BS1196" s="64">
        <v>0</v>
      </c>
      <c r="BV1196" s="65">
        <v>16170</v>
      </c>
      <c r="BW1196" s="65">
        <v>6578</v>
      </c>
      <c r="BX1196" s="65">
        <v>44714</v>
      </c>
      <c r="BY1196" s="65">
        <v>9592</v>
      </c>
      <c r="BZ1196" s="81">
        <v>59.319727891156461</v>
      </c>
      <c r="CD1196" s="63" t="s">
        <v>3646</v>
      </c>
    </row>
    <row r="1197" spans="1:89" x14ac:dyDescent="0.15">
      <c r="A1197" s="60">
        <v>2</v>
      </c>
      <c r="B1197" s="61">
        <v>44774</v>
      </c>
      <c r="C1197" s="61">
        <v>44782</v>
      </c>
      <c r="D1197" s="61" t="s">
        <v>764</v>
      </c>
      <c r="E1197" s="61">
        <v>44785</v>
      </c>
      <c r="F1197" s="61">
        <v>44789</v>
      </c>
      <c r="G1197" s="61">
        <v>44783</v>
      </c>
      <c r="H1197" s="61">
        <v>44785</v>
      </c>
      <c r="I1197" s="60" t="s">
        <v>511</v>
      </c>
      <c r="J1197" s="60">
        <v>1</v>
      </c>
      <c r="L1197" s="60">
        <v>0</v>
      </c>
      <c r="M1197" s="61">
        <v>44714</v>
      </c>
      <c r="O1197" s="62" t="s">
        <v>331</v>
      </c>
      <c r="P1197" s="60" t="s">
        <v>26</v>
      </c>
      <c r="Q1197" s="62" t="s">
        <v>138</v>
      </c>
      <c r="R1197" s="62" t="s">
        <v>4241</v>
      </c>
      <c r="S1197" s="63" t="s">
        <v>4242</v>
      </c>
      <c r="T1197" s="63" t="s">
        <v>502</v>
      </c>
      <c r="U1197" s="64">
        <v>23900</v>
      </c>
      <c r="V1197" s="64">
        <v>26290</v>
      </c>
      <c r="W1197" s="64">
        <v>14700</v>
      </c>
      <c r="X1197" s="64">
        <v>16170</v>
      </c>
      <c r="Y1197" s="64">
        <v>9200</v>
      </c>
      <c r="Z1197" s="64">
        <v>10120</v>
      </c>
      <c r="AA1197" s="61">
        <v>44780</v>
      </c>
      <c r="AB1197" s="61">
        <v>44782</v>
      </c>
      <c r="AC1197" s="61">
        <v>44782</v>
      </c>
      <c r="AD1197" s="60">
        <v>0</v>
      </c>
      <c r="AG1197" s="60">
        <v>0</v>
      </c>
      <c r="AJ1197" s="60">
        <v>0</v>
      </c>
      <c r="AM1197" s="60" t="s">
        <v>273</v>
      </c>
      <c r="AN1197" s="60" t="s">
        <v>4243</v>
      </c>
      <c r="AQ1197" s="60" t="s">
        <v>3670</v>
      </c>
      <c r="AR1197" s="61">
        <v>44733</v>
      </c>
      <c r="AS1197" s="60">
        <v>6002043049</v>
      </c>
      <c r="AT1197" s="61">
        <v>44733</v>
      </c>
      <c r="AU1197" s="60" t="s">
        <v>3705</v>
      </c>
      <c r="AV1197" s="61">
        <v>44782</v>
      </c>
      <c r="AW1197" s="91">
        <v>44804</v>
      </c>
      <c r="AX1197" s="91">
        <v>44824</v>
      </c>
      <c r="AY1197" s="99">
        <v>22944</v>
      </c>
      <c r="AZ1197" s="99">
        <f>ROUNDDOWN(AY1197+(AY1197*MASTER!$A$2/100),0)</f>
        <v>25238</v>
      </c>
      <c r="BA1197" s="60" t="s">
        <v>765</v>
      </c>
      <c r="BC1197" s="64">
        <v>0</v>
      </c>
      <c r="BG1197" s="64">
        <v>0</v>
      </c>
      <c r="BI1197" s="60" t="s">
        <v>267</v>
      </c>
      <c r="BJ1197" s="64">
        <v>5980</v>
      </c>
      <c r="BK1197" s="64">
        <v>6578</v>
      </c>
      <c r="BL1197" s="60" t="s">
        <v>4069</v>
      </c>
      <c r="BS1197" s="64">
        <v>0</v>
      </c>
      <c r="BV1197" s="65">
        <v>16170</v>
      </c>
      <c r="BW1197" s="65">
        <v>6578</v>
      </c>
      <c r="BX1197" s="65">
        <v>44714</v>
      </c>
      <c r="BY1197" s="65">
        <v>9592</v>
      </c>
      <c r="BZ1197" s="81">
        <v>59.319727891156461</v>
      </c>
    </row>
    <row r="1198" spans="1:89" x14ac:dyDescent="0.15">
      <c r="A1198" s="60">
        <v>2</v>
      </c>
      <c r="C1198" s="61" t="s">
        <v>309</v>
      </c>
      <c r="F1198" s="61" t="s">
        <v>309</v>
      </c>
      <c r="G1198" s="61">
        <v>44715</v>
      </c>
      <c r="H1198" s="61" t="s">
        <v>309</v>
      </c>
      <c r="J1198" s="60">
        <v>4</v>
      </c>
      <c r="L1198" s="60">
        <v>0</v>
      </c>
      <c r="M1198" s="61">
        <v>44714</v>
      </c>
      <c r="O1198" s="62" t="s">
        <v>331</v>
      </c>
      <c r="P1198" s="60" t="s">
        <v>6</v>
      </c>
      <c r="Q1198" s="62" t="s">
        <v>138</v>
      </c>
      <c r="R1198" s="62" t="s">
        <v>3531</v>
      </c>
      <c r="S1198" s="63" t="s">
        <v>1612</v>
      </c>
      <c r="T1198" s="63" t="s">
        <v>3532</v>
      </c>
      <c r="U1198" s="64">
        <v>0</v>
      </c>
      <c r="V1198" s="64">
        <v>0</v>
      </c>
      <c r="W1198" s="64">
        <v>0</v>
      </c>
      <c r="X1198" s="64">
        <v>0</v>
      </c>
      <c r="Y1198" s="64">
        <v>0</v>
      </c>
      <c r="Z1198" s="64">
        <v>0</v>
      </c>
      <c r="AA1198" s="61">
        <v>44695</v>
      </c>
      <c r="AB1198" s="61">
        <v>44695</v>
      </c>
      <c r="AD1198" s="60">
        <v>0</v>
      </c>
      <c r="AG1198" s="60">
        <v>0</v>
      </c>
      <c r="AJ1198" s="60">
        <v>0</v>
      </c>
      <c r="AN1198" s="60" t="s">
        <v>309</v>
      </c>
      <c r="AY1198" s="99">
        <v>0</v>
      </c>
      <c r="AZ1198" s="99">
        <f>ROUNDDOWN(AY1198+(AY1198*MASTER!$A$2/100),0)</f>
        <v>0</v>
      </c>
      <c r="BA1198" s="60" t="s">
        <v>582</v>
      </c>
      <c r="BB1198" s="64">
        <v>20000</v>
      </c>
      <c r="BC1198" s="64">
        <v>22000</v>
      </c>
      <c r="BD1198" s="60" t="s">
        <v>3360</v>
      </c>
      <c r="BG1198" s="64">
        <v>0</v>
      </c>
      <c r="BK1198" s="64">
        <v>0</v>
      </c>
      <c r="BS1198" s="64">
        <v>0</v>
      </c>
      <c r="BV1198" s="65">
        <v>0</v>
      </c>
      <c r="BW1198" s="65">
        <v>22000</v>
      </c>
      <c r="BX1198" s="65">
        <v>44714</v>
      </c>
      <c r="BY1198" s="65">
        <v>-22000</v>
      </c>
      <c r="BZ1198" s="81" t="s">
        <v>309</v>
      </c>
    </row>
    <row r="1199" spans="1:89" x14ac:dyDescent="0.15">
      <c r="A1199" s="60">
        <v>2</v>
      </c>
      <c r="B1199" s="61">
        <v>44736</v>
      </c>
      <c r="C1199" s="61">
        <v>44742</v>
      </c>
      <c r="D1199" s="61">
        <v>44750</v>
      </c>
      <c r="E1199" s="61">
        <v>44739</v>
      </c>
      <c r="F1199" s="61">
        <v>44743</v>
      </c>
      <c r="G1199" s="61">
        <v>44739</v>
      </c>
      <c r="H1199" s="61">
        <v>44739</v>
      </c>
      <c r="I1199" s="60" t="s">
        <v>511</v>
      </c>
      <c r="J1199" s="60">
        <v>1</v>
      </c>
      <c r="L1199" s="60">
        <v>0</v>
      </c>
      <c r="M1199" s="61">
        <v>44714</v>
      </c>
      <c r="O1199" s="62" t="s">
        <v>331</v>
      </c>
      <c r="P1199" s="60" t="s">
        <v>26</v>
      </c>
      <c r="Q1199" s="62" t="s">
        <v>138</v>
      </c>
      <c r="R1199" s="62" t="s">
        <v>3600</v>
      </c>
      <c r="S1199" s="63" t="s">
        <v>1590</v>
      </c>
      <c r="T1199" s="63" t="s">
        <v>783</v>
      </c>
      <c r="U1199" s="64">
        <v>56000</v>
      </c>
      <c r="V1199" s="64">
        <v>61600</v>
      </c>
      <c r="W1199" s="64">
        <v>47000</v>
      </c>
      <c r="X1199" s="64">
        <v>51700</v>
      </c>
      <c r="Y1199" s="64">
        <v>9000</v>
      </c>
      <c r="Z1199" s="64">
        <v>9900</v>
      </c>
      <c r="AA1199" s="61">
        <v>44735</v>
      </c>
      <c r="AB1199" s="61">
        <v>44736</v>
      </c>
      <c r="AC1199" s="61">
        <v>44736</v>
      </c>
      <c r="AD1199" s="60">
        <v>0</v>
      </c>
      <c r="AG1199" s="60">
        <v>0</v>
      </c>
      <c r="AJ1199" s="60">
        <v>0</v>
      </c>
      <c r="AM1199" s="60" t="s">
        <v>273</v>
      </c>
      <c r="AN1199" s="60" t="s">
        <v>3601</v>
      </c>
      <c r="AQ1199" s="60" t="s">
        <v>3602</v>
      </c>
      <c r="AR1199" s="61">
        <v>44725</v>
      </c>
      <c r="AS1199" s="60">
        <v>6002039330</v>
      </c>
      <c r="AT1199" s="61">
        <v>44727</v>
      </c>
      <c r="AU1199" s="60" t="s">
        <v>3640</v>
      </c>
      <c r="AV1199" s="61">
        <v>44742</v>
      </c>
      <c r="AW1199" s="91">
        <v>44742</v>
      </c>
      <c r="AX1199" s="91">
        <v>44762</v>
      </c>
      <c r="AY1199" s="99">
        <v>53760</v>
      </c>
      <c r="AZ1199" s="99">
        <f>ROUNDDOWN(AY1199+(AY1199*MASTER!$A$2/100),0)</f>
        <v>59136</v>
      </c>
      <c r="BA1199" s="60" t="s">
        <v>613</v>
      </c>
      <c r="BB1199" s="64">
        <v>28000</v>
      </c>
      <c r="BC1199" s="64">
        <v>30800</v>
      </c>
      <c r="BD1199" s="60" t="s">
        <v>3530</v>
      </c>
      <c r="BG1199" s="64">
        <v>0</v>
      </c>
      <c r="BI1199" s="60" t="s">
        <v>748</v>
      </c>
      <c r="BJ1199" s="64">
        <v>5850</v>
      </c>
      <c r="BK1199" s="64">
        <v>6435</v>
      </c>
      <c r="BL1199" s="60" t="s">
        <v>3530</v>
      </c>
      <c r="BS1199" s="64">
        <v>0</v>
      </c>
      <c r="BV1199" s="65">
        <v>51700</v>
      </c>
      <c r="BW1199" s="65">
        <v>37235</v>
      </c>
      <c r="BX1199" s="65">
        <v>44714</v>
      </c>
      <c r="BY1199" s="65">
        <v>14465</v>
      </c>
      <c r="BZ1199" s="81">
        <v>27.978723404255319</v>
      </c>
    </row>
    <row r="1200" spans="1:89" x14ac:dyDescent="0.15">
      <c r="A1200" s="60">
        <v>2</v>
      </c>
      <c r="B1200" s="61">
        <v>44747</v>
      </c>
      <c r="C1200" s="61">
        <v>44771</v>
      </c>
      <c r="D1200" s="61">
        <v>44780</v>
      </c>
      <c r="E1200" s="61">
        <v>44769</v>
      </c>
      <c r="F1200" s="61">
        <v>44765</v>
      </c>
      <c r="G1200" s="61">
        <v>44761</v>
      </c>
      <c r="H1200" s="61">
        <v>44761</v>
      </c>
      <c r="I1200" s="60" t="s">
        <v>511</v>
      </c>
      <c r="J1200" s="60">
        <v>1</v>
      </c>
      <c r="L1200" s="60">
        <v>0</v>
      </c>
      <c r="M1200" s="61">
        <v>44715</v>
      </c>
      <c r="O1200" s="62" t="s">
        <v>331</v>
      </c>
      <c r="P1200" s="60" t="s">
        <v>26</v>
      </c>
      <c r="Q1200" s="62" t="s">
        <v>138</v>
      </c>
      <c r="R1200" s="62" t="s">
        <v>3911</v>
      </c>
      <c r="S1200" s="63" t="s">
        <v>391</v>
      </c>
      <c r="T1200" s="63" t="s">
        <v>485</v>
      </c>
      <c r="U1200" s="64">
        <v>95000</v>
      </c>
      <c r="V1200" s="64">
        <v>104500</v>
      </c>
      <c r="W1200" s="64">
        <v>80000</v>
      </c>
      <c r="X1200" s="64">
        <v>88000</v>
      </c>
      <c r="Y1200" s="64">
        <v>15000</v>
      </c>
      <c r="Z1200" s="64">
        <v>16500</v>
      </c>
      <c r="AA1200" s="61">
        <v>44757</v>
      </c>
      <c r="AB1200" s="61">
        <v>44758</v>
      </c>
      <c r="AC1200" s="61">
        <v>44758</v>
      </c>
      <c r="AD1200" s="60">
        <v>0</v>
      </c>
      <c r="AG1200" s="60">
        <v>0</v>
      </c>
      <c r="AJ1200" s="60">
        <v>0</v>
      </c>
      <c r="AQ1200" s="60" t="s">
        <v>3560</v>
      </c>
      <c r="AR1200" s="61">
        <v>44719</v>
      </c>
      <c r="AS1200" s="60">
        <v>6002036654</v>
      </c>
      <c r="AT1200" s="61">
        <v>44720</v>
      </c>
      <c r="AU1200" s="60" t="s">
        <v>3588</v>
      </c>
      <c r="AV1200" s="61">
        <v>44771</v>
      </c>
      <c r="AW1200" s="91">
        <v>44773</v>
      </c>
      <c r="AX1200" s="91">
        <v>44793</v>
      </c>
      <c r="AY1200" s="99">
        <v>91200</v>
      </c>
      <c r="AZ1200" s="99">
        <f>ROUNDDOWN(AY1200+(AY1200*MASTER!$A$2/100),0)</f>
        <v>100320</v>
      </c>
      <c r="BA1200" s="60" t="s">
        <v>613</v>
      </c>
      <c r="BB1200" s="64">
        <v>24000</v>
      </c>
      <c r="BC1200" s="64">
        <v>26400</v>
      </c>
      <c r="BD1200" s="60" t="s">
        <v>3800</v>
      </c>
      <c r="BG1200" s="64">
        <v>0</v>
      </c>
      <c r="BI1200" s="60" t="s">
        <v>748</v>
      </c>
      <c r="BJ1200" s="64">
        <v>9750</v>
      </c>
      <c r="BK1200" s="64">
        <v>10725</v>
      </c>
      <c r="BL1200" s="60" t="s">
        <v>3800</v>
      </c>
      <c r="BS1200" s="64">
        <v>0</v>
      </c>
      <c r="BV1200" s="65">
        <v>88000</v>
      </c>
      <c r="BW1200" s="65">
        <v>37125</v>
      </c>
      <c r="BX1200" s="65">
        <v>44715</v>
      </c>
      <c r="BY1200" s="65">
        <v>50875</v>
      </c>
      <c r="BZ1200" s="81">
        <v>57.8125</v>
      </c>
    </row>
    <row r="1201" spans="1:89" x14ac:dyDescent="0.15">
      <c r="A1201" s="60">
        <v>2</v>
      </c>
      <c r="B1201" s="61">
        <v>44746</v>
      </c>
      <c r="C1201" s="61">
        <v>44751</v>
      </c>
      <c r="D1201" s="61">
        <v>44775</v>
      </c>
      <c r="E1201" s="61">
        <v>44753</v>
      </c>
      <c r="F1201" s="61">
        <v>44758</v>
      </c>
      <c r="G1201" s="61">
        <v>44753</v>
      </c>
      <c r="H1201" s="61">
        <v>44754</v>
      </c>
      <c r="I1201" s="60" t="s">
        <v>511</v>
      </c>
      <c r="J1201" s="60">
        <v>1</v>
      </c>
      <c r="L1201" s="60">
        <v>0</v>
      </c>
      <c r="M1201" s="61">
        <v>44715</v>
      </c>
      <c r="O1201" s="62" t="s">
        <v>331</v>
      </c>
      <c r="P1201" s="60" t="s">
        <v>26</v>
      </c>
      <c r="Q1201" s="62" t="s">
        <v>138</v>
      </c>
      <c r="R1201" s="62" t="s">
        <v>3886</v>
      </c>
      <c r="S1201" s="63" t="s">
        <v>1049</v>
      </c>
      <c r="T1201" s="63" t="s">
        <v>3887</v>
      </c>
      <c r="U1201" s="64">
        <v>202500</v>
      </c>
      <c r="V1201" s="64">
        <v>222750</v>
      </c>
      <c r="W1201" s="64">
        <v>110000</v>
      </c>
      <c r="X1201" s="64">
        <v>121000</v>
      </c>
      <c r="Y1201" s="64">
        <v>92500</v>
      </c>
      <c r="Z1201" s="64">
        <v>101750</v>
      </c>
      <c r="AA1201" s="61">
        <v>44749</v>
      </c>
      <c r="AB1201" s="61">
        <v>44751</v>
      </c>
      <c r="AC1201" s="61">
        <v>44751</v>
      </c>
      <c r="AD1201" s="60">
        <v>0</v>
      </c>
      <c r="AG1201" s="60">
        <v>0</v>
      </c>
      <c r="AJ1201" s="60">
        <v>0</v>
      </c>
      <c r="AM1201" s="60" t="s">
        <v>273</v>
      </c>
      <c r="AN1201" s="60" t="s">
        <v>3888</v>
      </c>
      <c r="AQ1201" s="60" t="s">
        <v>3674</v>
      </c>
      <c r="AR1201" s="61">
        <v>44733</v>
      </c>
      <c r="AS1201" s="60">
        <v>6002043049</v>
      </c>
      <c r="AT1201" s="61">
        <v>44733</v>
      </c>
      <c r="AU1201" s="60" t="s">
        <v>3705</v>
      </c>
      <c r="AV1201" s="61">
        <v>44751</v>
      </c>
      <c r="AW1201" s="91">
        <v>44773</v>
      </c>
      <c r="AX1201" s="91">
        <v>44793</v>
      </c>
      <c r="AY1201" s="99">
        <v>194400</v>
      </c>
      <c r="AZ1201" s="99">
        <f>ROUNDDOWN(AY1201+(AY1201*MASTER!$A$2/100),0)</f>
        <v>213840</v>
      </c>
      <c r="BA1201" s="60" t="s">
        <v>780</v>
      </c>
      <c r="BB1201" s="64">
        <v>60000</v>
      </c>
      <c r="BC1201" s="64">
        <v>66000</v>
      </c>
      <c r="BD1201" s="60" t="s">
        <v>3800</v>
      </c>
      <c r="BG1201" s="64">
        <v>0</v>
      </c>
      <c r="BI1201" s="60" t="s">
        <v>748</v>
      </c>
      <c r="BJ1201" s="64">
        <v>60125</v>
      </c>
      <c r="BK1201" s="64">
        <v>66137.5</v>
      </c>
      <c r="BL1201" s="60" t="s">
        <v>3800</v>
      </c>
      <c r="BS1201" s="64">
        <v>0</v>
      </c>
      <c r="BV1201" s="65">
        <v>121000</v>
      </c>
      <c r="BW1201" s="65">
        <v>132137.5</v>
      </c>
      <c r="BX1201" s="65">
        <v>44715</v>
      </c>
      <c r="BY1201" s="65">
        <v>-11137.5</v>
      </c>
      <c r="BZ1201" s="81">
        <v>-9.2045454545454533</v>
      </c>
    </row>
    <row r="1202" spans="1:89" x14ac:dyDescent="0.15">
      <c r="A1202" s="60">
        <v>2</v>
      </c>
      <c r="B1202" s="61">
        <v>44802</v>
      </c>
      <c r="C1202" s="61">
        <v>44834</v>
      </c>
      <c r="E1202" s="61">
        <v>44805</v>
      </c>
      <c r="F1202" s="61" t="s">
        <v>309</v>
      </c>
      <c r="G1202" s="61">
        <v>44805</v>
      </c>
      <c r="H1202" s="61" t="s">
        <v>309</v>
      </c>
      <c r="I1202" s="60" t="s">
        <v>511</v>
      </c>
      <c r="J1202" s="60">
        <v>2</v>
      </c>
      <c r="L1202" s="60">
        <v>0</v>
      </c>
      <c r="M1202" s="61">
        <v>44715</v>
      </c>
      <c r="O1202" s="62" t="s">
        <v>331</v>
      </c>
      <c r="P1202" s="60" t="s">
        <v>26</v>
      </c>
      <c r="Q1202" s="62" t="s">
        <v>138</v>
      </c>
      <c r="R1202" s="62" t="s">
        <v>3556</v>
      </c>
      <c r="S1202" s="63" t="s">
        <v>1049</v>
      </c>
      <c r="T1202" s="63" t="s">
        <v>656</v>
      </c>
      <c r="U1202" s="64">
        <v>49500</v>
      </c>
      <c r="V1202" s="64">
        <v>54450</v>
      </c>
      <c r="W1202" s="64">
        <v>49500</v>
      </c>
      <c r="X1202" s="64">
        <v>54450</v>
      </c>
      <c r="Z1202" s="64">
        <v>0</v>
      </c>
      <c r="AA1202" s="61">
        <v>44804</v>
      </c>
      <c r="AB1202" s="61">
        <v>44805</v>
      </c>
      <c r="AD1202" s="60">
        <v>0</v>
      </c>
      <c r="AG1202" s="60">
        <v>0</v>
      </c>
      <c r="AJ1202" s="60">
        <v>0</v>
      </c>
      <c r="AN1202" s="60" t="s">
        <v>309</v>
      </c>
      <c r="AQ1202" s="60" t="s">
        <v>3784</v>
      </c>
      <c r="AR1202" s="61">
        <v>44741</v>
      </c>
      <c r="AS1202" s="60">
        <v>6002046348</v>
      </c>
      <c r="AT1202" s="61">
        <v>44743</v>
      </c>
      <c r="AU1202" s="60" t="s">
        <v>3890</v>
      </c>
      <c r="AV1202" s="61">
        <v>44834</v>
      </c>
      <c r="AW1202" s="91">
        <v>44865</v>
      </c>
      <c r="AX1202" s="91">
        <v>44885</v>
      </c>
      <c r="AY1202" s="99">
        <v>47520</v>
      </c>
      <c r="AZ1202" s="99">
        <f>ROUNDDOWN(AY1202+(AY1202*MASTER!$A$2/100),0)</f>
        <v>52272</v>
      </c>
      <c r="BA1202" s="60" t="s">
        <v>780</v>
      </c>
      <c r="BB1202" s="64">
        <v>40000</v>
      </c>
      <c r="BC1202" s="64">
        <v>44000</v>
      </c>
      <c r="BG1202" s="64">
        <v>0</v>
      </c>
      <c r="BK1202" s="64">
        <v>0</v>
      </c>
      <c r="BS1202" s="64">
        <v>0</v>
      </c>
      <c r="BV1202" s="65">
        <v>54450</v>
      </c>
      <c r="BW1202" s="65">
        <v>44000</v>
      </c>
      <c r="BX1202" s="65">
        <v>44715</v>
      </c>
      <c r="BY1202" s="65">
        <v>10450</v>
      </c>
      <c r="BZ1202" s="81">
        <v>19.19191919191919</v>
      </c>
      <c r="CD1202" s="63" t="s">
        <v>4576</v>
      </c>
    </row>
    <row r="1203" spans="1:89" s="152" customFormat="1" x14ac:dyDescent="0.15">
      <c r="A1203" s="142">
        <v>3</v>
      </c>
      <c r="B1203" s="143"/>
      <c r="C1203" s="143" t="s">
        <v>309</v>
      </c>
      <c r="D1203" s="143"/>
      <c r="E1203" s="143"/>
      <c r="F1203" s="143" t="s">
        <v>309</v>
      </c>
      <c r="G1203" s="143"/>
      <c r="H1203" s="143" t="s">
        <v>309</v>
      </c>
      <c r="I1203" s="142"/>
      <c r="J1203" s="142">
        <v>2</v>
      </c>
      <c r="K1203" s="143"/>
      <c r="L1203" s="142">
        <v>0</v>
      </c>
      <c r="M1203" s="143">
        <v>44715</v>
      </c>
      <c r="N1203" s="143"/>
      <c r="O1203" s="144" t="s">
        <v>331</v>
      </c>
      <c r="P1203" s="142" t="s">
        <v>26</v>
      </c>
      <c r="Q1203" s="144" t="s">
        <v>138</v>
      </c>
      <c r="R1203" s="144" t="s">
        <v>4409</v>
      </c>
      <c r="S1203" s="145" t="s">
        <v>367</v>
      </c>
      <c r="T1203" s="145" t="s">
        <v>656</v>
      </c>
      <c r="U1203" s="146">
        <v>49500</v>
      </c>
      <c r="V1203" s="146">
        <v>54450</v>
      </c>
      <c r="W1203" s="146">
        <v>49500</v>
      </c>
      <c r="X1203" s="146">
        <v>54450</v>
      </c>
      <c r="Y1203" s="146"/>
      <c r="Z1203" s="146">
        <v>0</v>
      </c>
      <c r="AA1203" s="143"/>
      <c r="AB1203" s="143"/>
      <c r="AC1203" s="143"/>
      <c r="AD1203" s="142">
        <v>0</v>
      </c>
      <c r="AE1203" s="142"/>
      <c r="AF1203" s="142"/>
      <c r="AG1203" s="142">
        <v>0</v>
      </c>
      <c r="AH1203" s="142"/>
      <c r="AI1203" s="142"/>
      <c r="AJ1203" s="142">
        <v>0</v>
      </c>
      <c r="AK1203" s="142"/>
      <c r="AL1203" s="142"/>
      <c r="AM1203" s="142"/>
      <c r="AN1203" s="142" t="s">
        <v>309</v>
      </c>
      <c r="AO1203" s="143"/>
      <c r="AP1203" s="142"/>
      <c r="AQ1203" s="142"/>
      <c r="AR1203" s="143"/>
      <c r="AS1203" s="142"/>
      <c r="AT1203" s="143"/>
      <c r="AU1203" s="142"/>
      <c r="AV1203" s="143"/>
      <c r="AW1203" s="147"/>
      <c r="AX1203" s="147"/>
      <c r="AY1203" s="148">
        <v>47520</v>
      </c>
      <c r="AZ1203" s="148">
        <f>ROUNDDOWN(AY1203+(AY1203*MASTER!$A$2/100),0)</f>
        <v>52272</v>
      </c>
      <c r="BA1203" s="142"/>
      <c r="BB1203" s="146"/>
      <c r="BC1203" s="146">
        <v>0</v>
      </c>
      <c r="BD1203" s="142"/>
      <c r="BE1203" s="142"/>
      <c r="BF1203" s="146"/>
      <c r="BG1203" s="146">
        <v>0</v>
      </c>
      <c r="BH1203" s="142"/>
      <c r="BI1203" s="142"/>
      <c r="BJ1203" s="146"/>
      <c r="BK1203" s="146">
        <v>0</v>
      </c>
      <c r="BL1203" s="142"/>
      <c r="BM1203" s="146"/>
      <c r="BN1203" s="146"/>
      <c r="BO1203" s="146"/>
      <c r="BP1203" s="146"/>
      <c r="BQ1203" s="146"/>
      <c r="BR1203" s="146"/>
      <c r="BS1203" s="146">
        <v>0</v>
      </c>
      <c r="BT1203" s="149"/>
      <c r="BU1203" s="149"/>
      <c r="BV1203" s="150">
        <v>54450</v>
      </c>
      <c r="BW1203" s="150">
        <v>0</v>
      </c>
      <c r="BX1203" s="150">
        <v>44715</v>
      </c>
      <c r="BY1203" s="150">
        <v>54450</v>
      </c>
      <c r="BZ1203" s="151">
        <v>100</v>
      </c>
      <c r="CA1203" s="142"/>
      <c r="CB1203" s="142"/>
      <c r="CC1203" s="142"/>
      <c r="CD1203" s="145" t="s">
        <v>4410</v>
      </c>
      <c r="CE1203" s="143"/>
      <c r="CF1203" s="143"/>
      <c r="CG1203" s="143"/>
      <c r="CH1203" s="143"/>
      <c r="CI1203" s="143"/>
      <c r="CJ1203" s="143"/>
      <c r="CK1203" s="146"/>
    </row>
    <row r="1204" spans="1:89" x14ac:dyDescent="0.15">
      <c r="A1204" s="60">
        <v>2</v>
      </c>
      <c r="B1204" s="61">
        <v>44743</v>
      </c>
      <c r="C1204" s="61">
        <v>44746</v>
      </c>
      <c r="D1204" s="61">
        <v>44775</v>
      </c>
      <c r="E1204" s="61">
        <v>44750</v>
      </c>
      <c r="F1204" s="61">
        <v>44753</v>
      </c>
      <c r="G1204" s="61">
        <v>44746</v>
      </c>
      <c r="H1204" s="61">
        <v>44749</v>
      </c>
      <c r="I1204" s="60" t="s">
        <v>511</v>
      </c>
      <c r="J1204" s="60">
        <v>1</v>
      </c>
      <c r="L1204" s="60">
        <v>0</v>
      </c>
      <c r="M1204" s="61">
        <v>44715</v>
      </c>
      <c r="O1204" s="62" t="s">
        <v>331</v>
      </c>
      <c r="P1204" s="60" t="s">
        <v>26</v>
      </c>
      <c r="Q1204" s="62" t="s">
        <v>138</v>
      </c>
      <c r="R1204" s="62" t="s">
        <v>3813</v>
      </c>
      <c r="S1204" s="63" t="s">
        <v>1073</v>
      </c>
      <c r="T1204" s="63" t="s">
        <v>3811</v>
      </c>
      <c r="U1204" s="64">
        <v>194500</v>
      </c>
      <c r="V1204" s="64">
        <v>213950</v>
      </c>
      <c r="W1204" s="64">
        <v>102000</v>
      </c>
      <c r="X1204" s="64">
        <v>112200</v>
      </c>
      <c r="Y1204" s="64">
        <v>92500</v>
      </c>
      <c r="Z1204" s="64">
        <v>101750</v>
      </c>
      <c r="AA1204" s="61">
        <v>44745</v>
      </c>
      <c r="AB1204" s="61">
        <v>44746</v>
      </c>
      <c r="AC1204" s="61">
        <v>44746</v>
      </c>
      <c r="AD1204" s="60">
        <v>0</v>
      </c>
      <c r="AG1204" s="60">
        <v>0</v>
      </c>
      <c r="AJ1204" s="60">
        <v>0</v>
      </c>
      <c r="AM1204" s="60" t="s">
        <v>273</v>
      </c>
      <c r="AN1204" s="60" t="s">
        <v>3814</v>
      </c>
      <c r="AQ1204" s="60" t="s">
        <v>3672</v>
      </c>
      <c r="AR1204" s="61">
        <v>44733</v>
      </c>
      <c r="AS1204" s="60">
        <v>6002043049</v>
      </c>
      <c r="AT1204" s="61">
        <v>44733</v>
      </c>
      <c r="AU1204" s="60" t="s">
        <v>3705</v>
      </c>
      <c r="AV1204" s="61">
        <v>44746</v>
      </c>
      <c r="AW1204" s="91">
        <v>44773</v>
      </c>
      <c r="AX1204" s="91">
        <v>44793</v>
      </c>
      <c r="AY1204" s="99">
        <v>186720</v>
      </c>
      <c r="AZ1204" s="99">
        <f>ROUNDDOWN(AY1204+(AY1204*MASTER!$A$2/100),0)</f>
        <v>205392</v>
      </c>
      <c r="BA1204" s="60" t="s">
        <v>780</v>
      </c>
      <c r="BB1204" s="64">
        <v>25000</v>
      </c>
      <c r="BC1204" s="64">
        <v>27500</v>
      </c>
      <c r="BD1204" s="60" t="s">
        <v>3800</v>
      </c>
      <c r="BG1204" s="64">
        <v>0</v>
      </c>
      <c r="BI1204" s="60" t="s">
        <v>748</v>
      </c>
      <c r="BJ1204" s="64">
        <v>60125</v>
      </c>
      <c r="BK1204" s="64">
        <v>66137.5</v>
      </c>
      <c r="BL1204" s="60" t="s">
        <v>3800</v>
      </c>
      <c r="BS1204" s="64">
        <v>0</v>
      </c>
      <c r="BV1204" s="65">
        <v>112200</v>
      </c>
      <c r="BW1204" s="65">
        <v>93637.5</v>
      </c>
      <c r="BX1204" s="65">
        <v>44715</v>
      </c>
      <c r="BY1204" s="65">
        <v>18562.5</v>
      </c>
      <c r="BZ1204" s="81">
        <v>16.544117647058822</v>
      </c>
    </row>
    <row r="1205" spans="1:89" x14ac:dyDescent="0.15">
      <c r="A1205" s="60">
        <v>1</v>
      </c>
      <c r="C1205" s="61" t="s">
        <v>309</v>
      </c>
      <c r="F1205" s="61" t="s">
        <v>309</v>
      </c>
      <c r="H1205" s="61" t="s">
        <v>309</v>
      </c>
      <c r="J1205" s="60">
        <v>4</v>
      </c>
      <c r="L1205" s="60">
        <v>0</v>
      </c>
      <c r="M1205" s="61">
        <v>44715</v>
      </c>
      <c r="O1205" s="62" t="s">
        <v>331</v>
      </c>
      <c r="P1205" s="60" t="s">
        <v>263</v>
      </c>
      <c r="Q1205" s="62" t="s">
        <v>138</v>
      </c>
      <c r="R1205" s="62" t="s">
        <v>3540</v>
      </c>
      <c r="S1205" s="63" t="s">
        <v>1049</v>
      </c>
      <c r="T1205" s="63" t="s">
        <v>3541</v>
      </c>
      <c r="U1205" s="64">
        <v>0</v>
      </c>
      <c r="V1205" s="64">
        <v>0</v>
      </c>
      <c r="W1205" s="64">
        <v>0</v>
      </c>
      <c r="X1205" s="64">
        <v>0</v>
      </c>
      <c r="Y1205" s="64">
        <v>0</v>
      </c>
      <c r="Z1205" s="64">
        <v>0</v>
      </c>
      <c r="AA1205" s="61">
        <v>44692</v>
      </c>
      <c r="AD1205" s="60">
        <v>0</v>
      </c>
      <c r="AG1205" s="60">
        <v>0</v>
      </c>
      <c r="AJ1205" s="60">
        <v>0</v>
      </c>
      <c r="AY1205" s="99">
        <f>ROUNDDOWN((0.96*U1205),0)</f>
        <v>0</v>
      </c>
      <c r="AZ1205" s="99">
        <f>ROUNDDOWN(AY1205+(AY1205*MASTER!$A$2/100),0)</f>
        <v>0</v>
      </c>
      <c r="BC1205" s="64">
        <v>0</v>
      </c>
      <c r="BG1205" s="64">
        <v>0</v>
      </c>
      <c r="BI1205" s="60" t="s">
        <v>748</v>
      </c>
      <c r="BJ1205" s="64">
        <v>5850</v>
      </c>
      <c r="BK1205" s="64">
        <v>6435</v>
      </c>
      <c r="BL1205" s="60" t="s">
        <v>3393</v>
      </c>
      <c r="BS1205" s="64">
        <v>0</v>
      </c>
      <c r="BV1205" s="65">
        <v>0</v>
      </c>
      <c r="BW1205" s="65">
        <v>6435</v>
      </c>
      <c r="BX1205" s="65">
        <v>44715</v>
      </c>
      <c r="BY1205" s="65">
        <v>-6435</v>
      </c>
      <c r="BZ1205" s="81" t="s">
        <v>309</v>
      </c>
      <c r="CD1205" s="63" t="s">
        <v>3542</v>
      </c>
    </row>
    <row r="1206" spans="1:89" x14ac:dyDescent="0.15">
      <c r="A1206" s="60">
        <v>2</v>
      </c>
      <c r="B1206" s="61">
        <v>44754</v>
      </c>
      <c r="C1206" s="61">
        <v>44757</v>
      </c>
      <c r="D1206" s="61">
        <v>44783</v>
      </c>
      <c r="E1206" s="61">
        <v>44762</v>
      </c>
      <c r="F1206" s="61">
        <v>44764</v>
      </c>
      <c r="G1206" s="61">
        <v>44757</v>
      </c>
      <c r="H1206" s="61">
        <v>44760</v>
      </c>
      <c r="I1206" s="60" t="s">
        <v>511</v>
      </c>
      <c r="J1206" s="60">
        <v>1</v>
      </c>
      <c r="L1206" s="60">
        <v>0</v>
      </c>
      <c r="M1206" s="61">
        <v>44715</v>
      </c>
      <c r="O1206" s="62" t="s">
        <v>331</v>
      </c>
      <c r="P1206" s="60" t="s">
        <v>26</v>
      </c>
      <c r="Q1206" s="62" t="s">
        <v>138</v>
      </c>
      <c r="R1206" s="62" t="s">
        <v>3981</v>
      </c>
      <c r="S1206" s="63" t="s">
        <v>371</v>
      </c>
      <c r="T1206" s="63" t="s">
        <v>3577</v>
      </c>
      <c r="U1206" s="64">
        <v>164200</v>
      </c>
      <c r="V1206" s="64">
        <v>180620</v>
      </c>
      <c r="W1206" s="64">
        <v>155000</v>
      </c>
      <c r="X1206" s="64">
        <v>170500</v>
      </c>
      <c r="Y1206" s="64">
        <v>9200</v>
      </c>
      <c r="Z1206" s="64">
        <v>10120</v>
      </c>
      <c r="AA1206" s="61">
        <v>44752</v>
      </c>
      <c r="AB1206" s="61">
        <v>44757</v>
      </c>
      <c r="AC1206" s="61">
        <v>44757</v>
      </c>
      <c r="AD1206" s="60">
        <v>0</v>
      </c>
      <c r="AG1206" s="60">
        <v>0</v>
      </c>
      <c r="AJ1206" s="60">
        <v>0</v>
      </c>
      <c r="AM1206" s="60" t="s">
        <v>273</v>
      </c>
      <c r="AN1206" s="60" t="s">
        <v>3982</v>
      </c>
      <c r="AQ1206" s="60" t="s">
        <v>3775</v>
      </c>
      <c r="AR1206" s="61">
        <v>44740</v>
      </c>
      <c r="AS1206" s="60">
        <v>6002045987</v>
      </c>
      <c r="AT1206" s="61">
        <v>44740</v>
      </c>
      <c r="AU1206" s="60" t="s">
        <v>3780</v>
      </c>
      <c r="AV1206" s="61">
        <v>44757</v>
      </c>
      <c r="AW1206" s="91">
        <v>44773</v>
      </c>
      <c r="AX1206" s="91">
        <v>44785</v>
      </c>
      <c r="AY1206" s="99">
        <v>157632</v>
      </c>
      <c r="AZ1206" s="99">
        <f>ROUNDDOWN(AY1206+(AY1206*MASTER!$A$2/100),0)</f>
        <v>173395</v>
      </c>
      <c r="BA1206" s="60" t="s">
        <v>314</v>
      </c>
      <c r="BB1206" s="64">
        <v>21000</v>
      </c>
      <c r="BC1206" s="64">
        <v>23100</v>
      </c>
      <c r="BD1206" s="60" t="s">
        <v>3800</v>
      </c>
      <c r="BG1206" s="64">
        <v>0</v>
      </c>
      <c r="BI1206" s="60" t="s">
        <v>748</v>
      </c>
      <c r="BJ1206" s="64">
        <v>5980</v>
      </c>
      <c r="BK1206" s="64">
        <v>6578</v>
      </c>
      <c r="BL1206" s="60" t="s">
        <v>3800</v>
      </c>
      <c r="BS1206" s="64">
        <v>0</v>
      </c>
      <c r="BV1206" s="65">
        <v>170500</v>
      </c>
      <c r="BW1206" s="65">
        <v>29678</v>
      </c>
      <c r="BX1206" s="65">
        <v>44715</v>
      </c>
      <c r="BY1206" s="65">
        <v>140822</v>
      </c>
      <c r="BZ1206" s="81">
        <v>82.593548387096774</v>
      </c>
    </row>
    <row r="1207" spans="1:89" x14ac:dyDescent="0.15">
      <c r="A1207" s="60">
        <v>2</v>
      </c>
      <c r="B1207" s="61">
        <v>44736</v>
      </c>
      <c r="C1207" s="61">
        <v>44742</v>
      </c>
      <c r="D1207" s="61">
        <v>44750</v>
      </c>
      <c r="F1207" s="61" t="s">
        <v>309</v>
      </c>
      <c r="G1207" s="61">
        <v>44734</v>
      </c>
      <c r="H1207" s="61" t="s">
        <v>309</v>
      </c>
      <c r="I1207" s="60" t="s">
        <v>774</v>
      </c>
      <c r="J1207" s="60">
        <v>2</v>
      </c>
      <c r="L1207" s="60">
        <v>0</v>
      </c>
      <c r="M1207" s="61">
        <v>44715</v>
      </c>
      <c r="O1207" s="62" t="s">
        <v>331</v>
      </c>
      <c r="P1207" s="60" t="s">
        <v>26</v>
      </c>
      <c r="Q1207" s="62" t="s">
        <v>138</v>
      </c>
      <c r="R1207" s="62" t="s">
        <v>3544</v>
      </c>
      <c r="S1207" s="63" t="s">
        <v>1085</v>
      </c>
      <c r="T1207" s="63" t="s">
        <v>3543</v>
      </c>
      <c r="U1207" s="64">
        <v>100500</v>
      </c>
      <c r="V1207" s="64">
        <v>110550</v>
      </c>
      <c r="W1207" s="64">
        <v>100500</v>
      </c>
      <c r="X1207" s="64">
        <v>110550</v>
      </c>
      <c r="Y1207" s="64">
        <v>0</v>
      </c>
      <c r="Z1207" s="64">
        <v>0</v>
      </c>
      <c r="AA1207" s="61">
        <v>44733</v>
      </c>
      <c r="AB1207" s="61">
        <v>44733</v>
      </c>
      <c r="AD1207" s="60">
        <v>0</v>
      </c>
      <c r="AG1207" s="60">
        <v>0</v>
      </c>
      <c r="AJ1207" s="60">
        <v>0</v>
      </c>
      <c r="AQ1207" s="60" t="s">
        <v>3727</v>
      </c>
      <c r="AR1207" s="61">
        <v>44725</v>
      </c>
      <c r="AS1207" s="60">
        <v>6002039330</v>
      </c>
      <c r="AT1207" s="61">
        <v>44727</v>
      </c>
      <c r="AU1207" s="60" t="s">
        <v>3640</v>
      </c>
      <c r="AV1207" s="61">
        <v>44742</v>
      </c>
      <c r="AW1207" s="91">
        <v>44742</v>
      </c>
      <c r="AX1207" s="91">
        <v>44762</v>
      </c>
      <c r="AY1207" s="99">
        <v>96480</v>
      </c>
      <c r="AZ1207" s="99">
        <f>ROUNDDOWN(AY1207+(AY1207*MASTER!$A$2/100),0)</f>
        <v>106128</v>
      </c>
      <c r="BA1207" s="60" t="s">
        <v>314</v>
      </c>
      <c r="BB1207" s="64">
        <v>48000</v>
      </c>
      <c r="BC1207" s="64">
        <v>52800</v>
      </c>
      <c r="BD1207" s="60" t="s">
        <v>3530</v>
      </c>
      <c r="BG1207" s="64">
        <v>0</v>
      </c>
      <c r="BK1207" s="64">
        <v>0</v>
      </c>
      <c r="BS1207" s="64">
        <v>0</v>
      </c>
      <c r="BV1207" s="65">
        <v>110550</v>
      </c>
      <c r="BW1207" s="65">
        <v>52800</v>
      </c>
      <c r="BX1207" s="65">
        <v>44715</v>
      </c>
      <c r="BY1207" s="65">
        <v>57750</v>
      </c>
      <c r="BZ1207" s="81">
        <v>52.238805970149251</v>
      </c>
    </row>
    <row r="1208" spans="1:89" x14ac:dyDescent="0.15">
      <c r="A1208" s="60">
        <v>2</v>
      </c>
      <c r="B1208" s="61">
        <v>44728</v>
      </c>
      <c r="C1208" s="61">
        <v>44732</v>
      </c>
      <c r="D1208" s="61">
        <v>44725</v>
      </c>
      <c r="E1208" s="61">
        <v>44725</v>
      </c>
      <c r="F1208" s="61" t="s">
        <v>309</v>
      </c>
      <c r="G1208" s="61">
        <v>44725</v>
      </c>
      <c r="H1208" s="61" t="s">
        <v>309</v>
      </c>
      <c r="I1208" s="60" t="s">
        <v>766</v>
      </c>
      <c r="J1208" s="60">
        <v>2</v>
      </c>
      <c r="L1208" s="60">
        <v>0</v>
      </c>
      <c r="M1208" s="61">
        <v>44718</v>
      </c>
      <c r="O1208" s="62" t="s">
        <v>331</v>
      </c>
      <c r="P1208" s="60" t="s">
        <v>6</v>
      </c>
      <c r="Q1208" s="62" t="s">
        <v>138</v>
      </c>
      <c r="R1208" s="62" t="s">
        <v>3549</v>
      </c>
      <c r="S1208" s="63" t="s">
        <v>797</v>
      </c>
      <c r="T1208" s="63" t="s">
        <v>364</v>
      </c>
      <c r="U1208" s="64">
        <v>51000</v>
      </c>
      <c r="V1208" s="64">
        <v>56100</v>
      </c>
      <c r="W1208" s="64">
        <v>51000</v>
      </c>
      <c r="X1208" s="64">
        <v>56100</v>
      </c>
      <c r="Y1208" s="64">
        <v>0</v>
      </c>
      <c r="Z1208" s="64">
        <v>0</v>
      </c>
      <c r="AA1208" s="61">
        <v>44722</v>
      </c>
      <c r="AB1208" s="61">
        <v>44722</v>
      </c>
      <c r="AD1208" s="60">
        <v>0</v>
      </c>
      <c r="AG1208" s="60">
        <v>0</v>
      </c>
      <c r="AJ1208" s="60">
        <v>0</v>
      </c>
      <c r="AQ1208" s="60" t="s">
        <v>3629</v>
      </c>
      <c r="AR1208" s="61">
        <v>44725</v>
      </c>
      <c r="AS1208" s="60">
        <v>6002039330</v>
      </c>
      <c r="AT1208" s="61">
        <v>44727</v>
      </c>
      <c r="AU1208" s="60" t="s">
        <v>3640</v>
      </c>
      <c r="AV1208" s="61">
        <v>44732</v>
      </c>
      <c r="AW1208" s="91">
        <v>44742</v>
      </c>
      <c r="AX1208" s="91">
        <v>44762</v>
      </c>
      <c r="AY1208" s="99">
        <v>48960</v>
      </c>
      <c r="AZ1208" s="99">
        <f>ROUNDDOWN(AY1208+(AY1208*MASTER!$A$2/100),0)</f>
        <v>53856</v>
      </c>
      <c r="BA1208" s="60" t="s">
        <v>317</v>
      </c>
      <c r="BB1208" s="64">
        <v>48000</v>
      </c>
      <c r="BC1208" s="64">
        <v>52800</v>
      </c>
      <c r="BD1208" s="60" t="s">
        <v>3530</v>
      </c>
      <c r="BG1208" s="64">
        <v>0</v>
      </c>
      <c r="BK1208" s="64">
        <v>0</v>
      </c>
      <c r="BS1208" s="64">
        <v>0</v>
      </c>
      <c r="BV1208" s="65">
        <v>56100</v>
      </c>
      <c r="BW1208" s="65">
        <v>52800</v>
      </c>
      <c r="BX1208" s="65">
        <v>44718</v>
      </c>
      <c r="BY1208" s="65">
        <v>3300</v>
      </c>
      <c r="BZ1208" s="81">
        <v>5.8823529411764701</v>
      </c>
    </row>
    <row r="1209" spans="1:89" x14ac:dyDescent="0.15">
      <c r="A1209" s="60">
        <v>1</v>
      </c>
      <c r="B1209" s="61">
        <v>44777</v>
      </c>
      <c r="C1209" s="61">
        <v>44778</v>
      </c>
      <c r="F1209" s="61" t="s">
        <v>309</v>
      </c>
      <c r="H1209" s="61" t="s">
        <v>309</v>
      </c>
      <c r="J1209" s="60">
        <v>3</v>
      </c>
      <c r="L1209" s="60">
        <v>0</v>
      </c>
      <c r="M1209" s="61">
        <v>44718</v>
      </c>
      <c r="O1209" s="62" t="s">
        <v>331</v>
      </c>
      <c r="P1209" s="60" t="s">
        <v>6</v>
      </c>
      <c r="Q1209" s="62" t="s">
        <v>138</v>
      </c>
      <c r="R1209" s="62" t="s">
        <v>3550</v>
      </c>
      <c r="S1209" s="63" t="s">
        <v>685</v>
      </c>
      <c r="T1209" s="63" t="s">
        <v>463</v>
      </c>
      <c r="U1209" s="64">
        <v>9000</v>
      </c>
      <c r="V1209" s="64">
        <v>9900</v>
      </c>
      <c r="W1209" s="64">
        <v>0</v>
      </c>
      <c r="X1209" s="64">
        <v>0</v>
      </c>
      <c r="Y1209" s="64">
        <v>9000</v>
      </c>
      <c r="Z1209" s="64">
        <v>9900</v>
      </c>
      <c r="AD1209" s="60">
        <v>0</v>
      </c>
      <c r="AG1209" s="60">
        <v>0</v>
      </c>
      <c r="AJ1209" s="60">
        <v>0</v>
      </c>
      <c r="AQ1209" s="60" t="s">
        <v>3756</v>
      </c>
      <c r="AR1209" s="61">
        <v>44739</v>
      </c>
      <c r="AS1209" s="60">
        <v>6002045513</v>
      </c>
      <c r="AT1209" s="61">
        <v>44739</v>
      </c>
      <c r="AU1209" s="60" t="s">
        <v>3767</v>
      </c>
      <c r="AV1209" s="61">
        <v>44778</v>
      </c>
      <c r="AW1209" s="91">
        <v>44804</v>
      </c>
      <c r="AX1209" s="91">
        <v>44824</v>
      </c>
      <c r="AY1209" s="99">
        <v>8640</v>
      </c>
      <c r="AZ1209" s="99">
        <f>ROUNDDOWN(AY1209+(AY1209*MASTER!$A$2/100),0)</f>
        <v>9504</v>
      </c>
      <c r="BC1209" s="64">
        <v>0</v>
      </c>
      <c r="BG1209" s="64">
        <v>0</v>
      </c>
      <c r="BK1209" s="64">
        <v>0</v>
      </c>
      <c r="BS1209" s="64">
        <v>0</v>
      </c>
      <c r="BV1209" s="65">
        <v>0</v>
      </c>
      <c r="BW1209" s="65">
        <v>0</v>
      </c>
      <c r="BX1209" s="65">
        <v>44718</v>
      </c>
      <c r="BY1209" s="65">
        <v>0</v>
      </c>
      <c r="BZ1209" s="81" t="s">
        <v>309</v>
      </c>
    </row>
    <row r="1210" spans="1:89" x14ac:dyDescent="0.15">
      <c r="A1210" s="60">
        <v>2</v>
      </c>
      <c r="C1210" s="61" t="s">
        <v>309</v>
      </c>
      <c r="F1210" s="61" t="s">
        <v>309</v>
      </c>
      <c r="H1210" s="61" t="s">
        <v>309</v>
      </c>
      <c r="J1210" s="60">
        <v>4</v>
      </c>
      <c r="L1210" s="60">
        <v>0</v>
      </c>
      <c r="M1210" s="61">
        <v>44718</v>
      </c>
      <c r="O1210" s="62" t="s">
        <v>331</v>
      </c>
      <c r="P1210" s="60" t="s">
        <v>263</v>
      </c>
      <c r="Q1210" s="62" t="s">
        <v>138</v>
      </c>
      <c r="R1210" s="62" t="s">
        <v>3552</v>
      </c>
      <c r="S1210" s="63" t="s">
        <v>737</v>
      </c>
      <c r="T1210" s="63" t="s">
        <v>3553</v>
      </c>
      <c r="U1210" s="64">
        <v>0</v>
      </c>
      <c r="V1210" s="64">
        <v>0</v>
      </c>
      <c r="W1210" s="64">
        <v>0</v>
      </c>
      <c r="X1210" s="64">
        <v>0</v>
      </c>
      <c r="Y1210" s="64">
        <v>0</v>
      </c>
      <c r="Z1210" s="64">
        <v>0</v>
      </c>
      <c r="AA1210" s="61">
        <v>44682</v>
      </c>
      <c r="AB1210" s="61">
        <v>44712</v>
      </c>
      <c r="AD1210" s="60">
        <v>0</v>
      </c>
      <c r="AG1210" s="60">
        <v>0</v>
      </c>
      <c r="AJ1210" s="60">
        <v>0</v>
      </c>
      <c r="AN1210" s="60" t="s">
        <v>309</v>
      </c>
      <c r="AY1210" s="99">
        <f>ROUNDDOWN((0.96*U1210),0)</f>
        <v>0</v>
      </c>
      <c r="AZ1210" s="99">
        <f>ROUNDDOWN(AY1210+(AY1210*MASTER!$A$2/100),0)</f>
        <v>0</v>
      </c>
      <c r="BA1210" s="60" t="s">
        <v>613</v>
      </c>
      <c r="BB1210" s="64">
        <v>11000</v>
      </c>
      <c r="BC1210" s="64">
        <v>12100</v>
      </c>
      <c r="BD1210" s="60" t="s">
        <v>3360</v>
      </c>
      <c r="BG1210" s="64">
        <v>0</v>
      </c>
      <c r="BK1210" s="64">
        <v>0</v>
      </c>
      <c r="BS1210" s="64">
        <v>0</v>
      </c>
      <c r="BV1210" s="65">
        <v>0</v>
      </c>
      <c r="BW1210" s="65">
        <v>12100</v>
      </c>
      <c r="BX1210" s="65">
        <v>44718</v>
      </c>
      <c r="BY1210" s="65">
        <v>-12100</v>
      </c>
      <c r="BZ1210" s="81" t="s">
        <v>309</v>
      </c>
    </row>
    <row r="1211" spans="1:89" x14ac:dyDescent="0.15">
      <c r="A1211" s="60">
        <v>2</v>
      </c>
      <c r="B1211" s="61">
        <v>44743</v>
      </c>
      <c r="C1211" s="61">
        <v>44748</v>
      </c>
      <c r="D1211" s="61">
        <v>44783</v>
      </c>
      <c r="E1211" s="61">
        <v>44753</v>
      </c>
      <c r="F1211" s="61">
        <v>44755</v>
      </c>
      <c r="G1211" s="61">
        <v>44749</v>
      </c>
      <c r="H1211" s="61">
        <v>44751</v>
      </c>
      <c r="I1211" s="60" t="s">
        <v>511</v>
      </c>
      <c r="J1211" s="60">
        <v>1</v>
      </c>
      <c r="L1211" s="60">
        <v>0</v>
      </c>
      <c r="M1211" s="61">
        <v>44719</v>
      </c>
      <c r="O1211" s="62" t="s">
        <v>331</v>
      </c>
      <c r="P1211" s="60" t="s">
        <v>26</v>
      </c>
      <c r="Q1211" s="62" t="s">
        <v>138</v>
      </c>
      <c r="R1211" s="62" t="s">
        <v>3826</v>
      </c>
      <c r="S1211" s="63" t="s">
        <v>3827</v>
      </c>
      <c r="T1211" s="63" t="s">
        <v>3828</v>
      </c>
      <c r="U1211" s="64">
        <v>462440</v>
      </c>
      <c r="V1211" s="64">
        <v>508684</v>
      </c>
      <c r="W1211" s="64">
        <v>388740</v>
      </c>
      <c r="X1211" s="64">
        <v>427614</v>
      </c>
      <c r="Y1211" s="64">
        <v>73700</v>
      </c>
      <c r="Z1211" s="64">
        <v>81070</v>
      </c>
      <c r="AA1211" s="61">
        <v>44745</v>
      </c>
      <c r="AB1211" s="61">
        <v>44748</v>
      </c>
      <c r="AC1211" s="61">
        <v>44748</v>
      </c>
      <c r="AD1211" s="60">
        <v>0</v>
      </c>
      <c r="AG1211" s="60">
        <v>0</v>
      </c>
      <c r="AJ1211" s="60">
        <v>0</v>
      </c>
      <c r="AM1211" s="60" t="s">
        <v>273</v>
      </c>
      <c r="AN1211" s="60" t="s">
        <v>3829</v>
      </c>
      <c r="AQ1211" s="60" t="s">
        <v>3755</v>
      </c>
      <c r="AR1211" s="61">
        <v>44739</v>
      </c>
      <c r="AS1211" s="60">
        <v>6002045513</v>
      </c>
      <c r="AT1211" s="61">
        <v>44739</v>
      </c>
      <c r="AU1211" s="60" t="s">
        <v>3767</v>
      </c>
      <c r="AV1211" s="61">
        <v>44748</v>
      </c>
      <c r="AW1211" s="91">
        <v>44773</v>
      </c>
      <c r="AX1211" s="91">
        <v>44793</v>
      </c>
      <c r="AY1211" s="99">
        <v>443942</v>
      </c>
      <c r="AZ1211" s="99">
        <f>ROUNDDOWN(AY1211+(AY1211*MASTER!$A$2/100),0)</f>
        <v>488336</v>
      </c>
      <c r="BA1211" s="60" t="s">
        <v>314</v>
      </c>
      <c r="BB1211" s="64">
        <v>151800</v>
      </c>
      <c r="BC1211" s="64">
        <v>166980</v>
      </c>
      <c r="BD1211" s="60" t="s">
        <v>3800</v>
      </c>
      <c r="BG1211" s="64">
        <v>0</v>
      </c>
      <c r="BI1211" s="60" t="s">
        <v>748</v>
      </c>
      <c r="BJ1211" s="64">
        <v>47905</v>
      </c>
      <c r="BK1211" s="64">
        <v>52695.5</v>
      </c>
      <c r="BL1211" s="60" t="s">
        <v>3800</v>
      </c>
      <c r="BS1211" s="64">
        <v>0</v>
      </c>
      <c r="BV1211" s="65">
        <v>427614</v>
      </c>
      <c r="BW1211" s="65">
        <v>219675.5</v>
      </c>
      <c r="BX1211" s="65">
        <v>44719</v>
      </c>
      <c r="BY1211" s="65">
        <v>207938.5</v>
      </c>
      <c r="BZ1211" s="81">
        <v>48.62761743067346</v>
      </c>
    </row>
    <row r="1212" spans="1:89" x14ac:dyDescent="0.15">
      <c r="A1212" s="60">
        <v>2</v>
      </c>
      <c r="B1212" s="61">
        <v>44774</v>
      </c>
      <c r="C1212" s="61">
        <v>44781</v>
      </c>
      <c r="D1212" s="61" t="s">
        <v>764</v>
      </c>
      <c r="E1212" s="61">
        <v>44785</v>
      </c>
      <c r="F1212" s="61">
        <v>44788</v>
      </c>
      <c r="G1212" s="61">
        <v>44782</v>
      </c>
      <c r="H1212" s="61">
        <v>44784</v>
      </c>
      <c r="I1212" s="60" t="s">
        <v>511</v>
      </c>
      <c r="J1212" s="60">
        <v>1</v>
      </c>
      <c r="L1212" s="60">
        <v>0</v>
      </c>
      <c r="M1212" s="61">
        <v>44719</v>
      </c>
      <c r="O1212" s="62" t="s">
        <v>331</v>
      </c>
      <c r="P1212" s="60" t="s">
        <v>26</v>
      </c>
      <c r="Q1212" s="62" t="s">
        <v>138</v>
      </c>
      <c r="R1212" s="62" t="s">
        <v>4225</v>
      </c>
      <c r="S1212" s="63" t="s">
        <v>840</v>
      </c>
      <c r="T1212" s="63" t="s">
        <v>502</v>
      </c>
      <c r="U1212" s="64">
        <v>23900</v>
      </c>
      <c r="V1212" s="64">
        <v>26290</v>
      </c>
      <c r="W1212" s="64">
        <v>14700</v>
      </c>
      <c r="X1212" s="64">
        <v>16170</v>
      </c>
      <c r="Y1212" s="64">
        <v>9200</v>
      </c>
      <c r="Z1212" s="64">
        <v>10120</v>
      </c>
      <c r="AA1212" s="61">
        <v>44780</v>
      </c>
      <c r="AB1212" s="61">
        <v>44781</v>
      </c>
      <c r="AC1212" s="61">
        <v>44781</v>
      </c>
      <c r="AD1212" s="60">
        <v>0</v>
      </c>
      <c r="AG1212" s="60">
        <v>0</v>
      </c>
      <c r="AJ1212" s="60">
        <v>0</v>
      </c>
      <c r="AM1212" s="60" t="s">
        <v>273</v>
      </c>
      <c r="AN1212" s="60" t="s">
        <v>4226</v>
      </c>
      <c r="AQ1212" s="60" t="s">
        <v>3671</v>
      </c>
      <c r="AR1212" s="61">
        <v>44733</v>
      </c>
      <c r="AS1212" s="60">
        <v>6002043049</v>
      </c>
      <c r="AT1212" s="61">
        <v>44733</v>
      </c>
      <c r="AU1212" s="60" t="s">
        <v>3705</v>
      </c>
      <c r="AV1212" s="61">
        <v>44781</v>
      </c>
      <c r="AW1212" s="91">
        <v>44804</v>
      </c>
      <c r="AX1212" s="91">
        <v>44824</v>
      </c>
      <c r="AY1212" s="99">
        <v>22944</v>
      </c>
      <c r="AZ1212" s="99">
        <f>ROUNDDOWN(AY1212+(AY1212*MASTER!$A$2/100),0)</f>
        <v>25238</v>
      </c>
      <c r="BA1212" s="60" t="s">
        <v>765</v>
      </c>
      <c r="BC1212" s="64">
        <v>0</v>
      </c>
      <c r="BG1212" s="64">
        <v>0</v>
      </c>
      <c r="BI1212" s="60" t="s">
        <v>267</v>
      </c>
      <c r="BJ1212" s="64">
        <v>5980</v>
      </c>
      <c r="BK1212" s="64">
        <v>6578</v>
      </c>
      <c r="BL1212" s="60" t="s">
        <v>4069</v>
      </c>
      <c r="BS1212" s="64">
        <v>0</v>
      </c>
      <c r="BV1212" s="65">
        <v>16170</v>
      </c>
      <c r="BW1212" s="65">
        <v>6578</v>
      </c>
      <c r="BX1212" s="65">
        <v>44719</v>
      </c>
      <c r="BY1212" s="65">
        <v>9592</v>
      </c>
      <c r="BZ1212" s="81">
        <v>59.319727891156461</v>
      </c>
    </row>
    <row r="1213" spans="1:89" x14ac:dyDescent="0.15">
      <c r="A1213" s="60">
        <v>2</v>
      </c>
      <c r="B1213" s="61">
        <v>44774</v>
      </c>
      <c r="C1213" s="61">
        <v>44781</v>
      </c>
      <c r="D1213" s="61">
        <v>44816</v>
      </c>
      <c r="E1213" s="61">
        <v>44785</v>
      </c>
      <c r="F1213" s="61">
        <v>44788</v>
      </c>
      <c r="G1213" s="61">
        <v>44783</v>
      </c>
      <c r="H1213" s="61">
        <v>44784</v>
      </c>
      <c r="I1213" s="60" t="s">
        <v>511</v>
      </c>
      <c r="J1213" s="60">
        <v>1</v>
      </c>
      <c r="L1213" s="60">
        <v>0</v>
      </c>
      <c r="M1213" s="61">
        <v>44719</v>
      </c>
      <c r="O1213" s="62" t="s">
        <v>331</v>
      </c>
      <c r="P1213" s="60" t="s">
        <v>26</v>
      </c>
      <c r="Q1213" s="62" t="s">
        <v>138</v>
      </c>
      <c r="R1213" s="62" t="s">
        <v>4101</v>
      </c>
      <c r="S1213" s="63" t="s">
        <v>482</v>
      </c>
      <c r="T1213" s="63" t="s">
        <v>607</v>
      </c>
      <c r="U1213" s="64">
        <v>704440</v>
      </c>
      <c r="V1213" s="64">
        <v>774884</v>
      </c>
      <c r="W1213" s="64">
        <v>580740</v>
      </c>
      <c r="X1213" s="64">
        <v>638814</v>
      </c>
      <c r="Y1213" s="64">
        <v>123700</v>
      </c>
      <c r="Z1213" s="64">
        <v>136070</v>
      </c>
      <c r="AA1213" s="61">
        <v>44773</v>
      </c>
      <c r="AB1213" s="61">
        <v>44781</v>
      </c>
      <c r="AC1213" s="61">
        <v>44781</v>
      </c>
      <c r="AD1213" s="60">
        <v>0</v>
      </c>
      <c r="AG1213" s="60">
        <v>0</v>
      </c>
      <c r="AJ1213" s="60">
        <v>0</v>
      </c>
      <c r="AM1213" s="60" t="s">
        <v>273</v>
      </c>
      <c r="AN1213" s="60" t="s">
        <v>4102</v>
      </c>
      <c r="AQ1213" s="60" t="s">
        <v>3757</v>
      </c>
      <c r="AR1213" s="61">
        <v>44739</v>
      </c>
      <c r="AS1213" s="60">
        <v>6002045513</v>
      </c>
      <c r="AT1213" s="61">
        <v>44739</v>
      </c>
      <c r="AU1213" s="60" t="s">
        <v>3767</v>
      </c>
      <c r="AV1213" s="61">
        <v>44781</v>
      </c>
      <c r="AW1213" s="91">
        <v>44804</v>
      </c>
      <c r="AX1213" s="91">
        <v>44824</v>
      </c>
      <c r="AY1213" s="99">
        <v>676262</v>
      </c>
      <c r="AZ1213" s="99">
        <f>ROUNDDOWN(AY1213+(AY1213*MASTER!$A$2/100),0)</f>
        <v>743888</v>
      </c>
      <c r="BA1213" s="60" t="s">
        <v>314</v>
      </c>
      <c r="BB1213" s="64">
        <v>299000</v>
      </c>
      <c r="BC1213" s="64">
        <v>328900</v>
      </c>
      <c r="BD1213" s="60" t="s">
        <v>3940</v>
      </c>
      <c r="BG1213" s="64">
        <v>0</v>
      </c>
      <c r="BI1213" s="60" t="s">
        <v>748</v>
      </c>
      <c r="BJ1213" s="64">
        <v>80405</v>
      </c>
      <c r="BK1213" s="64">
        <v>88445.5</v>
      </c>
      <c r="BL1213" s="60" t="s">
        <v>3940</v>
      </c>
      <c r="BS1213" s="64">
        <v>0</v>
      </c>
      <c r="BV1213" s="65">
        <v>638814</v>
      </c>
      <c r="BW1213" s="65">
        <v>417345.5</v>
      </c>
      <c r="BX1213" s="65">
        <v>44719</v>
      </c>
      <c r="BY1213" s="65">
        <v>221468.5</v>
      </c>
      <c r="BZ1213" s="81">
        <v>34.668698557013464</v>
      </c>
    </row>
    <row r="1214" spans="1:89" x14ac:dyDescent="0.15">
      <c r="A1214" s="60">
        <v>2</v>
      </c>
      <c r="B1214" s="61">
        <v>44736</v>
      </c>
      <c r="C1214" s="61">
        <v>44740</v>
      </c>
      <c r="D1214" s="61" t="s">
        <v>764</v>
      </c>
      <c r="E1214" s="61">
        <v>44742</v>
      </c>
      <c r="F1214" s="61">
        <v>44747</v>
      </c>
      <c r="G1214" s="61">
        <v>44742</v>
      </c>
      <c r="H1214" s="61">
        <v>44743</v>
      </c>
      <c r="I1214" s="60" t="s">
        <v>511</v>
      </c>
      <c r="J1214" s="60">
        <v>1</v>
      </c>
      <c r="L1214" s="60">
        <v>0</v>
      </c>
      <c r="M1214" s="61">
        <v>44719</v>
      </c>
      <c r="O1214" s="62" t="s">
        <v>331</v>
      </c>
      <c r="P1214" s="60" t="s">
        <v>26</v>
      </c>
      <c r="Q1214" s="62" t="s">
        <v>138</v>
      </c>
      <c r="R1214" s="62" t="s">
        <v>3598</v>
      </c>
      <c r="S1214" s="63" t="s">
        <v>550</v>
      </c>
      <c r="T1214" s="63" t="s">
        <v>1093</v>
      </c>
      <c r="U1214" s="64">
        <v>23900</v>
      </c>
      <c r="V1214" s="64">
        <v>26290</v>
      </c>
      <c r="W1214" s="64">
        <v>14700</v>
      </c>
      <c r="X1214" s="64">
        <v>16170</v>
      </c>
      <c r="Y1214" s="64">
        <v>9200</v>
      </c>
      <c r="Z1214" s="64">
        <v>10120</v>
      </c>
      <c r="AA1214" s="61">
        <v>44739</v>
      </c>
      <c r="AB1214" s="61">
        <v>44740</v>
      </c>
      <c r="AC1214" s="61">
        <v>44740</v>
      </c>
      <c r="AD1214" s="60">
        <v>0</v>
      </c>
      <c r="AG1214" s="60">
        <v>0</v>
      </c>
      <c r="AJ1214" s="60">
        <v>0</v>
      </c>
      <c r="AM1214" s="60" t="s">
        <v>273</v>
      </c>
      <c r="AN1214" s="60" t="s">
        <v>3599</v>
      </c>
      <c r="AQ1214" s="60" t="s">
        <v>3732</v>
      </c>
      <c r="AR1214" s="61">
        <v>44725</v>
      </c>
      <c r="AS1214" s="60">
        <v>6002039330</v>
      </c>
      <c r="AT1214" s="61">
        <v>44727</v>
      </c>
      <c r="AU1214" s="60" t="s">
        <v>3640</v>
      </c>
      <c r="AV1214" s="61">
        <v>44740</v>
      </c>
      <c r="AW1214" s="91">
        <v>44742</v>
      </c>
      <c r="AX1214" s="91">
        <v>44762</v>
      </c>
      <c r="AY1214" s="99">
        <v>22944</v>
      </c>
      <c r="AZ1214" s="99">
        <f>ROUNDDOWN(AY1214+(AY1214*MASTER!$A$2/100),0)</f>
        <v>25238</v>
      </c>
      <c r="BA1214" s="60" t="s">
        <v>765</v>
      </c>
      <c r="BC1214" s="64">
        <v>0</v>
      </c>
      <c r="BG1214" s="64">
        <v>0</v>
      </c>
      <c r="BI1214" s="60" t="s">
        <v>267</v>
      </c>
      <c r="BJ1214" s="64">
        <v>5980</v>
      </c>
      <c r="BK1214" s="64">
        <v>6578</v>
      </c>
      <c r="BL1214" s="60" t="s">
        <v>3048</v>
      </c>
      <c r="BS1214" s="64">
        <v>0</v>
      </c>
      <c r="BV1214" s="65">
        <v>16170</v>
      </c>
      <c r="BW1214" s="65">
        <v>6578</v>
      </c>
      <c r="BX1214" s="65">
        <v>44719</v>
      </c>
      <c r="BY1214" s="65">
        <v>9592</v>
      </c>
      <c r="BZ1214" s="81">
        <v>59.319727891156461</v>
      </c>
    </row>
    <row r="1215" spans="1:89" x14ac:dyDescent="0.15">
      <c r="A1215" s="60">
        <v>2</v>
      </c>
      <c r="B1215" s="61">
        <v>44790</v>
      </c>
      <c r="C1215" s="61">
        <v>44788</v>
      </c>
      <c r="D1215" s="61">
        <v>44806</v>
      </c>
      <c r="E1215" s="61">
        <v>44798</v>
      </c>
      <c r="F1215" s="61">
        <v>44804</v>
      </c>
      <c r="G1215" s="61">
        <v>44797</v>
      </c>
      <c r="H1215" s="61">
        <v>44800</v>
      </c>
      <c r="I1215" s="60" t="s">
        <v>511</v>
      </c>
      <c r="J1215" s="60">
        <v>1</v>
      </c>
      <c r="L1215" s="60">
        <v>0</v>
      </c>
      <c r="M1215" s="61">
        <v>44719</v>
      </c>
      <c r="O1215" s="62" t="s">
        <v>331</v>
      </c>
      <c r="P1215" s="60" t="s">
        <v>26</v>
      </c>
      <c r="Q1215" s="62" t="s">
        <v>138</v>
      </c>
      <c r="R1215" s="62" t="s">
        <v>3569</v>
      </c>
      <c r="S1215" s="63" t="s">
        <v>659</v>
      </c>
      <c r="T1215" s="63" t="s">
        <v>756</v>
      </c>
      <c r="U1215" s="64">
        <v>162000</v>
      </c>
      <c r="V1215" s="64">
        <v>178200</v>
      </c>
      <c r="W1215" s="64">
        <v>97000</v>
      </c>
      <c r="X1215" s="64">
        <v>106700</v>
      </c>
      <c r="Y1215" s="64">
        <v>65000</v>
      </c>
      <c r="Z1215" s="64">
        <v>71500</v>
      </c>
      <c r="AA1215" s="61">
        <v>44796</v>
      </c>
      <c r="AB1215" s="61">
        <v>44797</v>
      </c>
      <c r="AC1215" s="61">
        <v>44797</v>
      </c>
      <c r="AD1215" s="60">
        <v>0</v>
      </c>
      <c r="AG1215" s="60">
        <v>0</v>
      </c>
      <c r="AJ1215" s="60">
        <v>0</v>
      </c>
      <c r="AM1215" s="60" t="s">
        <v>344</v>
      </c>
      <c r="AQ1215" s="60" t="s">
        <v>4501</v>
      </c>
      <c r="AR1215" s="61">
        <v>44720</v>
      </c>
      <c r="AS1215" s="60">
        <v>6002037361</v>
      </c>
      <c r="AT1215" s="61">
        <v>44725</v>
      </c>
      <c r="AU1215" s="60" t="s">
        <v>3616</v>
      </c>
      <c r="AV1215" s="61">
        <v>44788</v>
      </c>
      <c r="AW1215" s="91">
        <v>44804</v>
      </c>
      <c r="AX1215" s="91">
        <v>44824</v>
      </c>
      <c r="AY1215" s="99">
        <v>155520</v>
      </c>
      <c r="AZ1215" s="99">
        <f>ROUNDDOWN(AY1215+(AY1215*MASTER!$A$2/100),0)</f>
        <v>171072</v>
      </c>
      <c r="BA1215" s="60" t="s">
        <v>613</v>
      </c>
      <c r="BB1215" s="64">
        <v>57000</v>
      </c>
      <c r="BC1215" s="64">
        <v>62700</v>
      </c>
      <c r="BD1215" s="60" t="s">
        <v>3940</v>
      </c>
      <c r="BG1215" s="64">
        <v>0</v>
      </c>
      <c r="BI1215" s="60" t="s">
        <v>748</v>
      </c>
      <c r="BJ1215" s="64">
        <v>42250</v>
      </c>
      <c r="BK1215" s="64">
        <v>46475</v>
      </c>
      <c r="BL1215" s="60" t="s">
        <v>3940</v>
      </c>
      <c r="BS1215" s="64">
        <v>0</v>
      </c>
      <c r="BV1215" s="65">
        <v>106700</v>
      </c>
      <c r="BW1215" s="65">
        <v>109175</v>
      </c>
      <c r="BX1215" s="65">
        <v>44719</v>
      </c>
      <c r="BY1215" s="65">
        <v>-2475</v>
      </c>
      <c r="BZ1215" s="81">
        <v>-2.3195876288659796</v>
      </c>
    </row>
    <row r="1216" spans="1:89" x14ac:dyDescent="0.15">
      <c r="A1216" s="60">
        <v>2</v>
      </c>
      <c r="B1216" s="61">
        <v>44743</v>
      </c>
      <c r="C1216" s="61">
        <v>44743</v>
      </c>
      <c r="D1216" s="61">
        <v>44747</v>
      </c>
      <c r="F1216" s="61">
        <v>44750</v>
      </c>
      <c r="G1216" s="61">
        <v>44743</v>
      </c>
      <c r="H1216" s="61">
        <v>44746</v>
      </c>
      <c r="I1216" s="60" t="s">
        <v>774</v>
      </c>
      <c r="J1216" s="60">
        <v>2</v>
      </c>
      <c r="L1216" s="60">
        <v>0</v>
      </c>
      <c r="M1216" s="61">
        <v>44719</v>
      </c>
      <c r="O1216" s="62" t="s">
        <v>331</v>
      </c>
      <c r="P1216" s="60" t="s">
        <v>26</v>
      </c>
      <c r="Q1216" s="62" t="s">
        <v>138</v>
      </c>
      <c r="R1216" s="62" t="s">
        <v>3801</v>
      </c>
      <c r="S1216" s="63" t="s">
        <v>439</v>
      </c>
      <c r="T1216" s="63" t="s">
        <v>3802</v>
      </c>
      <c r="U1216" s="64">
        <v>344400</v>
      </c>
      <c r="V1216" s="64">
        <v>378840</v>
      </c>
      <c r="W1216" s="64">
        <v>344400</v>
      </c>
      <c r="X1216" s="64">
        <v>378840</v>
      </c>
      <c r="Z1216" s="64">
        <v>0</v>
      </c>
      <c r="AA1216" s="61">
        <v>44741</v>
      </c>
      <c r="AB1216" s="61">
        <v>44743</v>
      </c>
      <c r="AC1216" s="61">
        <v>44743</v>
      </c>
      <c r="AD1216" s="60">
        <v>0</v>
      </c>
      <c r="AG1216" s="60">
        <v>0</v>
      </c>
      <c r="AJ1216" s="60">
        <v>0</v>
      </c>
      <c r="AM1216" s="60" t="s">
        <v>273</v>
      </c>
      <c r="AN1216" s="60" t="s">
        <v>3803</v>
      </c>
      <c r="AQ1216" s="60" t="s">
        <v>3721</v>
      </c>
      <c r="AR1216" s="61">
        <v>44734</v>
      </c>
      <c r="AS1216" s="60">
        <v>6002043743</v>
      </c>
      <c r="AT1216" s="61">
        <v>44735</v>
      </c>
      <c r="AU1216" s="60" t="s">
        <v>3735</v>
      </c>
      <c r="AV1216" s="61">
        <v>44743</v>
      </c>
      <c r="AW1216" s="91">
        <v>44773</v>
      </c>
      <c r="AX1216" s="91">
        <v>44793</v>
      </c>
      <c r="AY1216" s="99">
        <v>330624</v>
      </c>
      <c r="AZ1216" s="99">
        <f>ROUNDDOWN(AY1216+(AY1216*MASTER!$A$2/100),0)</f>
        <v>363686</v>
      </c>
      <c r="BA1216" s="60" t="s">
        <v>317</v>
      </c>
      <c r="BB1216" s="64">
        <v>84200</v>
      </c>
      <c r="BC1216" s="64">
        <v>92620</v>
      </c>
      <c r="BD1216" s="60" t="s">
        <v>3530</v>
      </c>
      <c r="BG1216" s="64">
        <v>0</v>
      </c>
      <c r="BK1216" s="64">
        <v>0</v>
      </c>
      <c r="BS1216" s="64">
        <v>0</v>
      </c>
      <c r="BV1216" s="65">
        <v>378840</v>
      </c>
      <c r="BW1216" s="65">
        <v>92620</v>
      </c>
      <c r="BX1216" s="65">
        <v>44719</v>
      </c>
      <c r="BY1216" s="65">
        <v>286220</v>
      </c>
      <c r="BZ1216" s="81">
        <v>75.551684088269454</v>
      </c>
    </row>
    <row r="1217" spans="1:89" x14ac:dyDescent="0.15">
      <c r="A1217" s="60">
        <v>2</v>
      </c>
      <c r="B1217" s="61">
        <v>44743</v>
      </c>
      <c r="C1217" s="61">
        <v>44746</v>
      </c>
      <c r="D1217" s="61">
        <v>44775</v>
      </c>
      <c r="E1217" s="61">
        <v>44750</v>
      </c>
      <c r="F1217" s="61">
        <v>44753</v>
      </c>
      <c r="G1217" s="61">
        <v>44746</v>
      </c>
      <c r="H1217" s="61">
        <v>44749</v>
      </c>
      <c r="I1217" s="60" t="s">
        <v>511</v>
      </c>
      <c r="J1217" s="60">
        <v>1</v>
      </c>
      <c r="L1217" s="60">
        <v>0</v>
      </c>
      <c r="M1217" s="61">
        <v>44719</v>
      </c>
      <c r="O1217" s="62" t="s">
        <v>331</v>
      </c>
      <c r="P1217" s="60" t="s">
        <v>26</v>
      </c>
      <c r="Q1217" s="62" t="s">
        <v>138</v>
      </c>
      <c r="R1217" s="62" t="s">
        <v>3810</v>
      </c>
      <c r="S1217" s="63" t="s">
        <v>1166</v>
      </c>
      <c r="T1217" s="63" t="s">
        <v>3811</v>
      </c>
      <c r="U1217" s="64">
        <v>202500</v>
      </c>
      <c r="V1217" s="64">
        <v>222750</v>
      </c>
      <c r="W1217" s="64">
        <v>110000</v>
      </c>
      <c r="X1217" s="64">
        <v>121000</v>
      </c>
      <c r="Y1217" s="64">
        <v>92500</v>
      </c>
      <c r="Z1217" s="64">
        <v>101750</v>
      </c>
      <c r="AA1217" s="61">
        <v>44745</v>
      </c>
      <c r="AB1217" s="61">
        <v>44746</v>
      </c>
      <c r="AC1217" s="61">
        <v>44746</v>
      </c>
      <c r="AD1217" s="60">
        <v>0</v>
      </c>
      <c r="AG1217" s="60">
        <v>0</v>
      </c>
      <c r="AJ1217" s="60">
        <v>0</v>
      </c>
      <c r="AM1217" s="60" t="s">
        <v>273</v>
      </c>
      <c r="AN1217" s="60" t="s">
        <v>3812</v>
      </c>
      <c r="AQ1217" s="60" t="s">
        <v>3673</v>
      </c>
      <c r="AR1217" s="61">
        <v>44733</v>
      </c>
      <c r="AS1217" s="60">
        <v>6002043049</v>
      </c>
      <c r="AT1217" s="61">
        <v>44733</v>
      </c>
      <c r="AU1217" s="60" t="s">
        <v>3705</v>
      </c>
      <c r="AV1217" s="61">
        <v>44746</v>
      </c>
      <c r="AW1217" s="91">
        <v>44773</v>
      </c>
      <c r="AX1217" s="91">
        <v>44793</v>
      </c>
      <c r="AY1217" s="99">
        <v>194400</v>
      </c>
      <c r="AZ1217" s="99">
        <f>ROUNDDOWN(AY1217+(AY1217*MASTER!$A$2/100),0)</f>
        <v>213840</v>
      </c>
      <c r="BA1217" s="60" t="s">
        <v>780</v>
      </c>
      <c r="BB1217" s="64">
        <v>45000</v>
      </c>
      <c r="BC1217" s="64">
        <v>49500</v>
      </c>
      <c r="BD1217" s="60" t="s">
        <v>3800</v>
      </c>
      <c r="BG1217" s="64">
        <v>0</v>
      </c>
      <c r="BI1217" s="60" t="s">
        <v>748</v>
      </c>
      <c r="BJ1217" s="64">
        <v>60125</v>
      </c>
      <c r="BK1217" s="64">
        <v>66137.5</v>
      </c>
      <c r="BL1217" s="60" t="s">
        <v>3800</v>
      </c>
      <c r="BS1217" s="64">
        <v>0</v>
      </c>
      <c r="BV1217" s="65">
        <v>121000</v>
      </c>
      <c r="BW1217" s="65">
        <v>115637.5</v>
      </c>
      <c r="BX1217" s="65">
        <v>44719</v>
      </c>
      <c r="BY1217" s="65">
        <v>5362.5</v>
      </c>
      <c r="BZ1217" s="81">
        <v>4.4318181818181817</v>
      </c>
    </row>
    <row r="1218" spans="1:89" x14ac:dyDescent="0.15">
      <c r="A1218" s="60">
        <v>2</v>
      </c>
      <c r="B1218" s="61">
        <v>44754</v>
      </c>
      <c r="C1218" s="61">
        <v>44757</v>
      </c>
      <c r="E1218" s="61">
        <v>44762</v>
      </c>
      <c r="F1218" s="61">
        <v>44764</v>
      </c>
      <c r="G1218" s="61">
        <v>44757</v>
      </c>
      <c r="H1218" s="61">
        <v>44760</v>
      </c>
      <c r="I1218" s="60" t="s">
        <v>511</v>
      </c>
      <c r="J1218" s="60">
        <v>1</v>
      </c>
      <c r="L1218" s="60">
        <v>0</v>
      </c>
      <c r="M1218" s="61">
        <v>44719</v>
      </c>
      <c r="N1218" s="143"/>
      <c r="O1218" s="62" t="s">
        <v>331</v>
      </c>
      <c r="P1218" s="60" t="s">
        <v>26</v>
      </c>
      <c r="Q1218" s="62" t="s">
        <v>138</v>
      </c>
      <c r="R1218" s="62" t="s">
        <v>3647</v>
      </c>
      <c r="S1218" s="63" t="s">
        <v>3648</v>
      </c>
      <c r="T1218" s="63" t="s">
        <v>442</v>
      </c>
      <c r="U1218" s="64">
        <v>59000</v>
      </c>
      <c r="V1218" s="64">
        <v>64900</v>
      </c>
      <c r="W1218" s="64">
        <v>47000</v>
      </c>
      <c r="X1218" s="64">
        <v>51700</v>
      </c>
      <c r="Y1218" s="64">
        <v>12000</v>
      </c>
      <c r="Z1218" s="64">
        <v>13200</v>
      </c>
      <c r="AA1218" s="61">
        <v>44752</v>
      </c>
      <c r="AB1218" s="61">
        <v>44757</v>
      </c>
      <c r="AC1218" s="61">
        <v>44757</v>
      </c>
      <c r="AD1218" s="60">
        <v>0</v>
      </c>
      <c r="AG1218" s="60">
        <v>0</v>
      </c>
      <c r="AJ1218" s="60">
        <v>0</v>
      </c>
      <c r="AM1218" s="60" t="s">
        <v>273</v>
      </c>
      <c r="AN1218" s="60" t="s">
        <v>3649</v>
      </c>
      <c r="AQ1218" s="60" t="s">
        <v>3723</v>
      </c>
      <c r="AR1218" s="61">
        <v>44734</v>
      </c>
      <c r="AS1218" s="60">
        <v>6002043743</v>
      </c>
      <c r="AT1218" s="61">
        <v>44735</v>
      </c>
      <c r="AU1218" s="60" t="s">
        <v>3735</v>
      </c>
      <c r="AV1218" s="61">
        <v>44757</v>
      </c>
      <c r="AW1218" s="91">
        <v>44773</v>
      </c>
      <c r="AX1218" s="91">
        <v>44793</v>
      </c>
      <c r="AY1218" s="99">
        <v>56640</v>
      </c>
      <c r="AZ1218" s="99">
        <f>ROUNDDOWN(AY1218+(AY1218*MASTER!$A$2/100),0)</f>
        <v>62304</v>
      </c>
      <c r="BA1218" s="60" t="s">
        <v>765</v>
      </c>
      <c r="BC1218" s="64">
        <v>0</v>
      </c>
      <c r="BG1218" s="64">
        <v>0</v>
      </c>
      <c r="BK1218" s="64">
        <v>0</v>
      </c>
      <c r="BS1218" s="64">
        <v>0</v>
      </c>
      <c r="BV1218" s="65">
        <v>51700</v>
      </c>
      <c r="BW1218" s="65">
        <v>0</v>
      </c>
      <c r="BX1218" s="65">
        <v>44719</v>
      </c>
      <c r="BY1218" s="65">
        <v>51700</v>
      </c>
      <c r="BZ1218" s="81">
        <v>100</v>
      </c>
      <c r="CD1218" s="63" t="s">
        <v>3650</v>
      </c>
    </row>
    <row r="1219" spans="1:89" x14ac:dyDescent="0.15">
      <c r="A1219" s="60">
        <v>2</v>
      </c>
      <c r="B1219" s="61">
        <v>44728</v>
      </c>
      <c r="C1219" s="61">
        <v>44732</v>
      </c>
      <c r="D1219" s="61">
        <v>44725</v>
      </c>
      <c r="E1219" s="61">
        <v>44725</v>
      </c>
      <c r="F1219" s="61" t="s">
        <v>309</v>
      </c>
      <c r="G1219" s="61">
        <v>44725</v>
      </c>
      <c r="H1219" s="61" t="s">
        <v>309</v>
      </c>
      <c r="I1219" s="60" t="s">
        <v>766</v>
      </c>
      <c r="J1219" s="60">
        <v>2</v>
      </c>
      <c r="L1219" s="60">
        <v>0</v>
      </c>
      <c r="M1219" s="61">
        <v>44719</v>
      </c>
      <c r="O1219" s="62" t="s">
        <v>331</v>
      </c>
      <c r="P1219" s="60" t="s">
        <v>6</v>
      </c>
      <c r="Q1219" s="62" t="s">
        <v>138</v>
      </c>
      <c r="R1219" s="62" t="s">
        <v>3570</v>
      </c>
      <c r="S1219" s="63" t="s">
        <v>3338</v>
      </c>
      <c r="T1219" s="63" t="s">
        <v>364</v>
      </c>
      <c r="U1219" s="64">
        <v>51000</v>
      </c>
      <c r="V1219" s="64">
        <v>56100</v>
      </c>
      <c r="W1219" s="64">
        <v>51000</v>
      </c>
      <c r="X1219" s="64">
        <v>56100</v>
      </c>
      <c r="Y1219" s="64">
        <v>0</v>
      </c>
      <c r="Z1219" s="64">
        <v>0</v>
      </c>
      <c r="AA1219" s="61">
        <v>44724</v>
      </c>
      <c r="AB1219" s="61">
        <v>44724</v>
      </c>
      <c r="AD1219" s="60">
        <v>0</v>
      </c>
      <c r="AG1219" s="60">
        <v>0</v>
      </c>
      <c r="AJ1219" s="60">
        <v>0</v>
      </c>
      <c r="AQ1219" s="60" t="s">
        <v>3611</v>
      </c>
      <c r="AR1219" s="61">
        <v>44725</v>
      </c>
      <c r="AS1219" s="60">
        <v>6002039330</v>
      </c>
      <c r="AT1219" s="61">
        <v>44727</v>
      </c>
      <c r="AU1219" s="60" t="s">
        <v>3640</v>
      </c>
      <c r="AV1219" s="61">
        <v>44732</v>
      </c>
      <c r="AW1219" s="91">
        <v>44742</v>
      </c>
      <c r="AX1219" s="91">
        <v>44762</v>
      </c>
      <c r="AY1219" s="99">
        <v>48960</v>
      </c>
      <c r="AZ1219" s="99">
        <f>ROUNDDOWN(AY1219+(AY1219*MASTER!$A$2/100),0)</f>
        <v>53856</v>
      </c>
      <c r="BA1219" s="60" t="s">
        <v>317</v>
      </c>
      <c r="BB1219" s="64">
        <v>23000</v>
      </c>
      <c r="BC1219" s="64">
        <v>25300</v>
      </c>
      <c r="BD1219" s="60" t="s">
        <v>3530</v>
      </c>
      <c r="BG1219" s="64">
        <v>0</v>
      </c>
      <c r="BK1219" s="64">
        <v>0</v>
      </c>
      <c r="BS1219" s="64">
        <v>0</v>
      </c>
      <c r="BV1219" s="65">
        <v>56100</v>
      </c>
      <c r="BW1219" s="65">
        <v>25300</v>
      </c>
      <c r="BX1219" s="65">
        <v>44719</v>
      </c>
      <c r="BY1219" s="65">
        <v>30800</v>
      </c>
      <c r="BZ1219" s="81">
        <v>54.901960784313729</v>
      </c>
    </row>
    <row r="1220" spans="1:89" x14ac:dyDescent="0.15">
      <c r="A1220" s="60">
        <v>2</v>
      </c>
      <c r="B1220" s="61">
        <v>44732</v>
      </c>
      <c r="C1220" s="61">
        <v>44732</v>
      </c>
      <c r="D1220" s="61">
        <v>44720</v>
      </c>
      <c r="E1220" s="61">
        <v>44720</v>
      </c>
      <c r="F1220" s="61" t="s">
        <v>309</v>
      </c>
      <c r="G1220" s="61">
        <v>44720</v>
      </c>
      <c r="H1220" s="61" t="s">
        <v>309</v>
      </c>
      <c r="I1220" s="60" t="s">
        <v>766</v>
      </c>
      <c r="J1220" s="60">
        <v>2</v>
      </c>
      <c r="L1220" s="60">
        <v>0</v>
      </c>
      <c r="M1220" s="61">
        <v>44720</v>
      </c>
      <c r="O1220" s="62" t="s">
        <v>331</v>
      </c>
      <c r="P1220" s="60" t="s">
        <v>6</v>
      </c>
      <c r="Q1220" s="62" t="s">
        <v>138</v>
      </c>
      <c r="R1220" s="62" t="s">
        <v>3581</v>
      </c>
      <c r="S1220" s="63" t="s">
        <v>2943</v>
      </c>
      <c r="T1220" s="63" t="s">
        <v>364</v>
      </c>
      <c r="U1220" s="64">
        <v>35000</v>
      </c>
      <c r="V1220" s="64">
        <v>38500</v>
      </c>
      <c r="W1220" s="64">
        <v>35000</v>
      </c>
      <c r="X1220" s="64">
        <v>38500</v>
      </c>
      <c r="Z1220" s="64">
        <v>0</v>
      </c>
      <c r="AA1220" s="61">
        <v>44718</v>
      </c>
      <c r="AB1220" s="61">
        <v>44718</v>
      </c>
      <c r="AD1220" s="60">
        <v>0</v>
      </c>
      <c r="AG1220" s="60">
        <v>0</v>
      </c>
      <c r="AJ1220" s="60">
        <v>0</v>
      </c>
      <c r="AN1220" s="60" t="s">
        <v>309</v>
      </c>
      <c r="AQ1220" s="60" t="s">
        <v>3637</v>
      </c>
      <c r="AR1220" s="61">
        <v>44725</v>
      </c>
      <c r="AS1220" s="60">
        <v>6002039330</v>
      </c>
      <c r="AT1220" s="61">
        <v>44727</v>
      </c>
      <c r="AU1220" s="60" t="s">
        <v>3640</v>
      </c>
      <c r="AV1220" s="61">
        <v>44732</v>
      </c>
      <c r="AW1220" s="91">
        <v>44742</v>
      </c>
      <c r="AX1220" s="91">
        <v>44762</v>
      </c>
      <c r="AY1220" s="99">
        <v>33600</v>
      </c>
      <c r="AZ1220" s="99">
        <f>ROUNDDOWN(AY1220+(AY1220*MASTER!$A$2/100),0)</f>
        <v>36960</v>
      </c>
      <c r="BA1220" s="60" t="s">
        <v>613</v>
      </c>
      <c r="BB1220" s="64">
        <v>26000</v>
      </c>
      <c r="BC1220" s="64">
        <v>28600</v>
      </c>
      <c r="BD1220" s="60" t="s">
        <v>3530</v>
      </c>
      <c r="BG1220" s="64">
        <v>0</v>
      </c>
      <c r="BK1220" s="64">
        <v>0</v>
      </c>
      <c r="BS1220" s="64">
        <v>0</v>
      </c>
      <c r="BV1220" s="65">
        <v>38500</v>
      </c>
      <c r="BW1220" s="65">
        <v>28600</v>
      </c>
      <c r="BX1220" s="65">
        <v>44720</v>
      </c>
      <c r="BY1220" s="65">
        <v>9900</v>
      </c>
      <c r="BZ1220" s="81">
        <v>25.714285714285712</v>
      </c>
    </row>
    <row r="1221" spans="1:89" x14ac:dyDescent="0.15">
      <c r="A1221" s="60">
        <v>2</v>
      </c>
      <c r="B1221" s="61">
        <v>44728</v>
      </c>
      <c r="C1221" s="61">
        <v>44732</v>
      </c>
      <c r="D1221" s="61">
        <v>44720</v>
      </c>
      <c r="E1221" s="61">
        <v>44720</v>
      </c>
      <c r="F1221" s="61" t="s">
        <v>309</v>
      </c>
      <c r="G1221" s="61">
        <v>44720</v>
      </c>
      <c r="H1221" s="61" t="s">
        <v>309</v>
      </c>
      <c r="I1221" s="60" t="s">
        <v>494</v>
      </c>
      <c r="J1221" s="60">
        <v>2</v>
      </c>
      <c r="L1221" s="60">
        <v>0</v>
      </c>
      <c r="M1221" s="61">
        <v>44720</v>
      </c>
      <c r="O1221" s="62" t="s">
        <v>331</v>
      </c>
      <c r="P1221" s="60" t="s">
        <v>6</v>
      </c>
      <c r="Q1221" s="62" t="s">
        <v>138</v>
      </c>
      <c r="R1221" s="62" t="s">
        <v>3585</v>
      </c>
      <c r="S1221" s="63" t="s">
        <v>1557</v>
      </c>
      <c r="T1221" s="63" t="s">
        <v>364</v>
      </c>
      <c r="U1221" s="64">
        <v>35000</v>
      </c>
      <c r="V1221" s="64">
        <v>38500</v>
      </c>
      <c r="W1221" s="64">
        <v>35000</v>
      </c>
      <c r="X1221" s="64">
        <v>38500</v>
      </c>
      <c r="Y1221" s="64">
        <v>0</v>
      </c>
      <c r="Z1221" s="64">
        <v>0</v>
      </c>
      <c r="AA1221" s="61">
        <v>44719</v>
      </c>
      <c r="AB1221" s="61">
        <v>44719</v>
      </c>
      <c r="AD1221" s="60">
        <v>0</v>
      </c>
      <c r="AG1221" s="60">
        <v>0</v>
      </c>
      <c r="AJ1221" s="60">
        <v>0</v>
      </c>
      <c r="AN1221" s="60" t="s">
        <v>309</v>
      </c>
      <c r="AQ1221" s="60" t="s">
        <v>3652</v>
      </c>
      <c r="AR1221" s="61">
        <v>44725</v>
      </c>
      <c r="AS1221" s="60">
        <v>6002039330</v>
      </c>
      <c r="AT1221" s="61">
        <v>44727</v>
      </c>
      <c r="AU1221" s="60" t="s">
        <v>3640</v>
      </c>
      <c r="AV1221" s="61">
        <v>44732</v>
      </c>
      <c r="AW1221" s="91">
        <v>44742</v>
      </c>
      <c r="AX1221" s="91">
        <v>44762</v>
      </c>
      <c r="AY1221" s="99">
        <v>33600</v>
      </c>
      <c r="AZ1221" s="99">
        <f>ROUNDDOWN(AY1221+(AY1221*MASTER!$A$2/100),0)</f>
        <v>36960</v>
      </c>
      <c r="BA1221" s="60" t="s">
        <v>492</v>
      </c>
      <c r="BB1221" s="64">
        <v>22000</v>
      </c>
      <c r="BC1221" s="64">
        <v>24200</v>
      </c>
      <c r="BD1221" s="60" t="s">
        <v>3048</v>
      </c>
      <c r="BG1221" s="64">
        <v>0</v>
      </c>
      <c r="BK1221" s="64">
        <v>0</v>
      </c>
      <c r="BS1221" s="64">
        <v>0</v>
      </c>
      <c r="BV1221" s="65">
        <v>38500</v>
      </c>
      <c r="BW1221" s="65">
        <v>24200</v>
      </c>
      <c r="BX1221" s="65">
        <v>44720</v>
      </c>
      <c r="BY1221" s="65">
        <v>14300</v>
      </c>
      <c r="BZ1221" s="81">
        <v>37.142857142857146</v>
      </c>
    </row>
    <row r="1222" spans="1:89" x14ac:dyDescent="0.15">
      <c r="A1222" s="60">
        <v>1</v>
      </c>
      <c r="B1222" s="61">
        <v>44732</v>
      </c>
      <c r="C1222" s="61">
        <v>44734</v>
      </c>
      <c r="F1222" s="61" t="s">
        <v>309</v>
      </c>
      <c r="H1222" s="61" t="s">
        <v>309</v>
      </c>
      <c r="J1222" s="60">
        <v>2</v>
      </c>
      <c r="L1222" s="60">
        <v>0</v>
      </c>
      <c r="M1222" s="61">
        <v>44720</v>
      </c>
      <c r="O1222" s="62" t="s">
        <v>331</v>
      </c>
      <c r="P1222" s="60" t="s">
        <v>26</v>
      </c>
      <c r="Q1222" s="62" t="s">
        <v>138</v>
      </c>
      <c r="R1222" s="62" t="s">
        <v>3572</v>
      </c>
      <c r="S1222" s="63" t="s">
        <v>550</v>
      </c>
      <c r="T1222" s="63" t="s">
        <v>3571</v>
      </c>
      <c r="U1222" s="64">
        <v>50000</v>
      </c>
      <c r="V1222" s="64">
        <v>55000</v>
      </c>
      <c r="W1222" s="64">
        <v>50000</v>
      </c>
      <c r="X1222" s="64">
        <v>55000</v>
      </c>
      <c r="Y1222" s="64">
        <v>0</v>
      </c>
      <c r="Z1222" s="64">
        <v>0</v>
      </c>
      <c r="AA1222" s="61">
        <v>44719</v>
      </c>
      <c r="AD1222" s="60">
        <v>0</v>
      </c>
      <c r="AG1222" s="60">
        <v>0</v>
      </c>
      <c r="AJ1222" s="60">
        <v>0</v>
      </c>
      <c r="AQ1222" s="60" t="s">
        <v>3450</v>
      </c>
      <c r="AR1222" s="61">
        <v>44727</v>
      </c>
      <c r="AS1222" s="60">
        <v>6002040849</v>
      </c>
      <c r="AT1222" s="61">
        <v>44729</v>
      </c>
      <c r="AU1222" s="60" t="s">
        <v>3656</v>
      </c>
      <c r="AV1222" s="61">
        <v>44734</v>
      </c>
      <c r="AW1222" s="91">
        <v>44742</v>
      </c>
      <c r="AX1222" s="91">
        <v>44762</v>
      </c>
      <c r="AY1222" s="107">
        <v>50000</v>
      </c>
      <c r="AZ1222" s="107">
        <f>ROUNDDOWN(AY1222+(AY1222*MASTER!$A$2/100),0)</f>
        <v>55000</v>
      </c>
      <c r="BC1222" s="64">
        <v>0</v>
      </c>
      <c r="BG1222" s="64">
        <v>0</v>
      </c>
      <c r="BK1222" s="64">
        <v>0</v>
      </c>
      <c r="BS1222" s="64">
        <v>0</v>
      </c>
      <c r="BV1222" s="65">
        <v>55000</v>
      </c>
      <c r="BW1222" s="65">
        <v>0</v>
      </c>
      <c r="BX1222" s="65">
        <v>44720</v>
      </c>
      <c r="BY1222" s="65">
        <v>55000</v>
      </c>
      <c r="BZ1222" s="81">
        <v>100</v>
      </c>
    </row>
    <row r="1223" spans="1:89" x14ac:dyDescent="0.15">
      <c r="A1223" s="60">
        <v>2</v>
      </c>
      <c r="B1223" s="61">
        <v>44754</v>
      </c>
      <c r="C1223" s="61">
        <v>44757</v>
      </c>
      <c r="D1223" s="61">
        <v>44775</v>
      </c>
      <c r="E1223" s="61">
        <v>44762</v>
      </c>
      <c r="F1223" s="61">
        <v>44764</v>
      </c>
      <c r="G1223" s="61">
        <v>44757</v>
      </c>
      <c r="H1223" s="61">
        <v>44760</v>
      </c>
      <c r="I1223" s="60" t="s">
        <v>511</v>
      </c>
      <c r="J1223" s="60">
        <v>1</v>
      </c>
      <c r="L1223" s="60">
        <v>0</v>
      </c>
      <c r="M1223" s="61">
        <v>44720</v>
      </c>
      <c r="O1223" s="62" t="s">
        <v>331</v>
      </c>
      <c r="P1223" s="60" t="s">
        <v>26</v>
      </c>
      <c r="Q1223" s="62" t="s">
        <v>138</v>
      </c>
      <c r="R1223" s="62" t="s">
        <v>3983</v>
      </c>
      <c r="S1223" s="63" t="s">
        <v>557</v>
      </c>
      <c r="T1223" s="63" t="s">
        <v>2510</v>
      </c>
      <c r="U1223" s="64">
        <v>50000</v>
      </c>
      <c r="V1223" s="64">
        <v>55000</v>
      </c>
      <c r="W1223" s="64">
        <v>47000</v>
      </c>
      <c r="X1223" s="64">
        <v>51700</v>
      </c>
      <c r="Y1223" s="64">
        <v>3000</v>
      </c>
      <c r="Z1223" s="64">
        <v>3300</v>
      </c>
      <c r="AA1223" s="61">
        <v>44755</v>
      </c>
      <c r="AB1223" s="61">
        <v>44757</v>
      </c>
      <c r="AC1223" s="61">
        <v>44757</v>
      </c>
      <c r="AD1223" s="60">
        <v>0</v>
      </c>
      <c r="AG1223" s="60">
        <v>0</v>
      </c>
      <c r="AJ1223" s="60">
        <v>0</v>
      </c>
      <c r="AM1223" s="60" t="s">
        <v>273</v>
      </c>
      <c r="AN1223" s="60" t="s">
        <v>3984</v>
      </c>
      <c r="AQ1223" s="60" t="s">
        <v>3879</v>
      </c>
      <c r="AR1223" s="61">
        <v>44743</v>
      </c>
      <c r="AS1223" s="60">
        <v>6002047169</v>
      </c>
      <c r="AT1223" s="61">
        <v>44743</v>
      </c>
      <c r="AU1223" s="60" t="s">
        <v>3889</v>
      </c>
      <c r="AV1223" s="61">
        <v>44757</v>
      </c>
      <c r="AW1223" s="91">
        <v>44773</v>
      </c>
      <c r="AX1223" s="91">
        <v>44793</v>
      </c>
      <c r="AY1223" s="99">
        <v>48000</v>
      </c>
      <c r="AZ1223" s="99">
        <f>ROUNDDOWN(AY1223+(AY1223*MASTER!$A$2/100),0)</f>
        <v>52800</v>
      </c>
      <c r="BA1223" s="60" t="s">
        <v>780</v>
      </c>
      <c r="BB1223" s="64">
        <v>41000</v>
      </c>
      <c r="BC1223" s="64">
        <v>45100</v>
      </c>
      <c r="BD1223" s="60" t="s">
        <v>3800</v>
      </c>
      <c r="BG1223" s="64">
        <v>0</v>
      </c>
      <c r="BI1223" s="60" t="s">
        <v>748</v>
      </c>
      <c r="BJ1223" s="64">
        <v>1950</v>
      </c>
      <c r="BK1223" s="64">
        <v>2145</v>
      </c>
      <c r="BL1223" s="60" t="s">
        <v>3800</v>
      </c>
      <c r="BS1223" s="64">
        <v>0</v>
      </c>
      <c r="BV1223" s="65">
        <v>51700</v>
      </c>
      <c r="BW1223" s="65">
        <v>47245</v>
      </c>
      <c r="BX1223" s="65">
        <v>44720</v>
      </c>
      <c r="BY1223" s="65">
        <v>4455</v>
      </c>
      <c r="BZ1223" s="81">
        <v>8.6170212765957448</v>
      </c>
    </row>
    <row r="1224" spans="1:89" x14ac:dyDescent="0.15">
      <c r="A1224" s="60">
        <v>2</v>
      </c>
      <c r="B1224" s="61">
        <v>44754</v>
      </c>
      <c r="C1224" s="61">
        <v>44757</v>
      </c>
      <c r="D1224" s="61">
        <v>44775</v>
      </c>
      <c r="E1224" s="61">
        <v>44763</v>
      </c>
      <c r="F1224" s="61">
        <v>44764</v>
      </c>
      <c r="G1224" s="61">
        <v>44757</v>
      </c>
      <c r="H1224" s="61">
        <v>44760</v>
      </c>
      <c r="I1224" s="60" t="s">
        <v>511</v>
      </c>
      <c r="J1224" s="60">
        <v>1</v>
      </c>
      <c r="L1224" s="60">
        <v>0</v>
      </c>
      <c r="M1224" s="61">
        <v>44720</v>
      </c>
      <c r="O1224" s="62" t="s">
        <v>331</v>
      </c>
      <c r="P1224" s="60" t="s">
        <v>26</v>
      </c>
      <c r="Q1224" s="62" t="s">
        <v>138</v>
      </c>
      <c r="R1224" s="62" t="s">
        <v>3973</v>
      </c>
      <c r="S1224" s="63" t="s">
        <v>1073</v>
      </c>
      <c r="T1224" s="63" t="s">
        <v>3974</v>
      </c>
      <c r="U1224" s="64">
        <v>50000</v>
      </c>
      <c r="V1224" s="64">
        <v>55000</v>
      </c>
      <c r="W1224" s="64">
        <v>47000</v>
      </c>
      <c r="X1224" s="64">
        <v>51700</v>
      </c>
      <c r="Y1224" s="64">
        <v>3000</v>
      </c>
      <c r="Z1224" s="64">
        <v>3300</v>
      </c>
      <c r="AA1224" s="61">
        <v>44756</v>
      </c>
      <c r="AB1224" s="61">
        <v>44757</v>
      </c>
      <c r="AC1224" s="61">
        <v>44757</v>
      </c>
      <c r="AD1224" s="60">
        <v>0</v>
      </c>
      <c r="AG1224" s="60">
        <v>0</v>
      </c>
      <c r="AJ1224" s="60">
        <v>0</v>
      </c>
      <c r="AM1224" s="60" t="s">
        <v>273</v>
      </c>
      <c r="AN1224" s="60" t="s">
        <v>3975</v>
      </c>
      <c r="AQ1224" s="60" t="s">
        <v>3675</v>
      </c>
      <c r="AR1224" s="61">
        <v>44733</v>
      </c>
      <c r="AS1224" s="60">
        <v>6002043049</v>
      </c>
      <c r="AT1224" s="61">
        <v>44733</v>
      </c>
      <c r="AU1224" s="60" t="s">
        <v>3705</v>
      </c>
      <c r="AV1224" s="61">
        <v>44757</v>
      </c>
      <c r="AW1224" s="91">
        <v>44773</v>
      </c>
      <c r="AX1224" s="91">
        <v>44793</v>
      </c>
      <c r="AY1224" s="99">
        <v>48000</v>
      </c>
      <c r="AZ1224" s="99">
        <f>ROUNDDOWN(AY1224+(AY1224*MASTER!$A$2/100),0)</f>
        <v>52800</v>
      </c>
      <c r="BA1224" s="60" t="s">
        <v>780</v>
      </c>
      <c r="BB1224" s="64">
        <v>41000</v>
      </c>
      <c r="BC1224" s="64">
        <v>45100</v>
      </c>
      <c r="BD1224" s="60" t="s">
        <v>3800</v>
      </c>
      <c r="BG1224" s="64">
        <v>0</v>
      </c>
      <c r="BI1224" s="60" t="s">
        <v>748</v>
      </c>
      <c r="BJ1224" s="64">
        <v>1950</v>
      </c>
      <c r="BK1224" s="64">
        <v>2145</v>
      </c>
      <c r="BL1224" s="60" t="s">
        <v>3800</v>
      </c>
      <c r="BS1224" s="64">
        <v>0</v>
      </c>
      <c r="BV1224" s="65">
        <v>51700</v>
      </c>
      <c r="BW1224" s="65">
        <v>47245</v>
      </c>
      <c r="BX1224" s="65">
        <v>44720</v>
      </c>
      <c r="BY1224" s="65">
        <v>4455</v>
      </c>
      <c r="BZ1224" s="81">
        <v>8.6170212765957448</v>
      </c>
    </row>
    <row r="1225" spans="1:89" x14ac:dyDescent="0.15">
      <c r="A1225" s="60">
        <v>1</v>
      </c>
      <c r="B1225" s="61">
        <v>44754</v>
      </c>
      <c r="C1225" s="61">
        <v>44757</v>
      </c>
      <c r="D1225" s="61" t="s">
        <v>764</v>
      </c>
      <c r="E1225" s="61">
        <v>44763</v>
      </c>
      <c r="F1225" s="61">
        <v>44764</v>
      </c>
      <c r="G1225" s="61">
        <v>44762</v>
      </c>
      <c r="H1225" s="61">
        <v>44760</v>
      </c>
      <c r="I1225" s="60" t="s">
        <v>511</v>
      </c>
      <c r="J1225" s="60">
        <v>1</v>
      </c>
      <c r="L1225" s="60">
        <v>0</v>
      </c>
      <c r="M1225" s="61">
        <v>44720</v>
      </c>
      <c r="O1225" s="62" t="s">
        <v>331</v>
      </c>
      <c r="P1225" s="60" t="s">
        <v>26</v>
      </c>
      <c r="Q1225" s="62" t="s">
        <v>138</v>
      </c>
      <c r="R1225" s="62" t="s">
        <v>3582</v>
      </c>
      <c r="S1225" s="63" t="s">
        <v>3583</v>
      </c>
      <c r="T1225" s="63" t="s">
        <v>1377</v>
      </c>
      <c r="U1225" s="64">
        <v>23900</v>
      </c>
      <c r="V1225" s="64">
        <v>26290</v>
      </c>
      <c r="W1225" s="64">
        <v>14700</v>
      </c>
      <c r="X1225" s="64">
        <v>16170</v>
      </c>
      <c r="Y1225" s="64">
        <v>9200</v>
      </c>
      <c r="Z1225" s="64">
        <v>10120</v>
      </c>
      <c r="AA1225" s="61">
        <v>44756</v>
      </c>
      <c r="AB1225" s="61">
        <v>44757</v>
      </c>
      <c r="AC1225" s="61">
        <v>44757</v>
      </c>
      <c r="AD1225" s="60">
        <v>0</v>
      </c>
      <c r="AG1225" s="60">
        <v>0</v>
      </c>
      <c r="AJ1225" s="60">
        <v>0</v>
      </c>
      <c r="AM1225" s="60" t="s">
        <v>273</v>
      </c>
      <c r="AN1225" s="60" t="s">
        <v>3584</v>
      </c>
      <c r="AQ1225" s="60" t="s">
        <v>3720</v>
      </c>
      <c r="AR1225" s="61">
        <v>44734</v>
      </c>
      <c r="AS1225" s="60">
        <v>6002043743</v>
      </c>
      <c r="AT1225" s="61">
        <v>44735</v>
      </c>
      <c r="AU1225" s="60" t="s">
        <v>3735</v>
      </c>
      <c r="AV1225" s="61">
        <v>44757</v>
      </c>
      <c r="AW1225" s="91">
        <v>44773</v>
      </c>
      <c r="AX1225" s="91">
        <v>44793</v>
      </c>
      <c r="AY1225" s="99">
        <v>22944</v>
      </c>
      <c r="AZ1225" s="99">
        <f>ROUNDDOWN(AY1225+(AY1225*MASTER!$A$2/100),0)</f>
        <v>25238</v>
      </c>
      <c r="BA1225" s="60" t="s">
        <v>765</v>
      </c>
      <c r="BC1225" s="64">
        <v>0</v>
      </c>
      <c r="BG1225" s="64">
        <v>0</v>
      </c>
      <c r="BI1225" s="60" t="s">
        <v>748</v>
      </c>
      <c r="BJ1225" s="64">
        <v>5980</v>
      </c>
      <c r="BK1225" s="64">
        <v>6578</v>
      </c>
      <c r="BL1225" s="60" t="s">
        <v>3885</v>
      </c>
      <c r="BS1225" s="64">
        <v>0</v>
      </c>
      <c r="BV1225" s="65">
        <v>16170</v>
      </c>
      <c r="BW1225" s="65">
        <v>6578</v>
      </c>
      <c r="BX1225" s="65">
        <v>44720</v>
      </c>
      <c r="BY1225" s="65">
        <v>9592</v>
      </c>
      <c r="BZ1225" s="81">
        <v>59.319727891156461</v>
      </c>
    </row>
    <row r="1226" spans="1:89" x14ac:dyDescent="0.15">
      <c r="A1226" s="60">
        <v>1</v>
      </c>
      <c r="B1226" s="61">
        <v>44774</v>
      </c>
      <c r="C1226" s="61">
        <v>44781</v>
      </c>
      <c r="D1226" s="61" t="s">
        <v>764</v>
      </c>
      <c r="E1226" s="61">
        <v>44785</v>
      </c>
      <c r="F1226" s="61">
        <v>44789</v>
      </c>
      <c r="G1226" s="61">
        <v>44783</v>
      </c>
      <c r="H1226" s="61">
        <v>44785</v>
      </c>
      <c r="I1226" s="60" t="s">
        <v>511</v>
      </c>
      <c r="J1226" s="60">
        <v>1</v>
      </c>
      <c r="L1226" s="60">
        <v>0</v>
      </c>
      <c r="M1226" s="61">
        <v>44720</v>
      </c>
      <c r="O1226" s="62" t="s">
        <v>331</v>
      </c>
      <c r="P1226" s="60" t="s">
        <v>26</v>
      </c>
      <c r="Q1226" s="62" t="s">
        <v>138</v>
      </c>
      <c r="R1226" s="62" t="s">
        <v>4221</v>
      </c>
      <c r="S1226" s="63" t="s">
        <v>1083</v>
      </c>
      <c r="T1226" s="63" t="s">
        <v>1333</v>
      </c>
      <c r="U1226" s="64">
        <v>23900</v>
      </c>
      <c r="V1226" s="64">
        <v>26290</v>
      </c>
      <c r="W1226" s="64">
        <v>14700</v>
      </c>
      <c r="X1226" s="64">
        <v>16170</v>
      </c>
      <c r="Y1226" s="64">
        <v>9200</v>
      </c>
      <c r="Z1226" s="64">
        <v>10120</v>
      </c>
      <c r="AA1226" s="61">
        <v>44780</v>
      </c>
      <c r="AB1226" s="61">
        <v>44782</v>
      </c>
      <c r="AC1226" s="61">
        <v>44782</v>
      </c>
      <c r="AD1226" s="60">
        <v>0</v>
      </c>
      <c r="AG1226" s="60">
        <v>0</v>
      </c>
      <c r="AJ1226" s="60">
        <v>0</v>
      </c>
      <c r="AM1226" s="60" t="s">
        <v>273</v>
      </c>
      <c r="AN1226" s="60" t="s">
        <v>4222</v>
      </c>
      <c r="AQ1226" s="60" t="s">
        <v>3787</v>
      </c>
      <c r="AR1226" s="61">
        <v>44741</v>
      </c>
      <c r="AS1226" s="60">
        <v>6002046348</v>
      </c>
      <c r="AT1226" s="61">
        <v>44743</v>
      </c>
      <c r="AU1226" s="60" t="s">
        <v>3890</v>
      </c>
      <c r="AV1226" s="61">
        <v>44781</v>
      </c>
      <c r="AW1226" s="91">
        <v>44804</v>
      </c>
      <c r="AX1226" s="91">
        <v>44824</v>
      </c>
      <c r="AY1226" s="99">
        <v>22944</v>
      </c>
      <c r="AZ1226" s="99">
        <f>ROUNDDOWN(AY1226+(AY1226*MASTER!$A$2/100),0)</f>
        <v>25238</v>
      </c>
      <c r="BA1226" s="60" t="s">
        <v>765</v>
      </c>
      <c r="BC1226" s="64">
        <v>0</v>
      </c>
      <c r="BG1226" s="64">
        <v>0</v>
      </c>
      <c r="BI1226" s="60" t="s">
        <v>267</v>
      </c>
      <c r="BJ1226" s="64">
        <v>5980</v>
      </c>
      <c r="BK1226" s="64">
        <v>6578</v>
      </c>
      <c r="BL1226" s="60" t="s">
        <v>4069</v>
      </c>
      <c r="BS1226" s="64">
        <v>0</v>
      </c>
      <c r="BV1226" s="65">
        <v>16170</v>
      </c>
      <c r="BW1226" s="65">
        <v>6578</v>
      </c>
      <c r="BX1226" s="65">
        <v>44720</v>
      </c>
      <c r="BY1226" s="65">
        <v>9592</v>
      </c>
      <c r="BZ1226" s="81">
        <v>59.319727891156461</v>
      </c>
    </row>
    <row r="1227" spans="1:89" x14ac:dyDescent="0.15">
      <c r="A1227" s="60">
        <v>2</v>
      </c>
      <c r="B1227" s="61">
        <v>44736</v>
      </c>
      <c r="C1227" s="61">
        <v>44735</v>
      </c>
      <c r="D1227" s="61">
        <v>44732</v>
      </c>
      <c r="E1227" s="61">
        <v>44732</v>
      </c>
      <c r="F1227" s="61" t="s">
        <v>309</v>
      </c>
      <c r="G1227" s="61">
        <v>44732</v>
      </c>
      <c r="H1227" s="61" t="s">
        <v>309</v>
      </c>
      <c r="I1227" s="60" t="s">
        <v>494</v>
      </c>
      <c r="J1227" s="60">
        <v>2</v>
      </c>
      <c r="L1227" s="60">
        <v>0</v>
      </c>
      <c r="M1227" s="61">
        <v>44721</v>
      </c>
      <c r="O1227" s="62" t="s">
        <v>331</v>
      </c>
      <c r="P1227" s="60" t="s">
        <v>6</v>
      </c>
      <c r="Q1227" s="62" t="s">
        <v>138</v>
      </c>
      <c r="R1227" s="62" t="s">
        <v>3664</v>
      </c>
      <c r="S1227" s="63" t="s">
        <v>1916</v>
      </c>
      <c r="T1227" s="63" t="s">
        <v>364</v>
      </c>
      <c r="U1227" s="64">
        <v>35000</v>
      </c>
      <c r="V1227" s="64">
        <v>38500</v>
      </c>
      <c r="W1227" s="64">
        <v>35000</v>
      </c>
      <c r="X1227" s="64">
        <v>38500</v>
      </c>
      <c r="Z1227" s="64">
        <v>0</v>
      </c>
      <c r="AA1227" s="61">
        <v>44731</v>
      </c>
      <c r="AB1227" s="61">
        <v>44731</v>
      </c>
      <c r="AD1227" s="60">
        <v>0</v>
      </c>
      <c r="AG1227" s="60">
        <v>0</v>
      </c>
      <c r="AJ1227" s="60">
        <v>0</v>
      </c>
      <c r="AN1227" s="60" t="s">
        <v>309</v>
      </c>
      <c r="AQ1227" s="60" t="s">
        <v>3678</v>
      </c>
      <c r="AR1227" s="61">
        <v>44733</v>
      </c>
      <c r="AS1227" s="60">
        <v>6002043049</v>
      </c>
      <c r="AT1227" s="61">
        <v>44733</v>
      </c>
      <c r="AU1227" s="60" t="s">
        <v>3705</v>
      </c>
      <c r="AV1227" s="61">
        <v>44735</v>
      </c>
      <c r="AW1227" s="91">
        <v>44742</v>
      </c>
      <c r="AX1227" s="91">
        <v>44762</v>
      </c>
      <c r="AY1227" s="99">
        <v>33600</v>
      </c>
      <c r="AZ1227" s="99">
        <f>ROUNDDOWN(AY1227+(AY1227*MASTER!$A$2/100),0)</f>
        <v>36960</v>
      </c>
      <c r="BA1227" s="60" t="s">
        <v>901</v>
      </c>
      <c r="BB1227" s="64">
        <v>33000</v>
      </c>
      <c r="BC1227" s="64">
        <v>36300</v>
      </c>
      <c r="BD1227" s="60" t="s">
        <v>3048</v>
      </c>
      <c r="BG1227" s="64">
        <v>0</v>
      </c>
      <c r="BK1227" s="64">
        <v>0</v>
      </c>
      <c r="BS1227" s="64">
        <v>0</v>
      </c>
      <c r="BV1227" s="65">
        <v>38500</v>
      </c>
      <c r="BW1227" s="65">
        <v>36300</v>
      </c>
      <c r="BX1227" s="65">
        <v>44721</v>
      </c>
      <c r="BY1227" s="65">
        <v>2200</v>
      </c>
      <c r="BZ1227" s="81">
        <v>5.7142857142857144</v>
      </c>
    </row>
    <row r="1228" spans="1:89" x14ac:dyDescent="0.15">
      <c r="A1228" s="60">
        <v>1</v>
      </c>
      <c r="C1228" s="61" t="s">
        <v>309</v>
      </c>
      <c r="F1228" s="61" t="s">
        <v>309</v>
      </c>
      <c r="H1228" s="61" t="s">
        <v>309</v>
      </c>
      <c r="J1228" s="60">
        <v>1</v>
      </c>
      <c r="L1228" s="60">
        <v>0</v>
      </c>
      <c r="M1228" s="61">
        <v>44721</v>
      </c>
      <c r="O1228" s="62" t="s">
        <v>331</v>
      </c>
      <c r="P1228" s="60" t="s">
        <v>26</v>
      </c>
      <c r="Q1228" s="62" t="s">
        <v>138</v>
      </c>
      <c r="R1228" s="62" t="s">
        <v>3587</v>
      </c>
      <c r="S1228" s="63" t="s">
        <v>988</v>
      </c>
      <c r="T1228" s="63" t="s">
        <v>3586</v>
      </c>
      <c r="U1228" s="64">
        <v>592155</v>
      </c>
      <c r="V1228" s="64">
        <v>651370.5</v>
      </c>
      <c r="W1228" s="64">
        <v>468455</v>
      </c>
      <c r="X1228" s="64">
        <v>515300.5</v>
      </c>
      <c r="Y1228" s="64">
        <v>123700</v>
      </c>
      <c r="Z1228" s="64">
        <v>136070</v>
      </c>
      <c r="AD1228" s="60">
        <v>0</v>
      </c>
      <c r="AG1228" s="60">
        <v>0</v>
      </c>
      <c r="AJ1228" s="60">
        <v>0</v>
      </c>
      <c r="AM1228" s="60" t="s">
        <v>273</v>
      </c>
      <c r="AN1228" s="60" t="s">
        <v>4017</v>
      </c>
      <c r="AY1228" s="99">
        <v>568468</v>
      </c>
      <c r="AZ1228" s="99">
        <f>ROUNDDOWN(AY1228+(AY1228*MASTER!$A$2/100),0)</f>
        <v>625314</v>
      </c>
      <c r="BC1228" s="64">
        <v>0</v>
      </c>
      <c r="BG1228" s="64">
        <v>0</v>
      </c>
      <c r="BK1228" s="64">
        <v>0</v>
      </c>
      <c r="BS1228" s="64">
        <v>0</v>
      </c>
      <c r="BV1228" s="65">
        <v>515300.5</v>
      </c>
      <c r="BW1228" s="65">
        <v>0</v>
      </c>
      <c r="BX1228" s="65">
        <v>44721</v>
      </c>
      <c r="BY1228" s="65">
        <v>515300.5</v>
      </c>
      <c r="BZ1228" s="81">
        <v>100</v>
      </c>
      <c r="CD1228" s="63" t="s">
        <v>4018</v>
      </c>
    </row>
    <row r="1229" spans="1:89" x14ac:dyDescent="0.15">
      <c r="A1229" s="60">
        <v>2</v>
      </c>
      <c r="B1229" s="61">
        <v>44732</v>
      </c>
      <c r="C1229" s="61">
        <v>44734</v>
      </c>
      <c r="D1229" s="61">
        <v>44726</v>
      </c>
      <c r="E1229" s="61">
        <v>44726</v>
      </c>
      <c r="F1229" s="61" t="s">
        <v>309</v>
      </c>
      <c r="G1229" s="61">
        <v>44726</v>
      </c>
      <c r="H1229" s="61" t="s">
        <v>309</v>
      </c>
      <c r="I1229" s="60" t="s">
        <v>766</v>
      </c>
      <c r="J1229" s="60">
        <v>2</v>
      </c>
      <c r="L1229" s="60">
        <v>0</v>
      </c>
      <c r="M1229" s="61">
        <v>44721</v>
      </c>
      <c r="O1229" s="62" t="s">
        <v>331</v>
      </c>
      <c r="P1229" s="60" t="s">
        <v>6</v>
      </c>
      <c r="Q1229" s="62" t="s">
        <v>138</v>
      </c>
      <c r="R1229" s="62" t="s">
        <v>3630</v>
      </c>
      <c r="S1229" s="63" t="s">
        <v>2255</v>
      </c>
      <c r="T1229" s="63" t="s">
        <v>364</v>
      </c>
      <c r="U1229" s="64">
        <v>35000</v>
      </c>
      <c r="V1229" s="64">
        <v>38500</v>
      </c>
      <c r="W1229" s="64">
        <v>35000</v>
      </c>
      <c r="X1229" s="64">
        <v>38500</v>
      </c>
      <c r="Z1229" s="64">
        <v>0</v>
      </c>
      <c r="AA1229" s="61">
        <v>44725</v>
      </c>
      <c r="AB1229" s="61">
        <v>44725</v>
      </c>
      <c r="AD1229" s="60">
        <v>0</v>
      </c>
      <c r="AG1229" s="60">
        <v>0</v>
      </c>
      <c r="AJ1229" s="60">
        <v>0</v>
      </c>
      <c r="AN1229" s="60" t="s">
        <v>309</v>
      </c>
      <c r="AQ1229" s="60" t="s">
        <v>3638</v>
      </c>
      <c r="AR1229" s="61">
        <v>44727</v>
      </c>
      <c r="AS1229" s="60">
        <v>6002040849</v>
      </c>
      <c r="AT1229" s="61">
        <v>44729</v>
      </c>
      <c r="AU1229" s="60" t="s">
        <v>3656</v>
      </c>
      <c r="AV1229" s="61">
        <v>44734</v>
      </c>
      <c r="AW1229" s="91">
        <v>44742</v>
      </c>
      <c r="AX1229" s="91">
        <v>44762</v>
      </c>
      <c r="AY1229" s="99">
        <v>33600</v>
      </c>
      <c r="AZ1229" s="99">
        <f>ROUNDDOWN(AY1229+(AY1229*MASTER!$A$2/100),0)</f>
        <v>36960</v>
      </c>
      <c r="BA1229" s="60" t="s">
        <v>318</v>
      </c>
      <c r="BB1229" s="64">
        <v>36000</v>
      </c>
      <c r="BC1229" s="64">
        <v>39600</v>
      </c>
      <c r="BD1229" s="60" t="s">
        <v>3530</v>
      </c>
      <c r="BG1229" s="64">
        <v>0</v>
      </c>
      <c r="BK1229" s="64">
        <v>0</v>
      </c>
      <c r="BS1229" s="64">
        <v>0</v>
      </c>
      <c r="BV1229" s="65">
        <v>38500</v>
      </c>
      <c r="BW1229" s="65">
        <v>39600</v>
      </c>
      <c r="BX1229" s="65">
        <v>44721</v>
      </c>
      <c r="BY1229" s="65">
        <v>-1100</v>
      </c>
      <c r="BZ1229" s="81">
        <v>-2.8571428571428572</v>
      </c>
    </row>
    <row r="1230" spans="1:89" x14ac:dyDescent="0.15">
      <c r="A1230" s="60">
        <v>1</v>
      </c>
      <c r="B1230" s="61">
        <v>44750</v>
      </c>
      <c r="C1230" s="61">
        <v>44771</v>
      </c>
      <c r="F1230" s="61" t="s">
        <v>309</v>
      </c>
      <c r="H1230" s="61" t="s">
        <v>309</v>
      </c>
      <c r="J1230" s="60">
        <v>3</v>
      </c>
      <c r="L1230" s="60">
        <v>0</v>
      </c>
      <c r="M1230" s="61">
        <v>44722</v>
      </c>
      <c r="O1230" s="62" t="s">
        <v>331</v>
      </c>
      <c r="P1230" s="60" t="s">
        <v>6</v>
      </c>
      <c r="Q1230" s="62" t="s">
        <v>138</v>
      </c>
      <c r="R1230" s="62" t="s">
        <v>3960</v>
      </c>
      <c r="S1230" s="63" t="s">
        <v>1656</v>
      </c>
      <c r="T1230" s="63" t="s">
        <v>463</v>
      </c>
      <c r="U1230" s="64">
        <v>9000</v>
      </c>
      <c r="V1230" s="64">
        <v>9900</v>
      </c>
      <c r="X1230" s="64">
        <v>0</v>
      </c>
      <c r="Y1230" s="64">
        <v>9000</v>
      </c>
      <c r="Z1230" s="64">
        <v>9900</v>
      </c>
      <c r="AD1230" s="60">
        <v>0</v>
      </c>
      <c r="AG1230" s="60">
        <v>0</v>
      </c>
      <c r="AJ1230" s="60">
        <v>0</v>
      </c>
      <c r="AN1230" s="60" t="s">
        <v>309</v>
      </c>
      <c r="AQ1230" s="60" t="s">
        <v>3639</v>
      </c>
      <c r="AR1230" s="61">
        <v>44727</v>
      </c>
      <c r="AS1230" s="60">
        <v>6002040849</v>
      </c>
      <c r="AT1230" s="61">
        <v>44729</v>
      </c>
      <c r="AU1230" s="60" t="s">
        <v>3656</v>
      </c>
      <c r="AV1230" s="61">
        <v>44771</v>
      </c>
      <c r="AW1230" s="91">
        <v>44773</v>
      </c>
      <c r="AX1230" s="91">
        <v>44793</v>
      </c>
      <c r="AY1230" s="99">
        <v>8640</v>
      </c>
      <c r="AZ1230" s="99">
        <f>ROUNDDOWN(AY1230+(AY1230*MASTER!$A$2/100),0)</f>
        <v>9504</v>
      </c>
      <c r="BC1230" s="64">
        <v>0</v>
      </c>
      <c r="BG1230" s="64">
        <v>0</v>
      </c>
      <c r="BK1230" s="64">
        <v>0</v>
      </c>
      <c r="BS1230" s="64">
        <v>0</v>
      </c>
      <c r="BV1230" s="65">
        <v>0</v>
      </c>
      <c r="BW1230" s="65">
        <v>0</v>
      </c>
      <c r="BX1230" s="65">
        <v>44722</v>
      </c>
      <c r="BY1230" s="65">
        <v>0</v>
      </c>
      <c r="BZ1230" s="81" t="s">
        <v>309</v>
      </c>
    </row>
    <row r="1231" spans="1:89" s="152" customFormat="1" x14ac:dyDescent="0.15">
      <c r="A1231" s="142">
        <v>3</v>
      </c>
      <c r="B1231" s="143"/>
      <c r="C1231" s="143" t="s">
        <v>309</v>
      </c>
      <c r="D1231" s="143"/>
      <c r="E1231" s="143"/>
      <c r="F1231" s="143" t="s">
        <v>309</v>
      </c>
      <c r="G1231" s="143"/>
      <c r="H1231" s="143" t="s">
        <v>309</v>
      </c>
      <c r="I1231" s="142"/>
      <c r="J1231" s="142">
        <v>1</v>
      </c>
      <c r="K1231" s="143"/>
      <c r="L1231" s="142">
        <v>0</v>
      </c>
      <c r="M1231" s="143">
        <v>44722</v>
      </c>
      <c r="N1231" s="143"/>
      <c r="O1231" s="144" t="s">
        <v>331</v>
      </c>
      <c r="P1231" s="142" t="s">
        <v>26</v>
      </c>
      <c r="Q1231" s="144" t="s">
        <v>138</v>
      </c>
      <c r="R1231" s="144" t="s">
        <v>4299</v>
      </c>
      <c r="S1231" s="145" t="s">
        <v>840</v>
      </c>
      <c r="T1231" s="145" t="s">
        <v>4300</v>
      </c>
      <c r="U1231" s="146">
        <v>64000</v>
      </c>
      <c r="V1231" s="146">
        <v>70400</v>
      </c>
      <c r="W1231" s="146">
        <v>50000</v>
      </c>
      <c r="X1231" s="146">
        <v>55000</v>
      </c>
      <c r="Y1231" s="146">
        <v>14000</v>
      </c>
      <c r="Z1231" s="146">
        <v>15400</v>
      </c>
      <c r="AA1231" s="143"/>
      <c r="AB1231" s="143"/>
      <c r="AC1231" s="143"/>
      <c r="AD1231" s="142">
        <v>0</v>
      </c>
      <c r="AE1231" s="142"/>
      <c r="AF1231" s="142"/>
      <c r="AG1231" s="142">
        <v>0</v>
      </c>
      <c r="AH1231" s="142"/>
      <c r="AI1231" s="142"/>
      <c r="AJ1231" s="142">
        <v>0</v>
      </c>
      <c r="AK1231" s="142"/>
      <c r="AL1231" s="142"/>
      <c r="AM1231" s="142"/>
      <c r="AN1231" s="142" t="s">
        <v>309</v>
      </c>
      <c r="AO1231" s="143"/>
      <c r="AP1231" s="142"/>
      <c r="AQ1231" s="142"/>
      <c r="AR1231" s="143"/>
      <c r="AS1231" s="142"/>
      <c r="AT1231" s="143"/>
      <c r="AU1231" s="142"/>
      <c r="AV1231" s="143"/>
      <c r="AW1231" s="147"/>
      <c r="AX1231" s="147"/>
      <c r="AY1231" s="148">
        <v>61440</v>
      </c>
      <c r="AZ1231" s="148">
        <f>ROUNDDOWN(AY1231+(AY1231*MASTER!$A$2/100),0)</f>
        <v>67584</v>
      </c>
      <c r="BA1231" s="142"/>
      <c r="BB1231" s="146"/>
      <c r="BC1231" s="146">
        <v>0</v>
      </c>
      <c r="BD1231" s="142"/>
      <c r="BE1231" s="142"/>
      <c r="BF1231" s="146"/>
      <c r="BG1231" s="146">
        <v>0</v>
      </c>
      <c r="BH1231" s="142"/>
      <c r="BI1231" s="142"/>
      <c r="BJ1231" s="146"/>
      <c r="BK1231" s="146">
        <v>0</v>
      </c>
      <c r="BL1231" s="142"/>
      <c r="BM1231" s="146"/>
      <c r="BN1231" s="146"/>
      <c r="BO1231" s="146"/>
      <c r="BP1231" s="146"/>
      <c r="BQ1231" s="146"/>
      <c r="BR1231" s="146"/>
      <c r="BS1231" s="146">
        <v>0</v>
      </c>
      <c r="BT1231" s="149"/>
      <c r="BU1231" s="149"/>
      <c r="BV1231" s="150">
        <v>55000</v>
      </c>
      <c r="BW1231" s="150">
        <v>0</v>
      </c>
      <c r="BX1231" s="150">
        <v>44722</v>
      </c>
      <c r="BY1231" s="150">
        <v>55000</v>
      </c>
      <c r="BZ1231" s="151">
        <v>100</v>
      </c>
      <c r="CA1231" s="142"/>
      <c r="CB1231" s="142"/>
      <c r="CC1231" s="142"/>
      <c r="CD1231" s="145" t="s">
        <v>4301</v>
      </c>
      <c r="CE1231" s="143"/>
      <c r="CF1231" s="143"/>
      <c r="CG1231" s="143"/>
      <c r="CH1231" s="143"/>
      <c r="CI1231" s="143"/>
      <c r="CJ1231" s="143"/>
      <c r="CK1231" s="146"/>
    </row>
    <row r="1232" spans="1:89" x14ac:dyDescent="0.15">
      <c r="A1232" s="60">
        <v>2</v>
      </c>
      <c r="B1232" s="61">
        <v>44743</v>
      </c>
      <c r="C1232" s="61">
        <v>44746</v>
      </c>
      <c r="D1232" s="61">
        <v>44775</v>
      </c>
      <c r="E1232" s="61">
        <v>44750</v>
      </c>
      <c r="F1232" s="61">
        <v>44751</v>
      </c>
      <c r="G1232" s="61">
        <v>44746</v>
      </c>
      <c r="H1232" s="61">
        <v>44747</v>
      </c>
      <c r="I1232" s="60" t="s">
        <v>511</v>
      </c>
      <c r="J1232" s="60">
        <v>1</v>
      </c>
      <c r="L1232" s="60">
        <v>0</v>
      </c>
      <c r="M1232" s="61">
        <v>44722</v>
      </c>
      <c r="O1232" s="62" t="s">
        <v>331</v>
      </c>
      <c r="P1232" s="60" t="s">
        <v>26</v>
      </c>
      <c r="Q1232" s="62" t="s">
        <v>138</v>
      </c>
      <c r="R1232" s="62" t="s">
        <v>3597</v>
      </c>
      <c r="S1232" s="63" t="s">
        <v>1568</v>
      </c>
      <c r="T1232" s="63" t="s">
        <v>3596</v>
      </c>
      <c r="U1232" s="64">
        <v>127500</v>
      </c>
      <c r="V1232" s="64">
        <v>140250</v>
      </c>
      <c r="W1232" s="64">
        <v>104500</v>
      </c>
      <c r="X1232" s="64">
        <v>114950</v>
      </c>
      <c r="Y1232" s="64">
        <v>23000</v>
      </c>
      <c r="Z1232" s="64">
        <v>25300</v>
      </c>
      <c r="AA1232" s="61">
        <v>44743</v>
      </c>
      <c r="AB1232" s="61">
        <v>44744</v>
      </c>
      <c r="AC1232" s="61">
        <v>44744</v>
      </c>
      <c r="AD1232" s="60">
        <v>0</v>
      </c>
      <c r="AG1232" s="60">
        <v>0</v>
      </c>
      <c r="AJ1232" s="60">
        <v>0</v>
      </c>
      <c r="AM1232" s="60" t="s">
        <v>344</v>
      </c>
      <c r="AQ1232" s="60" t="s">
        <v>3718</v>
      </c>
      <c r="AR1232" s="61">
        <v>44734</v>
      </c>
      <c r="AS1232" s="60">
        <v>6002043743</v>
      </c>
      <c r="AT1232" s="61">
        <v>44735</v>
      </c>
      <c r="AU1232" s="60" t="s">
        <v>3735</v>
      </c>
      <c r="AV1232" s="61">
        <v>44746</v>
      </c>
      <c r="AW1232" s="91">
        <v>44773</v>
      </c>
      <c r="AX1232" s="91">
        <v>44793</v>
      </c>
      <c r="AY1232" s="107">
        <v>127500</v>
      </c>
      <c r="AZ1232" s="107">
        <f>ROUNDDOWN(AY1232+(AY1232*MASTER!$A$2/100),0)</f>
        <v>140250</v>
      </c>
      <c r="BA1232" s="60" t="s">
        <v>317</v>
      </c>
      <c r="BB1232" s="64">
        <v>22000</v>
      </c>
      <c r="BC1232" s="64">
        <v>24200</v>
      </c>
      <c r="BD1232" s="60" t="s">
        <v>3800</v>
      </c>
      <c r="BG1232" s="64">
        <v>0</v>
      </c>
      <c r="BI1232" s="60" t="s">
        <v>748</v>
      </c>
      <c r="BJ1232" s="64">
        <v>9750</v>
      </c>
      <c r="BK1232" s="64">
        <v>10725</v>
      </c>
      <c r="BL1232" s="60" t="s">
        <v>3800</v>
      </c>
      <c r="BS1232" s="64">
        <v>0</v>
      </c>
      <c r="BV1232" s="65">
        <v>114950</v>
      </c>
      <c r="BW1232" s="65">
        <v>34925</v>
      </c>
      <c r="BX1232" s="65">
        <v>44722</v>
      </c>
      <c r="BY1232" s="65">
        <v>80025</v>
      </c>
      <c r="BZ1232" s="81">
        <v>69.617224880382778</v>
      </c>
    </row>
    <row r="1233" spans="1:89" x14ac:dyDescent="0.15">
      <c r="A1233" s="60">
        <v>1</v>
      </c>
      <c r="B1233" s="61">
        <v>44777</v>
      </c>
      <c r="C1233" s="61">
        <v>44778</v>
      </c>
      <c r="F1233" s="61" t="s">
        <v>309</v>
      </c>
      <c r="H1233" s="61" t="s">
        <v>309</v>
      </c>
      <c r="J1233" s="60">
        <v>3</v>
      </c>
      <c r="L1233" s="60">
        <v>0</v>
      </c>
      <c r="M1233" s="61">
        <v>44725</v>
      </c>
      <c r="O1233" s="62" t="s">
        <v>331</v>
      </c>
      <c r="P1233" s="60" t="s">
        <v>6</v>
      </c>
      <c r="Q1233" s="62" t="s">
        <v>138</v>
      </c>
      <c r="R1233" s="62" t="s">
        <v>4284</v>
      </c>
      <c r="S1233" s="63" t="s">
        <v>1113</v>
      </c>
      <c r="T1233" s="63" t="s">
        <v>463</v>
      </c>
      <c r="U1233" s="64">
        <v>9000</v>
      </c>
      <c r="V1233" s="64">
        <v>9900</v>
      </c>
      <c r="X1233" s="64">
        <v>0</v>
      </c>
      <c r="Y1233" s="64">
        <v>9000</v>
      </c>
      <c r="Z1233" s="64">
        <v>9900</v>
      </c>
      <c r="AD1233" s="60">
        <v>0</v>
      </c>
      <c r="AG1233" s="60">
        <v>0</v>
      </c>
      <c r="AJ1233" s="60">
        <v>0</v>
      </c>
      <c r="AN1233" s="60" t="s">
        <v>309</v>
      </c>
      <c r="AQ1233" s="60" t="s">
        <v>3679</v>
      </c>
      <c r="AR1233" s="61">
        <v>44733</v>
      </c>
      <c r="AS1233" s="60">
        <v>6002043049</v>
      </c>
      <c r="AT1233" s="61">
        <v>44733</v>
      </c>
      <c r="AU1233" s="60" t="s">
        <v>3705</v>
      </c>
      <c r="AV1233" s="61">
        <v>44778</v>
      </c>
      <c r="AW1233" s="91">
        <v>44804</v>
      </c>
      <c r="AX1233" s="91">
        <v>44824</v>
      </c>
      <c r="AY1233" s="99">
        <v>8640</v>
      </c>
      <c r="AZ1233" s="99">
        <f>ROUNDDOWN(AY1233+(AY1233*MASTER!$A$2/100),0)</f>
        <v>9504</v>
      </c>
      <c r="BC1233" s="64">
        <v>0</v>
      </c>
      <c r="BG1233" s="64">
        <v>0</v>
      </c>
      <c r="BK1233" s="64">
        <v>0</v>
      </c>
      <c r="BS1233" s="64">
        <v>0</v>
      </c>
      <c r="BV1233" s="65">
        <v>0</v>
      </c>
      <c r="BW1233" s="65">
        <v>0</v>
      </c>
      <c r="BX1233" s="65">
        <v>44725</v>
      </c>
      <c r="BY1233" s="65">
        <v>0</v>
      </c>
      <c r="BZ1233" s="81" t="s">
        <v>309</v>
      </c>
    </row>
    <row r="1234" spans="1:89" x14ac:dyDescent="0.15">
      <c r="A1234" s="60">
        <v>1</v>
      </c>
      <c r="B1234" s="61">
        <v>44774</v>
      </c>
      <c r="C1234" s="61">
        <v>44782</v>
      </c>
      <c r="D1234" s="61">
        <v>44809</v>
      </c>
      <c r="F1234" s="61">
        <v>44789</v>
      </c>
      <c r="G1234" s="61">
        <v>44783</v>
      </c>
      <c r="H1234" s="61">
        <v>44785</v>
      </c>
      <c r="I1234" s="60" t="s">
        <v>774</v>
      </c>
      <c r="J1234" s="60">
        <v>1</v>
      </c>
      <c r="L1234" s="60">
        <v>0</v>
      </c>
      <c r="M1234" s="61">
        <v>44725</v>
      </c>
      <c r="O1234" s="62" t="s">
        <v>331</v>
      </c>
      <c r="P1234" s="60" t="s">
        <v>26</v>
      </c>
      <c r="Q1234" s="62" t="s">
        <v>138</v>
      </c>
      <c r="R1234" s="62" t="s">
        <v>3618</v>
      </c>
      <c r="S1234" s="63" t="s">
        <v>414</v>
      </c>
      <c r="T1234" s="63" t="s">
        <v>3617</v>
      </c>
      <c r="U1234" s="64">
        <v>161500</v>
      </c>
      <c r="V1234" s="64">
        <v>177650</v>
      </c>
      <c r="W1234" s="64">
        <v>94000</v>
      </c>
      <c r="X1234" s="64">
        <v>103400</v>
      </c>
      <c r="Y1234" s="64">
        <v>67500</v>
      </c>
      <c r="Z1234" s="64">
        <v>74250</v>
      </c>
      <c r="AA1234" s="61">
        <v>44780</v>
      </c>
      <c r="AB1234" s="61">
        <v>44782</v>
      </c>
      <c r="AC1234" s="61">
        <v>44782</v>
      </c>
      <c r="AD1234" s="60">
        <v>0</v>
      </c>
      <c r="AG1234" s="60">
        <v>0</v>
      </c>
      <c r="AJ1234" s="60">
        <v>0</v>
      </c>
      <c r="AM1234" s="60" t="s">
        <v>273</v>
      </c>
      <c r="AN1234" s="60" t="s">
        <v>3626</v>
      </c>
      <c r="AQ1234" s="60" t="s">
        <v>3785</v>
      </c>
      <c r="AR1234" s="61">
        <v>44741</v>
      </c>
      <c r="AS1234" s="60">
        <v>6002046348</v>
      </c>
      <c r="AT1234" s="61">
        <v>44743</v>
      </c>
      <c r="AU1234" s="60" t="s">
        <v>3890</v>
      </c>
      <c r="AV1234" s="61">
        <v>44782</v>
      </c>
      <c r="AW1234" s="91">
        <v>44804</v>
      </c>
      <c r="AX1234" s="91">
        <v>44824</v>
      </c>
      <c r="AY1234" s="99">
        <v>155040</v>
      </c>
      <c r="AZ1234" s="99">
        <f>ROUNDDOWN(AY1234+(AY1234*MASTER!$A$2/100),0)</f>
        <v>170544</v>
      </c>
      <c r="BA1234" s="60" t="s">
        <v>317</v>
      </c>
      <c r="BB1234" s="64">
        <v>35000</v>
      </c>
      <c r="BC1234" s="64">
        <v>38500</v>
      </c>
      <c r="BD1234" s="60" t="s">
        <v>3940</v>
      </c>
      <c r="BG1234" s="64">
        <v>0</v>
      </c>
      <c r="BI1234" s="60" t="s">
        <v>748</v>
      </c>
      <c r="BJ1234" s="64">
        <v>43875</v>
      </c>
      <c r="BK1234" s="64">
        <v>48262.5</v>
      </c>
      <c r="BL1234" s="60" t="s">
        <v>3940</v>
      </c>
      <c r="BS1234" s="64">
        <v>0</v>
      </c>
      <c r="BV1234" s="65">
        <v>103400</v>
      </c>
      <c r="BW1234" s="65">
        <v>86762.5</v>
      </c>
      <c r="BX1234" s="65">
        <v>44725</v>
      </c>
      <c r="BY1234" s="65">
        <v>16637.5</v>
      </c>
      <c r="BZ1234" s="81">
        <v>16.090425531914892</v>
      </c>
    </row>
    <row r="1235" spans="1:89" x14ac:dyDescent="0.15">
      <c r="A1235" s="60">
        <v>2</v>
      </c>
      <c r="B1235" s="61">
        <v>44740</v>
      </c>
      <c r="C1235" s="61">
        <v>44742</v>
      </c>
      <c r="D1235" s="61">
        <v>44750</v>
      </c>
      <c r="E1235" s="61">
        <v>44750</v>
      </c>
      <c r="F1235" s="61">
        <v>44749</v>
      </c>
      <c r="G1235" s="61">
        <v>44743</v>
      </c>
      <c r="H1235" s="61">
        <v>44745</v>
      </c>
      <c r="I1235" s="60" t="s">
        <v>511</v>
      </c>
      <c r="J1235" s="60">
        <v>1</v>
      </c>
      <c r="L1235" s="60">
        <v>0</v>
      </c>
      <c r="M1235" s="61">
        <v>44725</v>
      </c>
      <c r="O1235" s="62" t="s">
        <v>331</v>
      </c>
      <c r="P1235" s="60" t="s">
        <v>26</v>
      </c>
      <c r="Q1235" s="62" t="s">
        <v>138</v>
      </c>
      <c r="R1235" s="62" t="s">
        <v>3619</v>
      </c>
      <c r="S1235" s="63" t="s">
        <v>1109</v>
      </c>
      <c r="T1235" s="63" t="s">
        <v>442</v>
      </c>
      <c r="U1235" s="64">
        <v>59000</v>
      </c>
      <c r="V1235" s="64">
        <v>64900</v>
      </c>
      <c r="W1235" s="64">
        <v>47000</v>
      </c>
      <c r="X1235" s="64">
        <v>51700</v>
      </c>
      <c r="Y1235" s="64">
        <v>12000</v>
      </c>
      <c r="Z1235" s="64">
        <v>13200</v>
      </c>
      <c r="AA1235" s="61">
        <v>44736</v>
      </c>
      <c r="AB1235" s="61">
        <v>44742</v>
      </c>
      <c r="AC1235" s="61">
        <v>44742</v>
      </c>
      <c r="AD1235" s="60">
        <v>0</v>
      </c>
      <c r="AG1235" s="60">
        <v>0</v>
      </c>
      <c r="AJ1235" s="60">
        <v>0</v>
      </c>
      <c r="AM1235" s="60" t="s">
        <v>273</v>
      </c>
      <c r="AN1235" s="60" t="s">
        <v>3620</v>
      </c>
      <c r="AQ1235" s="60" t="s">
        <v>3752</v>
      </c>
      <c r="AR1235" s="61">
        <v>44739</v>
      </c>
      <c r="AS1235" s="60">
        <v>6002045511</v>
      </c>
      <c r="AT1235" s="61">
        <v>44739</v>
      </c>
      <c r="AU1235" s="60" t="s">
        <v>3768</v>
      </c>
      <c r="AV1235" s="61">
        <v>44742</v>
      </c>
      <c r="AW1235" s="91">
        <v>44742</v>
      </c>
      <c r="AX1235" s="91">
        <v>44762</v>
      </c>
      <c r="AY1235" s="99">
        <v>56640</v>
      </c>
      <c r="AZ1235" s="99">
        <f>ROUNDDOWN(AY1235+(AY1235*MASTER!$A$2/100),0)</f>
        <v>62304</v>
      </c>
      <c r="BA1235" s="60" t="s">
        <v>314</v>
      </c>
      <c r="BB1235" s="64">
        <v>25000</v>
      </c>
      <c r="BC1235" s="64">
        <v>27500</v>
      </c>
      <c r="BD1235" s="60" t="s">
        <v>3530</v>
      </c>
      <c r="BG1235" s="64">
        <v>0</v>
      </c>
      <c r="BI1235" s="60" t="s">
        <v>748</v>
      </c>
      <c r="BJ1235" s="64">
        <v>7800</v>
      </c>
      <c r="BK1235" s="64">
        <v>8580</v>
      </c>
      <c r="BL1235" s="60" t="s">
        <v>3530</v>
      </c>
      <c r="BS1235" s="64">
        <v>0</v>
      </c>
      <c r="BV1235" s="65">
        <v>51700</v>
      </c>
      <c r="BW1235" s="65">
        <v>36080</v>
      </c>
      <c r="BX1235" s="65">
        <v>44725</v>
      </c>
      <c r="BY1235" s="65">
        <v>15620</v>
      </c>
      <c r="BZ1235" s="81">
        <v>30.212765957446809</v>
      </c>
    </row>
    <row r="1236" spans="1:89" x14ac:dyDescent="0.15">
      <c r="A1236" s="60">
        <v>2</v>
      </c>
      <c r="B1236" s="61">
        <v>44754</v>
      </c>
      <c r="C1236" s="61">
        <v>44758</v>
      </c>
      <c r="D1236" s="61">
        <v>44783</v>
      </c>
      <c r="E1236" s="61">
        <v>44769</v>
      </c>
      <c r="F1236" s="61">
        <v>44765</v>
      </c>
      <c r="G1236" s="61">
        <v>44761</v>
      </c>
      <c r="H1236" s="61">
        <v>44761</v>
      </c>
      <c r="I1236" s="60" t="s">
        <v>511</v>
      </c>
      <c r="J1236" s="60">
        <v>1</v>
      </c>
      <c r="L1236" s="60">
        <v>0</v>
      </c>
      <c r="M1236" s="61">
        <v>44725</v>
      </c>
      <c r="O1236" s="62" t="s">
        <v>331</v>
      </c>
      <c r="P1236" s="60" t="s">
        <v>26</v>
      </c>
      <c r="Q1236" s="62" t="s">
        <v>138</v>
      </c>
      <c r="R1236" s="62" t="s">
        <v>3622</v>
      </c>
      <c r="S1236" s="63" t="s">
        <v>2665</v>
      </c>
      <c r="T1236" s="63" t="s">
        <v>3621</v>
      </c>
      <c r="U1236" s="64">
        <v>208700</v>
      </c>
      <c r="V1236" s="64">
        <v>229570</v>
      </c>
      <c r="W1236" s="64">
        <v>110000</v>
      </c>
      <c r="X1236" s="64">
        <v>121000</v>
      </c>
      <c r="Y1236" s="64">
        <v>98700</v>
      </c>
      <c r="Z1236" s="64">
        <v>108570</v>
      </c>
      <c r="AA1236" s="61">
        <v>44756</v>
      </c>
      <c r="AB1236" s="61">
        <v>44758</v>
      </c>
      <c r="AC1236" s="61">
        <v>44758</v>
      </c>
      <c r="AD1236" s="60">
        <v>0</v>
      </c>
      <c r="AG1236" s="60">
        <v>0</v>
      </c>
      <c r="AJ1236" s="60">
        <v>0</v>
      </c>
      <c r="AM1236" s="60" t="s">
        <v>273</v>
      </c>
      <c r="AN1236" s="60" t="s">
        <v>3623</v>
      </c>
      <c r="AQ1236" s="60" t="s">
        <v>3724</v>
      </c>
      <c r="AR1236" s="61">
        <v>44734</v>
      </c>
      <c r="AS1236" s="60">
        <v>6002043743</v>
      </c>
      <c r="AT1236" s="61">
        <v>44735</v>
      </c>
      <c r="AU1236" s="60" t="s">
        <v>3735</v>
      </c>
      <c r="AV1236" s="61">
        <v>44758</v>
      </c>
      <c r="AW1236" s="91">
        <v>44773</v>
      </c>
      <c r="AX1236" s="91">
        <v>44793</v>
      </c>
      <c r="AY1236" s="99">
        <v>200352</v>
      </c>
      <c r="AZ1236" s="99">
        <f>ROUNDDOWN(AY1236+(AY1236*MASTER!$A$2/100),0)</f>
        <v>220387</v>
      </c>
      <c r="BA1236" s="60" t="s">
        <v>318</v>
      </c>
      <c r="BB1236" s="64">
        <v>23000</v>
      </c>
      <c r="BC1236" s="64">
        <v>25300</v>
      </c>
      <c r="BD1236" s="60" t="s">
        <v>3800</v>
      </c>
      <c r="BG1236" s="64">
        <v>0</v>
      </c>
      <c r="BI1236" s="60" t="s">
        <v>748</v>
      </c>
      <c r="BJ1236" s="64">
        <v>64155</v>
      </c>
      <c r="BK1236" s="64">
        <v>70570.5</v>
      </c>
      <c r="BL1236" s="60" t="s">
        <v>3800</v>
      </c>
      <c r="BS1236" s="64">
        <v>0</v>
      </c>
      <c r="BV1236" s="65">
        <v>121000</v>
      </c>
      <c r="BW1236" s="65">
        <v>95870.5</v>
      </c>
      <c r="BX1236" s="65">
        <v>44725</v>
      </c>
      <c r="BY1236" s="65">
        <v>25129.5</v>
      </c>
      <c r="BZ1236" s="81">
        <v>20.768181818181819</v>
      </c>
    </row>
    <row r="1237" spans="1:89" s="152" customFormat="1" x14ac:dyDescent="0.15">
      <c r="A1237" s="142">
        <v>3</v>
      </c>
      <c r="B1237" s="143"/>
      <c r="C1237" s="143" t="s">
        <v>309</v>
      </c>
      <c r="D1237" s="143"/>
      <c r="E1237" s="143"/>
      <c r="F1237" s="143" t="s">
        <v>309</v>
      </c>
      <c r="G1237" s="143"/>
      <c r="H1237" s="143" t="s">
        <v>309</v>
      </c>
      <c r="I1237" s="142"/>
      <c r="J1237" s="142">
        <v>1</v>
      </c>
      <c r="K1237" s="143"/>
      <c r="L1237" s="142">
        <v>0</v>
      </c>
      <c r="M1237" s="143">
        <v>44725</v>
      </c>
      <c r="N1237" s="143"/>
      <c r="O1237" s="144" t="s">
        <v>331</v>
      </c>
      <c r="P1237" s="142" t="s">
        <v>26</v>
      </c>
      <c r="Q1237" s="144" t="s">
        <v>138</v>
      </c>
      <c r="R1237" s="144" t="s">
        <v>3625</v>
      </c>
      <c r="S1237" s="145" t="s">
        <v>1526</v>
      </c>
      <c r="T1237" s="145" t="s">
        <v>3624</v>
      </c>
      <c r="U1237" s="146">
        <v>111500</v>
      </c>
      <c r="V1237" s="146">
        <v>122650</v>
      </c>
      <c r="W1237" s="146">
        <v>99500</v>
      </c>
      <c r="X1237" s="146">
        <v>109450</v>
      </c>
      <c r="Y1237" s="146">
        <v>12000</v>
      </c>
      <c r="Z1237" s="146">
        <v>13200</v>
      </c>
      <c r="AA1237" s="143"/>
      <c r="AB1237" s="143"/>
      <c r="AC1237" s="143"/>
      <c r="AD1237" s="142">
        <v>0</v>
      </c>
      <c r="AE1237" s="142"/>
      <c r="AF1237" s="142"/>
      <c r="AG1237" s="142">
        <v>0</v>
      </c>
      <c r="AH1237" s="142"/>
      <c r="AI1237" s="142"/>
      <c r="AJ1237" s="142">
        <v>0</v>
      </c>
      <c r="AK1237" s="142"/>
      <c r="AL1237" s="142"/>
      <c r="AM1237" s="142" t="s">
        <v>273</v>
      </c>
      <c r="AN1237" s="142" t="s">
        <v>4033</v>
      </c>
      <c r="AO1237" s="143"/>
      <c r="AP1237" s="142"/>
      <c r="AQ1237" s="142"/>
      <c r="AR1237" s="143"/>
      <c r="AS1237" s="142"/>
      <c r="AT1237" s="143"/>
      <c r="AU1237" s="142"/>
      <c r="AV1237" s="143"/>
      <c r="AW1237" s="147"/>
      <c r="AX1237" s="147"/>
      <c r="AY1237" s="148">
        <v>107040</v>
      </c>
      <c r="AZ1237" s="148">
        <f>ROUNDDOWN(AY1237+(AY1237*MASTER!$A$2/100),0)</f>
        <v>117744</v>
      </c>
      <c r="BA1237" s="142"/>
      <c r="BB1237" s="146"/>
      <c r="BC1237" s="146">
        <v>0</v>
      </c>
      <c r="BD1237" s="142"/>
      <c r="BE1237" s="142"/>
      <c r="BF1237" s="146"/>
      <c r="BG1237" s="146">
        <v>0</v>
      </c>
      <c r="BH1237" s="142"/>
      <c r="BI1237" s="142"/>
      <c r="BJ1237" s="146"/>
      <c r="BK1237" s="146">
        <v>0</v>
      </c>
      <c r="BL1237" s="142"/>
      <c r="BM1237" s="146"/>
      <c r="BN1237" s="146"/>
      <c r="BO1237" s="146"/>
      <c r="BP1237" s="146"/>
      <c r="BQ1237" s="146"/>
      <c r="BR1237" s="146"/>
      <c r="BS1237" s="146">
        <v>0</v>
      </c>
      <c r="BT1237" s="149"/>
      <c r="BU1237" s="149"/>
      <c r="BV1237" s="150">
        <v>109450</v>
      </c>
      <c r="BW1237" s="150">
        <v>0</v>
      </c>
      <c r="BX1237" s="150">
        <v>44725</v>
      </c>
      <c r="BY1237" s="150">
        <v>109450</v>
      </c>
      <c r="BZ1237" s="151">
        <v>100</v>
      </c>
      <c r="CA1237" s="142"/>
      <c r="CB1237" s="142"/>
      <c r="CC1237" s="142"/>
      <c r="CD1237" s="145" t="s">
        <v>4035</v>
      </c>
      <c r="CE1237" s="143"/>
      <c r="CF1237" s="143"/>
      <c r="CG1237" s="143"/>
      <c r="CH1237" s="143"/>
      <c r="CI1237" s="143"/>
      <c r="CJ1237" s="143"/>
      <c r="CK1237" s="146"/>
    </row>
    <row r="1238" spans="1:89" x14ac:dyDescent="0.15">
      <c r="A1238" s="60">
        <v>2</v>
      </c>
      <c r="B1238" s="61">
        <v>44736</v>
      </c>
      <c r="C1238" s="61">
        <v>44736</v>
      </c>
      <c r="D1238" s="61">
        <v>44736</v>
      </c>
      <c r="F1238" s="61" t="s">
        <v>309</v>
      </c>
      <c r="G1238" s="61">
        <v>44736</v>
      </c>
      <c r="H1238" s="61" t="s">
        <v>309</v>
      </c>
      <c r="I1238" s="60" t="s">
        <v>774</v>
      </c>
      <c r="J1238" s="60">
        <v>2</v>
      </c>
      <c r="L1238" s="60">
        <v>0</v>
      </c>
      <c r="M1238" s="61">
        <v>44726</v>
      </c>
      <c r="O1238" s="62" t="s">
        <v>331</v>
      </c>
      <c r="P1238" s="60" t="s">
        <v>77</v>
      </c>
      <c r="Q1238" s="62" t="s">
        <v>138</v>
      </c>
      <c r="R1238" s="62" t="s">
        <v>3631</v>
      </c>
      <c r="S1238" s="63" t="s">
        <v>658</v>
      </c>
      <c r="T1238" s="63" t="s">
        <v>3632</v>
      </c>
      <c r="U1238" s="64">
        <v>105000</v>
      </c>
      <c r="V1238" s="64">
        <v>115500</v>
      </c>
      <c r="W1238" s="64">
        <v>105000</v>
      </c>
      <c r="X1238" s="64">
        <v>115500</v>
      </c>
      <c r="Z1238" s="64">
        <v>0</v>
      </c>
      <c r="AA1238" s="61">
        <v>44735</v>
      </c>
      <c r="AB1238" s="61">
        <v>44736</v>
      </c>
      <c r="AD1238" s="60">
        <v>0</v>
      </c>
      <c r="AG1238" s="60">
        <v>0</v>
      </c>
      <c r="AJ1238" s="60">
        <v>0</v>
      </c>
      <c r="AM1238" s="60" t="s">
        <v>2004</v>
      </c>
      <c r="AN1238" s="60" t="s">
        <v>835</v>
      </c>
      <c r="AQ1238" s="60" t="s">
        <v>3668</v>
      </c>
      <c r="AR1238" s="61">
        <v>44733</v>
      </c>
      <c r="AS1238" s="60">
        <v>6002043049</v>
      </c>
      <c r="AT1238" s="61">
        <v>44733</v>
      </c>
      <c r="AU1238" s="60" t="s">
        <v>3705</v>
      </c>
      <c r="AV1238" s="61">
        <v>44736</v>
      </c>
      <c r="AW1238" s="91">
        <v>44742</v>
      </c>
      <c r="AX1238" s="91">
        <v>44762</v>
      </c>
      <c r="AY1238" s="107">
        <v>105000</v>
      </c>
      <c r="AZ1238" s="107">
        <v>115500</v>
      </c>
      <c r="BC1238" s="64">
        <v>0</v>
      </c>
      <c r="BG1238" s="64">
        <v>0</v>
      </c>
      <c r="BK1238" s="64">
        <v>0</v>
      </c>
      <c r="BS1238" s="64">
        <v>0</v>
      </c>
      <c r="BV1238" s="65">
        <v>115500</v>
      </c>
      <c r="BW1238" s="65">
        <v>0</v>
      </c>
      <c r="BX1238" s="65">
        <v>44726</v>
      </c>
      <c r="BY1238" s="65">
        <v>115500</v>
      </c>
      <c r="BZ1238" s="81">
        <v>100</v>
      </c>
    </row>
    <row r="1239" spans="1:89" x14ac:dyDescent="0.15">
      <c r="A1239" s="60">
        <v>2</v>
      </c>
      <c r="B1239" s="61">
        <v>44747</v>
      </c>
      <c r="C1239" s="61">
        <v>44771</v>
      </c>
      <c r="D1239" s="61">
        <v>44767</v>
      </c>
      <c r="F1239" s="61">
        <v>44772</v>
      </c>
      <c r="G1239" s="61">
        <v>44767</v>
      </c>
      <c r="H1239" s="61">
        <v>44768</v>
      </c>
      <c r="I1239" s="60" t="s">
        <v>774</v>
      </c>
      <c r="J1239" s="60">
        <v>2</v>
      </c>
      <c r="L1239" s="60">
        <v>0</v>
      </c>
      <c r="M1239" s="61">
        <v>44726</v>
      </c>
      <c r="O1239" s="62" t="s">
        <v>331</v>
      </c>
      <c r="P1239" s="60" t="s">
        <v>77</v>
      </c>
      <c r="Q1239" s="62" t="s">
        <v>138</v>
      </c>
      <c r="R1239" s="62" t="s">
        <v>3913</v>
      </c>
      <c r="S1239" s="63" t="s">
        <v>577</v>
      </c>
      <c r="T1239" s="63" t="s">
        <v>3914</v>
      </c>
      <c r="U1239" s="64">
        <v>105000</v>
      </c>
      <c r="V1239" s="64">
        <v>115500</v>
      </c>
      <c r="W1239" s="64">
        <v>105000</v>
      </c>
      <c r="X1239" s="64">
        <v>115500</v>
      </c>
      <c r="Z1239" s="64">
        <v>0</v>
      </c>
      <c r="AA1239" s="61">
        <v>44764</v>
      </c>
      <c r="AB1239" s="61">
        <v>44765</v>
      </c>
      <c r="AC1239" s="61">
        <v>44765</v>
      </c>
      <c r="AD1239" s="60">
        <v>0</v>
      </c>
      <c r="AG1239" s="60">
        <v>0</v>
      </c>
      <c r="AJ1239" s="60">
        <v>0</v>
      </c>
      <c r="AM1239" s="60" t="s">
        <v>2004</v>
      </c>
      <c r="AN1239" s="60" t="s">
        <v>710</v>
      </c>
      <c r="AQ1239" s="60" t="s">
        <v>3669</v>
      </c>
      <c r="AR1239" s="61">
        <v>44733</v>
      </c>
      <c r="AS1239" s="60">
        <v>6002043049</v>
      </c>
      <c r="AT1239" s="61">
        <v>44733</v>
      </c>
      <c r="AU1239" s="60" t="s">
        <v>3705</v>
      </c>
      <c r="AV1239" s="61">
        <v>44771</v>
      </c>
      <c r="AW1239" s="91">
        <v>44773</v>
      </c>
      <c r="AX1239" s="91">
        <v>44793</v>
      </c>
      <c r="AY1239" s="107">
        <v>105000</v>
      </c>
      <c r="AZ1239" s="107">
        <v>115500</v>
      </c>
      <c r="BA1239" s="60" t="s">
        <v>321</v>
      </c>
      <c r="BB1239" s="64">
        <v>128400</v>
      </c>
      <c r="BC1239" s="64">
        <v>141240</v>
      </c>
      <c r="BD1239" s="60" t="s">
        <v>3800</v>
      </c>
      <c r="BG1239" s="64">
        <v>0</v>
      </c>
      <c r="BK1239" s="64">
        <v>0</v>
      </c>
      <c r="BS1239" s="64">
        <v>0</v>
      </c>
      <c r="BV1239" s="65">
        <v>115500</v>
      </c>
      <c r="BW1239" s="65">
        <v>141240</v>
      </c>
      <c r="BX1239" s="65">
        <v>44726</v>
      </c>
      <c r="BY1239" s="65">
        <v>-25740</v>
      </c>
      <c r="BZ1239" s="81">
        <v>-22.285714285714285</v>
      </c>
    </row>
    <row r="1240" spans="1:89" x14ac:dyDescent="0.15">
      <c r="A1240" s="60">
        <v>2</v>
      </c>
      <c r="B1240" s="61">
        <v>44774</v>
      </c>
      <c r="C1240" s="61">
        <v>44783</v>
      </c>
      <c r="D1240" s="61" t="s">
        <v>764</v>
      </c>
      <c r="E1240" s="61">
        <v>44790</v>
      </c>
      <c r="F1240" s="61">
        <v>44789</v>
      </c>
      <c r="G1240" s="61">
        <v>44783</v>
      </c>
      <c r="H1240" s="61">
        <v>44785</v>
      </c>
      <c r="I1240" s="60" t="s">
        <v>511</v>
      </c>
      <c r="J1240" s="60">
        <v>1</v>
      </c>
      <c r="L1240" s="60">
        <v>0</v>
      </c>
      <c r="M1240" s="61">
        <v>44726</v>
      </c>
      <c r="O1240" s="62" t="s">
        <v>331</v>
      </c>
      <c r="P1240" s="60" t="s">
        <v>26</v>
      </c>
      <c r="Q1240" s="62" t="s">
        <v>138</v>
      </c>
      <c r="R1240" s="62" t="s">
        <v>4250</v>
      </c>
      <c r="S1240" s="63" t="s">
        <v>717</v>
      </c>
      <c r="T1240" s="63" t="s">
        <v>4251</v>
      </c>
      <c r="U1240" s="64">
        <v>23900</v>
      </c>
      <c r="V1240" s="64">
        <v>26290</v>
      </c>
      <c r="W1240" s="64">
        <v>14700</v>
      </c>
      <c r="X1240" s="64">
        <v>16170</v>
      </c>
      <c r="Y1240" s="64">
        <v>9200</v>
      </c>
      <c r="Z1240" s="64">
        <v>10120</v>
      </c>
      <c r="AA1240" s="61">
        <v>44781</v>
      </c>
      <c r="AB1240" s="61">
        <v>44782</v>
      </c>
      <c r="AC1240" s="61">
        <v>44782</v>
      </c>
      <c r="AD1240" s="60">
        <v>0</v>
      </c>
      <c r="AG1240" s="60">
        <v>0</v>
      </c>
      <c r="AJ1240" s="60">
        <v>0</v>
      </c>
      <c r="AM1240" s="60" t="s">
        <v>273</v>
      </c>
      <c r="AN1240" s="60" t="s">
        <v>4252</v>
      </c>
      <c r="AQ1240" s="60" t="s">
        <v>3719</v>
      </c>
      <c r="AR1240" s="61">
        <v>44734</v>
      </c>
      <c r="AS1240" s="60">
        <v>6002043743</v>
      </c>
      <c r="AT1240" s="61">
        <v>44735</v>
      </c>
      <c r="AU1240" s="60" t="s">
        <v>3735</v>
      </c>
      <c r="AV1240" s="61">
        <v>44783</v>
      </c>
      <c r="AW1240" s="91">
        <v>44804</v>
      </c>
      <c r="AX1240" s="91">
        <v>44824</v>
      </c>
      <c r="AY1240" s="99">
        <v>22944</v>
      </c>
      <c r="AZ1240" s="99">
        <f>ROUNDDOWN(AY1240+(AY1240*MASTER!$A$2/100),0)</f>
        <v>25238</v>
      </c>
      <c r="BA1240" s="60" t="s">
        <v>765</v>
      </c>
      <c r="BC1240" s="64">
        <v>0</v>
      </c>
      <c r="BG1240" s="64">
        <v>0</v>
      </c>
      <c r="BI1240" s="60" t="s">
        <v>267</v>
      </c>
      <c r="BJ1240" s="64">
        <v>5980</v>
      </c>
      <c r="BK1240" s="64">
        <v>6578</v>
      </c>
      <c r="BL1240" s="60" t="s">
        <v>4069</v>
      </c>
      <c r="BS1240" s="64">
        <v>0</v>
      </c>
      <c r="BV1240" s="65">
        <v>16170</v>
      </c>
      <c r="BW1240" s="65">
        <v>6578</v>
      </c>
      <c r="BX1240" s="65">
        <v>44726</v>
      </c>
      <c r="BY1240" s="65">
        <v>9592</v>
      </c>
      <c r="BZ1240" s="81">
        <v>59.319727891156461</v>
      </c>
    </row>
    <row r="1241" spans="1:89" x14ac:dyDescent="0.15">
      <c r="A1241" s="60">
        <v>1</v>
      </c>
      <c r="B1241" s="61">
        <v>44736</v>
      </c>
      <c r="C1241" s="61">
        <v>44742</v>
      </c>
      <c r="F1241" s="61" t="s">
        <v>309</v>
      </c>
      <c r="H1241" s="61" t="s">
        <v>309</v>
      </c>
      <c r="J1241" s="60">
        <v>2</v>
      </c>
      <c r="L1241" s="60">
        <v>0</v>
      </c>
      <c r="M1241" s="61">
        <v>44726</v>
      </c>
      <c r="O1241" s="62" t="s">
        <v>331</v>
      </c>
      <c r="P1241" s="60" t="s">
        <v>26</v>
      </c>
      <c r="Q1241" s="62" t="s">
        <v>138</v>
      </c>
      <c r="R1241" s="62" t="s">
        <v>3733</v>
      </c>
      <c r="S1241" s="63" t="s">
        <v>3536</v>
      </c>
      <c r="T1241" s="63" t="s">
        <v>3734</v>
      </c>
      <c r="U1241" s="64">
        <v>47000</v>
      </c>
      <c r="V1241" s="64">
        <v>51700</v>
      </c>
      <c r="W1241" s="64">
        <v>47000</v>
      </c>
      <c r="X1241" s="64">
        <v>51700</v>
      </c>
      <c r="Z1241" s="64">
        <v>0</v>
      </c>
      <c r="AD1241" s="60">
        <v>0</v>
      </c>
      <c r="AG1241" s="60">
        <v>0</v>
      </c>
      <c r="AJ1241" s="60">
        <v>0</v>
      </c>
      <c r="AN1241" s="60" t="s">
        <v>309</v>
      </c>
      <c r="AQ1241" s="60" t="s">
        <v>3627</v>
      </c>
      <c r="AR1241" s="61">
        <v>44728</v>
      </c>
      <c r="AS1241" s="60">
        <v>6002041212</v>
      </c>
      <c r="AT1241" s="61">
        <v>44729</v>
      </c>
      <c r="AU1241" s="60" t="s">
        <v>3655</v>
      </c>
      <c r="AV1241" s="61">
        <v>44742</v>
      </c>
      <c r="AW1241" s="91">
        <v>44742</v>
      </c>
      <c r="AX1241" s="91">
        <v>44762</v>
      </c>
      <c r="AY1241" s="99">
        <v>45120</v>
      </c>
      <c r="AZ1241" s="99">
        <f>ROUNDDOWN(AY1241+(AY1241*MASTER!$A$2/100),0)</f>
        <v>49632</v>
      </c>
      <c r="BC1241" s="64">
        <v>0</v>
      </c>
      <c r="BG1241" s="64">
        <v>0</v>
      </c>
      <c r="BK1241" s="64">
        <v>0</v>
      </c>
      <c r="BS1241" s="64">
        <v>0</v>
      </c>
      <c r="BV1241" s="65">
        <v>51700</v>
      </c>
      <c r="BW1241" s="65">
        <v>0</v>
      </c>
      <c r="BX1241" s="65">
        <v>44726</v>
      </c>
      <c r="BY1241" s="65">
        <v>51700</v>
      </c>
      <c r="BZ1241" s="81">
        <v>100</v>
      </c>
    </row>
    <row r="1242" spans="1:89" x14ac:dyDescent="0.15">
      <c r="A1242" s="60">
        <v>2</v>
      </c>
      <c r="B1242" s="61">
        <v>44732</v>
      </c>
      <c r="C1242" s="61">
        <v>44742</v>
      </c>
      <c r="D1242" s="61">
        <v>44750</v>
      </c>
      <c r="F1242" s="61" t="s">
        <v>309</v>
      </c>
      <c r="G1242" s="61">
        <v>44740</v>
      </c>
      <c r="H1242" s="61" t="s">
        <v>309</v>
      </c>
      <c r="I1242" s="60" t="s">
        <v>2495</v>
      </c>
      <c r="J1242" s="60">
        <v>2</v>
      </c>
      <c r="L1242" s="60">
        <v>0</v>
      </c>
      <c r="M1242" s="61">
        <v>44726</v>
      </c>
      <c r="O1242" s="62" t="s">
        <v>331</v>
      </c>
      <c r="P1242" s="60" t="s">
        <v>26</v>
      </c>
      <c r="Q1242" s="62" t="s">
        <v>138</v>
      </c>
      <c r="R1242" s="62" t="s">
        <v>3711</v>
      </c>
      <c r="S1242" s="63" t="s">
        <v>1925</v>
      </c>
      <c r="T1242" s="63" t="s">
        <v>1524</v>
      </c>
      <c r="U1242" s="64">
        <v>78600</v>
      </c>
      <c r="V1242" s="64">
        <v>86460</v>
      </c>
      <c r="W1242" s="64">
        <v>78600</v>
      </c>
      <c r="X1242" s="64">
        <v>86460</v>
      </c>
      <c r="Y1242" s="64">
        <v>0</v>
      </c>
      <c r="Z1242" s="64">
        <v>0</v>
      </c>
      <c r="AA1242" s="61">
        <v>44740</v>
      </c>
      <c r="AB1242" s="61">
        <v>44741</v>
      </c>
      <c r="AD1242" s="60">
        <v>0</v>
      </c>
      <c r="AG1242" s="60">
        <v>0</v>
      </c>
      <c r="AJ1242" s="60">
        <v>0</v>
      </c>
      <c r="AQ1242" s="60" t="s">
        <v>3651</v>
      </c>
      <c r="AR1242" s="61">
        <v>44728</v>
      </c>
      <c r="AS1242" s="60">
        <v>6002041212</v>
      </c>
      <c r="AT1242" s="61">
        <v>44729</v>
      </c>
      <c r="AU1242" s="60" t="s">
        <v>3655</v>
      </c>
      <c r="AV1242" s="61">
        <v>44742</v>
      </c>
      <c r="AW1242" s="91">
        <v>44742</v>
      </c>
      <c r="AX1242" s="91">
        <v>44762</v>
      </c>
      <c r="AY1242" s="107">
        <v>78600</v>
      </c>
      <c r="AZ1242" s="107">
        <f>ROUNDDOWN(AY1242+(AY1242*MASTER!$A$2/100),0)</f>
        <v>86460</v>
      </c>
      <c r="BA1242" s="60" t="s">
        <v>318</v>
      </c>
      <c r="BB1242" s="64">
        <v>53000</v>
      </c>
      <c r="BC1242" s="64">
        <v>58300</v>
      </c>
      <c r="BD1242" s="60" t="s">
        <v>3530</v>
      </c>
      <c r="BG1242" s="64">
        <v>0</v>
      </c>
      <c r="BK1242" s="64">
        <v>0</v>
      </c>
      <c r="BS1242" s="64">
        <v>0</v>
      </c>
      <c r="BV1242" s="65">
        <v>86460</v>
      </c>
      <c r="BW1242" s="65">
        <v>58300</v>
      </c>
      <c r="BX1242" s="65">
        <v>44726</v>
      </c>
      <c r="BY1242" s="65">
        <v>28160</v>
      </c>
      <c r="BZ1242" s="81">
        <v>32.569974554707379</v>
      </c>
    </row>
    <row r="1243" spans="1:89" x14ac:dyDescent="0.15">
      <c r="A1243" s="60">
        <v>2</v>
      </c>
      <c r="B1243" s="61">
        <v>44732</v>
      </c>
      <c r="C1243" s="61">
        <v>44742</v>
      </c>
      <c r="D1243" s="61">
        <v>44750</v>
      </c>
      <c r="F1243" s="61" t="s">
        <v>309</v>
      </c>
      <c r="G1243" s="61">
        <v>44740</v>
      </c>
      <c r="H1243" s="61" t="s">
        <v>309</v>
      </c>
      <c r="I1243" s="60" t="s">
        <v>511</v>
      </c>
      <c r="J1243" s="60">
        <v>2</v>
      </c>
      <c r="L1243" s="60">
        <v>0</v>
      </c>
      <c r="M1243" s="61">
        <v>44726</v>
      </c>
      <c r="O1243" s="62" t="s">
        <v>331</v>
      </c>
      <c r="P1243" s="60" t="s">
        <v>26</v>
      </c>
      <c r="Q1243" s="62" t="s">
        <v>138</v>
      </c>
      <c r="R1243" s="62" t="s">
        <v>3712</v>
      </c>
      <c r="S1243" s="63" t="s">
        <v>1065</v>
      </c>
      <c r="T1243" s="63" t="s">
        <v>1524</v>
      </c>
      <c r="U1243" s="64">
        <v>78600</v>
      </c>
      <c r="V1243" s="64">
        <v>86460</v>
      </c>
      <c r="W1243" s="64">
        <v>78600</v>
      </c>
      <c r="X1243" s="64">
        <v>86460</v>
      </c>
      <c r="Y1243" s="64">
        <v>0</v>
      </c>
      <c r="Z1243" s="64">
        <v>0</v>
      </c>
      <c r="AA1243" s="61">
        <v>44739</v>
      </c>
      <c r="AB1243" s="61">
        <v>44740</v>
      </c>
      <c r="AD1243" s="60">
        <v>0</v>
      </c>
      <c r="AG1243" s="60">
        <v>0</v>
      </c>
      <c r="AJ1243" s="60">
        <v>0</v>
      </c>
      <c r="AQ1243" s="60" t="s">
        <v>3651</v>
      </c>
      <c r="AR1243" s="61">
        <v>44728</v>
      </c>
      <c r="AS1243" s="60">
        <v>6002041212</v>
      </c>
      <c r="AT1243" s="61">
        <v>44729</v>
      </c>
      <c r="AU1243" s="60" t="s">
        <v>3655</v>
      </c>
      <c r="AV1243" s="61">
        <v>44742</v>
      </c>
      <c r="AW1243" s="91">
        <v>44742</v>
      </c>
      <c r="AX1243" s="91">
        <v>44762</v>
      </c>
      <c r="AY1243" s="107">
        <v>78600</v>
      </c>
      <c r="AZ1243" s="107">
        <f>ROUNDDOWN(AY1243+(AY1243*MASTER!$A$2/100),0)</f>
        <v>86460</v>
      </c>
      <c r="BA1243" s="60" t="s">
        <v>318</v>
      </c>
      <c r="BB1243" s="64">
        <v>53000</v>
      </c>
      <c r="BC1243" s="64">
        <v>58300</v>
      </c>
      <c r="BD1243" s="60" t="s">
        <v>3530</v>
      </c>
      <c r="BG1243" s="64">
        <v>0</v>
      </c>
      <c r="BK1243" s="64">
        <v>0</v>
      </c>
      <c r="BS1243" s="64">
        <v>0</v>
      </c>
      <c r="BV1243" s="65">
        <v>86460</v>
      </c>
      <c r="BW1243" s="65">
        <v>58300</v>
      </c>
      <c r="BX1243" s="65">
        <v>44726</v>
      </c>
      <c r="BY1243" s="65">
        <v>28160</v>
      </c>
      <c r="BZ1243" s="81">
        <v>32.569974554707379</v>
      </c>
    </row>
    <row r="1244" spans="1:89" x14ac:dyDescent="0.15">
      <c r="A1244" s="60">
        <v>2</v>
      </c>
      <c r="B1244" s="61">
        <v>44732</v>
      </c>
      <c r="C1244" s="61">
        <v>44742</v>
      </c>
      <c r="D1244" s="61">
        <v>44747</v>
      </c>
      <c r="F1244" s="61" t="s">
        <v>309</v>
      </c>
      <c r="G1244" s="61">
        <v>44742</v>
      </c>
      <c r="H1244" s="61" t="s">
        <v>309</v>
      </c>
      <c r="I1244" s="60" t="s">
        <v>4277</v>
      </c>
      <c r="J1244" s="60">
        <v>2</v>
      </c>
      <c r="L1244" s="60">
        <v>0</v>
      </c>
      <c r="M1244" s="61">
        <v>44726</v>
      </c>
      <c r="O1244" s="62" t="s">
        <v>331</v>
      </c>
      <c r="P1244" s="60" t="s">
        <v>26</v>
      </c>
      <c r="Q1244" s="62" t="s">
        <v>138</v>
      </c>
      <c r="R1244" s="62" t="s">
        <v>3710</v>
      </c>
      <c r="S1244" s="63" t="s">
        <v>2485</v>
      </c>
      <c r="T1244" s="63" t="s">
        <v>1524</v>
      </c>
      <c r="U1244" s="64">
        <v>78600</v>
      </c>
      <c r="V1244" s="64">
        <v>86460</v>
      </c>
      <c r="W1244" s="64">
        <v>78600</v>
      </c>
      <c r="X1244" s="64">
        <v>86460</v>
      </c>
      <c r="Y1244" s="64">
        <v>0</v>
      </c>
      <c r="Z1244" s="64">
        <v>0</v>
      </c>
      <c r="AA1244" s="61">
        <v>44741</v>
      </c>
      <c r="AB1244" s="61">
        <v>44742</v>
      </c>
      <c r="AD1244" s="60">
        <v>0</v>
      </c>
      <c r="AG1244" s="60">
        <v>0</v>
      </c>
      <c r="AJ1244" s="60">
        <v>0</v>
      </c>
      <c r="AQ1244" s="60" t="s">
        <v>3651</v>
      </c>
      <c r="AR1244" s="61">
        <v>44728</v>
      </c>
      <c r="AS1244" s="60">
        <v>6002041212</v>
      </c>
      <c r="AT1244" s="61">
        <v>44729</v>
      </c>
      <c r="AU1244" s="60" t="s">
        <v>3655</v>
      </c>
      <c r="AV1244" s="61">
        <v>44742</v>
      </c>
      <c r="AW1244" s="91">
        <v>44742</v>
      </c>
      <c r="AX1244" s="91">
        <v>44762</v>
      </c>
      <c r="AY1244" s="107">
        <v>78600</v>
      </c>
      <c r="AZ1244" s="107">
        <f>ROUNDDOWN(AY1244+(AY1244*MASTER!$A$2/100),0)</f>
        <v>86460</v>
      </c>
      <c r="BA1244" s="60" t="s">
        <v>317</v>
      </c>
      <c r="BB1244" s="64">
        <v>46000</v>
      </c>
      <c r="BC1244" s="64">
        <v>50600</v>
      </c>
      <c r="BD1244" s="60" t="s">
        <v>3530</v>
      </c>
      <c r="BG1244" s="64">
        <v>0</v>
      </c>
      <c r="BK1244" s="64">
        <v>0</v>
      </c>
      <c r="BS1244" s="64">
        <v>0</v>
      </c>
      <c r="BV1244" s="65">
        <v>86460</v>
      </c>
      <c r="BW1244" s="65">
        <v>50600</v>
      </c>
      <c r="BX1244" s="65">
        <v>44726</v>
      </c>
      <c r="BY1244" s="65">
        <v>35860</v>
      </c>
      <c r="BZ1244" s="81">
        <v>41.475826972010175</v>
      </c>
    </row>
    <row r="1245" spans="1:89" x14ac:dyDescent="0.15">
      <c r="A1245" s="60">
        <v>2</v>
      </c>
      <c r="B1245" s="61">
        <v>44732</v>
      </c>
      <c r="C1245" s="61">
        <v>44742</v>
      </c>
      <c r="D1245" s="61">
        <v>44750</v>
      </c>
      <c r="F1245" s="61" t="s">
        <v>309</v>
      </c>
      <c r="G1245" s="61">
        <v>44739</v>
      </c>
      <c r="H1245" s="61" t="s">
        <v>309</v>
      </c>
      <c r="I1245" s="60" t="s">
        <v>511</v>
      </c>
      <c r="J1245" s="60">
        <v>2</v>
      </c>
      <c r="L1245" s="60">
        <v>0</v>
      </c>
      <c r="M1245" s="61">
        <v>44726</v>
      </c>
      <c r="O1245" s="62" t="s">
        <v>331</v>
      </c>
      <c r="P1245" s="60" t="s">
        <v>26</v>
      </c>
      <c r="Q1245" s="62" t="s">
        <v>138</v>
      </c>
      <c r="R1245" s="62" t="s">
        <v>3698</v>
      </c>
      <c r="S1245" s="63" t="s">
        <v>1612</v>
      </c>
      <c r="T1245" s="63" t="s">
        <v>1524</v>
      </c>
      <c r="U1245" s="64">
        <v>78600</v>
      </c>
      <c r="V1245" s="64">
        <v>86460</v>
      </c>
      <c r="W1245" s="64">
        <v>78600</v>
      </c>
      <c r="X1245" s="64">
        <v>86460</v>
      </c>
      <c r="Y1245" s="64">
        <v>0</v>
      </c>
      <c r="Z1245" s="64">
        <v>0</v>
      </c>
      <c r="AA1245" s="61">
        <v>44736</v>
      </c>
      <c r="AB1245" s="61">
        <v>44737</v>
      </c>
      <c r="AD1245" s="60">
        <v>0</v>
      </c>
      <c r="AG1245" s="60">
        <v>0</v>
      </c>
      <c r="AJ1245" s="60">
        <v>0</v>
      </c>
      <c r="AQ1245" s="60" t="s">
        <v>3651</v>
      </c>
      <c r="AR1245" s="61">
        <v>44728</v>
      </c>
      <c r="AS1245" s="60">
        <v>6002041212</v>
      </c>
      <c r="AT1245" s="61">
        <v>44729</v>
      </c>
      <c r="AU1245" s="60" t="s">
        <v>3655</v>
      </c>
      <c r="AV1245" s="61">
        <v>44742</v>
      </c>
      <c r="AW1245" s="91">
        <v>44742</v>
      </c>
      <c r="AX1245" s="91">
        <v>44762</v>
      </c>
      <c r="AY1245" s="107">
        <v>78600</v>
      </c>
      <c r="AZ1245" s="107">
        <f>ROUNDDOWN(AY1245+(AY1245*MASTER!$A$2/100),0)</f>
        <v>86460</v>
      </c>
      <c r="BA1245" s="60" t="s">
        <v>582</v>
      </c>
      <c r="BB1245" s="64">
        <v>23000</v>
      </c>
      <c r="BC1245" s="64">
        <v>25300</v>
      </c>
      <c r="BD1245" s="60" t="s">
        <v>3530</v>
      </c>
      <c r="BG1245" s="64">
        <v>0</v>
      </c>
      <c r="BK1245" s="64">
        <v>0</v>
      </c>
      <c r="BS1245" s="64">
        <v>0</v>
      </c>
      <c r="BV1245" s="65">
        <v>86460</v>
      </c>
      <c r="BW1245" s="65">
        <v>25300</v>
      </c>
      <c r="BX1245" s="65">
        <v>44726</v>
      </c>
      <c r="BY1245" s="65">
        <v>61160</v>
      </c>
      <c r="BZ1245" s="81">
        <v>70.737913486005084</v>
      </c>
    </row>
    <row r="1246" spans="1:89" x14ac:dyDescent="0.15">
      <c r="A1246" s="60">
        <v>2</v>
      </c>
      <c r="B1246" s="61">
        <v>44732</v>
      </c>
      <c r="C1246" s="61">
        <v>44742</v>
      </c>
      <c r="D1246" s="61">
        <v>44750</v>
      </c>
      <c r="F1246" s="61" t="s">
        <v>309</v>
      </c>
      <c r="G1246" s="61">
        <v>44739</v>
      </c>
      <c r="H1246" s="61" t="s">
        <v>309</v>
      </c>
      <c r="I1246" s="60" t="s">
        <v>2495</v>
      </c>
      <c r="J1246" s="60">
        <v>2</v>
      </c>
      <c r="L1246" s="60">
        <v>0</v>
      </c>
      <c r="M1246" s="61">
        <v>44726</v>
      </c>
      <c r="O1246" s="62" t="s">
        <v>331</v>
      </c>
      <c r="P1246" s="60" t="s">
        <v>26</v>
      </c>
      <c r="Q1246" s="62" t="s">
        <v>138</v>
      </c>
      <c r="R1246" s="62" t="s">
        <v>3697</v>
      </c>
      <c r="S1246" s="63" t="s">
        <v>1753</v>
      </c>
      <c r="T1246" s="63" t="s">
        <v>1524</v>
      </c>
      <c r="U1246" s="64">
        <v>78600</v>
      </c>
      <c r="V1246" s="64">
        <v>86460</v>
      </c>
      <c r="W1246" s="64">
        <v>78600</v>
      </c>
      <c r="X1246" s="64">
        <v>86460</v>
      </c>
      <c r="Y1246" s="64">
        <v>0</v>
      </c>
      <c r="Z1246" s="64">
        <v>0</v>
      </c>
      <c r="AA1246" s="61">
        <v>44736</v>
      </c>
      <c r="AB1246" s="61">
        <v>44737</v>
      </c>
      <c r="AD1246" s="60">
        <v>0</v>
      </c>
      <c r="AG1246" s="60">
        <v>0</v>
      </c>
      <c r="AJ1246" s="60">
        <v>0</v>
      </c>
      <c r="AQ1246" s="60" t="s">
        <v>3651</v>
      </c>
      <c r="AR1246" s="61">
        <v>44728</v>
      </c>
      <c r="AS1246" s="60">
        <v>6002041212</v>
      </c>
      <c r="AT1246" s="61">
        <v>44729</v>
      </c>
      <c r="AU1246" s="60" t="s">
        <v>3655</v>
      </c>
      <c r="AV1246" s="61">
        <v>44742</v>
      </c>
      <c r="AW1246" s="91">
        <v>44742</v>
      </c>
      <c r="AX1246" s="91">
        <v>44762</v>
      </c>
      <c r="AY1246" s="107">
        <v>78600</v>
      </c>
      <c r="AZ1246" s="107">
        <f>ROUNDDOWN(AY1246+(AY1246*MASTER!$A$2/100),0)</f>
        <v>86460</v>
      </c>
      <c r="BA1246" s="60" t="s">
        <v>582</v>
      </c>
      <c r="BB1246" s="64">
        <v>24000</v>
      </c>
      <c r="BC1246" s="64">
        <v>26400</v>
      </c>
      <c r="BD1246" s="60" t="s">
        <v>3530</v>
      </c>
      <c r="BG1246" s="64">
        <v>0</v>
      </c>
      <c r="BK1246" s="64">
        <v>0</v>
      </c>
      <c r="BS1246" s="64">
        <v>0</v>
      </c>
      <c r="BV1246" s="65">
        <v>86460</v>
      </c>
      <c r="BW1246" s="65">
        <v>26400</v>
      </c>
      <c r="BX1246" s="65">
        <v>44726</v>
      </c>
      <c r="BY1246" s="65">
        <v>60060</v>
      </c>
      <c r="BZ1246" s="81">
        <v>69.465648854961842</v>
      </c>
    </row>
    <row r="1247" spans="1:89" x14ac:dyDescent="0.15">
      <c r="A1247" s="60">
        <v>2</v>
      </c>
      <c r="B1247" s="61">
        <v>44732</v>
      </c>
      <c r="C1247" s="61">
        <v>44742</v>
      </c>
      <c r="D1247" s="61">
        <v>44750</v>
      </c>
      <c r="F1247" s="61" t="s">
        <v>309</v>
      </c>
      <c r="G1247" s="61">
        <v>44739</v>
      </c>
      <c r="H1247" s="61" t="s">
        <v>309</v>
      </c>
      <c r="I1247" s="60" t="s">
        <v>511</v>
      </c>
      <c r="J1247" s="60">
        <v>2</v>
      </c>
      <c r="L1247" s="60">
        <v>0</v>
      </c>
      <c r="M1247" s="61">
        <v>44726</v>
      </c>
      <c r="O1247" s="62" t="s">
        <v>331</v>
      </c>
      <c r="P1247" s="60" t="s">
        <v>26</v>
      </c>
      <c r="Q1247" s="62" t="s">
        <v>138</v>
      </c>
      <c r="R1247" s="62" t="s">
        <v>3696</v>
      </c>
      <c r="S1247" s="63" t="s">
        <v>1860</v>
      </c>
      <c r="T1247" s="63" t="s">
        <v>1524</v>
      </c>
      <c r="U1247" s="64">
        <v>78600</v>
      </c>
      <c r="V1247" s="64">
        <v>86460</v>
      </c>
      <c r="W1247" s="64">
        <v>78600</v>
      </c>
      <c r="X1247" s="64">
        <v>86460</v>
      </c>
      <c r="Y1247" s="64">
        <v>0</v>
      </c>
      <c r="Z1247" s="64">
        <v>0</v>
      </c>
      <c r="AA1247" s="61">
        <v>44736</v>
      </c>
      <c r="AB1247" s="61">
        <v>44737</v>
      </c>
      <c r="AD1247" s="60">
        <v>0</v>
      </c>
      <c r="AG1247" s="60">
        <v>0</v>
      </c>
      <c r="AJ1247" s="60">
        <v>0</v>
      </c>
      <c r="AQ1247" s="60" t="s">
        <v>3651</v>
      </c>
      <c r="AR1247" s="61">
        <v>44728</v>
      </c>
      <c r="AS1247" s="60">
        <v>6002041212</v>
      </c>
      <c r="AT1247" s="61">
        <v>44729</v>
      </c>
      <c r="AU1247" s="60" t="s">
        <v>3655</v>
      </c>
      <c r="AV1247" s="61">
        <v>44742</v>
      </c>
      <c r="AW1247" s="91">
        <v>44742</v>
      </c>
      <c r="AX1247" s="91">
        <v>44762</v>
      </c>
      <c r="AY1247" s="107">
        <v>78600</v>
      </c>
      <c r="AZ1247" s="107">
        <f>ROUNDDOWN(AY1247+(AY1247*MASTER!$A$2/100),0)</f>
        <v>86460</v>
      </c>
      <c r="BA1247" s="60" t="s">
        <v>582</v>
      </c>
      <c r="BB1247" s="64">
        <v>24000</v>
      </c>
      <c r="BC1247" s="64">
        <v>26400</v>
      </c>
      <c r="BD1247" s="60" t="s">
        <v>3530</v>
      </c>
      <c r="BG1247" s="64">
        <v>0</v>
      </c>
      <c r="BK1247" s="64">
        <v>0</v>
      </c>
      <c r="BS1247" s="64">
        <v>0</v>
      </c>
      <c r="BV1247" s="65">
        <v>86460</v>
      </c>
      <c r="BW1247" s="65">
        <v>26400</v>
      </c>
      <c r="BX1247" s="65">
        <v>44726</v>
      </c>
      <c r="BY1247" s="65">
        <v>60060</v>
      </c>
      <c r="BZ1247" s="81">
        <v>69.465648854961842</v>
      </c>
    </row>
    <row r="1248" spans="1:89" x14ac:dyDescent="0.15">
      <c r="A1248" s="60">
        <v>2</v>
      </c>
      <c r="B1248" s="61">
        <v>44732</v>
      </c>
      <c r="C1248" s="61">
        <v>44742</v>
      </c>
      <c r="D1248" s="61">
        <v>44750</v>
      </c>
      <c r="F1248" s="61" t="s">
        <v>309</v>
      </c>
      <c r="G1248" s="61">
        <v>44739</v>
      </c>
      <c r="H1248" s="61" t="s">
        <v>309</v>
      </c>
      <c r="I1248" s="60" t="s">
        <v>511</v>
      </c>
      <c r="J1248" s="60">
        <v>2</v>
      </c>
      <c r="L1248" s="60">
        <v>0</v>
      </c>
      <c r="M1248" s="61">
        <v>44726</v>
      </c>
      <c r="O1248" s="62" t="s">
        <v>331</v>
      </c>
      <c r="P1248" s="60" t="s">
        <v>26</v>
      </c>
      <c r="Q1248" s="62" t="s">
        <v>138</v>
      </c>
      <c r="R1248" s="62" t="s">
        <v>3695</v>
      </c>
      <c r="S1248" s="63" t="s">
        <v>515</v>
      </c>
      <c r="T1248" s="63" t="s">
        <v>1524</v>
      </c>
      <c r="U1248" s="64">
        <v>78600</v>
      </c>
      <c r="V1248" s="64">
        <v>86460</v>
      </c>
      <c r="W1248" s="64">
        <v>78600</v>
      </c>
      <c r="X1248" s="64">
        <v>86460</v>
      </c>
      <c r="Y1248" s="64">
        <v>0</v>
      </c>
      <c r="Z1248" s="64">
        <v>0</v>
      </c>
      <c r="AA1248" s="61">
        <v>44736</v>
      </c>
      <c r="AB1248" s="61">
        <v>44737</v>
      </c>
      <c r="AD1248" s="60">
        <v>0</v>
      </c>
      <c r="AG1248" s="60">
        <v>0</v>
      </c>
      <c r="AJ1248" s="60">
        <v>0</v>
      </c>
      <c r="AQ1248" s="60" t="s">
        <v>3651</v>
      </c>
      <c r="AR1248" s="61">
        <v>44728</v>
      </c>
      <c r="AS1248" s="60">
        <v>6002041212</v>
      </c>
      <c r="AT1248" s="61">
        <v>44729</v>
      </c>
      <c r="AU1248" s="60" t="s">
        <v>3655</v>
      </c>
      <c r="AV1248" s="61">
        <v>44742</v>
      </c>
      <c r="AW1248" s="91">
        <v>44742</v>
      </c>
      <c r="AX1248" s="91">
        <v>44762</v>
      </c>
      <c r="AY1248" s="107">
        <v>78600</v>
      </c>
      <c r="AZ1248" s="107">
        <f>ROUNDDOWN(AY1248+(AY1248*MASTER!$A$2/100),0)</f>
        <v>86460</v>
      </c>
      <c r="BA1248" s="60" t="s">
        <v>582</v>
      </c>
      <c r="BB1248" s="64">
        <v>24000</v>
      </c>
      <c r="BC1248" s="64">
        <v>26400</v>
      </c>
      <c r="BD1248" s="60" t="s">
        <v>3530</v>
      </c>
      <c r="BG1248" s="64">
        <v>0</v>
      </c>
      <c r="BK1248" s="64">
        <v>0</v>
      </c>
      <c r="BS1248" s="64">
        <v>0</v>
      </c>
      <c r="BV1248" s="65">
        <v>86460</v>
      </c>
      <c r="BW1248" s="65">
        <v>26400</v>
      </c>
      <c r="BX1248" s="65">
        <v>44726</v>
      </c>
      <c r="BY1248" s="65">
        <v>60060</v>
      </c>
      <c r="BZ1248" s="81">
        <v>69.465648854961842</v>
      </c>
    </row>
    <row r="1249" spans="1:78" x14ac:dyDescent="0.15">
      <c r="A1249" s="60">
        <v>2</v>
      </c>
      <c r="B1249" s="61">
        <v>44732</v>
      </c>
      <c r="C1249" s="61">
        <v>44742</v>
      </c>
      <c r="D1249" s="61">
        <v>44750</v>
      </c>
      <c r="F1249" s="61" t="s">
        <v>309</v>
      </c>
      <c r="G1249" s="61">
        <v>44735</v>
      </c>
      <c r="H1249" s="61" t="s">
        <v>309</v>
      </c>
      <c r="I1249" s="60" t="s">
        <v>511</v>
      </c>
      <c r="J1249" s="60">
        <v>2</v>
      </c>
      <c r="L1249" s="60">
        <v>0</v>
      </c>
      <c r="M1249" s="61">
        <v>44726</v>
      </c>
      <c r="O1249" s="62" t="s">
        <v>331</v>
      </c>
      <c r="P1249" s="60" t="s">
        <v>26</v>
      </c>
      <c r="Q1249" s="62" t="s">
        <v>138</v>
      </c>
      <c r="R1249" s="62" t="s">
        <v>3704</v>
      </c>
      <c r="S1249" s="63" t="s">
        <v>1819</v>
      </c>
      <c r="T1249" s="63" t="s">
        <v>1524</v>
      </c>
      <c r="U1249" s="64">
        <v>78600</v>
      </c>
      <c r="V1249" s="64">
        <v>86460</v>
      </c>
      <c r="W1249" s="64">
        <v>78600</v>
      </c>
      <c r="X1249" s="64">
        <v>86460</v>
      </c>
      <c r="Y1249" s="64">
        <v>0</v>
      </c>
      <c r="Z1249" s="64">
        <v>0</v>
      </c>
      <c r="AA1249" s="61">
        <v>44734</v>
      </c>
      <c r="AB1249" s="61">
        <v>44735</v>
      </c>
      <c r="AD1249" s="60">
        <v>0</v>
      </c>
      <c r="AG1249" s="60">
        <v>0</v>
      </c>
      <c r="AJ1249" s="60">
        <v>0</v>
      </c>
      <c r="AQ1249" s="60" t="s">
        <v>3651</v>
      </c>
      <c r="AR1249" s="61">
        <v>44728</v>
      </c>
      <c r="AS1249" s="60">
        <v>6002041212</v>
      </c>
      <c r="AT1249" s="61">
        <v>44729</v>
      </c>
      <c r="AU1249" s="60" t="s">
        <v>3655</v>
      </c>
      <c r="AV1249" s="61">
        <v>44742</v>
      </c>
      <c r="AW1249" s="91">
        <v>44742</v>
      </c>
      <c r="AX1249" s="91">
        <v>44762</v>
      </c>
      <c r="AY1249" s="107">
        <v>78600</v>
      </c>
      <c r="AZ1249" s="107">
        <f>ROUNDDOWN(AY1249+(AY1249*MASTER!$A$2/100),0)</f>
        <v>86460</v>
      </c>
      <c r="BA1249" s="60" t="s">
        <v>613</v>
      </c>
      <c r="BB1249" s="64">
        <v>32000</v>
      </c>
      <c r="BC1249" s="64">
        <v>35200</v>
      </c>
      <c r="BD1249" s="60" t="s">
        <v>3530</v>
      </c>
      <c r="BG1249" s="64">
        <v>0</v>
      </c>
      <c r="BK1249" s="64">
        <v>0</v>
      </c>
      <c r="BS1249" s="64">
        <v>0</v>
      </c>
      <c r="BV1249" s="65">
        <v>86460</v>
      </c>
      <c r="BW1249" s="65">
        <v>35200</v>
      </c>
      <c r="BX1249" s="65">
        <v>44726</v>
      </c>
      <c r="BY1249" s="65">
        <v>51260</v>
      </c>
      <c r="BZ1249" s="81">
        <v>59.287531806615782</v>
      </c>
    </row>
    <row r="1250" spans="1:78" x14ac:dyDescent="0.15">
      <c r="A1250" s="60">
        <v>2</v>
      </c>
      <c r="B1250" s="61">
        <v>44732</v>
      </c>
      <c r="C1250" s="61">
        <v>44742</v>
      </c>
      <c r="D1250" s="61">
        <v>44750</v>
      </c>
      <c r="F1250" s="61" t="s">
        <v>309</v>
      </c>
      <c r="G1250" s="61">
        <v>44735</v>
      </c>
      <c r="H1250" s="61" t="s">
        <v>309</v>
      </c>
      <c r="I1250" s="60" t="s">
        <v>511</v>
      </c>
      <c r="J1250" s="60">
        <v>2</v>
      </c>
      <c r="L1250" s="60">
        <v>0</v>
      </c>
      <c r="M1250" s="61">
        <v>44726</v>
      </c>
      <c r="O1250" s="62" t="s">
        <v>331</v>
      </c>
      <c r="P1250" s="60" t="s">
        <v>26</v>
      </c>
      <c r="Q1250" s="62" t="s">
        <v>138</v>
      </c>
      <c r="R1250" s="62" t="s">
        <v>3703</v>
      </c>
      <c r="S1250" s="63" t="s">
        <v>880</v>
      </c>
      <c r="T1250" s="63" t="s">
        <v>1524</v>
      </c>
      <c r="U1250" s="64">
        <v>78600</v>
      </c>
      <c r="V1250" s="64">
        <v>86460</v>
      </c>
      <c r="W1250" s="64">
        <v>78600</v>
      </c>
      <c r="X1250" s="64">
        <v>86460</v>
      </c>
      <c r="Y1250" s="64">
        <v>0</v>
      </c>
      <c r="Z1250" s="64">
        <v>0</v>
      </c>
      <c r="AA1250" s="61">
        <v>44734</v>
      </c>
      <c r="AB1250" s="61">
        <v>44735</v>
      </c>
      <c r="AD1250" s="60">
        <v>0</v>
      </c>
      <c r="AG1250" s="60">
        <v>0</v>
      </c>
      <c r="AJ1250" s="60">
        <v>0</v>
      </c>
      <c r="AQ1250" s="60" t="s">
        <v>3651</v>
      </c>
      <c r="AR1250" s="61">
        <v>44728</v>
      </c>
      <c r="AS1250" s="60">
        <v>6002041212</v>
      </c>
      <c r="AT1250" s="61">
        <v>44729</v>
      </c>
      <c r="AU1250" s="60" t="s">
        <v>3655</v>
      </c>
      <c r="AV1250" s="61">
        <v>44742</v>
      </c>
      <c r="AW1250" s="91">
        <v>44742</v>
      </c>
      <c r="AX1250" s="91">
        <v>44762</v>
      </c>
      <c r="AY1250" s="107">
        <v>78600</v>
      </c>
      <c r="AZ1250" s="107">
        <f>ROUNDDOWN(AY1250+(AY1250*MASTER!$A$2/100),0)</f>
        <v>86460</v>
      </c>
      <c r="BA1250" s="60" t="s">
        <v>613</v>
      </c>
      <c r="BB1250" s="64">
        <v>32000</v>
      </c>
      <c r="BC1250" s="64">
        <v>35200</v>
      </c>
      <c r="BD1250" s="60" t="s">
        <v>3530</v>
      </c>
      <c r="BG1250" s="64">
        <v>0</v>
      </c>
      <c r="BK1250" s="64">
        <v>0</v>
      </c>
      <c r="BS1250" s="64">
        <v>0</v>
      </c>
      <c r="BV1250" s="65">
        <v>86460</v>
      </c>
      <c r="BW1250" s="65">
        <v>35200</v>
      </c>
      <c r="BX1250" s="65">
        <v>44726</v>
      </c>
      <c r="BY1250" s="65">
        <v>51260</v>
      </c>
      <c r="BZ1250" s="81">
        <v>59.287531806615782</v>
      </c>
    </row>
    <row r="1251" spans="1:78" x14ac:dyDescent="0.15">
      <c r="A1251" s="60">
        <v>2</v>
      </c>
      <c r="B1251" s="61">
        <v>44732</v>
      </c>
      <c r="C1251" s="61">
        <v>44742</v>
      </c>
      <c r="D1251" s="61">
        <v>44750</v>
      </c>
      <c r="F1251" s="61" t="s">
        <v>309</v>
      </c>
      <c r="G1251" s="61">
        <v>44746</v>
      </c>
      <c r="H1251" s="61" t="s">
        <v>309</v>
      </c>
      <c r="I1251" s="60" t="s">
        <v>2495</v>
      </c>
      <c r="J1251" s="60">
        <v>2</v>
      </c>
      <c r="L1251" s="60">
        <v>0</v>
      </c>
      <c r="M1251" s="61">
        <v>44726</v>
      </c>
      <c r="O1251" s="62" t="s">
        <v>331</v>
      </c>
      <c r="P1251" s="60" t="s">
        <v>26</v>
      </c>
      <c r="Q1251" s="62" t="s">
        <v>138</v>
      </c>
      <c r="R1251" s="62" t="s">
        <v>3694</v>
      </c>
      <c r="S1251" s="63" t="s">
        <v>1109</v>
      </c>
      <c r="T1251" s="63" t="s">
        <v>1524</v>
      </c>
      <c r="U1251" s="64">
        <v>78600</v>
      </c>
      <c r="V1251" s="64">
        <v>86460</v>
      </c>
      <c r="W1251" s="64">
        <v>78600</v>
      </c>
      <c r="X1251" s="64">
        <v>86460</v>
      </c>
      <c r="Y1251" s="64">
        <v>0</v>
      </c>
      <c r="Z1251" s="64">
        <v>0</v>
      </c>
      <c r="AA1251" s="61">
        <v>44736</v>
      </c>
      <c r="AB1251" s="61">
        <v>44737</v>
      </c>
      <c r="AD1251" s="60">
        <v>0</v>
      </c>
      <c r="AG1251" s="60">
        <v>0</v>
      </c>
      <c r="AJ1251" s="60">
        <v>0</v>
      </c>
      <c r="AQ1251" s="60" t="s">
        <v>3651</v>
      </c>
      <c r="AR1251" s="61">
        <v>44728</v>
      </c>
      <c r="AS1251" s="60">
        <v>6002041212</v>
      </c>
      <c r="AT1251" s="61">
        <v>44729</v>
      </c>
      <c r="AU1251" s="60" t="s">
        <v>3655</v>
      </c>
      <c r="AV1251" s="61">
        <v>44742</v>
      </c>
      <c r="AW1251" s="91">
        <v>44742</v>
      </c>
      <c r="AX1251" s="91">
        <v>44762</v>
      </c>
      <c r="AY1251" s="107">
        <v>78600</v>
      </c>
      <c r="AZ1251" s="107">
        <f>ROUNDDOWN(AY1251+(AY1251*MASTER!$A$2/100),0)</f>
        <v>86460</v>
      </c>
      <c r="BA1251" s="60" t="s">
        <v>314</v>
      </c>
      <c r="BB1251" s="64">
        <v>33000</v>
      </c>
      <c r="BC1251" s="64">
        <v>36300</v>
      </c>
      <c r="BD1251" s="60" t="s">
        <v>3530</v>
      </c>
      <c r="BG1251" s="64">
        <v>0</v>
      </c>
      <c r="BK1251" s="64">
        <v>0</v>
      </c>
      <c r="BS1251" s="64">
        <v>0</v>
      </c>
      <c r="BV1251" s="65">
        <v>86460</v>
      </c>
      <c r="BW1251" s="65">
        <v>36300</v>
      </c>
      <c r="BX1251" s="65">
        <v>44726</v>
      </c>
      <c r="BY1251" s="65">
        <v>50160</v>
      </c>
      <c r="BZ1251" s="81">
        <v>58.015267175572518</v>
      </c>
    </row>
    <row r="1252" spans="1:78" x14ac:dyDescent="0.15">
      <c r="A1252" s="60">
        <v>2</v>
      </c>
      <c r="B1252" s="61">
        <v>44732</v>
      </c>
      <c r="C1252" s="61">
        <v>44742</v>
      </c>
      <c r="D1252" s="61">
        <v>44750</v>
      </c>
      <c r="F1252" s="61" t="s">
        <v>309</v>
      </c>
      <c r="G1252" s="61">
        <v>44739</v>
      </c>
      <c r="H1252" s="61" t="s">
        <v>309</v>
      </c>
      <c r="I1252" s="60" t="s">
        <v>511</v>
      </c>
      <c r="J1252" s="60">
        <v>2</v>
      </c>
      <c r="L1252" s="60">
        <v>0</v>
      </c>
      <c r="M1252" s="61">
        <v>44726</v>
      </c>
      <c r="O1252" s="62" t="s">
        <v>331</v>
      </c>
      <c r="P1252" s="60" t="s">
        <v>26</v>
      </c>
      <c r="Q1252" s="62" t="s">
        <v>138</v>
      </c>
      <c r="R1252" s="62" t="s">
        <v>3702</v>
      </c>
      <c r="S1252" s="63" t="s">
        <v>659</v>
      </c>
      <c r="T1252" s="63" t="s">
        <v>1524</v>
      </c>
      <c r="U1252" s="64">
        <v>78600</v>
      </c>
      <c r="V1252" s="64">
        <v>86460</v>
      </c>
      <c r="W1252" s="64">
        <v>78600</v>
      </c>
      <c r="X1252" s="64">
        <v>86460</v>
      </c>
      <c r="Y1252" s="64">
        <v>0</v>
      </c>
      <c r="Z1252" s="64">
        <v>0</v>
      </c>
      <c r="AA1252" s="61">
        <v>44735</v>
      </c>
      <c r="AB1252" s="61">
        <v>44736</v>
      </c>
      <c r="AD1252" s="60">
        <v>0</v>
      </c>
      <c r="AG1252" s="60">
        <v>0</v>
      </c>
      <c r="AJ1252" s="60">
        <v>0</v>
      </c>
      <c r="AQ1252" s="60" t="s">
        <v>3651</v>
      </c>
      <c r="AR1252" s="61">
        <v>44728</v>
      </c>
      <c r="AS1252" s="60">
        <v>6002041212</v>
      </c>
      <c r="AT1252" s="61">
        <v>44729</v>
      </c>
      <c r="AU1252" s="60" t="s">
        <v>3655</v>
      </c>
      <c r="AV1252" s="61">
        <v>44742</v>
      </c>
      <c r="AW1252" s="91">
        <v>44742</v>
      </c>
      <c r="AX1252" s="91">
        <v>44762</v>
      </c>
      <c r="AY1252" s="107">
        <v>78600</v>
      </c>
      <c r="AZ1252" s="107">
        <f>ROUNDDOWN(AY1252+(AY1252*MASTER!$A$2/100),0)</f>
        <v>86460</v>
      </c>
      <c r="BA1252" s="60" t="s">
        <v>613</v>
      </c>
      <c r="BB1252" s="64">
        <v>32000</v>
      </c>
      <c r="BC1252" s="64">
        <v>35200</v>
      </c>
      <c r="BD1252" s="60" t="s">
        <v>3530</v>
      </c>
      <c r="BG1252" s="64">
        <v>0</v>
      </c>
      <c r="BK1252" s="64">
        <v>0</v>
      </c>
      <c r="BS1252" s="64">
        <v>0</v>
      </c>
      <c r="BV1252" s="65">
        <v>86460</v>
      </c>
      <c r="BW1252" s="65">
        <v>35200</v>
      </c>
      <c r="BX1252" s="65">
        <v>44726</v>
      </c>
      <c r="BY1252" s="65">
        <v>51260</v>
      </c>
      <c r="BZ1252" s="81">
        <v>59.287531806615782</v>
      </c>
    </row>
    <row r="1253" spans="1:78" x14ac:dyDescent="0.15">
      <c r="A1253" s="60">
        <v>2</v>
      </c>
      <c r="B1253" s="61">
        <v>44732</v>
      </c>
      <c r="C1253" s="61">
        <v>44742</v>
      </c>
      <c r="D1253" s="61">
        <v>44750</v>
      </c>
      <c r="F1253" s="61" t="s">
        <v>309</v>
      </c>
      <c r="G1253" s="61">
        <v>44739</v>
      </c>
      <c r="H1253" s="61" t="s">
        <v>309</v>
      </c>
      <c r="I1253" s="60" t="s">
        <v>2495</v>
      </c>
      <c r="J1253" s="60">
        <v>2</v>
      </c>
      <c r="L1253" s="60">
        <v>0</v>
      </c>
      <c r="M1253" s="61">
        <v>44726</v>
      </c>
      <c r="O1253" s="62" t="s">
        <v>331</v>
      </c>
      <c r="P1253" s="60" t="s">
        <v>26</v>
      </c>
      <c r="Q1253" s="62" t="s">
        <v>138</v>
      </c>
      <c r="R1253" s="62" t="s">
        <v>3701</v>
      </c>
      <c r="S1253" s="63" t="s">
        <v>560</v>
      </c>
      <c r="T1253" s="63" t="s">
        <v>1524</v>
      </c>
      <c r="U1253" s="64">
        <v>78600</v>
      </c>
      <c r="V1253" s="64">
        <v>86460</v>
      </c>
      <c r="W1253" s="64">
        <v>78600</v>
      </c>
      <c r="X1253" s="64">
        <v>86460</v>
      </c>
      <c r="Y1253" s="64">
        <v>0</v>
      </c>
      <c r="Z1253" s="64">
        <v>0</v>
      </c>
      <c r="AA1253" s="61">
        <v>44735</v>
      </c>
      <c r="AB1253" s="61">
        <v>44736</v>
      </c>
      <c r="AD1253" s="60">
        <v>0</v>
      </c>
      <c r="AG1253" s="60">
        <v>0</v>
      </c>
      <c r="AJ1253" s="60">
        <v>0</v>
      </c>
      <c r="AQ1253" s="60" t="s">
        <v>3651</v>
      </c>
      <c r="AR1253" s="61">
        <v>44728</v>
      </c>
      <c r="AS1253" s="60">
        <v>6002041212</v>
      </c>
      <c r="AT1253" s="61">
        <v>44729</v>
      </c>
      <c r="AU1253" s="60" t="s">
        <v>3655</v>
      </c>
      <c r="AV1253" s="61">
        <v>44742</v>
      </c>
      <c r="AW1253" s="91">
        <v>44742</v>
      </c>
      <c r="AX1253" s="91">
        <v>44762</v>
      </c>
      <c r="AY1253" s="107">
        <v>78600</v>
      </c>
      <c r="AZ1253" s="107">
        <f>ROUNDDOWN(AY1253+(AY1253*MASTER!$A$2/100),0)</f>
        <v>86460</v>
      </c>
      <c r="BA1253" s="60" t="s">
        <v>613</v>
      </c>
      <c r="BB1253" s="64">
        <v>33000</v>
      </c>
      <c r="BC1253" s="64">
        <v>36300</v>
      </c>
      <c r="BD1253" s="60" t="s">
        <v>3530</v>
      </c>
      <c r="BG1253" s="64">
        <v>0</v>
      </c>
      <c r="BK1253" s="64">
        <v>0</v>
      </c>
      <c r="BS1253" s="64">
        <v>0</v>
      </c>
      <c r="BV1253" s="65">
        <v>86460</v>
      </c>
      <c r="BW1253" s="65">
        <v>36300</v>
      </c>
      <c r="BX1253" s="65">
        <v>44726</v>
      </c>
      <c r="BY1253" s="65">
        <v>50160</v>
      </c>
      <c r="BZ1253" s="81">
        <v>58.015267175572518</v>
      </c>
    </row>
    <row r="1254" spans="1:78" x14ac:dyDescent="0.15">
      <c r="A1254" s="60">
        <v>1</v>
      </c>
      <c r="B1254" s="61">
        <v>44732</v>
      </c>
      <c r="C1254" s="61">
        <v>44742</v>
      </c>
      <c r="D1254" s="61">
        <v>44750</v>
      </c>
      <c r="F1254" s="61" t="s">
        <v>309</v>
      </c>
      <c r="G1254" s="61">
        <v>44735</v>
      </c>
      <c r="H1254" s="61" t="s">
        <v>309</v>
      </c>
      <c r="I1254" s="60" t="s">
        <v>511</v>
      </c>
      <c r="J1254" s="60">
        <v>2</v>
      </c>
      <c r="L1254" s="60">
        <v>0</v>
      </c>
      <c r="M1254" s="61">
        <v>44726</v>
      </c>
      <c r="O1254" s="62" t="s">
        <v>331</v>
      </c>
      <c r="P1254" s="60" t="s">
        <v>26</v>
      </c>
      <c r="Q1254" s="62" t="s">
        <v>138</v>
      </c>
      <c r="R1254" s="62" t="s">
        <v>3693</v>
      </c>
      <c r="S1254" s="63" t="s">
        <v>2889</v>
      </c>
      <c r="T1254" s="63" t="s">
        <v>1524</v>
      </c>
      <c r="U1254" s="64">
        <v>78600</v>
      </c>
      <c r="V1254" s="64">
        <v>86460</v>
      </c>
      <c r="W1254" s="64">
        <v>78600</v>
      </c>
      <c r="X1254" s="64">
        <v>86460</v>
      </c>
      <c r="Y1254" s="64">
        <v>0</v>
      </c>
      <c r="Z1254" s="64">
        <v>0</v>
      </c>
      <c r="AA1254" s="61">
        <v>44733</v>
      </c>
      <c r="AB1254" s="61">
        <v>44734</v>
      </c>
      <c r="AD1254" s="60">
        <v>0</v>
      </c>
      <c r="AG1254" s="60">
        <v>0</v>
      </c>
      <c r="AJ1254" s="60">
        <v>0</v>
      </c>
      <c r="AQ1254" s="60" t="s">
        <v>3651</v>
      </c>
      <c r="AR1254" s="61">
        <v>44728</v>
      </c>
      <c r="AS1254" s="60">
        <v>6002041212</v>
      </c>
      <c r="AT1254" s="61">
        <v>44729</v>
      </c>
      <c r="AU1254" s="60" t="s">
        <v>3655</v>
      </c>
      <c r="AV1254" s="61">
        <v>44742</v>
      </c>
      <c r="AW1254" s="91">
        <v>44742</v>
      </c>
      <c r="AX1254" s="91">
        <v>44762</v>
      </c>
      <c r="AY1254" s="107">
        <v>78600</v>
      </c>
      <c r="AZ1254" s="107">
        <f>ROUNDDOWN(AY1254+(AY1254*MASTER!$A$2/100),0)</f>
        <v>86460</v>
      </c>
      <c r="BA1254" s="60" t="s">
        <v>314</v>
      </c>
      <c r="BB1254" s="64">
        <v>36000</v>
      </c>
      <c r="BC1254" s="64">
        <v>39600</v>
      </c>
      <c r="BD1254" s="60" t="s">
        <v>3530</v>
      </c>
      <c r="BG1254" s="64">
        <v>0</v>
      </c>
      <c r="BK1254" s="64">
        <v>0</v>
      </c>
      <c r="BS1254" s="64">
        <v>0</v>
      </c>
      <c r="BV1254" s="65">
        <v>86460</v>
      </c>
      <c r="BW1254" s="65">
        <v>39600</v>
      </c>
      <c r="BX1254" s="65">
        <v>44726</v>
      </c>
      <c r="BY1254" s="65">
        <v>46860</v>
      </c>
      <c r="BZ1254" s="81">
        <v>54.198473282442748</v>
      </c>
    </row>
    <row r="1255" spans="1:78" x14ac:dyDescent="0.15">
      <c r="A1255" s="60">
        <v>2</v>
      </c>
      <c r="B1255" s="61">
        <v>44732</v>
      </c>
      <c r="C1255" s="61">
        <v>44742</v>
      </c>
      <c r="D1255" s="61">
        <v>44750</v>
      </c>
      <c r="F1255" s="61" t="s">
        <v>309</v>
      </c>
      <c r="G1255" s="61">
        <v>44735</v>
      </c>
      <c r="H1255" s="61" t="s">
        <v>309</v>
      </c>
      <c r="I1255" s="60" t="s">
        <v>511</v>
      </c>
      <c r="J1255" s="60">
        <v>2</v>
      </c>
      <c r="L1255" s="60">
        <v>0</v>
      </c>
      <c r="M1255" s="61">
        <v>44726</v>
      </c>
      <c r="O1255" s="62" t="s">
        <v>331</v>
      </c>
      <c r="P1255" s="60" t="s">
        <v>26</v>
      </c>
      <c r="Q1255" s="62" t="s">
        <v>138</v>
      </c>
      <c r="R1255" s="62" t="s">
        <v>3692</v>
      </c>
      <c r="S1255" s="63" t="s">
        <v>1085</v>
      </c>
      <c r="T1255" s="63" t="s">
        <v>1524</v>
      </c>
      <c r="U1255" s="64">
        <v>78600</v>
      </c>
      <c r="V1255" s="64">
        <v>86460</v>
      </c>
      <c r="W1255" s="64">
        <v>78600</v>
      </c>
      <c r="X1255" s="64">
        <v>86460</v>
      </c>
      <c r="Y1255" s="64">
        <v>0</v>
      </c>
      <c r="Z1255" s="64">
        <v>0</v>
      </c>
      <c r="AA1255" s="61">
        <v>44733</v>
      </c>
      <c r="AB1255" s="61">
        <v>44734</v>
      </c>
      <c r="AD1255" s="60">
        <v>0</v>
      </c>
      <c r="AG1255" s="60">
        <v>0</v>
      </c>
      <c r="AJ1255" s="60">
        <v>0</v>
      </c>
      <c r="AQ1255" s="60" t="s">
        <v>3651</v>
      </c>
      <c r="AR1255" s="61">
        <v>44728</v>
      </c>
      <c r="AS1255" s="60">
        <v>6002041212</v>
      </c>
      <c r="AT1255" s="61">
        <v>44729</v>
      </c>
      <c r="AU1255" s="60" t="s">
        <v>3655</v>
      </c>
      <c r="AV1255" s="61">
        <v>44742</v>
      </c>
      <c r="AW1255" s="91">
        <v>44742</v>
      </c>
      <c r="AX1255" s="91">
        <v>44762</v>
      </c>
      <c r="AY1255" s="107">
        <v>78600</v>
      </c>
      <c r="AZ1255" s="107">
        <f>ROUNDDOWN(AY1255+(AY1255*MASTER!$A$2/100),0)</f>
        <v>86460</v>
      </c>
      <c r="BA1255" s="60" t="s">
        <v>314</v>
      </c>
      <c r="BB1255" s="64">
        <v>38000</v>
      </c>
      <c r="BC1255" s="64">
        <v>41800</v>
      </c>
      <c r="BD1255" s="60" t="s">
        <v>3530</v>
      </c>
      <c r="BG1255" s="64">
        <v>0</v>
      </c>
      <c r="BK1255" s="64">
        <v>0</v>
      </c>
      <c r="BS1255" s="64">
        <v>0</v>
      </c>
      <c r="BV1255" s="65">
        <v>86460</v>
      </c>
      <c r="BW1255" s="65">
        <v>41800</v>
      </c>
      <c r="BX1255" s="65">
        <v>44726</v>
      </c>
      <c r="BY1255" s="65">
        <v>44660</v>
      </c>
      <c r="BZ1255" s="81">
        <v>51.653944020356235</v>
      </c>
    </row>
    <row r="1256" spans="1:78" x14ac:dyDescent="0.15">
      <c r="A1256" s="60">
        <v>2</v>
      </c>
      <c r="B1256" s="61">
        <v>44732</v>
      </c>
      <c r="C1256" s="61">
        <v>44742</v>
      </c>
      <c r="D1256" s="61">
        <v>44750</v>
      </c>
      <c r="F1256" s="61" t="s">
        <v>309</v>
      </c>
      <c r="G1256" s="61">
        <v>44735</v>
      </c>
      <c r="H1256" s="61" t="s">
        <v>309</v>
      </c>
      <c r="I1256" s="60" t="s">
        <v>2495</v>
      </c>
      <c r="J1256" s="60">
        <v>2</v>
      </c>
      <c r="L1256" s="60">
        <v>0</v>
      </c>
      <c r="M1256" s="61">
        <v>44726</v>
      </c>
      <c r="O1256" s="62" t="s">
        <v>331</v>
      </c>
      <c r="P1256" s="60" t="s">
        <v>26</v>
      </c>
      <c r="Q1256" s="62" t="s">
        <v>138</v>
      </c>
      <c r="R1256" s="62" t="s">
        <v>3691</v>
      </c>
      <c r="S1256" s="63" t="s">
        <v>1083</v>
      </c>
      <c r="T1256" s="63" t="s">
        <v>1524</v>
      </c>
      <c r="U1256" s="64">
        <v>78600</v>
      </c>
      <c r="V1256" s="64">
        <v>86460</v>
      </c>
      <c r="W1256" s="64">
        <v>78600</v>
      </c>
      <c r="X1256" s="64">
        <v>86460</v>
      </c>
      <c r="Y1256" s="64">
        <v>0</v>
      </c>
      <c r="Z1256" s="64">
        <v>0</v>
      </c>
      <c r="AA1256" s="61">
        <v>44733</v>
      </c>
      <c r="AB1256" s="61">
        <v>44734</v>
      </c>
      <c r="AD1256" s="60">
        <v>0</v>
      </c>
      <c r="AG1256" s="60">
        <v>0</v>
      </c>
      <c r="AJ1256" s="60">
        <v>0</v>
      </c>
      <c r="AQ1256" s="60" t="s">
        <v>3651</v>
      </c>
      <c r="AR1256" s="61">
        <v>44728</v>
      </c>
      <c r="AS1256" s="60">
        <v>6002041212</v>
      </c>
      <c r="AT1256" s="61">
        <v>44729</v>
      </c>
      <c r="AU1256" s="60" t="s">
        <v>3655</v>
      </c>
      <c r="AV1256" s="61">
        <v>44742</v>
      </c>
      <c r="AW1256" s="91">
        <v>44742</v>
      </c>
      <c r="AX1256" s="91">
        <v>44762</v>
      </c>
      <c r="AY1256" s="107">
        <v>78600</v>
      </c>
      <c r="AZ1256" s="107">
        <f>ROUNDDOWN(AY1256+(AY1256*MASTER!$A$2/100),0)</f>
        <v>86460</v>
      </c>
      <c r="BA1256" s="60" t="s">
        <v>314</v>
      </c>
      <c r="BB1256" s="64">
        <v>36000</v>
      </c>
      <c r="BC1256" s="64">
        <v>39600</v>
      </c>
      <c r="BD1256" s="60" t="s">
        <v>3530</v>
      </c>
      <c r="BG1256" s="64">
        <v>0</v>
      </c>
      <c r="BK1256" s="64">
        <v>0</v>
      </c>
      <c r="BS1256" s="64">
        <v>0</v>
      </c>
      <c r="BV1256" s="65">
        <v>86460</v>
      </c>
      <c r="BW1256" s="65">
        <v>39600</v>
      </c>
      <c r="BX1256" s="65">
        <v>44726</v>
      </c>
      <c r="BY1256" s="65">
        <v>46860</v>
      </c>
      <c r="BZ1256" s="81">
        <v>54.198473282442748</v>
      </c>
    </row>
    <row r="1257" spans="1:78" x14ac:dyDescent="0.15">
      <c r="A1257" s="60">
        <v>1</v>
      </c>
      <c r="B1257" s="61">
        <v>44732</v>
      </c>
      <c r="C1257" s="61">
        <v>44742</v>
      </c>
      <c r="F1257" s="61" t="s">
        <v>309</v>
      </c>
      <c r="G1257" s="61">
        <v>44742</v>
      </c>
      <c r="H1257" s="61" t="s">
        <v>309</v>
      </c>
      <c r="J1257" s="60">
        <v>2</v>
      </c>
      <c r="L1257" s="60">
        <v>0</v>
      </c>
      <c r="M1257" s="61">
        <v>44726</v>
      </c>
      <c r="O1257" s="62" t="s">
        <v>331</v>
      </c>
      <c r="P1257" s="60" t="s">
        <v>26</v>
      </c>
      <c r="Q1257" s="62" t="s">
        <v>138</v>
      </c>
      <c r="R1257" s="62" t="s">
        <v>3713</v>
      </c>
      <c r="S1257" s="63" t="s">
        <v>2357</v>
      </c>
      <c r="T1257" s="63" t="s">
        <v>1524</v>
      </c>
      <c r="U1257" s="64">
        <v>78600</v>
      </c>
      <c r="V1257" s="64">
        <v>86460</v>
      </c>
      <c r="W1257" s="64">
        <v>78600</v>
      </c>
      <c r="X1257" s="64">
        <v>86460</v>
      </c>
      <c r="Y1257" s="64">
        <v>0</v>
      </c>
      <c r="Z1257" s="64">
        <v>0</v>
      </c>
      <c r="AA1257" s="61" t="s">
        <v>3530</v>
      </c>
      <c r="AD1257" s="60">
        <v>0</v>
      </c>
      <c r="AG1257" s="60">
        <v>0</v>
      </c>
      <c r="AJ1257" s="60">
        <v>0</v>
      </c>
      <c r="AQ1257" s="60" t="s">
        <v>3651</v>
      </c>
      <c r="AR1257" s="61">
        <v>44728</v>
      </c>
      <c r="AS1257" s="60">
        <v>6002041212</v>
      </c>
      <c r="AT1257" s="61">
        <v>44729</v>
      </c>
      <c r="AU1257" s="60" t="s">
        <v>3655</v>
      </c>
      <c r="AV1257" s="61">
        <v>44742</v>
      </c>
      <c r="AW1257" s="91">
        <v>44742</v>
      </c>
      <c r="AX1257" s="91">
        <v>44762</v>
      </c>
      <c r="AY1257" s="107">
        <v>78600</v>
      </c>
      <c r="AZ1257" s="107">
        <f>ROUNDDOWN(AY1257+(AY1257*MASTER!$A$2/100),0)</f>
        <v>86460</v>
      </c>
      <c r="BC1257" s="64">
        <v>0</v>
      </c>
      <c r="BG1257" s="64">
        <v>0</v>
      </c>
      <c r="BK1257" s="64">
        <v>0</v>
      </c>
      <c r="BS1257" s="64">
        <v>0</v>
      </c>
      <c r="BV1257" s="65">
        <v>86460</v>
      </c>
      <c r="BW1257" s="65">
        <v>0</v>
      </c>
      <c r="BX1257" s="65">
        <v>44726</v>
      </c>
      <c r="BY1257" s="65">
        <v>86460</v>
      </c>
      <c r="BZ1257" s="81">
        <v>100</v>
      </c>
    </row>
    <row r="1258" spans="1:78" x14ac:dyDescent="0.15">
      <c r="A1258" s="60">
        <v>1</v>
      </c>
      <c r="B1258" s="61">
        <v>44732</v>
      </c>
      <c r="C1258" s="61">
        <v>44742</v>
      </c>
      <c r="F1258" s="61" t="s">
        <v>309</v>
      </c>
      <c r="G1258" s="61">
        <v>44742</v>
      </c>
      <c r="H1258" s="61" t="s">
        <v>309</v>
      </c>
      <c r="J1258" s="60">
        <v>2</v>
      </c>
      <c r="L1258" s="60">
        <v>0</v>
      </c>
      <c r="M1258" s="61">
        <v>44726</v>
      </c>
      <c r="O1258" s="62" t="s">
        <v>331</v>
      </c>
      <c r="P1258" s="60" t="s">
        <v>26</v>
      </c>
      <c r="Q1258" s="62" t="s">
        <v>138</v>
      </c>
      <c r="R1258" s="62" t="s">
        <v>3714</v>
      </c>
      <c r="S1258" s="63" t="s">
        <v>2729</v>
      </c>
      <c r="T1258" s="63" t="s">
        <v>1524</v>
      </c>
      <c r="U1258" s="64">
        <v>78600</v>
      </c>
      <c r="V1258" s="64">
        <v>86460</v>
      </c>
      <c r="W1258" s="64">
        <v>78600</v>
      </c>
      <c r="X1258" s="64">
        <v>86460</v>
      </c>
      <c r="Y1258" s="64">
        <v>0</v>
      </c>
      <c r="Z1258" s="64">
        <v>0</v>
      </c>
      <c r="AA1258" s="61" t="s">
        <v>3530</v>
      </c>
      <c r="AD1258" s="60">
        <v>0</v>
      </c>
      <c r="AG1258" s="60">
        <v>0</v>
      </c>
      <c r="AJ1258" s="60">
        <v>0</v>
      </c>
      <c r="AQ1258" s="60" t="s">
        <v>3651</v>
      </c>
      <c r="AR1258" s="61">
        <v>44728</v>
      </c>
      <c r="AS1258" s="60">
        <v>6002041212</v>
      </c>
      <c r="AT1258" s="61">
        <v>44729</v>
      </c>
      <c r="AU1258" s="60" t="s">
        <v>3655</v>
      </c>
      <c r="AV1258" s="61">
        <v>44742</v>
      </c>
      <c r="AW1258" s="91">
        <v>44742</v>
      </c>
      <c r="AX1258" s="91">
        <v>44762</v>
      </c>
      <c r="AY1258" s="107">
        <v>78600</v>
      </c>
      <c r="AZ1258" s="107">
        <f>ROUNDDOWN(AY1258+(AY1258*MASTER!$A$2/100),0)</f>
        <v>86460</v>
      </c>
      <c r="BC1258" s="64">
        <v>0</v>
      </c>
      <c r="BG1258" s="64">
        <v>0</v>
      </c>
      <c r="BK1258" s="64">
        <v>0</v>
      </c>
      <c r="BS1258" s="64">
        <v>0</v>
      </c>
      <c r="BV1258" s="65">
        <v>86460</v>
      </c>
      <c r="BW1258" s="65">
        <v>0</v>
      </c>
      <c r="BX1258" s="65">
        <v>44726</v>
      </c>
      <c r="BY1258" s="65">
        <v>86460</v>
      </c>
      <c r="BZ1258" s="81">
        <v>100</v>
      </c>
    </row>
    <row r="1259" spans="1:78" x14ac:dyDescent="0.15">
      <c r="A1259" s="60">
        <v>1</v>
      </c>
      <c r="B1259" s="61">
        <v>44732</v>
      </c>
      <c r="C1259" s="61">
        <v>44742</v>
      </c>
      <c r="F1259" s="61" t="s">
        <v>309</v>
      </c>
      <c r="G1259" s="61">
        <v>44742</v>
      </c>
      <c r="H1259" s="61" t="s">
        <v>309</v>
      </c>
      <c r="J1259" s="60">
        <v>2</v>
      </c>
      <c r="L1259" s="60">
        <v>0</v>
      </c>
      <c r="M1259" s="61">
        <v>44726</v>
      </c>
      <c r="O1259" s="62" t="s">
        <v>331</v>
      </c>
      <c r="P1259" s="60" t="s">
        <v>26</v>
      </c>
      <c r="Q1259" s="62" t="s">
        <v>138</v>
      </c>
      <c r="R1259" s="62" t="s">
        <v>3715</v>
      </c>
      <c r="S1259" s="63" t="s">
        <v>2011</v>
      </c>
      <c r="T1259" s="63" t="s">
        <v>1524</v>
      </c>
      <c r="U1259" s="64">
        <v>78600</v>
      </c>
      <c r="V1259" s="64">
        <v>86460</v>
      </c>
      <c r="W1259" s="64">
        <v>78600</v>
      </c>
      <c r="X1259" s="64">
        <v>86460</v>
      </c>
      <c r="Y1259" s="64">
        <v>0</v>
      </c>
      <c r="Z1259" s="64">
        <v>0</v>
      </c>
      <c r="AA1259" s="61" t="s">
        <v>3530</v>
      </c>
      <c r="AD1259" s="60">
        <v>0</v>
      </c>
      <c r="AG1259" s="60">
        <v>0</v>
      </c>
      <c r="AJ1259" s="60">
        <v>0</v>
      </c>
      <c r="AQ1259" s="60" t="s">
        <v>3651</v>
      </c>
      <c r="AR1259" s="61">
        <v>44728</v>
      </c>
      <c r="AS1259" s="60">
        <v>6002041212</v>
      </c>
      <c r="AT1259" s="61">
        <v>44729</v>
      </c>
      <c r="AU1259" s="60" t="s">
        <v>3655</v>
      </c>
      <c r="AV1259" s="61">
        <v>44742</v>
      </c>
      <c r="AW1259" s="91">
        <v>44742</v>
      </c>
      <c r="AX1259" s="91">
        <v>44762</v>
      </c>
      <c r="AY1259" s="107">
        <v>78600</v>
      </c>
      <c r="AZ1259" s="107">
        <f>ROUNDDOWN(AY1259+(AY1259*MASTER!$A$2/100),0)</f>
        <v>86460</v>
      </c>
      <c r="BC1259" s="64">
        <v>0</v>
      </c>
      <c r="BG1259" s="64">
        <v>0</v>
      </c>
      <c r="BK1259" s="64">
        <v>0</v>
      </c>
      <c r="BS1259" s="64">
        <v>0</v>
      </c>
      <c r="BV1259" s="65">
        <v>86460</v>
      </c>
      <c r="BW1259" s="65">
        <v>0</v>
      </c>
      <c r="BX1259" s="65">
        <v>44726</v>
      </c>
      <c r="BY1259" s="65">
        <v>86460</v>
      </c>
      <c r="BZ1259" s="81">
        <v>100</v>
      </c>
    </row>
    <row r="1260" spans="1:78" x14ac:dyDescent="0.15">
      <c r="A1260" s="60">
        <v>2</v>
      </c>
      <c r="B1260" s="61">
        <v>44732</v>
      </c>
      <c r="C1260" s="61">
        <v>44742</v>
      </c>
      <c r="D1260" s="61">
        <v>44747</v>
      </c>
      <c r="F1260" s="61" t="s">
        <v>309</v>
      </c>
      <c r="G1260" s="61">
        <v>44743</v>
      </c>
      <c r="H1260" s="61" t="s">
        <v>309</v>
      </c>
      <c r="I1260" s="60" t="s">
        <v>4277</v>
      </c>
      <c r="J1260" s="60">
        <v>2</v>
      </c>
      <c r="L1260" s="60">
        <v>0</v>
      </c>
      <c r="M1260" s="61">
        <v>44726</v>
      </c>
      <c r="O1260" s="62" t="s">
        <v>331</v>
      </c>
      <c r="P1260" s="60" t="s">
        <v>26</v>
      </c>
      <c r="Q1260" s="62" t="s">
        <v>138</v>
      </c>
      <c r="R1260" s="62" t="s">
        <v>3709</v>
      </c>
      <c r="S1260" s="63" t="s">
        <v>743</v>
      </c>
      <c r="T1260" s="63" t="s">
        <v>1524</v>
      </c>
      <c r="U1260" s="64">
        <v>78600</v>
      </c>
      <c r="V1260" s="64">
        <v>86460</v>
      </c>
      <c r="W1260" s="64">
        <v>78600</v>
      </c>
      <c r="X1260" s="64">
        <v>86460</v>
      </c>
      <c r="Y1260" s="64">
        <v>0</v>
      </c>
      <c r="Z1260" s="64">
        <v>0</v>
      </c>
      <c r="AA1260" s="61">
        <v>44742</v>
      </c>
      <c r="AB1260" s="61">
        <v>44743</v>
      </c>
      <c r="AD1260" s="60">
        <v>0</v>
      </c>
      <c r="AG1260" s="60">
        <v>0</v>
      </c>
      <c r="AJ1260" s="60">
        <v>0</v>
      </c>
      <c r="AQ1260" s="60" t="s">
        <v>3651</v>
      </c>
      <c r="AR1260" s="61">
        <v>44728</v>
      </c>
      <c r="AS1260" s="60">
        <v>6002041212</v>
      </c>
      <c r="AT1260" s="61">
        <v>44729</v>
      </c>
      <c r="AU1260" s="60" t="s">
        <v>3655</v>
      </c>
      <c r="AV1260" s="61">
        <v>44742</v>
      </c>
      <c r="AW1260" s="91">
        <v>44742</v>
      </c>
      <c r="AX1260" s="91">
        <v>44762</v>
      </c>
      <c r="AY1260" s="107">
        <v>78600</v>
      </c>
      <c r="AZ1260" s="107">
        <f>ROUNDDOWN(AY1260+(AY1260*MASTER!$A$2/100),0)</f>
        <v>86460</v>
      </c>
      <c r="BA1260" s="60" t="s">
        <v>317</v>
      </c>
      <c r="BB1260" s="64">
        <v>36000</v>
      </c>
      <c r="BC1260" s="64">
        <v>39600</v>
      </c>
      <c r="BD1260" s="60" t="s">
        <v>3530</v>
      </c>
      <c r="BG1260" s="64">
        <v>0</v>
      </c>
      <c r="BK1260" s="64">
        <v>0</v>
      </c>
      <c r="BS1260" s="64">
        <v>0</v>
      </c>
      <c r="BV1260" s="65">
        <v>86460</v>
      </c>
      <c r="BW1260" s="65">
        <v>39600</v>
      </c>
      <c r="BX1260" s="65">
        <v>44726</v>
      </c>
      <c r="BY1260" s="65">
        <v>46860</v>
      </c>
      <c r="BZ1260" s="81">
        <v>54.198473282442748</v>
      </c>
    </row>
    <row r="1261" spans="1:78" x14ac:dyDescent="0.15">
      <c r="A1261" s="60">
        <v>2</v>
      </c>
      <c r="B1261" s="61">
        <v>44732</v>
      </c>
      <c r="C1261" s="61">
        <v>44742</v>
      </c>
      <c r="D1261" s="61">
        <v>44747</v>
      </c>
      <c r="F1261" s="61" t="s">
        <v>309</v>
      </c>
      <c r="G1261" s="61">
        <v>44743</v>
      </c>
      <c r="H1261" s="61" t="s">
        <v>309</v>
      </c>
      <c r="I1261" s="60" t="s">
        <v>4277</v>
      </c>
      <c r="J1261" s="60">
        <v>2</v>
      </c>
      <c r="L1261" s="60">
        <v>0</v>
      </c>
      <c r="M1261" s="61">
        <v>44726</v>
      </c>
      <c r="O1261" s="62" t="s">
        <v>331</v>
      </c>
      <c r="P1261" s="60" t="s">
        <v>26</v>
      </c>
      <c r="Q1261" s="62" t="s">
        <v>138</v>
      </c>
      <c r="R1261" s="62" t="s">
        <v>3716</v>
      </c>
      <c r="S1261" s="63" t="s">
        <v>1129</v>
      </c>
      <c r="T1261" s="63" t="s">
        <v>1524</v>
      </c>
      <c r="U1261" s="64">
        <v>78600</v>
      </c>
      <c r="V1261" s="64">
        <v>86460</v>
      </c>
      <c r="W1261" s="64">
        <v>78600</v>
      </c>
      <c r="X1261" s="64">
        <v>86460</v>
      </c>
      <c r="Y1261" s="64">
        <v>0</v>
      </c>
      <c r="Z1261" s="64">
        <v>0</v>
      </c>
      <c r="AA1261" s="61">
        <v>44742</v>
      </c>
      <c r="AB1261" s="61">
        <v>44742</v>
      </c>
      <c r="AD1261" s="60">
        <v>0</v>
      </c>
      <c r="AG1261" s="60">
        <v>0</v>
      </c>
      <c r="AJ1261" s="60">
        <v>0</v>
      </c>
      <c r="AQ1261" s="60" t="s">
        <v>3651</v>
      </c>
      <c r="AR1261" s="61">
        <v>44728</v>
      </c>
      <c r="AS1261" s="60">
        <v>6002041212</v>
      </c>
      <c r="AT1261" s="61">
        <v>44729</v>
      </c>
      <c r="AU1261" s="60" t="s">
        <v>3655</v>
      </c>
      <c r="AV1261" s="61">
        <v>44742</v>
      </c>
      <c r="AW1261" s="91">
        <v>44742</v>
      </c>
      <c r="AX1261" s="91">
        <v>44762</v>
      </c>
      <c r="AY1261" s="107">
        <v>78600</v>
      </c>
      <c r="AZ1261" s="107">
        <f>ROUNDDOWN(AY1261+(AY1261*MASTER!$A$2/100),0)</f>
        <v>86460</v>
      </c>
      <c r="BA1261" s="60" t="s">
        <v>317</v>
      </c>
      <c r="BB1261" s="64">
        <v>32000</v>
      </c>
      <c r="BC1261" s="64">
        <v>35200</v>
      </c>
      <c r="BD1261" s="60" t="s">
        <v>3530</v>
      </c>
      <c r="BG1261" s="64">
        <v>0</v>
      </c>
      <c r="BK1261" s="64">
        <v>0</v>
      </c>
      <c r="BS1261" s="64">
        <v>0</v>
      </c>
      <c r="BV1261" s="65">
        <v>86460</v>
      </c>
      <c r="BW1261" s="65">
        <v>35200</v>
      </c>
      <c r="BX1261" s="65">
        <v>44726</v>
      </c>
      <c r="BY1261" s="65">
        <v>51260</v>
      </c>
      <c r="BZ1261" s="81">
        <v>59.287531806615782</v>
      </c>
    </row>
    <row r="1262" spans="1:78" x14ac:dyDescent="0.15">
      <c r="A1262" s="60">
        <v>2</v>
      </c>
      <c r="B1262" s="61">
        <v>44774</v>
      </c>
      <c r="C1262" s="61">
        <v>44781</v>
      </c>
      <c r="D1262" s="61">
        <v>44810</v>
      </c>
      <c r="E1262" s="61">
        <v>44790</v>
      </c>
      <c r="F1262" s="61">
        <v>44790</v>
      </c>
      <c r="G1262" s="61">
        <v>44783</v>
      </c>
      <c r="H1262" s="61">
        <v>44786</v>
      </c>
      <c r="I1262" s="60" t="s">
        <v>511</v>
      </c>
      <c r="J1262" s="60">
        <v>1</v>
      </c>
      <c r="L1262" s="60">
        <v>0</v>
      </c>
      <c r="M1262" s="61">
        <v>44727</v>
      </c>
      <c r="O1262" s="62" t="s">
        <v>331</v>
      </c>
      <c r="P1262" s="60" t="s">
        <v>26</v>
      </c>
      <c r="Q1262" s="62" t="s">
        <v>138</v>
      </c>
      <c r="R1262" s="62" t="s">
        <v>3635</v>
      </c>
      <c r="S1262" s="63" t="s">
        <v>1071</v>
      </c>
      <c r="T1262" s="63" t="s">
        <v>621</v>
      </c>
      <c r="U1262" s="64">
        <v>68200</v>
      </c>
      <c r="V1262" s="64">
        <v>75020</v>
      </c>
      <c r="W1262" s="64">
        <v>47000</v>
      </c>
      <c r="X1262" s="64">
        <v>51700</v>
      </c>
      <c r="Y1262" s="64">
        <v>21200</v>
      </c>
      <c r="Z1262" s="64">
        <v>23320</v>
      </c>
      <c r="AA1262" s="61">
        <v>44782</v>
      </c>
      <c r="AB1262" s="61">
        <v>44783</v>
      </c>
      <c r="AC1262" s="61">
        <v>44783</v>
      </c>
      <c r="AD1262" s="60">
        <v>0</v>
      </c>
      <c r="AG1262" s="60">
        <v>0</v>
      </c>
      <c r="AJ1262" s="60">
        <v>0</v>
      </c>
      <c r="AM1262" s="60" t="s">
        <v>273</v>
      </c>
      <c r="AN1262" s="60" t="s">
        <v>4220</v>
      </c>
      <c r="AQ1262" s="60" t="s">
        <v>3786</v>
      </c>
      <c r="AR1262" s="61">
        <v>44741</v>
      </c>
      <c r="AS1262" s="60">
        <v>6002046348</v>
      </c>
      <c r="AT1262" s="61">
        <v>44743</v>
      </c>
      <c r="AU1262" s="60" t="s">
        <v>3890</v>
      </c>
      <c r="AV1262" s="61">
        <v>44781</v>
      </c>
      <c r="AW1262" s="91">
        <v>44804</v>
      </c>
      <c r="AX1262" s="91">
        <v>44824</v>
      </c>
      <c r="AY1262" s="99">
        <v>65472</v>
      </c>
      <c r="AZ1262" s="99">
        <f>ROUNDDOWN(AY1262+(AY1262*MASTER!$A$2/100),0)</f>
        <v>72019</v>
      </c>
      <c r="BA1262" s="60" t="s">
        <v>582</v>
      </c>
      <c r="BB1262" s="64">
        <v>44000</v>
      </c>
      <c r="BC1262" s="64">
        <v>48400</v>
      </c>
      <c r="BD1262" s="60" t="s">
        <v>3940</v>
      </c>
      <c r="BG1262" s="64">
        <v>0</v>
      </c>
      <c r="BI1262" s="60" t="s">
        <v>748</v>
      </c>
      <c r="BJ1262" s="64">
        <v>13780</v>
      </c>
      <c r="BK1262" s="64">
        <v>15158</v>
      </c>
      <c r="BL1262" s="60" t="s">
        <v>3940</v>
      </c>
      <c r="BS1262" s="64">
        <v>0</v>
      </c>
      <c r="BV1262" s="65">
        <v>51700</v>
      </c>
      <c r="BW1262" s="65">
        <v>63558</v>
      </c>
      <c r="BX1262" s="65">
        <v>44727</v>
      </c>
      <c r="BY1262" s="65">
        <v>-11858</v>
      </c>
      <c r="BZ1262" s="81">
        <v>-22.936170212765958</v>
      </c>
    </row>
    <row r="1263" spans="1:78" x14ac:dyDescent="0.15">
      <c r="A1263" s="60">
        <v>2</v>
      </c>
      <c r="B1263" s="61">
        <v>44774</v>
      </c>
      <c r="C1263" s="61">
        <v>44782</v>
      </c>
      <c r="D1263" s="61" t="s">
        <v>764</v>
      </c>
      <c r="E1263" s="61">
        <v>44785</v>
      </c>
      <c r="F1263" s="61">
        <v>44789</v>
      </c>
      <c r="G1263" s="61">
        <v>44783</v>
      </c>
      <c r="H1263" s="61">
        <v>44785</v>
      </c>
      <c r="I1263" s="60" t="s">
        <v>511</v>
      </c>
      <c r="J1263" s="60">
        <v>1</v>
      </c>
      <c r="L1263" s="60">
        <v>0</v>
      </c>
      <c r="M1263" s="61">
        <v>44727</v>
      </c>
      <c r="O1263" s="62" t="s">
        <v>331</v>
      </c>
      <c r="P1263" s="60" t="s">
        <v>26</v>
      </c>
      <c r="Q1263" s="62" t="s">
        <v>138</v>
      </c>
      <c r="R1263" s="62" t="s">
        <v>3636</v>
      </c>
      <c r="S1263" s="63" t="s">
        <v>391</v>
      </c>
      <c r="T1263" s="63" t="s">
        <v>502</v>
      </c>
      <c r="U1263" s="64">
        <v>23900</v>
      </c>
      <c r="V1263" s="64">
        <v>26290</v>
      </c>
      <c r="W1263" s="64">
        <v>14700</v>
      </c>
      <c r="X1263" s="64">
        <v>16170</v>
      </c>
      <c r="Y1263" s="64">
        <v>9200</v>
      </c>
      <c r="Z1263" s="64">
        <v>10120</v>
      </c>
      <c r="AA1263" s="61">
        <v>44781</v>
      </c>
      <c r="AB1263" s="61">
        <v>44782</v>
      </c>
      <c r="AC1263" s="61">
        <v>44782</v>
      </c>
      <c r="AD1263" s="60">
        <v>0</v>
      </c>
      <c r="AG1263" s="60">
        <v>0</v>
      </c>
      <c r="AJ1263" s="60">
        <v>0</v>
      </c>
      <c r="AM1263" s="60" t="s">
        <v>273</v>
      </c>
      <c r="AN1263" s="60" t="s">
        <v>4239</v>
      </c>
      <c r="AQ1263" s="60" t="s">
        <v>3789</v>
      </c>
      <c r="AR1263" s="61">
        <v>44741</v>
      </c>
      <c r="AS1263" s="60">
        <v>6002046348</v>
      </c>
      <c r="AT1263" s="61">
        <v>44743</v>
      </c>
      <c r="AU1263" s="60" t="s">
        <v>3890</v>
      </c>
      <c r="AV1263" s="61">
        <v>44782</v>
      </c>
      <c r="AW1263" s="91">
        <v>44804</v>
      </c>
      <c r="AX1263" s="91">
        <v>44824</v>
      </c>
      <c r="AY1263" s="99">
        <v>22944</v>
      </c>
      <c r="AZ1263" s="99">
        <f>ROUNDDOWN(AY1263+(AY1263*MASTER!$A$2/100),0)</f>
        <v>25238</v>
      </c>
      <c r="BA1263" s="60" t="s">
        <v>765</v>
      </c>
      <c r="BC1263" s="64">
        <v>0</v>
      </c>
      <c r="BG1263" s="64">
        <v>0</v>
      </c>
      <c r="BI1263" s="60" t="s">
        <v>267</v>
      </c>
      <c r="BJ1263" s="64">
        <v>5980</v>
      </c>
      <c r="BK1263" s="64">
        <v>6578</v>
      </c>
      <c r="BL1263" s="60" t="s">
        <v>4069</v>
      </c>
      <c r="BS1263" s="64">
        <v>0</v>
      </c>
      <c r="BV1263" s="65">
        <v>16170</v>
      </c>
      <c r="BW1263" s="65">
        <v>6578</v>
      </c>
      <c r="BX1263" s="65">
        <v>44727</v>
      </c>
      <c r="BY1263" s="65">
        <v>9592</v>
      </c>
      <c r="BZ1263" s="81">
        <v>59.319727891156461</v>
      </c>
    </row>
    <row r="1264" spans="1:78" x14ac:dyDescent="0.15">
      <c r="A1264" s="60">
        <v>2</v>
      </c>
      <c r="B1264" s="61">
        <v>44736</v>
      </c>
      <c r="C1264" s="61">
        <v>44735</v>
      </c>
      <c r="D1264" s="61">
        <v>44750</v>
      </c>
      <c r="E1264" s="61">
        <v>44732</v>
      </c>
      <c r="F1264" s="61" t="s">
        <v>309</v>
      </c>
      <c r="G1264" s="61">
        <v>44732</v>
      </c>
      <c r="H1264" s="61" t="s">
        <v>309</v>
      </c>
      <c r="I1264" s="60" t="s">
        <v>766</v>
      </c>
      <c r="J1264" s="60">
        <v>2</v>
      </c>
      <c r="L1264" s="60">
        <v>0</v>
      </c>
      <c r="M1264" s="61">
        <v>44727</v>
      </c>
      <c r="O1264" s="62" t="s">
        <v>331</v>
      </c>
      <c r="P1264" s="60" t="s">
        <v>6</v>
      </c>
      <c r="Q1264" s="62" t="s">
        <v>138</v>
      </c>
      <c r="R1264" s="62" t="s">
        <v>3663</v>
      </c>
      <c r="S1264" s="63" t="s">
        <v>1819</v>
      </c>
      <c r="T1264" s="63" t="s">
        <v>364</v>
      </c>
      <c r="U1264" s="64">
        <v>35000</v>
      </c>
      <c r="V1264" s="64">
        <v>38500</v>
      </c>
      <c r="W1264" s="64">
        <v>35000</v>
      </c>
      <c r="X1264" s="64">
        <v>38500</v>
      </c>
      <c r="Z1264" s="64">
        <v>0</v>
      </c>
      <c r="AA1264" s="61">
        <v>44731</v>
      </c>
      <c r="AB1264" s="61">
        <v>44731</v>
      </c>
      <c r="AD1264" s="60">
        <v>0</v>
      </c>
      <c r="AG1264" s="60">
        <v>0</v>
      </c>
      <c r="AJ1264" s="60">
        <v>0</v>
      </c>
      <c r="AN1264" s="60" t="s">
        <v>309</v>
      </c>
      <c r="AQ1264" s="60" t="s">
        <v>3667</v>
      </c>
      <c r="AR1264" s="61">
        <v>44733</v>
      </c>
      <c r="AS1264" s="60">
        <v>6002043049</v>
      </c>
      <c r="AT1264" s="61">
        <v>44733</v>
      </c>
      <c r="AU1264" s="60" t="s">
        <v>3705</v>
      </c>
      <c r="AV1264" s="61">
        <v>44735</v>
      </c>
      <c r="AW1264" s="91">
        <v>44742</v>
      </c>
      <c r="AX1264" s="91">
        <v>44762</v>
      </c>
      <c r="AY1264" s="99">
        <v>33600</v>
      </c>
      <c r="AZ1264" s="99">
        <f>ROUNDDOWN(AY1264+(AY1264*MASTER!$A$2/100),0)</f>
        <v>36960</v>
      </c>
      <c r="BA1264" s="60" t="s">
        <v>613</v>
      </c>
      <c r="BB1264" s="64">
        <v>32000</v>
      </c>
      <c r="BC1264" s="64">
        <v>35200</v>
      </c>
      <c r="BD1264" s="60" t="s">
        <v>3530</v>
      </c>
      <c r="BG1264" s="64">
        <v>0</v>
      </c>
      <c r="BK1264" s="64">
        <v>0</v>
      </c>
      <c r="BS1264" s="64">
        <v>0</v>
      </c>
      <c r="BV1264" s="65">
        <v>38500</v>
      </c>
      <c r="BW1264" s="65">
        <v>35200</v>
      </c>
      <c r="BX1264" s="65">
        <v>44727</v>
      </c>
      <c r="BY1264" s="65">
        <v>3300</v>
      </c>
      <c r="BZ1264" s="81">
        <v>8.5714285714285712</v>
      </c>
    </row>
    <row r="1265" spans="1:78" x14ac:dyDescent="0.15">
      <c r="A1265" s="60">
        <v>2</v>
      </c>
      <c r="B1265" s="61">
        <v>44771</v>
      </c>
      <c r="C1265" s="61">
        <v>44775</v>
      </c>
      <c r="D1265" s="61">
        <v>44806</v>
      </c>
      <c r="E1265" s="61">
        <v>44775</v>
      </c>
      <c r="F1265" s="61">
        <v>44781</v>
      </c>
      <c r="G1265" s="61">
        <v>44775</v>
      </c>
      <c r="H1265" s="61">
        <v>44777</v>
      </c>
      <c r="I1265" s="60" t="s">
        <v>511</v>
      </c>
      <c r="J1265" s="60">
        <v>1</v>
      </c>
      <c r="L1265" s="60">
        <v>0</v>
      </c>
      <c r="M1265" s="61">
        <v>44728</v>
      </c>
      <c r="O1265" s="62" t="s">
        <v>331</v>
      </c>
      <c r="P1265" s="60" t="s">
        <v>26</v>
      </c>
      <c r="Q1265" s="62" t="s">
        <v>138</v>
      </c>
      <c r="R1265" s="62" t="s">
        <v>4124</v>
      </c>
      <c r="S1265" s="63" t="s">
        <v>348</v>
      </c>
      <c r="T1265" s="63" t="s">
        <v>4125</v>
      </c>
      <c r="U1265" s="64">
        <v>468080</v>
      </c>
      <c r="V1265" s="64">
        <v>514888</v>
      </c>
      <c r="W1265" s="64">
        <v>379580</v>
      </c>
      <c r="X1265" s="64">
        <v>417538</v>
      </c>
      <c r="Y1265" s="64">
        <v>88500</v>
      </c>
      <c r="Z1265" s="64">
        <v>97350</v>
      </c>
      <c r="AA1265" s="61">
        <v>44766</v>
      </c>
      <c r="AB1265" s="61">
        <v>44774</v>
      </c>
      <c r="AC1265" s="61">
        <v>44774</v>
      </c>
      <c r="AD1265" s="60">
        <v>0</v>
      </c>
      <c r="AG1265" s="60">
        <v>0</v>
      </c>
      <c r="AJ1265" s="60">
        <v>0</v>
      </c>
      <c r="AM1265" s="60" t="s">
        <v>273</v>
      </c>
      <c r="AN1265" s="60" t="s">
        <v>4126</v>
      </c>
      <c r="AQ1265" s="60" t="s">
        <v>3878</v>
      </c>
      <c r="AR1265" s="61">
        <v>44743</v>
      </c>
      <c r="AS1265" s="60">
        <v>6002047169</v>
      </c>
      <c r="AT1265" s="61">
        <v>44743</v>
      </c>
      <c r="AU1265" s="60" t="s">
        <v>3889</v>
      </c>
      <c r="AV1265" s="61">
        <v>44775</v>
      </c>
      <c r="AW1265" s="91">
        <v>44804</v>
      </c>
      <c r="AX1265" s="91">
        <v>44824</v>
      </c>
      <c r="AY1265" s="99">
        <v>449357</v>
      </c>
      <c r="AZ1265" s="99">
        <v>494293</v>
      </c>
      <c r="BA1265" s="60" t="s">
        <v>613</v>
      </c>
      <c r="BB1265" s="64">
        <v>107000</v>
      </c>
      <c r="BC1265" s="64">
        <v>117700</v>
      </c>
      <c r="BD1265" s="60" t="s">
        <v>3940</v>
      </c>
      <c r="BG1265" s="64">
        <v>0</v>
      </c>
      <c r="BI1265" s="60" t="s">
        <v>748</v>
      </c>
      <c r="BJ1265" s="64">
        <v>57525</v>
      </c>
      <c r="BK1265" s="64">
        <v>63277.5</v>
      </c>
      <c r="BL1265" s="60" t="s">
        <v>3940</v>
      </c>
      <c r="BS1265" s="64">
        <v>0</v>
      </c>
      <c r="BV1265" s="65">
        <v>417538</v>
      </c>
      <c r="BW1265" s="65">
        <v>180977.5</v>
      </c>
      <c r="BX1265" s="65">
        <v>44728</v>
      </c>
      <c r="BY1265" s="65">
        <v>236560.5</v>
      </c>
      <c r="BZ1265" s="81">
        <v>56.656040887296491</v>
      </c>
    </row>
    <row r="1266" spans="1:78" x14ac:dyDescent="0.15">
      <c r="A1266" s="60">
        <v>2</v>
      </c>
      <c r="B1266" s="61">
        <v>44762</v>
      </c>
      <c r="C1266" s="61">
        <v>44771</v>
      </c>
      <c r="D1266" s="61">
        <v>44768</v>
      </c>
      <c r="E1266" s="61">
        <v>44768</v>
      </c>
      <c r="F1266" s="61" t="s">
        <v>309</v>
      </c>
      <c r="G1266" s="61">
        <v>44768</v>
      </c>
      <c r="H1266" s="61" t="s">
        <v>309</v>
      </c>
      <c r="I1266" s="60" t="s">
        <v>766</v>
      </c>
      <c r="J1266" s="60">
        <v>2</v>
      </c>
      <c r="L1266" s="60">
        <v>0</v>
      </c>
      <c r="M1266" s="61">
        <v>44729</v>
      </c>
      <c r="O1266" s="62" t="s">
        <v>331</v>
      </c>
      <c r="P1266" s="60" t="s">
        <v>6</v>
      </c>
      <c r="Q1266" s="62" t="s">
        <v>138</v>
      </c>
      <c r="R1266" s="62" t="s">
        <v>4045</v>
      </c>
      <c r="S1266" s="63" t="s">
        <v>3341</v>
      </c>
      <c r="T1266" s="63" t="s">
        <v>364</v>
      </c>
      <c r="U1266" s="64">
        <v>35000</v>
      </c>
      <c r="V1266" s="64">
        <v>38500</v>
      </c>
      <c r="W1266" s="64">
        <v>35000</v>
      </c>
      <c r="X1266" s="64">
        <v>38500</v>
      </c>
      <c r="Z1266" s="64">
        <v>0</v>
      </c>
      <c r="AA1266" s="61">
        <v>44767</v>
      </c>
      <c r="AB1266" s="61">
        <v>44767</v>
      </c>
      <c r="AD1266" s="60">
        <v>0</v>
      </c>
      <c r="AG1266" s="60">
        <v>0</v>
      </c>
      <c r="AJ1266" s="60">
        <v>0</v>
      </c>
      <c r="AN1266" s="60" t="s">
        <v>309</v>
      </c>
      <c r="AQ1266" s="60" t="s">
        <v>3774</v>
      </c>
      <c r="AR1266" s="61">
        <v>44740</v>
      </c>
      <c r="AS1266" s="60">
        <v>6002045987</v>
      </c>
      <c r="AT1266" s="61">
        <v>44740</v>
      </c>
      <c r="AU1266" s="60" t="s">
        <v>3780</v>
      </c>
      <c r="AV1266" s="61">
        <v>44771</v>
      </c>
      <c r="AW1266" s="91">
        <v>44773</v>
      </c>
      <c r="AX1266" s="91">
        <v>44793</v>
      </c>
      <c r="AY1266" s="99">
        <v>33600</v>
      </c>
      <c r="AZ1266" s="99">
        <f>ROUNDDOWN(AY1266+(AY1266*MASTER!$A$2/100),0)</f>
        <v>36960</v>
      </c>
      <c r="BA1266" s="60" t="s">
        <v>318</v>
      </c>
      <c r="BB1266" s="64">
        <v>27000</v>
      </c>
      <c r="BC1266" s="64">
        <v>29700</v>
      </c>
      <c r="BD1266" s="60" t="s">
        <v>3800</v>
      </c>
      <c r="BG1266" s="64">
        <v>0</v>
      </c>
      <c r="BK1266" s="64">
        <v>0</v>
      </c>
      <c r="BS1266" s="64">
        <v>0</v>
      </c>
      <c r="BV1266" s="65">
        <v>38500</v>
      </c>
      <c r="BW1266" s="65">
        <v>29700</v>
      </c>
      <c r="BX1266" s="65">
        <v>44729</v>
      </c>
      <c r="BY1266" s="65">
        <v>8800</v>
      </c>
      <c r="BZ1266" s="81">
        <v>22.857142857142858</v>
      </c>
    </row>
    <row r="1267" spans="1:78" x14ac:dyDescent="0.15">
      <c r="A1267" s="60">
        <v>1</v>
      </c>
      <c r="B1267" s="61">
        <v>44774</v>
      </c>
      <c r="C1267" s="61">
        <v>44776</v>
      </c>
      <c r="F1267" s="61" t="s">
        <v>309</v>
      </c>
      <c r="H1267" s="61" t="s">
        <v>309</v>
      </c>
      <c r="J1267" s="60">
        <v>2</v>
      </c>
      <c r="K1267" s="61">
        <v>44732</v>
      </c>
      <c r="L1267" s="60" t="s">
        <v>529</v>
      </c>
      <c r="M1267" s="61">
        <v>44729</v>
      </c>
      <c r="O1267" s="62" t="s">
        <v>331</v>
      </c>
      <c r="P1267" s="60" t="s">
        <v>50</v>
      </c>
      <c r="Q1267" s="62" t="s">
        <v>138</v>
      </c>
      <c r="R1267" s="62" t="s">
        <v>3654</v>
      </c>
      <c r="S1267" s="63" t="s">
        <v>326</v>
      </c>
      <c r="T1267" s="63" t="s">
        <v>3653</v>
      </c>
      <c r="U1267" s="64">
        <v>400000</v>
      </c>
      <c r="V1267" s="64">
        <v>440000</v>
      </c>
      <c r="W1267" s="64">
        <v>400000</v>
      </c>
      <c r="X1267" s="64">
        <v>440000</v>
      </c>
      <c r="Y1267" s="64">
        <v>0</v>
      </c>
      <c r="Z1267" s="64">
        <v>0</v>
      </c>
      <c r="AD1267" s="60">
        <v>0</v>
      </c>
      <c r="AG1267" s="60">
        <v>0</v>
      </c>
      <c r="AJ1267" s="60">
        <v>0</v>
      </c>
      <c r="AQ1267" s="60" t="s">
        <v>3665</v>
      </c>
      <c r="AR1267" s="61">
        <v>44733</v>
      </c>
      <c r="AS1267" s="60">
        <v>6002043049</v>
      </c>
      <c r="AT1267" s="61">
        <v>44733</v>
      </c>
      <c r="AU1267" s="60" t="s">
        <v>3705</v>
      </c>
      <c r="AV1267" s="61">
        <v>44776</v>
      </c>
      <c r="AW1267" s="91">
        <v>44804</v>
      </c>
      <c r="AX1267" s="91">
        <v>44824</v>
      </c>
      <c r="AY1267" s="107">
        <v>400000</v>
      </c>
      <c r="AZ1267" s="107">
        <f>ROUNDDOWN(AY1267+(AY1267*MASTER!$A$2/100),0)</f>
        <v>440000</v>
      </c>
      <c r="BC1267" s="64">
        <v>0</v>
      </c>
      <c r="BG1267" s="64">
        <v>0</v>
      </c>
      <c r="BK1267" s="64">
        <v>0</v>
      </c>
      <c r="BS1267" s="64">
        <v>0</v>
      </c>
      <c r="BV1267" s="65">
        <v>440000</v>
      </c>
      <c r="BW1267" s="65">
        <v>0</v>
      </c>
      <c r="BX1267" s="65">
        <v>0</v>
      </c>
      <c r="BY1267" s="65">
        <v>44732</v>
      </c>
      <c r="BZ1267" s="81">
        <v>100</v>
      </c>
    </row>
    <row r="1268" spans="1:78" x14ac:dyDescent="0.15">
      <c r="A1268" s="60">
        <v>2</v>
      </c>
      <c r="B1268" s="61">
        <v>44754</v>
      </c>
      <c r="C1268" s="61">
        <v>44756</v>
      </c>
      <c r="D1268" s="61">
        <v>44780</v>
      </c>
      <c r="E1268" s="61">
        <v>44762</v>
      </c>
      <c r="F1268" s="61">
        <v>44763</v>
      </c>
      <c r="G1268" s="61">
        <v>44756</v>
      </c>
      <c r="H1268" s="61">
        <v>44759</v>
      </c>
      <c r="I1268" s="60" t="s">
        <v>511</v>
      </c>
      <c r="J1268" s="60">
        <v>1</v>
      </c>
      <c r="L1268" s="60">
        <v>0</v>
      </c>
      <c r="M1268" s="61">
        <v>44732</v>
      </c>
      <c r="O1268" s="62" t="s">
        <v>331</v>
      </c>
      <c r="P1268" s="60" t="s">
        <v>26</v>
      </c>
      <c r="Q1268" s="62" t="s">
        <v>138</v>
      </c>
      <c r="R1268" s="62" t="s">
        <v>3658</v>
      </c>
      <c r="S1268" s="63" t="s">
        <v>520</v>
      </c>
      <c r="T1268" s="63" t="s">
        <v>3657</v>
      </c>
      <c r="U1268" s="64">
        <v>170500</v>
      </c>
      <c r="V1268" s="64">
        <v>187550</v>
      </c>
      <c r="W1268" s="64">
        <v>78000</v>
      </c>
      <c r="X1268" s="64">
        <v>85800</v>
      </c>
      <c r="Y1268" s="64">
        <v>92500</v>
      </c>
      <c r="Z1268" s="64">
        <v>101750</v>
      </c>
      <c r="AA1268" s="61">
        <v>44754</v>
      </c>
      <c r="AB1268" s="61">
        <v>44756</v>
      </c>
      <c r="AC1268" s="61">
        <v>44756</v>
      </c>
      <c r="AD1268" s="60">
        <v>0</v>
      </c>
      <c r="AG1268" s="60">
        <v>0</v>
      </c>
      <c r="AJ1268" s="60">
        <v>0</v>
      </c>
      <c r="AM1268" s="60" t="s">
        <v>273</v>
      </c>
      <c r="AN1268" s="60" t="s">
        <v>3972</v>
      </c>
      <c r="AQ1268" s="60" t="s">
        <v>3880</v>
      </c>
      <c r="AR1268" s="61">
        <v>44743</v>
      </c>
      <c r="AS1268" s="60">
        <v>6002047169</v>
      </c>
      <c r="AT1268" s="61">
        <v>44743</v>
      </c>
      <c r="AU1268" s="60" t="s">
        <v>3889</v>
      </c>
      <c r="AV1268" s="61">
        <v>44756</v>
      </c>
      <c r="AW1268" s="91">
        <v>44773</v>
      </c>
      <c r="AX1268" s="91">
        <v>44793</v>
      </c>
      <c r="AY1268" s="99">
        <v>163680</v>
      </c>
      <c r="AZ1268" s="99">
        <f>ROUNDDOWN(AY1268+(AY1268*MASTER!$A$2/100),0)</f>
        <v>180048</v>
      </c>
      <c r="BA1268" s="60" t="s">
        <v>613</v>
      </c>
      <c r="BB1268" s="64">
        <v>28000</v>
      </c>
      <c r="BC1268" s="64">
        <v>30800</v>
      </c>
      <c r="BD1268" s="60" t="s">
        <v>3800</v>
      </c>
      <c r="BG1268" s="64">
        <v>0</v>
      </c>
      <c r="BI1268" s="60" t="s">
        <v>748</v>
      </c>
      <c r="BJ1268" s="64">
        <v>60125</v>
      </c>
      <c r="BK1268" s="64">
        <v>66137.5</v>
      </c>
      <c r="BL1268" s="60" t="s">
        <v>3800</v>
      </c>
      <c r="BS1268" s="64">
        <v>0</v>
      </c>
      <c r="BV1268" s="65">
        <v>85800</v>
      </c>
      <c r="BW1268" s="65">
        <v>96937.5</v>
      </c>
      <c r="BX1268" s="65">
        <v>44732</v>
      </c>
      <c r="BY1268" s="65">
        <v>-11137.5</v>
      </c>
      <c r="BZ1268" s="81">
        <v>-12.980769230769232</v>
      </c>
    </row>
    <row r="1269" spans="1:78" x14ac:dyDescent="0.15">
      <c r="A1269" s="60">
        <v>2</v>
      </c>
      <c r="B1269" s="61">
        <v>44771</v>
      </c>
      <c r="C1269" s="61">
        <v>44774</v>
      </c>
      <c r="D1269" s="61" t="s">
        <v>764</v>
      </c>
      <c r="E1269" s="61">
        <v>44775</v>
      </c>
      <c r="F1269" s="61">
        <v>44781</v>
      </c>
      <c r="G1269" s="61">
        <v>44775</v>
      </c>
      <c r="H1269" s="61">
        <v>44777</v>
      </c>
      <c r="I1269" s="60" t="s">
        <v>511</v>
      </c>
      <c r="J1269" s="60">
        <v>1</v>
      </c>
      <c r="L1269" s="60">
        <v>0</v>
      </c>
      <c r="M1269" s="61">
        <v>44732</v>
      </c>
      <c r="O1269" s="62" t="s">
        <v>331</v>
      </c>
      <c r="P1269" s="60" t="s">
        <v>26</v>
      </c>
      <c r="Q1269" s="62" t="s">
        <v>138</v>
      </c>
      <c r="R1269" s="62" t="s">
        <v>3659</v>
      </c>
      <c r="S1269" s="63" t="s">
        <v>3660</v>
      </c>
      <c r="T1269" s="63" t="s">
        <v>502</v>
      </c>
      <c r="U1269" s="64">
        <v>23900</v>
      </c>
      <c r="V1269" s="64">
        <v>26290</v>
      </c>
      <c r="W1269" s="64">
        <v>14700</v>
      </c>
      <c r="X1269" s="64">
        <v>16170</v>
      </c>
      <c r="Y1269" s="64">
        <v>9200</v>
      </c>
      <c r="Z1269" s="64">
        <v>10120</v>
      </c>
      <c r="AA1269" s="61">
        <v>44773</v>
      </c>
      <c r="AB1269" s="61">
        <v>44774</v>
      </c>
      <c r="AC1269" s="61">
        <v>44774</v>
      </c>
      <c r="AD1269" s="60">
        <v>0</v>
      </c>
      <c r="AG1269" s="60">
        <v>0</v>
      </c>
      <c r="AJ1269" s="60">
        <v>0</v>
      </c>
      <c r="AM1269" s="60" t="s">
        <v>273</v>
      </c>
      <c r="AN1269" s="60" t="s">
        <v>4098</v>
      </c>
      <c r="AQ1269" s="60" t="s">
        <v>3788</v>
      </c>
      <c r="AR1269" s="61">
        <v>44741</v>
      </c>
      <c r="AS1269" s="60">
        <v>6002046348</v>
      </c>
      <c r="AT1269" s="61">
        <v>44743</v>
      </c>
      <c r="AU1269" s="60" t="s">
        <v>3890</v>
      </c>
      <c r="AV1269" s="61">
        <v>44774</v>
      </c>
      <c r="AW1269" s="91">
        <v>44804</v>
      </c>
      <c r="AX1269" s="91">
        <v>44824</v>
      </c>
      <c r="AY1269" s="99">
        <v>22944</v>
      </c>
      <c r="AZ1269" s="99">
        <f>ROUNDDOWN(AY1269+(AY1269*MASTER!$A$2/100),0)</f>
        <v>25238</v>
      </c>
      <c r="BA1269" s="60" t="s">
        <v>765</v>
      </c>
      <c r="BC1269" s="64">
        <v>0</v>
      </c>
      <c r="BG1269" s="64">
        <v>0</v>
      </c>
      <c r="BI1269" s="60" t="s">
        <v>267</v>
      </c>
      <c r="BJ1269" s="64">
        <v>5980</v>
      </c>
      <c r="BK1269" s="64">
        <v>6578</v>
      </c>
      <c r="BL1269" s="60" t="s">
        <v>4069</v>
      </c>
      <c r="BS1269" s="64">
        <v>0</v>
      </c>
      <c r="BV1269" s="65">
        <v>16170</v>
      </c>
      <c r="BW1269" s="65">
        <v>6578</v>
      </c>
      <c r="BX1269" s="65">
        <v>44732</v>
      </c>
      <c r="BY1269" s="65">
        <v>9592</v>
      </c>
      <c r="BZ1269" s="81">
        <v>59.319727891156461</v>
      </c>
    </row>
    <row r="1270" spans="1:78" x14ac:dyDescent="0.15">
      <c r="A1270" s="60">
        <v>2</v>
      </c>
      <c r="B1270" s="61">
        <v>44774</v>
      </c>
      <c r="C1270" s="61">
        <v>44783</v>
      </c>
      <c r="D1270" s="61">
        <v>44806</v>
      </c>
      <c r="E1270" s="61">
        <v>44776</v>
      </c>
      <c r="F1270" s="61">
        <v>44782</v>
      </c>
      <c r="G1270" s="61">
        <v>44775</v>
      </c>
      <c r="H1270" s="61">
        <v>44778</v>
      </c>
      <c r="I1270" s="60" t="s">
        <v>511</v>
      </c>
      <c r="J1270" s="60">
        <v>1</v>
      </c>
      <c r="L1270" s="60">
        <v>0</v>
      </c>
      <c r="M1270" s="61">
        <v>44732</v>
      </c>
      <c r="O1270" s="62" t="s">
        <v>331</v>
      </c>
      <c r="P1270" s="60" t="s">
        <v>26</v>
      </c>
      <c r="Q1270" s="62" t="s">
        <v>138</v>
      </c>
      <c r="R1270" s="62" t="s">
        <v>3662</v>
      </c>
      <c r="S1270" s="63" t="s">
        <v>379</v>
      </c>
      <c r="T1270" s="63" t="s">
        <v>3661</v>
      </c>
      <c r="U1270" s="64">
        <v>60200</v>
      </c>
      <c r="V1270" s="64">
        <v>66220</v>
      </c>
      <c r="W1270" s="64">
        <v>39000</v>
      </c>
      <c r="X1270" s="64">
        <v>42900</v>
      </c>
      <c r="Y1270" s="64">
        <v>21200</v>
      </c>
      <c r="Z1270" s="64">
        <v>23320</v>
      </c>
      <c r="AA1270" s="61">
        <v>44774</v>
      </c>
      <c r="AB1270" s="61">
        <v>44775</v>
      </c>
      <c r="AC1270" s="61">
        <v>44775</v>
      </c>
      <c r="AD1270" s="60">
        <v>0</v>
      </c>
      <c r="AG1270" s="60">
        <v>0</v>
      </c>
      <c r="AJ1270" s="60">
        <v>0</v>
      </c>
      <c r="AM1270" s="60" t="s">
        <v>273</v>
      </c>
      <c r="AN1270" s="60" t="s">
        <v>3958</v>
      </c>
      <c r="AQ1270" s="60" t="s">
        <v>3920</v>
      </c>
      <c r="AR1270" s="61">
        <v>44748</v>
      </c>
      <c r="AS1270" s="60">
        <v>6002048898</v>
      </c>
      <c r="AT1270" s="61">
        <v>44749</v>
      </c>
      <c r="AU1270" s="60" t="s">
        <v>3945</v>
      </c>
      <c r="AV1270" s="61">
        <v>44783</v>
      </c>
      <c r="AW1270" s="91">
        <v>44804</v>
      </c>
      <c r="AX1270" s="91">
        <v>44824</v>
      </c>
      <c r="AY1270" s="99">
        <v>57792</v>
      </c>
      <c r="AZ1270" s="99">
        <f>ROUNDDOWN(AY1270+(AY1270*MASTER!$A$2/100),0)</f>
        <v>63571</v>
      </c>
      <c r="BA1270" s="60" t="s">
        <v>613</v>
      </c>
      <c r="BB1270" s="64">
        <v>30000</v>
      </c>
      <c r="BC1270" s="64">
        <v>33000</v>
      </c>
      <c r="BD1270" s="60" t="s">
        <v>3940</v>
      </c>
      <c r="BG1270" s="64">
        <v>0</v>
      </c>
      <c r="BI1270" s="60" t="s">
        <v>748</v>
      </c>
      <c r="BJ1270" s="64">
        <v>13780</v>
      </c>
      <c r="BK1270" s="64">
        <v>15158</v>
      </c>
      <c r="BL1270" s="60" t="s">
        <v>3940</v>
      </c>
      <c r="BS1270" s="64">
        <v>0</v>
      </c>
      <c r="BV1270" s="65">
        <v>42900</v>
      </c>
      <c r="BW1270" s="65">
        <v>48158</v>
      </c>
      <c r="BX1270" s="65">
        <v>44732</v>
      </c>
      <c r="BY1270" s="65">
        <v>-5258</v>
      </c>
      <c r="BZ1270" s="81">
        <v>-12.256410256410257</v>
      </c>
    </row>
    <row r="1271" spans="1:78" x14ac:dyDescent="0.15">
      <c r="A1271" s="60">
        <v>2</v>
      </c>
      <c r="B1271" s="61">
        <v>44740</v>
      </c>
      <c r="C1271" s="61">
        <v>44741</v>
      </c>
      <c r="D1271" s="61">
        <v>44735</v>
      </c>
      <c r="E1271" s="61">
        <v>44735</v>
      </c>
      <c r="F1271" s="61" t="s">
        <v>309</v>
      </c>
      <c r="G1271" s="61">
        <v>44735</v>
      </c>
      <c r="H1271" s="61" t="s">
        <v>309</v>
      </c>
      <c r="I1271" s="60" t="s">
        <v>766</v>
      </c>
      <c r="J1271" s="60">
        <v>2</v>
      </c>
      <c r="L1271" s="60">
        <v>0</v>
      </c>
      <c r="M1271" s="61">
        <v>44733</v>
      </c>
      <c r="O1271" s="62" t="s">
        <v>331</v>
      </c>
      <c r="P1271" s="60" t="s">
        <v>6</v>
      </c>
      <c r="Q1271" s="62" t="s">
        <v>138</v>
      </c>
      <c r="R1271" s="62" t="s">
        <v>3728</v>
      </c>
      <c r="S1271" s="63" t="s">
        <v>731</v>
      </c>
      <c r="T1271" s="63" t="s">
        <v>364</v>
      </c>
      <c r="U1271" s="64">
        <v>35000</v>
      </c>
      <c r="V1271" s="64">
        <v>38500</v>
      </c>
      <c r="W1271" s="64">
        <v>35000</v>
      </c>
      <c r="X1271" s="64">
        <v>38500</v>
      </c>
      <c r="Z1271" s="64">
        <v>0</v>
      </c>
      <c r="AA1271" s="61">
        <v>44734</v>
      </c>
      <c r="AB1271" s="61">
        <v>44734</v>
      </c>
      <c r="AD1271" s="60">
        <v>0</v>
      </c>
      <c r="AG1271" s="60">
        <v>0</v>
      </c>
      <c r="AJ1271" s="60">
        <v>0</v>
      </c>
      <c r="AN1271" s="60" t="s">
        <v>309</v>
      </c>
      <c r="AQ1271" s="60" t="s">
        <v>3754</v>
      </c>
      <c r="AR1271" s="61">
        <v>44739</v>
      </c>
      <c r="AS1271" s="60">
        <v>6002045511</v>
      </c>
      <c r="AT1271" s="61">
        <v>44739</v>
      </c>
      <c r="AU1271" s="60" t="s">
        <v>3768</v>
      </c>
      <c r="AV1271" s="61">
        <v>44741</v>
      </c>
      <c r="AW1271" s="91">
        <v>44742</v>
      </c>
      <c r="AX1271" s="91">
        <v>44762</v>
      </c>
      <c r="AY1271" s="99">
        <v>33600</v>
      </c>
      <c r="AZ1271" s="99">
        <f>ROUNDDOWN(AY1271+(AY1271*MASTER!$A$2/100),0)</f>
        <v>36960</v>
      </c>
      <c r="BA1271" s="60" t="s">
        <v>314</v>
      </c>
      <c r="BB1271" s="64">
        <v>26000</v>
      </c>
      <c r="BC1271" s="64">
        <v>28600</v>
      </c>
      <c r="BD1271" s="60" t="s">
        <v>3530</v>
      </c>
      <c r="BG1271" s="64">
        <v>0</v>
      </c>
      <c r="BK1271" s="64">
        <v>0</v>
      </c>
      <c r="BS1271" s="64">
        <v>0</v>
      </c>
      <c r="BV1271" s="65">
        <v>38500</v>
      </c>
      <c r="BW1271" s="65">
        <v>28600</v>
      </c>
      <c r="BX1271" s="65">
        <v>44733</v>
      </c>
      <c r="BY1271" s="65">
        <v>9900</v>
      </c>
      <c r="BZ1271" s="81">
        <v>25.714285714285712</v>
      </c>
    </row>
    <row r="1272" spans="1:78" x14ac:dyDescent="0.15">
      <c r="A1272" s="60">
        <v>2</v>
      </c>
      <c r="B1272" s="61">
        <v>44750</v>
      </c>
      <c r="C1272" s="61">
        <v>44750</v>
      </c>
      <c r="D1272" s="61">
        <v>44783</v>
      </c>
      <c r="E1272" s="61">
        <v>44753</v>
      </c>
      <c r="F1272" s="61">
        <v>44757</v>
      </c>
      <c r="G1272" s="61">
        <v>44750</v>
      </c>
      <c r="H1272" s="61">
        <v>44753</v>
      </c>
      <c r="I1272" s="60" t="s">
        <v>511</v>
      </c>
      <c r="J1272" s="60">
        <v>2</v>
      </c>
      <c r="L1272" s="60">
        <v>0</v>
      </c>
      <c r="M1272" s="61">
        <v>44733</v>
      </c>
      <c r="O1272" s="62" t="s">
        <v>331</v>
      </c>
      <c r="P1272" s="60" t="s">
        <v>26</v>
      </c>
      <c r="Q1272" s="62" t="s">
        <v>138</v>
      </c>
      <c r="R1272" s="62" t="s">
        <v>3957</v>
      </c>
      <c r="S1272" s="63" t="s">
        <v>1069</v>
      </c>
      <c r="T1272" s="63" t="s">
        <v>2801</v>
      </c>
      <c r="U1272" s="64">
        <v>65795</v>
      </c>
      <c r="V1272" s="64">
        <v>72374.5</v>
      </c>
      <c r="W1272" s="64">
        <v>65795</v>
      </c>
      <c r="X1272" s="64">
        <v>72374.5</v>
      </c>
      <c r="Y1272" s="64">
        <v>0</v>
      </c>
      <c r="Z1272" s="64">
        <v>0</v>
      </c>
      <c r="AA1272" s="61">
        <v>44749</v>
      </c>
      <c r="AB1272" s="61">
        <v>44750</v>
      </c>
      <c r="AC1272" s="61">
        <v>44750</v>
      </c>
      <c r="AD1272" s="60">
        <v>0</v>
      </c>
      <c r="AG1272" s="60">
        <v>0</v>
      </c>
      <c r="AJ1272" s="60">
        <v>0</v>
      </c>
      <c r="AM1272" s="60" t="s">
        <v>273</v>
      </c>
      <c r="AN1272" s="60" t="s">
        <v>3958</v>
      </c>
      <c r="AQ1272" s="60" t="s">
        <v>3894</v>
      </c>
      <c r="AR1272" s="61">
        <v>44747</v>
      </c>
      <c r="AS1272" s="60">
        <v>6002048034</v>
      </c>
      <c r="AT1272" s="61">
        <v>44747</v>
      </c>
      <c r="AU1272" s="60" t="s">
        <v>3917</v>
      </c>
      <c r="AV1272" s="61">
        <v>44750</v>
      </c>
      <c r="AW1272" s="91">
        <v>44773</v>
      </c>
      <c r="AX1272" s="91">
        <v>44793</v>
      </c>
      <c r="AY1272" s="99">
        <v>63163</v>
      </c>
      <c r="AZ1272" s="99">
        <f>ROUNDDOWN(AY1272+(AY1272*MASTER!$A$2/100),0)</f>
        <v>69479</v>
      </c>
      <c r="BA1272" s="60" t="s">
        <v>582</v>
      </c>
      <c r="BB1272" s="64">
        <v>39000</v>
      </c>
      <c r="BC1272" s="64">
        <v>42900</v>
      </c>
      <c r="BD1272" s="60" t="s">
        <v>3800</v>
      </c>
      <c r="BG1272" s="64">
        <v>0</v>
      </c>
      <c r="BK1272" s="64">
        <v>0</v>
      </c>
      <c r="BS1272" s="64">
        <v>0</v>
      </c>
      <c r="BV1272" s="65">
        <v>72374.5</v>
      </c>
      <c r="BW1272" s="65">
        <v>42900</v>
      </c>
      <c r="BX1272" s="65">
        <v>44733</v>
      </c>
      <c r="BY1272" s="65">
        <v>29474.5</v>
      </c>
      <c r="BZ1272" s="81">
        <v>40.724979101755451</v>
      </c>
    </row>
    <row r="1273" spans="1:78" x14ac:dyDescent="0.15">
      <c r="A1273" s="60">
        <v>2</v>
      </c>
      <c r="B1273" s="61">
        <v>44743</v>
      </c>
      <c r="C1273" s="61">
        <v>44773</v>
      </c>
      <c r="D1273" s="61">
        <v>44783</v>
      </c>
      <c r="F1273" s="61" t="s">
        <v>309</v>
      </c>
      <c r="G1273" s="61">
        <v>44756</v>
      </c>
      <c r="H1273" s="61" t="s">
        <v>309</v>
      </c>
      <c r="I1273" s="60" t="s">
        <v>2495</v>
      </c>
      <c r="J1273" s="60">
        <v>2</v>
      </c>
      <c r="L1273" s="60">
        <v>0</v>
      </c>
      <c r="M1273" s="61">
        <v>44733</v>
      </c>
      <c r="O1273" s="62" t="s">
        <v>331</v>
      </c>
      <c r="P1273" s="60" t="s">
        <v>26</v>
      </c>
      <c r="Q1273" s="62" t="s">
        <v>138</v>
      </c>
      <c r="R1273" s="62" t="s">
        <v>3830</v>
      </c>
      <c r="S1273" s="63" t="s">
        <v>1061</v>
      </c>
      <c r="T1273" s="63" t="s">
        <v>1524</v>
      </c>
      <c r="U1273" s="64">
        <v>78600</v>
      </c>
      <c r="V1273" s="64">
        <v>86460</v>
      </c>
      <c r="W1273" s="64">
        <v>78600</v>
      </c>
      <c r="X1273" s="64">
        <v>86460</v>
      </c>
      <c r="Y1273" s="64">
        <v>0</v>
      </c>
      <c r="Z1273" s="64">
        <v>0</v>
      </c>
      <c r="AA1273" s="61">
        <v>44755</v>
      </c>
      <c r="AB1273" s="61">
        <v>44756</v>
      </c>
      <c r="AD1273" s="60">
        <v>0</v>
      </c>
      <c r="AG1273" s="60">
        <v>0</v>
      </c>
      <c r="AJ1273" s="60">
        <v>0</v>
      </c>
      <c r="AQ1273" s="60" t="s">
        <v>3758</v>
      </c>
      <c r="AR1273" s="61">
        <v>44739</v>
      </c>
      <c r="AS1273" s="60">
        <v>6002045514</v>
      </c>
      <c r="AT1273" s="61">
        <v>44739</v>
      </c>
      <c r="AU1273" s="60" t="s">
        <v>3765</v>
      </c>
      <c r="AV1273" s="61">
        <v>44773</v>
      </c>
      <c r="AW1273" s="91">
        <v>44773</v>
      </c>
      <c r="AX1273" s="91">
        <v>44793</v>
      </c>
      <c r="AY1273" s="107">
        <v>78600</v>
      </c>
      <c r="AZ1273" s="107">
        <f>ROUNDDOWN(AY1273+(AY1273*MASTER!$A$2/100),0)</f>
        <v>86460</v>
      </c>
      <c r="BA1273" s="60" t="s">
        <v>318</v>
      </c>
      <c r="BB1273" s="64">
        <v>30000</v>
      </c>
      <c r="BC1273" s="64">
        <v>33000</v>
      </c>
      <c r="BD1273" s="60" t="s">
        <v>3800</v>
      </c>
      <c r="BG1273" s="64">
        <v>0</v>
      </c>
      <c r="BK1273" s="64">
        <v>0</v>
      </c>
      <c r="BS1273" s="64">
        <v>0</v>
      </c>
      <c r="BV1273" s="65">
        <v>86460</v>
      </c>
      <c r="BW1273" s="65">
        <v>33000</v>
      </c>
      <c r="BX1273" s="65">
        <v>44733</v>
      </c>
      <c r="BY1273" s="65">
        <v>53460</v>
      </c>
      <c r="BZ1273" s="81">
        <v>61.832061068702295</v>
      </c>
    </row>
    <row r="1274" spans="1:78" x14ac:dyDescent="0.15">
      <c r="A1274" s="60">
        <v>2</v>
      </c>
      <c r="B1274" s="61">
        <v>44743</v>
      </c>
      <c r="C1274" s="61">
        <v>44773</v>
      </c>
      <c r="D1274" s="61">
        <v>44783</v>
      </c>
      <c r="F1274" s="61" t="s">
        <v>309</v>
      </c>
      <c r="G1274" s="61">
        <v>44763</v>
      </c>
      <c r="H1274" s="61" t="s">
        <v>309</v>
      </c>
      <c r="I1274" s="60" t="s">
        <v>511</v>
      </c>
      <c r="J1274" s="60">
        <v>2</v>
      </c>
      <c r="L1274" s="60">
        <v>0</v>
      </c>
      <c r="M1274" s="61">
        <v>44733</v>
      </c>
      <c r="O1274" s="62" t="s">
        <v>331</v>
      </c>
      <c r="P1274" s="60" t="s">
        <v>26</v>
      </c>
      <c r="Q1274" s="62" t="s">
        <v>138</v>
      </c>
      <c r="R1274" s="62" t="s">
        <v>3831</v>
      </c>
      <c r="S1274" s="63" t="s">
        <v>1064</v>
      </c>
      <c r="T1274" s="63" t="s">
        <v>1524</v>
      </c>
      <c r="U1274" s="64">
        <v>78600</v>
      </c>
      <c r="V1274" s="64">
        <v>86460</v>
      </c>
      <c r="W1274" s="64">
        <v>78600</v>
      </c>
      <c r="X1274" s="64">
        <v>86460</v>
      </c>
      <c r="Y1274" s="64">
        <v>0</v>
      </c>
      <c r="Z1274" s="64">
        <v>0</v>
      </c>
      <c r="AA1274" s="61">
        <v>44761</v>
      </c>
      <c r="AB1274" s="61">
        <v>44762</v>
      </c>
      <c r="AD1274" s="60">
        <v>0</v>
      </c>
      <c r="AG1274" s="60">
        <v>0</v>
      </c>
      <c r="AJ1274" s="60">
        <v>0</v>
      </c>
      <c r="AQ1274" s="60" t="s">
        <v>3758</v>
      </c>
      <c r="AR1274" s="61">
        <v>44739</v>
      </c>
      <c r="AS1274" s="60">
        <v>6002045514</v>
      </c>
      <c r="AT1274" s="61">
        <v>44739</v>
      </c>
      <c r="AU1274" s="60" t="s">
        <v>3765</v>
      </c>
      <c r="AV1274" s="61">
        <v>44773</v>
      </c>
      <c r="AW1274" s="91">
        <v>44773</v>
      </c>
      <c r="AX1274" s="91">
        <v>44793</v>
      </c>
      <c r="AY1274" s="107">
        <v>78600</v>
      </c>
      <c r="AZ1274" s="107">
        <f>ROUNDDOWN(AY1274+(AY1274*MASTER!$A$2/100),0)</f>
        <v>86460</v>
      </c>
      <c r="BA1274" s="60" t="s">
        <v>318</v>
      </c>
      <c r="BB1274" s="64">
        <v>29000</v>
      </c>
      <c r="BC1274" s="64">
        <v>31900</v>
      </c>
      <c r="BD1274" s="60" t="s">
        <v>3800</v>
      </c>
      <c r="BG1274" s="64">
        <v>0</v>
      </c>
      <c r="BK1274" s="64">
        <v>0</v>
      </c>
      <c r="BS1274" s="64">
        <v>0</v>
      </c>
      <c r="BV1274" s="65">
        <v>86460</v>
      </c>
      <c r="BW1274" s="65">
        <v>31900</v>
      </c>
      <c r="BX1274" s="65">
        <v>44733</v>
      </c>
      <c r="BY1274" s="65">
        <v>54560</v>
      </c>
      <c r="BZ1274" s="81">
        <v>63.104325699745544</v>
      </c>
    </row>
    <row r="1275" spans="1:78" x14ac:dyDescent="0.15">
      <c r="A1275" s="60">
        <v>2</v>
      </c>
      <c r="B1275" s="61">
        <v>44743</v>
      </c>
      <c r="C1275" s="61">
        <v>44773</v>
      </c>
      <c r="D1275" s="61">
        <v>44783</v>
      </c>
      <c r="F1275" s="61" t="s">
        <v>309</v>
      </c>
      <c r="G1275" s="61">
        <v>44756</v>
      </c>
      <c r="H1275" s="61" t="s">
        <v>309</v>
      </c>
      <c r="I1275" s="60" t="s">
        <v>511</v>
      </c>
      <c r="J1275" s="60">
        <v>2</v>
      </c>
      <c r="L1275" s="60">
        <v>0</v>
      </c>
      <c r="M1275" s="61">
        <v>44733</v>
      </c>
      <c r="O1275" s="62" t="s">
        <v>331</v>
      </c>
      <c r="P1275" s="60" t="s">
        <v>26</v>
      </c>
      <c r="Q1275" s="62" t="s">
        <v>138</v>
      </c>
      <c r="R1275" s="62" t="s">
        <v>3832</v>
      </c>
      <c r="S1275" s="63" t="s">
        <v>1259</v>
      </c>
      <c r="T1275" s="63" t="s">
        <v>1524</v>
      </c>
      <c r="U1275" s="64">
        <v>78600</v>
      </c>
      <c r="V1275" s="64">
        <v>86460</v>
      </c>
      <c r="W1275" s="64">
        <v>78600</v>
      </c>
      <c r="X1275" s="64">
        <v>86460</v>
      </c>
      <c r="Y1275" s="64">
        <v>0</v>
      </c>
      <c r="Z1275" s="64">
        <v>0</v>
      </c>
      <c r="AA1275" s="61">
        <v>44755</v>
      </c>
      <c r="AB1275" s="61">
        <v>44756</v>
      </c>
      <c r="AD1275" s="60">
        <v>0</v>
      </c>
      <c r="AG1275" s="60">
        <v>0</v>
      </c>
      <c r="AJ1275" s="60">
        <v>0</v>
      </c>
      <c r="AQ1275" s="60" t="s">
        <v>3758</v>
      </c>
      <c r="AR1275" s="61">
        <v>44739</v>
      </c>
      <c r="AS1275" s="60">
        <v>6002045514</v>
      </c>
      <c r="AT1275" s="61">
        <v>44739</v>
      </c>
      <c r="AU1275" s="60" t="s">
        <v>3765</v>
      </c>
      <c r="AV1275" s="61">
        <v>44773</v>
      </c>
      <c r="AW1275" s="91">
        <v>44773</v>
      </c>
      <c r="AX1275" s="91">
        <v>44793</v>
      </c>
      <c r="AY1275" s="107">
        <v>78600</v>
      </c>
      <c r="AZ1275" s="107">
        <f>ROUNDDOWN(AY1275+(AY1275*MASTER!$A$2/100),0)</f>
        <v>86460</v>
      </c>
      <c r="BA1275" s="60" t="s">
        <v>318</v>
      </c>
      <c r="BB1275" s="64">
        <v>29000</v>
      </c>
      <c r="BC1275" s="64">
        <v>31900</v>
      </c>
      <c r="BD1275" s="60" t="s">
        <v>3800</v>
      </c>
      <c r="BG1275" s="64">
        <v>0</v>
      </c>
      <c r="BK1275" s="64">
        <v>0</v>
      </c>
      <c r="BS1275" s="64">
        <v>0</v>
      </c>
      <c r="BV1275" s="65">
        <v>86460</v>
      </c>
      <c r="BW1275" s="65">
        <v>31900</v>
      </c>
      <c r="BX1275" s="65">
        <v>44733</v>
      </c>
      <c r="BY1275" s="65">
        <v>54560</v>
      </c>
      <c r="BZ1275" s="81">
        <v>63.104325699745544</v>
      </c>
    </row>
    <row r="1276" spans="1:78" x14ac:dyDescent="0.15">
      <c r="A1276" s="60">
        <v>2</v>
      </c>
      <c r="B1276" s="61">
        <v>44743</v>
      </c>
      <c r="C1276" s="61">
        <v>44773</v>
      </c>
      <c r="D1276" s="61">
        <v>44783</v>
      </c>
      <c r="F1276" s="61" t="s">
        <v>309</v>
      </c>
      <c r="G1276" s="61">
        <v>44763</v>
      </c>
      <c r="H1276" s="61" t="s">
        <v>309</v>
      </c>
      <c r="I1276" s="60" t="s">
        <v>2495</v>
      </c>
      <c r="J1276" s="60">
        <v>2</v>
      </c>
      <c r="L1276" s="60">
        <v>0</v>
      </c>
      <c r="M1276" s="61">
        <v>44733</v>
      </c>
      <c r="O1276" s="62" t="s">
        <v>331</v>
      </c>
      <c r="P1276" s="60" t="s">
        <v>26</v>
      </c>
      <c r="Q1276" s="62" t="s">
        <v>138</v>
      </c>
      <c r="R1276" s="62" t="s">
        <v>3833</v>
      </c>
      <c r="S1276" s="63" t="s">
        <v>597</v>
      </c>
      <c r="T1276" s="63" t="s">
        <v>1524</v>
      </c>
      <c r="U1276" s="64">
        <v>78600</v>
      </c>
      <c r="V1276" s="64">
        <v>86460</v>
      </c>
      <c r="W1276" s="64">
        <v>78600</v>
      </c>
      <c r="X1276" s="64">
        <v>86460</v>
      </c>
      <c r="Y1276" s="64">
        <v>0</v>
      </c>
      <c r="Z1276" s="64">
        <v>0</v>
      </c>
      <c r="AA1276" s="61">
        <v>44755</v>
      </c>
      <c r="AB1276" s="61">
        <v>44756</v>
      </c>
      <c r="AD1276" s="60">
        <v>0</v>
      </c>
      <c r="AG1276" s="60">
        <v>0</v>
      </c>
      <c r="AJ1276" s="60">
        <v>0</v>
      </c>
      <c r="AQ1276" s="60" t="s">
        <v>3758</v>
      </c>
      <c r="AR1276" s="61">
        <v>44739</v>
      </c>
      <c r="AS1276" s="60">
        <v>6002045514</v>
      </c>
      <c r="AT1276" s="61">
        <v>44739</v>
      </c>
      <c r="AU1276" s="60" t="s">
        <v>3765</v>
      </c>
      <c r="AV1276" s="61">
        <v>44773</v>
      </c>
      <c r="AW1276" s="91">
        <v>44773</v>
      </c>
      <c r="AX1276" s="91">
        <v>44793</v>
      </c>
      <c r="AY1276" s="107">
        <v>78600</v>
      </c>
      <c r="AZ1276" s="107">
        <f>ROUNDDOWN(AY1276+(AY1276*MASTER!$A$2/100),0)</f>
        <v>86460</v>
      </c>
      <c r="BA1276" s="60" t="s">
        <v>318</v>
      </c>
      <c r="BB1276" s="64">
        <v>29000</v>
      </c>
      <c r="BC1276" s="64">
        <v>31900</v>
      </c>
      <c r="BD1276" s="60" t="s">
        <v>3800</v>
      </c>
      <c r="BG1276" s="64">
        <v>0</v>
      </c>
      <c r="BK1276" s="64">
        <v>0</v>
      </c>
      <c r="BS1276" s="64">
        <v>0</v>
      </c>
      <c r="BV1276" s="65">
        <v>86460</v>
      </c>
      <c r="BW1276" s="65">
        <v>31900</v>
      </c>
      <c r="BX1276" s="65">
        <v>44733</v>
      </c>
      <c r="BY1276" s="65">
        <v>54560</v>
      </c>
      <c r="BZ1276" s="81">
        <v>63.104325699745544</v>
      </c>
    </row>
    <row r="1277" spans="1:78" x14ac:dyDescent="0.15">
      <c r="A1277" s="60">
        <v>2</v>
      </c>
      <c r="B1277" s="61">
        <v>44743</v>
      </c>
      <c r="C1277" s="61">
        <v>44773</v>
      </c>
      <c r="D1277" s="61">
        <v>44783</v>
      </c>
      <c r="F1277" s="61" t="s">
        <v>309</v>
      </c>
      <c r="G1277" s="61">
        <v>44757</v>
      </c>
      <c r="H1277" s="61" t="s">
        <v>309</v>
      </c>
      <c r="I1277" s="60" t="s">
        <v>511</v>
      </c>
      <c r="J1277" s="60">
        <v>2</v>
      </c>
      <c r="L1277" s="60">
        <v>0</v>
      </c>
      <c r="M1277" s="61">
        <v>44733</v>
      </c>
      <c r="O1277" s="62" t="s">
        <v>331</v>
      </c>
      <c r="P1277" s="60" t="s">
        <v>26</v>
      </c>
      <c r="Q1277" s="62" t="s">
        <v>138</v>
      </c>
      <c r="R1277" s="62" t="s">
        <v>3834</v>
      </c>
      <c r="S1277" s="63" t="s">
        <v>1062</v>
      </c>
      <c r="T1277" s="63" t="s">
        <v>1524</v>
      </c>
      <c r="U1277" s="64">
        <v>78600</v>
      </c>
      <c r="V1277" s="64">
        <v>86460</v>
      </c>
      <c r="W1277" s="64">
        <v>78600</v>
      </c>
      <c r="X1277" s="64">
        <v>86460</v>
      </c>
      <c r="Y1277" s="64">
        <v>0</v>
      </c>
      <c r="Z1277" s="64">
        <v>0</v>
      </c>
      <c r="AA1277" s="61">
        <v>44756</v>
      </c>
      <c r="AB1277" s="61">
        <v>44757</v>
      </c>
      <c r="AD1277" s="60">
        <v>0</v>
      </c>
      <c r="AG1277" s="60">
        <v>0</v>
      </c>
      <c r="AJ1277" s="60">
        <v>0</v>
      </c>
      <c r="AQ1277" s="60" t="s">
        <v>3758</v>
      </c>
      <c r="AR1277" s="61">
        <v>44739</v>
      </c>
      <c r="AS1277" s="60">
        <v>6002045514</v>
      </c>
      <c r="AT1277" s="61">
        <v>44739</v>
      </c>
      <c r="AU1277" s="60" t="s">
        <v>3765</v>
      </c>
      <c r="AV1277" s="61">
        <v>44773</v>
      </c>
      <c r="AW1277" s="91">
        <v>44773</v>
      </c>
      <c r="AX1277" s="91">
        <v>44793</v>
      </c>
      <c r="AY1277" s="107">
        <v>78600</v>
      </c>
      <c r="AZ1277" s="107">
        <f>ROUNDDOWN(AY1277+(AY1277*MASTER!$A$2/100),0)</f>
        <v>86460</v>
      </c>
      <c r="BA1277" s="60" t="s">
        <v>318</v>
      </c>
      <c r="BB1277" s="64">
        <v>29000</v>
      </c>
      <c r="BC1277" s="64">
        <v>31900</v>
      </c>
      <c r="BD1277" s="60" t="s">
        <v>3800</v>
      </c>
      <c r="BG1277" s="64">
        <v>0</v>
      </c>
      <c r="BK1277" s="64">
        <v>0</v>
      </c>
      <c r="BS1277" s="64">
        <v>0</v>
      </c>
      <c r="BV1277" s="65">
        <v>86460</v>
      </c>
      <c r="BW1277" s="65">
        <v>31900</v>
      </c>
      <c r="BX1277" s="65">
        <v>44733</v>
      </c>
      <c r="BY1277" s="65">
        <v>54560</v>
      </c>
      <c r="BZ1277" s="81">
        <v>63.104325699745544</v>
      </c>
    </row>
    <row r="1278" spans="1:78" x14ac:dyDescent="0.15">
      <c r="A1278" s="60">
        <v>2</v>
      </c>
      <c r="B1278" s="61">
        <v>44743</v>
      </c>
      <c r="C1278" s="61">
        <v>44773</v>
      </c>
      <c r="D1278" s="61">
        <v>44783</v>
      </c>
      <c r="F1278" s="61" t="s">
        <v>309</v>
      </c>
      <c r="G1278" s="61">
        <v>44761</v>
      </c>
      <c r="H1278" s="61" t="s">
        <v>309</v>
      </c>
      <c r="I1278" s="60" t="s">
        <v>511</v>
      </c>
      <c r="J1278" s="60">
        <v>2</v>
      </c>
      <c r="L1278" s="60">
        <v>0</v>
      </c>
      <c r="M1278" s="61">
        <v>44733</v>
      </c>
      <c r="O1278" s="62" t="s">
        <v>331</v>
      </c>
      <c r="P1278" s="60" t="s">
        <v>26</v>
      </c>
      <c r="Q1278" s="62" t="s">
        <v>138</v>
      </c>
      <c r="R1278" s="62" t="s">
        <v>3835</v>
      </c>
      <c r="S1278" s="63" t="s">
        <v>2665</v>
      </c>
      <c r="T1278" s="63" t="s">
        <v>1524</v>
      </c>
      <c r="U1278" s="64">
        <v>78600</v>
      </c>
      <c r="V1278" s="64">
        <v>86460</v>
      </c>
      <c r="W1278" s="64">
        <v>78600</v>
      </c>
      <c r="X1278" s="64">
        <v>86460</v>
      </c>
      <c r="Y1278" s="64">
        <v>0</v>
      </c>
      <c r="Z1278" s="64">
        <v>0</v>
      </c>
      <c r="AA1278" s="61">
        <v>44757</v>
      </c>
      <c r="AB1278" s="61">
        <v>44758</v>
      </c>
      <c r="AD1278" s="60">
        <v>0</v>
      </c>
      <c r="AG1278" s="60">
        <v>0</v>
      </c>
      <c r="AJ1278" s="60">
        <v>0</v>
      </c>
      <c r="AQ1278" s="60" t="s">
        <v>3758</v>
      </c>
      <c r="AR1278" s="61">
        <v>44739</v>
      </c>
      <c r="AS1278" s="60">
        <v>6002045514</v>
      </c>
      <c r="AT1278" s="61">
        <v>44739</v>
      </c>
      <c r="AU1278" s="60" t="s">
        <v>3765</v>
      </c>
      <c r="AV1278" s="61">
        <v>44773</v>
      </c>
      <c r="AW1278" s="91">
        <v>44773</v>
      </c>
      <c r="AX1278" s="91">
        <v>44793</v>
      </c>
      <c r="AY1278" s="107">
        <v>78600</v>
      </c>
      <c r="AZ1278" s="107">
        <f>ROUNDDOWN(AY1278+(AY1278*MASTER!$A$2/100),0)</f>
        <v>86460</v>
      </c>
      <c r="BA1278" s="60" t="s">
        <v>318</v>
      </c>
      <c r="BB1278" s="64">
        <v>29000</v>
      </c>
      <c r="BC1278" s="64">
        <v>31900</v>
      </c>
      <c r="BD1278" s="60" t="s">
        <v>3800</v>
      </c>
      <c r="BG1278" s="64">
        <v>0</v>
      </c>
      <c r="BK1278" s="64">
        <v>0</v>
      </c>
      <c r="BS1278" s="64">
        <v>0</v>
      </c>
      <c r="BV1278" s="65">
        <v>86460</v>
      </c>
      <c r="BW1278" s="65">
        <v>31900</v>
      </c>
      <c r="BX1278" s="65">
        <v>44733</v>
      </c>
      <c r="BY1278" s="65">
        <v>54560</v>
      </c>
      <c r="BZ1278" s="81">
        <v>63.104325699745544</v>
      </c>
    </row>
    <row r="1279" spans="1:78" x14ac:dyDescent="0.15">
      <c r="A1279" s="60">
        <v>2</v>
      </c>
      <c r="B1279" s="61">
        <v>44743</v>
      </c>
      <c r="C1279" s="61">
        <v>44773</v>
      </c>
      <c r="D1279" s="61">
        <v>44775</v>
      </c>
      <c r="F1279" s="61" t="s">
        <v>309</v>
      </c>
      <c r="G1279" s="61">
        <v>44753</v>
      </c>
      <c r="H1279" s="61" t="s">
        <v>309</v>
      </c>
      <c r="I1279" s="60" t="s">
        <v>511</v>
      </c>
      <c r="J1279" s="60">
        <v>2</v>
      </c>
      <c r="L1279" s="60">
        <v>0</v>
      </c>
      <c r="M1279" s="61">
        <v>44733</v>
      </c>
      <c r="O1279" s="62" t="s">
        <v>331</v>
      </c>
      <c r="P1279" s="60" t="s">
        <v>26</v>
      </c>
      <c r="Q1279" s="62" t="s">
        <v>138</v>
      </c>
      <c r="R1279" s="62" t="s">
        <v>3836</v>
      </c>
      <c r="S1279" s="63" t="s">
        <v>1049</v>
      </c>
      <c r="T1279" s="63" t="s">
        <v>1524</v>
      </c>
      <c r="U1279" s="64">
        <v>78600</v>
      </c>
      <c r="V1279" s="64">
        <v>86460</v>
      </c>
      <c r="W1279" s="64">
        <v>78600</v>
      </c>
      <c r="X1279" s="64">
        <v>86460</v>
      </c>
      <c r="Y1279" s="64">
        <v>0</v>
      </c>
      <c r="Z1279" s="64">
        <v>0</v>
      </c>
      <c r="AA1279" s="61">
        <v>44749</v>
      </c>
      <c r="AB1279" s="61">
        <v>44750</v>
      </c>
      <c r="AD1279" s="60">
        <v>0</v>
      </c>
      <c r="AG1279" s="60">
        <v>0</v>
      </c>
      <c r="AJ1279" s="60">
        <v>0</v>
      </c>
      <c r="AQ1279" s="60" t="s">
        <v>3758</v>
      </c>
      <c r="AR1279" s="61">
        <v>44739</v>
      </c>
      <c r="AS1279" s="60">
        <v>6002045514</v>
      </c>
      <c r="AT1279" s="61">
        <v>44739</v>
      </c>
      <c r="AU1279" s="60" t="s">
        <v>3765</v>
      </c>
      <c r="AV1279" s="61">
        <v>44773</v>
      </c>
      <c r="AW1279" s="91">
        <v>44773</v>
      </c>
      <c r="AX1279" s="91">
        <v>44793</v>
      </c>
      <c r="AY1279" s="107">
        <v>78600</v>
      </c>
      <c r="AZ1279" s="107">
        <f>ROUNDDOWN(AY1279+(AY1279*MASTER!$A$2/100),0)</f>
        <v>86460</v>
      </c>
      <c r="BA1279" s="60" t="s">
        <v>107</v>
      </c>
      <c r="BC1279" s="64">
        <v>0</v>
      </c>
      <c r="BG1279" s="64">
        <v>0</v>
      </c>
      <c r="BK1279" s="64">
        <v>0</v>
      </c>
      <c r="BS1279" s="64">
        <v>0</v>
      </c>
      <c r="BV1279" s="65">
        <v>86460</v>
      </c>
      <c r="BW1279" s="65">
        <v>0</v>
      </c>
      <c r="BX1279" s="65">
        <v>44733</v>
      </c>
      <c r="BY1279" s="65">
        <v>86460</v>
      </c>
      <c r="BZ1279" s="81">
        <v>100</v>
      </c>
    </row>
    <row r="1280" spans="1:78" x14ac:dyDescent="0.15">
      <c r="A1280" s="60">
        <v>2</v>
      </c>
      <c r="B1280" s="61">
        <v>44743</v>
      </c>
      <c r="C1280" s="61">
        <v>44773</v>
      </c>
      <c r="D1280" s="61">
        <v>44775</v>
      </c>
      <c r="F1280" s="61" t="s">
        <v>309</v>
      </c>
      <c r="G1280" s="61">
        <v>44753</v>
      </c>
      <c r="H1280" s="61" t="s">
        <v>309</v>
      </c>
      <c r="I1280" s="60" t="s">
        <v>511</v>
      </c>
      <c r="J1280" s="60">
        <v>2</v>
      </c>
      <c r="L1280" s="60">
        <v>0</v>
      </c>
      <c r="M1280" s="61">
        <v>44733</v>
      </c>
      <c r="O1280" s="62" t="s">
        <v>331</v>
      </c>
      <c r="P1280" s="60" t="s">
        <v>26</v>
      </c>
      <c r="Q1280" s="62" t="s">
        <v>138</v>
      </c>
      <c r="R1280" s="62" t="s">
        <v>3837</v>
      </c>
      <c r="S1280" s="63" t="s">
        <v>1154</v>
      </c>
      <c r="T1280" s="63" t="s">
        <v>1524</v>
      </c>
      <c r="U1280" s="64">
        <v>78600</v>
      </c>
      <c r="V1280" s="64">
        <v>86460</v>
      </c>
      <c r="W1280" s="64">
        <v>78600</v>
      </c>
      <c r="X1280" s="64">
        <v>86460</v>
      </c>
      <c r="Y1280" s="64">
        <v>0</v>
      </c>
      <c r="Z1280" s="64">
        <v>0</v>
      </c>
      <c r="AA1280" s="61">
        <v>44749</v>
      </c>
      <c r="AB1280" s="61">
        <v>44750</v>
      </c>
      <c r="AD1280" s="60">
        <v>0</v>
      </c>
      <c r="AG1280" s="60">
        <v>0</v>
      </c>
      <c r="AJ1280" s="60">
        <v>0</v>
      </c>
      <c r="AQ1280" s="60" t="s">
        <v>3758</v>
      </c>
      <c r="AR1280" s="61">
        <v>44739</v>
      </c>
      <c r="AS1280" s="60">
        <v>6002045514</v>
      </c>
      <c r="AT1280" s="61">
        <v>44739</v>
      </c>
      <c r="AU1280" s="60" t="s">
        <v>3765</v>
      </c>
      <c r="AV1280" s="61">
        <v>44773</v>
      </c>
      <c r="AW1280" s="91">
        <v>44773</v>
      </c>
      <c r="AX1280" s="91">
        <v>44793</v>
      </c>
      <c r="AY1280" s="107">
        <v>78600</v>
      </c>
      <c r="AZ1280" s="107">
        <f>ROUNDDOWN(AY1280+(AY1280*MASTER!$A$2/100),0)</f>
        <v>86460</v>
      </c>
      <c r="BA1280" s="60" t="s">
        <v>780</v>
      </c>
      <c r="BB1280" s="64">
        <v>40000</v>
      </c>
      <c r="BC1280" s="64">
        <v>44000</v>
      </c>
      <c r="BD1280" s="60" t="s">
        <v>3800</v>
      </c>
      <c r="BG1280" s="64">
        <v>0</v>
      </c>
      <c r="BK1280" s="64">
        <v>0</v>
      </c>
      <c r="BS1280" s="64">
        <v>0</v>
      </c>
      <c r="BV1280" s="65">
        <v>86460</v>
      </c>
      <c r="BW1280" s="65">
        <v>44000</v>
      </c>
      <c r="BX1280" s="65">
        <v>44733</v>
      </c>
      <c r="BY1280" s="65">
        <v>42460</v>
      </c>
      <c r="BZ1280" s="81">
        <v>49.109414758269722</v>
      </c>
    </row>
    <row r="1281" spans="1:78" x14ac:dyDescent="0.15">
      <c r="A1281" s="60">
        <v>2</v>
      </c>
      <c r="B1281" s="61">
        <v>44743</v>
      </c>
      <c r="C1281" s="61">
        <v>44773</v>
      </c>
      <c r="D1281" s="61">
        <v>44775</v>
      </c>
      <c r="F1281" s="61" t="s">
        <v>309</v>
      </c>
      <c r="G1281" s="61">
        <v>44747</v>
      </c>
      <c r="H1281" s="61" t="s">
        <v>309</v>
      </c>
      <c r="I1281" s="60" t="s">
        <v>4276</v>
      </c>
      <c r="J1281" s="60">
        <v>2</v>
      </c>
      <c r="L1281" s="60">
        <v>0</v>
      </c>
      <c r="M1281" s="61">
        <v>44733</v>
      </c>
      <c r="O1281" s="62" t="s">
        <v>331</v>
      </c>
      <c r="P1281" s="60" t="s">
        <v>26</v>
      </c>
      <c r="Q1281" s="62" t="s">
        <v>138</v>
      </c>
      <c r="R1281" s="62" t="s">
        <v>3838</v>
      </c>
      <c r="S1281" s="63" t="s">
        <v>705</v>
      </c>
      <c r="T1281" s="63" t="s">
        <v>1524</v>
      </c>
      <c r="U1281" s="64">
        <v>78600</v>
      </c>
      <c r="V1281" s="64">
        <v>86460</v>
      </c>
      <c r="W1281" s="64">
        <v>78600</v>
      </c>
      <c r="X1281" s="64">
        <v>86460</v>
      </c>
      <c r="Y1281" s="64">
        <v>0</v>
      </c>
      <c r="Z1281" s="64">
        <v>0</v>
      </c>
      <c r="AA1281" s="61">
        <v>44746</v>
      </c>
      <c r="AB1281" s="61">
        <v>44747</v>
      </c>
      <c r="AD1281" s="60">
        <v>0</v>
      </c>
      <c r="AG1281" s="60">
        <v>0</v>
      </c>
      <c r="AJ1281" s="60">
        <v>0</v>
      </c>
      <c r="AQ1281" s="60" t="s">
        <v>3758</v>
      </c>
      <c r="AR1281" s="61">
        <v>44739</v>
      </c>
      <c r="AS1281" s="60">
        <v>6002045514</v>
      </c>
      <c r="AT1281" s="61">
        <v>44739</v>
      </c>
      <c r="AU1281" s="60" t="s">
        <v>3765</v>
      </c>
      <c r="AV1281" s="61">
        <v>44773</v>
      </c>
      <c r="AW1281" s="91">
        <v>44773</v>
      </c>
      <c r="AX1281" s="91">
        <v>44793</v>
      </c>
      <c r="AY1281" s="107">
        <v>78600</v>
      </c>
      <c r="AZ1281" s="107">
        <f>ROUNDDOWN(AY1281+(AY1281*MASTER!$A$2/100),0)</f>
        <v>86460</v>
      </c>
      <c r="BA1281" s="60" t="s">
        <v>317</v>
      </c>
      <c r="BB1281" s="64">
        <v>51000</v>
      </c>
      <c r="BC1281" s="64">
        <v>56100</v>
      </c>
      <c r="BD1281" s="60" t="s">
        <v>3800</v>
      </c>
      <c r="BG1281" s="64">
        <v>0</v>
      </c>
      <c r="BK1281" s="64">
        <v>0</v>
      </c>
      <c r="BS1281" s="64">
        <v>0</v>
      </c>
      <c r="BV1281" s="65">
        <v>86460</v>
      </c>
      <c r="BW1281" s="65">
        <v>56100</v>
      </c>
      <c r="BX1281" s="65">
        <v>44733</v>
      </c>
      <c r="BY1281" s="65">
        <v>30360</v>
      </c>
      <c r="BZ1281" s="81">
        <v>35.114503816793892</v>
      </c>
    </row>
    <row r="1282" spans="1:78" x14ac:dyDescent="0.15">
      <c r="A1282" s="60">
        <v>2</v>
      </c>
      <c r="B1282" s="61">
        <v>44743</v>
      </c>
      <c r="C1282" s="61">
        <v>44773</v>
      </c>
      <c r="D1282" s="61">
        <v>44775</v>
      </c>
      <c r="F1282" s="61" t="s">
        <v>309</v>
      </c>
      <c r="G1282" s="61">
        <v>44747</v>
      </c>
      <c r="H1282" s="61" t="s">
        <v>309</v>
      </c>
      <c r="I1282" s="60" t="s">
        <v>774</v>
      </c>
      <c r="J1282" s="60">
        <v>2</v>
      </c>
      <c r="L1282" s="60">
        <v>0</v>
      </c>
      <c r="M1282" s="61">
        <v>44733</v>
      </c>
      <c r="O1282" s="62" t="s">
        <v>331</v>
      </c>
      <c r="P1282" s="60" t="s">
        <v>26</v>
      </c>
      <c r="Q1282" s="62" t="s">
        <v>138</v>
      </c>
      <c r="R1282" s="62" t="s">
        <v>3839</v>
      </c>
      <c r="S1282" s="63" t="s">
        <v>1072</v>
      </c>
      <c r="T1282" s="63" t="s">
        <v>1524</v>
      </c>
      <c r="U1282" s="64">
        <v>78600</v>
      </c>
      <c r="V1282" s="64">
        <v>86460</v>
      </c>
      <c r="W1282" s="64">
        <v>78600</v>
      </c>
      <c r="X1282" s="64">
        <v>86460</v>
      </c>
      <c r="Y1282" s="64">
        <v>0</v>
      </c>
      <c r="Z1282" s="64">
        <v>0</v>
      </c>
      <c r="AA1282" s="61">
        <v>44746</v>
      </c>
      <c r="AB1282" s="61">
        <v>44747</v>
      </c>
      <c r="AD1282" s="60">
        <v>0</v>
      </c>
      <c r="AG1282" s="60">
        <v>0</v>
      </c>
      <c r="AJ1282" s="60">
        <v>0</v>
      </c>
      <c r="AQ1282" s="60" t="s">
        <v>3758</v>
      </c>
      <c r="AR1282" s="61">
        <v>44739</v>
      </c>
      <c r="AS1282" s="60">
        <v>6002045514</v>
      </c>
      <c r="AT1282" s="61">
        <v>44739</v>
      </c>
      <c r="AU1282" s="60" t="s">
        <v>3765</v>
      </c>
      <c r="AV1282" s="61">
        <v>44773</v>
      </c>
      <c r="AW1282" s="91">
        <v>44773</v>
      </c>
      <c r="AX1282" s="91">
        <v>44793</v>
      </c>
      <c r="AY1282" s="107">
        <v>78600</v>
      </c>
      <c r="AZ1282" s="107">
        <f>ROUNDDOWN(AY1282+(AY1282*MASTER!$A$2/100),0)</f>
        <v>86460</v>
      </c>
      <c r="BA1282" s="60" t="s">
        <v>317</v>
      </c>
      <c r="BB1282" s="64">
        <v>51000</v>
      </c>
      <c r="BC1282" s="64">
        <v>56100</v>
      </c>
      <c r="BD1282" s="60" t="s">
        <v>3800</v>
      </c>
      <c r="BG1282" s="64">
        <v>0</v>
      </c>
      <c r="BK1282" s="64">
        <v>0</v>
      </c>
      <c r="BS1282" s="64">
        <v>0</v>
      </c>
      <c r="BV1282" s="65">
        <v>86460</v>
      </c>
      <c r="BW1282" s="65">
        <v>56100</v>
      </c>
      <c r="BX1282" s="65">
        <v>44733</v>
      </c>
      <c r="BY1282" s="65">
        <v>30360</v>
      </c>
      <c r="BZ1282" s="81">
        <v>35.114503816793892</v>
      </c>
    </row>
    <row r="1283" spans="1:78" x14ac:dyDescent="0.15">
      <c r="A1283" s="60">
        <v>2</v>
      </c>
      <c r="B1283" s="61">
        <v>44743</v>
      </c>
      <c r="C1283" s="61">
        <v>44773</v>
      </c>
      <c r="D1283" s="61">
        <v>44775</v>
      </c>
      <c r="F1283" s="61" t="s">
        <v>309</v>
      </c>
      <c r="G1283" s="61">
        <v>44747</v>
      </c>
      <c r="H1283" s="61" t="s">
        <v>309</v>
      </c>
      <c r="I1283" s="60" t="s">
        <v>4277</v>
      </c>
      <c r="J1283" s="60">
        <v>2</v>
      </c>
      <c r="L1283" s="60">
        <v>0</v>
      </c>
      <c r="M1283" s="61">
        <v>44733</v>
      </c>
      <c r="O1283" s="62" t="s">
        <v>331</v>
      </c>
      <c r="P1283" s="60" t="s">
        <v>26</v>
      </c>
      <c r="Q1283" s="62" t="s">
        <v>138</v>
      </c>
      <c r="R1283" s="62" t="s">
        <v>3840</v>
      </c>
      <c r="S1283" s="63" t="s">
        <v>702</v>
      </c>
      <c r="T1283" s="63" t="s">
        <v>1524</v>
      </c>
      <c r="U1283" s="64">
        <v>78600</v>
      </c>
      <c r="V1283" s="64">
        <v>86460</v>
      </c>
      <c r="W1283" s="64">
        <v>78600</v>
      </c>
      <c r="X1283" s="64">
        <v>86460</v>
      </c>
      <c r="Y1283" s="64">
        <v>0</v>
      </c>
      <c r="Z1283" s="64">
        <v>0</v>
      </c>
      <c r="AA1283" s="61">
        <v>44746</v>
      </c>
      <c r="AB1283" s="61">
        <v>44747</v>
      </c>
      <c r="AD1283" s="60">
        <v>0</v>
      </c>
      <c r="AG1283" s="60">
        <v>0</v>
      </c>
      <c r="AJ1283" s="60">
        <v>0</v>
      </c>
      <c r="AQ1283" s="60" t="s">
        <v>3758</v>
      </c>
      <c r="AR1283" s="61">
        <v>44739</v>
      </c>
      <c r="AS1283" s="60">
        <v>6002045514</v>
      </c>
      <c r="AT1283" s="61">
        <v>44739</v>
      </c>
      <c r="AU1283" s="60" t="s">
        <v>3765</v>
      </c>
      <c r="AV1283" s="61">
        <v>44773</v>
      </c>
      <c r="AW1283" s="91">
        <v>44773</v>
      </c>
      <c r="AX1283" s="91">
        <v>44793</v>
      </c>
      <c r="AY1283" s="107">
        <v>78600</v>
      </c>
      <c r="AZ1283" s="107">
        <f>ROUNDDOWN(AY1283+(AY1283*MASTER!$A$2/100),0)</f>
        <v>86460</v>
      </c>
      <c r="BA1283" s="60" t="s">
        <v>317</v>
      </c>
      <c r="BB1283" s="64">
        <v>49000</v>
      </c>
      <c r="BC1283" s="64">
        <v>53900</v>
      </c>
      <c r="BD1283" s="60" t="s">
        <v>3800</v>
      </c>
      <c r="BG1283" s="64">
        <v>0</v>
      </c>
      <c r="BK1283" s="64">
        <v>0</v>
      </c>
      <c r="BS1283" s="64">
        <v>0</v>
      </c>
      <c r="BV1283" s="65">
        <v>86460</v>
      </c>
      <c r="BW1283" s="65">
        <v>53900</v>
      </c>
      <c r="BX1283" s="65">
        <v>44733</v>
      </c>
      <c r="BY1283" s="65">
        <v>32560</v>
      </c>
      <c r="BZ1283" s="81">
        <v>37.659033078880405</v>
      </c>
    </row>
    <row r="1284" spans="1:78" x14ac:dyDescent="0.15">
      <c r="A1284" s="60">
        <v>2</v>
      </c>
      <c r="B1284" s="61">
        <v>44743</v>
      </c>
      <c r="C1284" s="61">
        <v>44773</v>
      </c>
      <c r="D1284" s="61">
        <v>44775</v>
      </c>
      <c r="F1284" s="61" t="s">
        <v>309</v>
      </c>
      <c r="G1284" s="61">
        <v>44746</v>
      </c>
      <c r="H1284" s="61" t="s">
        <v>309</v>
      </c>
      <c r="I1284" s="60" t="s">
        <v>511</v>
      </c>
      <c r="J1284" s="60">
        <v>2</v>
      </c>
      <c r="L1284" s="60">
        <v>0</v>
      </c>
      <c r="M1284" s="61">
        <v>44733</v>
      </c>
      <c r="O1284" s="62" t="s">
        <v>331</v>
      </c>
      <c r="P1284" s="60" t="s">
        <v>26</v>
      </c>
      <c r="Q1284" s="62" t="s">
        <v>138</v>
      </c>
      <c r="R1284" s="62" t="s">
        <v>3841</v>
      </c>
      <c r="S1284" s="63" t="s">
        <v>1166</v>
      </c>
      <c r="T1284" s="63" t="s">
        <v>1524</v>
      </c>
      <c r="U1284" s="64">
        <v>78600</v>
      </c>
      <c r="V1284" s="64">
        <v>86460</v>
      </c>
      <c r="W1284" s="64">
        <v>78600</v>
      </c>
      <c r="X1284" s="64">
        <v>86460</v>
      </c>
      <c r="Y1284" s="64">
        <v>0</v>
      </c>
      <c r="Z1284" s="64">
        <v>0</v>
      </c>
      <c r="AA1284" s="61">
        <v>44745</v>
      </c>
      <c r="AB1284" s="61">
        <v>44745</v>
      </c>
      <c r="AD1284" s="60">
        <v>0</v>
      </c>
      <c r="AG1284" s="60">
        <v>0</v>
      </c>
      <c r="AJ1284" s="60">
        <v>0</v>
      </c>
      <c r="AQ1284" s="60" t="s">
        <v>3758</v>
      </c>
      <c r="AR1284" s="61">
        <v>44739</v>
      </c>
      <c r="AS1284" s="60">
        <v>6002045516</v>
      </c>
      <c r="AT1284" s="61">
        <v>44739</v>
      </c>
      <c r="AU1284" s="60" t="s">
        <v>3766</v>
      </c>
      <c r="AV1284" s="61">
        <v>44773</v>
      </c>
      <c r="AW1284" s="91">
        <v>44773</v>
      </c>
      <c r="AX1284" s="91">
        <v>44793</v>
      </c>
      <c r="AY1284" s="107">
        <v>78600</v>
      </c>
      <c r="AZ1284" s="107">
        <f>ROUNDDOWN(AY1284+(AY1284*MASTER!$A$2/100),0)</f>
        <v>86460</v>
      </c>
      <c r="BA1284" s="60" t="s">
        <v>765</v>
      </c>
      <c r="BC1284" s="64">
        <v>0</v>
      </c>
      <c r="BG1284" s="64">
        <v>0</v>
      </c>
      <c r="BK1284" s="64">
        <v>0</v>
      </c>
      <c r="BS1284" s="64">
        <v>0</v>
      </c>
      <c r="BV1284" s="65">
        <v>86460</v>
      </c>
      <c r="BW1284" s="65">
        <v>0</v>
      </c>
      <c r="BX1284" s="65">
        <v>44733</v>
      </c>
      <c r="BY1284" s="65">
        <v>86460</v>
      </c>
      <c r="BZ1284" s="81">
        <v>100</v>
      </c>
    </row>
    <row r="1285" spans="1:78" x14ac:dyDescent="0.15">
      <c r="A1285" s="60">
        <v>2</v>
      </c>
      <c r="B1285" s="61">
        <v>44743</v>
      </c>
      <c r="C1285" s="61">
        <v>44773</v>
      </c>
      <c r="D1285" s="61">
        <v>44775</v>
      </c>
      <c r="F1285" s="61" t="s">
        <v>309</v>
      </c>
      <c r="G1285" s="61">
        <v>44757</v>
      </c>
      <c r="H1285" s="61" t="s">
        <v>309</v>
      </c>
      <c r="I1285" s="60" t="s">
        <v>511</v>
      </c>
      <c r="J1285" s="60">
        <v>2</v>
      </c>
      <c r="L1285" s="60">
        <v>0</v>
      </c>
      <c r="M1285" s="61">
        <v>44733</v>
      </c>
      <c r="O1285" s="62" t="s">
        <v>331</v>
      </c>
      <c r="P1285" s="60" t="s">
        <v>26</v>
      </c>
      <c r="Q1285" s="62" t="s">
        <v>138</v>
      </c>
      <c r="R1285" s="62" t="s">
        <v>3842</v>
      </c>
      <c r="S1285" s="63" t="s">
        <v>557</v>
      </c>
      <c r="T1285" s="63" t="s">
        <v>1524</v>
      </c>
      <c r="U1285" s="64">
        <v>78600</v>
      </c>
      <c r="V1285" s="64">
        <v>86460</v>
      </c>
      <c r="W1285" s="64">
        <v>78600</v>
      </c>
      <c r="X1285" s="64">
        <v>86460</v>
      </c>
      <c r="Y1285" s="64">
        <v>0</v>
      </c>
      <c r="Z1285" s="64">
        <v>0</v>
      </c>
      <c r="AA1285" s="61">
        <v>44756</v>
      </c>
      <c r="AB1285" s="61">
        <v>44757</v>
      </c>
      <c r="AD1285" s="60">
        <v>0</v>
      </c>
      <c r="AG1285" s="60">
        <v>0</v>
      </c>
      <c r="AJ1285" s="60">
        <v>0</v>
      </c>
      <c r="AQ1285" s="60" t="s">
        <v>3758</v>
      </c>
      <c r="AR1285" s="61">
        <v>44739</v>
      </c>
      <c r="AS1285" s="60">
        <v>6002045516</v>
      </c>
      <c r="AT1285" s="61">
        <v>44739</v>
      </c>
      <c r="AU1285" s="60" t="s">
        <v>3766</v>
      </c>
      <c r="AV1285" s="61">
        <v>44773</v>
      </c>
      <c r="AW1285" s="91">
        <v>44773</v>
      </c>
      <c r="AX1285" s="91">
        <v>44793</v>
      </c>
      <c r="AY1285" s="107">
        <v>78600</v>
      </c>
      <c r="AZ1285" s="107">
        <f>ROUNDDOWN(AY1285+(AY1285*MASTER!$A$2/100),0)</f>
        <v>86460</v>
      </c>
      <c r="BA1285" s="60" t="s">
        <v>765</v>
      </c>
      <c r="BC1285" s="64">
        <v>0</v>
      </c>
      <c r="BG1285" s="64">
        <v>0</v>
      </c>
      <c r="BK1285" s="64">
        <v>0</v>
      </c>
      <c r="BS1285" s="64">
        <v>0</v>
      </c>
      <c r="BV1285" s="65">
        <v>86460</v>
      </c>
      <c r="BW1285" s="65">
        <v>0</v>
      </c>
      <c r="BX1285" s="65">
        <v>44733</v>
      </c>
      <c r="BY1285" s="65">
        <v>86460</v>
      </c>
      <c r="BZ1285" s="81">
        <v>100</v>
      </c>
    </row>
    <row r="1286" spans="1:78" x14ac:dyDescent="0.15">
      <c r="A1286" s="60">
        <v>1</v>
      </c>
      <c r="B1286" s="61">
        <v>44743</v>
      </c>
      <c r="C1286" s="61">
        <v>44773</v>
      </c>
      <c r="F1286" s="61" t="s">
        <v>309</v>
      </c>
      <c r="G1286" s="61">
        <v>44757</v>
      </c>
      <c r="H1286" s="61" t="s">
        <v>309</v>
      </c>
      <c r="J1286" s="60">
        <v>2</v>
      </c>
      <c r="L1286" s="60">
        <v>0</v>
      </c>
      <c r="M1286" s="61">
        <v>44733</v>
      </c>
      <c r="O1286" s="62" t="s">
        <v>331</v>
      </c>
      <c r="P1286" s="60" t="s">
        <v>26</v>
      </c>
      <c r="Q1286" s="62" t="s">
        <v>138</v>
      </c>
      <c r="R1286" s="62" t="s">
        <v>3843</v>
      </c>
      <c r="S1286" s="63" t="s">
        <v>1073</v>
      </c>
      <c r="T1286" s="63" t="s">
        <v>1524</v>
      </c>
      <c r="U1286" s="64">
        <v>78600</v>
      </c>
      <c r="V1286" s="64">
        <v>86460</v>
      </c>
      <c r="W1286" s="64">
        <v>78600</v>
      </c>
      <c r="X1286" s="64">
        <v>86460</v>
      </c>
      <c r="Y1286" s="64">
        <v>0</v>
      </c>
      <c r="Z1286" s="64">
        <v>0</v>
      </c>
      <c r="AA1286" s="61" t="s">
        <v>3800</v>
      </c>
      <c r="AD1286" s="60">
        <v>0</v>
      </c>
      <c r="AG1286" s="60">
        <v>0</v>
      </c>
      <c r="AJ1286" s="60">
        <v>0</v>
      </c>
      <c r="AQ1286" s="60" t="s">
        <v>3758</v>
      </c>
      <c r="AR1286" s="61">
        <v>44739</v>
      </c>
      <c r="AS1286" s="60">
        <v>6002045516</v>
      </c>
      <c r="AT1286" s="61">
        <v>44739</v>
      </c>
      <c r="AU1286" s="60" t="s">
        <v>3766</v>
      </c>
      <c r="AV1286" s="61">
        <v>44773</v>
      </c>
      <c r="AW1286" s="91">
        <v>44773</v>
      </c>
      <c r="AX1286" s="91">
        <v>44793</v>
      </c>
      <c r="AY1286" s="107">
        <v>78600</v>
      </c>
      <c r="AZ1286" s="107">
        <f>ROUNDDOWN(AY1286+(AY1286*MASTER!$A$2/100),0)</f>
        <v>86460</v>
      </c>
      <c r="BC1286" s="64">
        <v>0</v>
      </c>
      <c r="BG1286" s="64">
        <v>0</v>
      </c>
      <c r="BK1286" s="64">
        <v>0</v>
      </c>
      <c r="BS1286" s="64">
        <v>0</v>
      </c>
      <c r="BV1286" s="65">
        <v>86460</v>
      </c>
      <c r="BW1286" s="65">
        <v>0</v>
      </c>
      <c r="BX1286" s="65">
        <v>44733</v>
      </c>
      <c r="BY1286" s="65">
        <v>86460</v>
      </c>
      <c r="BZ1286" s="81">
        <v>100</v>
      </c>
    </row>
    <row r="1287" spans="1:78" x14ac:dyDescent="0.15">
      <c r="A1287" s="60">
        <v>1</v>
      </c>
      <c r="B1287" s="61">
        <v>44743</v>
      </c>
      <c r="C1287" s="61">
        <v>44773</v>
      </c>
      <c r="D1287" s="61">
        <v>44775</v>
      </c>
      <c r="F1287" s="61" t="s">
        <v>309</v>
      </c>
      <c r="G1287" s="61">
        <v>44761</v>
      </c>
      <c r="H1287" s="61" t="s">
        <v>309</v>
      </c>
      <c r="I1287" s="60" t="s">
        <v>511</v>
      </c>
      <c r="J1287" s="60">
        <v>2</v>
      </c>
      <c r="L1287" s="60">
        <v>0</v>
      </c>
      <c r="M1287" s="61">
        <v>44733</v>
      </c>
      <c r="O1287" s="62" t="s">
        <v>331</v>
      </c>
      <c r="P1287" s="60" t="s">
        <v>26</v>
      </c>
      <c r="Q1287" s="62" t="s">
        <v>138</v>
      </c>
      <c r="R1287" s="62" t="s">
        <v>3844</v>
      </c>
      <c r="S1287" s="63" t="s">
        <v>1099</v>
      </c>
      <c r="T1287" s="63" t="s">
        <v>1524</v>
      </c>
      <c r="U1287" s="64">
        <v>78600</v>
      </c>
      <c r="V1287" s="64">
        <v>86460</v>
      </c>
      <c r="W1287" s="64">
        <v>78600</v>
      </c>
      <c r="X1287" s="64">
        <v>86460</v>
      </c>
      <c r="Y1287" s="64">
        <v>0</v>
      </c>
      <c r="Z1287" s="64">
        <v>0</v>
      </c>
      <c r="AA1287" s="61">
        <v>44757</v>
      </c>
      <c r="AB1287" s="61">
        <v>44758</v>
      </c>
      <c r="AD1287" s="60">
        <v>0</v>
      </c>
      <c r="AG1287" s="60">
        <v>0</v>
      </c>
      <c r="AJ1287" s="60">
        <v>0</v>
      </c>
      <c r="AQ1287" s="60" t="s">
        <v>3758</v>
      </c>
      <c r="AR1287" s="61">
        <v>44739</v>
      </c>
      <c r="AS1287" s="60">
        <v>6002045516</v>
      </c>
      <c r="AT1287" s="61">
        <v>44739</v>
      </c>
      <c r="AU1287" s="60" t="s">
        <v>3766</v>
      </c>
      <c r="AV1287" s="61">
        <v>44773</v>
      </c>
      <c r="AW1287" s="91">
        <v>44773</v>
      </c>
      <c r="AX1287" s="91">
        <v>44793</v>
      </c>
      <c r="AY1287" s="107">
        <v>78600</v>
      </c>
      <c r="AZ1287" s="107">
        <f>ROUNDDOWN(AY1287+(AY1287*MASTER!$A$2/100),0)</f>
        <v>86460</v>
      </c>
      <c r="BA1287" s="60" t="s">
        <v>780</v>
      </c>
      <c r="BB1287" s="64">
        <v>21000</v>
      </c>
      <c r="BC1287" s="64">
        <v>23100</v>
      </c>
      <c r="BD1287" s="60" t="s">
        <v>3800</v>
      </c>
      <c r="BG1287" s="64">
        <v>0</v>
      </c>
      <c r="BK1287" s="64">
        <v>0</v>
      </c>
      <c r="BS1287" s="64">
        <v>0</v>
      </c>
      <c r="BV1287" s="65">
        <v>86460</v>
      </c>
      <c r="BW1287" s="65">
        <v>23100</v>
      </c>
      <c r="BX1287" s="65">
        <v>44733</v>
      </c>
      <c r="BY1287" s="65">
        <v>63360</v>
      </c>
      <c r="BZ1287" s="81">
        <v>73.282442748091597</v>
      </c>
    </row>
    <row r="1288" spans="1:78" x14ac:dyDescent="0.15">
      <c r="A1288" s="60">
        <v>2</v>
      </c>
      <c r="B1288" s="61">
        <v>44743</v>
      </c>
      <c r="C1288" s="61">
        <v>44773</v>
      </c>
      <c r="D1288" s="61">
        <v>44780</v>
      </c>
      <c r="F1288" s="61" t="s">
        <v>309</v>
      </c>
      <c r="G1288" s="61">
        <v>44757</v>
      </c>
      <c r="H1288" s="61" t="s">
        <v>309</v>
      </c>
      <c r="I1288" s="60" t="s">
        <v>511</v>
      </c>
      <c r="J1288" s="60">
        <v>2</v>
      </c>
      <c r="L1288" s="60">
        <v>0</v>
      </c>
      <c r="M1288" s="61">
        <v>44733</v>
      </c>
      <c r="O1288" s="62" t="s">
        <v>331</v>
      </c>
      <c r="P1288" s="60" t="s">
        <v>26</v>
      </c>
      <c r="Q1288" s="62" t="s">
        <v>138</v>
      </c>
      <c r="R1288" s="62" t="s">
        <v>3845</v>
      </c>
      <c r="S1288" s="63" t="s">
        <v>1067</v>
      </c>
      <c r="T1288" s="63" t="s">
        <v>1524</v>
      </c>
      <c r="U1288" s="64">
        <v>78600</v>
      </c>
      <c r="V1288" s="64">
        <v>86460</v>
      </c>
      <c r="W1288" s="64">
        <v>78600</v>
      </c>
      <c r="X1288" s="64">
        <v>86460</v>
      </c>
      <c r="Y1288" s="64">
        <v>0</v>
      </c>
      <c r="Z1288" s="64">
        <v>0</v>
      </c>
      <c r="AA1288" s="61">
        <v>44747</v>
      </c>
      <c r="AB1288" s="61">
        <v>44748</v>
      </c>
      <c r="AD1288" s="60">
        <v>0</v>
      </c>
      <c r="AG1288" s="60">
        <v>0</v>
      </c>
      <c r="AJ1288" s="60">
        <v>0</v>
      </c>
      <c r="AQ1288" s="60" t="s">
        <v>3758</v>
      </c>
      <c r="AR1288" s="61">
        <v>44739</v>
      </c>
      <c r="AS1288" s="60">
        <v>6002045516</v>
      </c>
      <c r="AT1288" s="61">
        <v>44739</v>
      </c>
      <c r="AU1288" s="60" t="s">
        <v>3766</v>
      </c>
      <c r="AV1288" s="61">
        <v>44773</v>
      </c>
      <c r="AW1288" s="91">
        <v>44773</v>
      </c>
      <c r="AX1288" s="91">
        <v>44793</v>
      </c>
      <c r="AY1288" s="107">
        <v>78600</v>
      </c>
      <c r="AZ1288" s="107">
        <f>ROUNDDOWN(AY1288+(AY1288*MASTER!$A$2/100),0)</f>
        <v>86460</v>
      </c>
      <c r="BA1288" s="60" t="s">
        <v>319</v>
      </c>
      <c r="BB1288" s="64">
        <v>23000</v>
      </c>
      <c r="BC1288" s="64">
        <v>25300</v>
      </c>
      <c r="BD1288" s="60" t="s">
        <v>3800</v>
      </c>
      <c r="BG1288" s="64">
        <v>0</v>
      </c>
      <c r="BK1288" s="64">
        <v>0</v>
      </c>
      <c r="BS1288" s="64">
        <v>0</v>
      </c>
      <c r="BV1288" s="65">
        <v>86460</v>
      </c>
      <c r="BW1288" s="65">
        <v>25300</v>
      </c>
      <c r="BX1288" s="65">
        <v>44733</v>
      </c>
      <c r="BY1288" s="65">
        <v>61160</v>
      </c>
      <c r="BZ1288" s="81">
        <v>70.737913486005084</v>
      </c>
    </row>
    <row r="1289" spans="1:78" x14ac:dyDescent="0.15">
      <c r="A1289" s="60">
        <v>2</v>
      </c>
      <c r="B1289" s="61">
        <v>44743</v>
      </c>
      <c r="C1289" s="61">
        <v>44773</v>
      </c>
      <c r="D1289" s="61">
        <v>44780</v>
      </c>
      <c r="F1289" s="61" t="s">
        <v>309</v>
      </c>
      <c r="G1289" s="61">
        <v>44757</v>
      </c>
      <c r="H1289" s="61" t="s">
        <v>309</v>
      </c>
      <c r="I1289" s="60" t="s">
        <v>2495</v>
      </c>
      <c r="J1289" s="60">
        <v>2</v>
      </c>
      <c r="L1289" s="60">
        <v>0</v>
      </c>
      <c r="M1289" s="61">
        <v>44733</v>
      </c>
      <c r="O1289" s="62" t="s">
        <v>331</v>
      </c>
      <c r="P1289" s="60" t="s">
        <v>26</v>
      </c>
      <c r="Q1289" s="62" t="s">
        <v>138</v>
      </c>
      <c r="R1289" s="62" t="s">
        <v>3846</v>
      </c>
      <c r="S1289" s="63" t="s">
        <v>850</v>
      </c>
      <c r="T1289" s="63" t="s">
        <v>1524</v>
      </c>
      <c r="U1289" s="64">
        <v>78600</v>
      </c>
      <c r="V1289" s="64">
        <v>86460</v>
      </c>
      <c r="W1289" s="64">
        <v>78600</v>
      </c>
      <c r="X1289" s="64">
        <v>86460</v>
      </c>
      <c r="Y1289" s="64">
        <v>0</v>
      </c>
      <c r="Z1289" s="64">
        <v>0</v>
      </c>
      <c r="AA1289" s="61">
        <v>44747</v>
      </c>
      <c r="AB1289" s="61">
        <v>44748</v>
      </c>
      <c r="AD1289" s="60">
        <v>0</v>
      </c>
      <c r="AG1289" s="60">
        <v>0</v>
      </c>
      <c r="AJ1289" s="60">
        <v>0</v>
      </c>
      <c r="AQ1289" s="60" t="s">
        <v>3758</v>
      </c>
      <c r="AR1289" s="61">
        <v>44739</v>
      </c>
      <c r="AS1289" s="60">
        <v>6002045516</v>
      </c>
      <c r="AT1289" s="61">
        <v>44739</v>
      </c>
      <c r="AU1289" s="60" t="s">
        <v>3766</v>
      </c>
      <c r="AV1289" s="61">
        <v>44773</v>
      </c>
      <c r="AW1289" s="91">
        <v>44773</v>
      </c>
      <c r="AX1289" s="91">
        <v>44793</v>
      </c>
      <c r="AY1289" s="107">
        <v>78600</v>
      </c>
      <c r="AZ1289" s="107">
        <f>ROUNDDOWN(AY1289+(AY1289*MASTER!$A$2/100),0)</f>
        <v>86460</v>
      </c>
      <c r="BA1289" s="60" t="s">
        <v>319</v>
      </c>
      <c r="BB1289" s="64">
        <v>23000</v>
      </c>
      <c r="BC1289" s="64">
        <v>25300</v>
      </c>
      <c r="BD1289" s="60" t="s">
        <v>3800</v>
      </c>
      <c r="BG1289" s="64">
        <v>0</v>
      </c>
      <c r="BK1289" s="64">
        <v>0</v>
      </c>
      <c r="BS1289" s="64">
        <v>0</v>
      </c>
      <c r="BV1289" s="65">
        <v>86460</v>
      </c>
      <c r="BW1289" s="65">
        <v>25300</v>
      </c>
      <c r="BX1289" s="65">
        <v>44733</v>
      </c>
      <c r="BY1289" s="65">
        <v>61160</v>
      </c>
      <c r="BZ1289" s="81">
        <v>70.737913486005084</v>
      </c>
    </row>
    <row r="1290" spans="1:78" x14ac:dyDescent="0.15">
      <c r="A1290" s="60">
        <v>2</v>
      </c>
      <c r="B1290" s="61">
        <v>44743</v>
      </c>
      <c r="C1290" s="61">
        <v>44773</v>
      </c>
      <c r="D1290" s="61">
        <v>44780</v>
      </c>
      <c r="F1290" s="61" t="s">
        <v>309</v>
      </c>
      <c r="G1290" s="61">
        <v>44757</v>
      </c>
      <c r="H1290" s="61" t="s">
        <v>309</v>
      </c>
      <c r="I1290" s="60" t="s">
        <v>511</v>
      </c>
      <c r="J1290" s="60">
        <v>2</v>
      </c>
      <c r="L1290" s="60">
        <v>0</v>
      </c>
      <c r="M1290" s="61">
        <v>44733</v>
      </c>
      <c r="O1290" s="62" t="s">
        <v>331</v>
      </c>
      <c r="P1290" s="60" t="s">
        <v>26</v>
      </c>
      <c r="Q1290" s="62" t="s">
        <v>138</v>
      </c>
      <c r="R1290" s="62" t="s">
        <v>3847</v>
      </c>
      <c r="S1290" s="63" t="s">
        <v>1405</v>
      </c>
      <c r="T1290" s="63" t="s">
        <v>1524</v>
      </c>
      <c r="U1290" s="64">
        <v>78600</v>
      </c>
      <c r="V1290" s="64">
        <v>86460</v>
      </c>
      <c r="W1290" s="64">
        <v>78600</v>
      </c>
      <c r="X1290" s="64">
        <v>86460</v>
      </c>
      <c r="Y1290" s="64">
        <v>0</v>
      </c>
      <c r="Z1290" s="64">
        <v>0</v>
      </c>
      <c r="AA1290" s="61">
        <v>44747</v>
      </c>
      <c r="AB1290" s="61">
        <v>44748</v>
      </c>
      <c r="AD1290" s="60">
        <v>0</v>
      </c>
      <c r="AG1290" s="60">
        <v>0</v>
      </c>
      <c r="AJ1290" s="60">
        <v>0</v>
      </c>
      <c r="AQ1290" s="60" t="s">
        <v>3758</v>
      </c>
      <c r="AR1290" s="61">
        <v>44739</v>
      </c>
      <c r="AS1290" s="60">
        <v>6002045516</v>
      </c>
      <c r="AT1290" s="61">
        <v>44739</v>
      </c>
      <c r="AU1290" s="60" t="s">
        <v>3766</v>
      </c>
      <c r="AV1290" s="61">
        <v>44773</v>
      </c>
      <c r="AW1290" s="91">
        <v>44773</v>
      </c>
      <c r="AX1290" s="91">
        <v>44793</v>
      </c>
      <c r="AY1290" s="107">
        <v>78600</v>
      </c>
      <c r="AZ1290" s="107">
        <f>ROUNDDOWN(AY1290+(AY1290*MASTER!$A$2/100),0)</f>
        <v>86460</v>
      </c>
      <c r="BA1290" s="60" t="s">
        <v>319</v>
      </c>
      <c r="BB1290" s="64">
        <v>26000</v>
      </c>
      <c r="BC1290" s="64">
        <v>28600</v>
      </c>
      <c r="BD1290" s="60" t="s">
        <v>3800</v>
      </c>
      <c r="BG1290" s="64">
        <v>0</v>
      </c>
      <c r="BK1290" s="64">
        <v>0</v>
      </c>
      <c r="BS1290" s="64">
        <v>0</v>
      </c>
      <c r="BV1290" s="65">
        <v>86460</v>
      </c>
      <c r="BW1290" s="65">
        <v>28600</v>
      </c>
      <c r="BX1290" s="65">
        <v>44733</v>
      </c>
      <c r="BY1290" s="65">
        <v>57860</v>
      </c>
      <c r="BZ1290" s="81">
        <v>66.921119592875328</v>
      </c>
    </row>
    <row r="1291" spans="1:78" x14ac:dyDescent="0.15">
      <c r="A1291" s="60">
        <v>2</v>
      </c>
      <c r="B1291" s="61">
        <v>44743</v>
      </c>
      <c r="C1291" s="61">
        <v>44773</v>
      </c>
      <c r="D1291" s="61">
        <v>44780</v>
      </c>
      <c r="F1291" s="61" t="s">
        <v>309</v>
      </c>
      <c r="G1291" s="61">
        <v>44757</v>
      </c>
      <c r="H1291" s="61" t="s">
        <v>309</v>
      </c>
      <c r="I1291" s="60" t="s">
        <v>2495</v>
      </c>
      <c r="J1291" s="60">
        <v>2</v>
      </c>
      <c r="L1291" s="60">
        <v>0</v>
      </c>
      <c r="M1291" s="61">
        <v>44733</v>
      </c>
      <c r="O1291" s="62" t="s">
        <v>331</v>
      </c>
      <c r="P1291" s="60" t="s">
        <v>26</v>
      </c>
      <c r="Q1291" s="62" t="s">
        <v>138</v>
      </c>
      <c r="R1291" s="62" t="s">
        <v>3848</v>
      </c>
      <c r="S1291" s="63" t="s">
        <v>846</v>
      </c>
      <c r="T1291" s="63" t="s">
        <v>1524</v>
      </c>
      <c r="U1291" s="64">
        <v>78600</v>
      </c>
      <c r="V1291" s="64">
        <v>86460</v>
      </c>
      <c r="W1291" s="64">
        <v>78600</v>
      </c>
      <c r="X1291" s="64">
        <v>86460</v>
      </c>
      <c r="Y1291" s="64">
        <v>0</v>
      </c>
      <c r="Z1291" s="64">
        <v>0</v>
      </c>
      <c r="AA1291" s="61">
        <v>44746</v>
      </c>
      <c r="AB1291" s="61">
        <v>44747</v>
      </c>
      <c r="AD1291" s="60">
        <v>0</v>
      </c>
      <c r="AG1291" s="60">
        <v>0</v>
      </c>
      <c r="AJ1291" s="60">
        <v>0</v>
      </c>
      <c r="AQ1291" s="60" t="s">
        <v>3758</v>
      </c>
      <c r="AR1291" s="61">
        <v>44739</v>
      </c>
      <c r="AS1291" s="60">
        <v>6002045516</v>
      </c>
      <c r="AT1291" s="61">
        <v>44739</v>
      </c>
      <c r="AU1291" s="60" t="s">
        <v>3766</v>
      </c>
      <c r="AV1291" s="61">
        <v>44773</v>
      </c>
      <c r="AW1291" s="91">
        <v>44773</v>
      </c>
      <c r="AX1291" s="91">
        <v>44793</v>
      </c>
      <c r="AY1291" s="107">
        <v>78600</v>
      </c>
      <c r="AZ1291" s="107">
        <f>ROUNDDOWN(AY1291+(AY1291*MASTER!$A$2/100),0)</f>
        <v>86460</v>
      </c>
      <c r="BA1291" s="60" t="s">
        <v>319</v>
      </c>
      <c r="BB1291" s="64">
        <v>36000</v>
      </c>
      <c r="BC1291" s="64">
        <v>39600</v>
      </c>
      <c r="BD1291" s="60" t="s">
        <v>3800</v>
      </c>
      <c r="BG1291" s="64">
        <v>0</v>
      </c>
      <c r="BK1291" s="64">
        <v>0</v>
      </c>
      <c r="BS1291" s="64">
        <v>0</v>
      </c>
      <c r="BV1291" s="65">
        <v>86460</v>
      </c>
      <c r="BW1291" s="65">
        <v>39600</v>
      </c>
      <c r="BX1291" s="65">
        <v>44733</v>
      </c>
      <c r="BY1291" s="65">
        <v>46860</v>
      </c>
      <c r="BZ1291" s="81">
        <v>54.198473282442748</v>
      </c>
    </row>
    <row r="1292" spans="1:78" x14ac:dyDescent="0.15">
      <c r="A1292" s="60">
        <v>2</v>
      </c>
      <c r="B1292" s="61">
        <v>44743</v>
      </c>
      <c r="C1292" s="61">
        <v>44773</v>
      </c>
      <c r="D1292" s="61">
        <v>44780</v>
      </c>
      <c r="F1292" s="61" t="s">
        <v>309</v>
      </c>
      <c r="G1292" s="61">
        <v>44757</v>
      </c>
      <c r="H1292" s="61" t="s">
        <v>309</v>
      </c>
      <c r="I1292" s="60" t="s">
        <v>511</v>
      </c>
      <c r="J1292" s="60">
        <v>2</v>
      </c>
      <c r="L1292" s="60">
        <v>0</v>
      </c>
      <c r="M1292" s="61">
        <v>44733</v>
      </c>
      <c r="O1292" s="62" t="s">
        <v>331</v>
      </c>
      <c r="P1292" s="60" t="s">
        <v>26</v>
      </c>
      <c r="Q1292" s="62" t="s">
        <v>138</v>
      </c>
      <c r="R1292" s="62" t="s">
        <v>3849</v>
      </c>
      <c r="S1292" s="63" t="s">
        <v>844</v>
      </c>
      <c r="T1292" s="63" t="s">
        <v>1524</v>
      </c>
      <c r="U1292" s="64">
        <v>78600</v>
      </c>
      <c r="V1292" s="64">
        <v>86460</v>
      </c>
      <c r="W1292" s="64">
        <v>78600</v>
      </c>
      <c r="X1292" s="64">
        <v>86460</v>
      </c>
      <c r="Y1292" s="64">
        <v>0</v>
      </c>
      <c r="Z1292" s="64">
        <v>0</v>
      </c>
      <c r="AA1292" s="61">
        <v>44746</v>
      </c>
      <c r="AB1292" s="61">
        <v>44747</v>
      </c>
      <c r="AD1292" s="60">
        <v>0</v>
      </c>
      <c r="AG1292" s="60">
        <v>0</v>
      </c>
      <c r="AJ1292" s="60">
        <v>0</v>
      </c>
      <c r="AQ1292" s="60" t="s">
        <v>3758</v>
      </c>
      <c r="AR1292" s="61">
        <v>44739</v>
      </c>
      <c r="AS1292" s="60">
        <v>6002045516</v>
      </c>
      <c r="AT1292" s="61">
        <v>44739</v>
      </c>
      <c r="AU1292" s="60" t="s">
        <v>3766</v>
      </c>
      <c r="AV1292" s="61">
        <v>44773</v>
      </c>
      <c r="AW1292" s="91">
        <v>44773</v>
      </c>
      <c r="AX1292" s="91">
        <v>44793</v>
      </c>
      <c r="AY1292" s="107">
        <v>78600</v>
      </c>
      <c r="AZ1292" s="107">
        <f>ROUNDDOWN(AY1292+(AY1292*MASTER!$A$2/100),0)</f>
        <v>86460</v>
      </c>
      <c r="BA1292" s="60" t="s">
        <v>319</v>
      </c>
      <c r="BB1292" s="64">
        <v>28000</v>
      </c>
      <c r="BC1292" s="64">
        <v>30800</v>
      </c>
      <c r="BD1292" s="60" t="s">
        <v>3800</v>
      </c>
      <c r="BG1292" s="64">
        <v>0</v>
      </c>
      <c r="BK1292" s="64">
        <v>0</v>
      </c>
      <c r="BS1292" s="64">
        <v>0</v>
      </c>
      <c r="BV1292" s="65">
        <v>86460</v>
      </c>
      <c r="BW1292" s="65">
        <v>30800</v>
      </c>
      <c r="BX1292" s="65">
        <v>44733</v>
      </c>
      <c r="BY1292" s="65">
        <v>55660</v>
      </c>
      <c r="BZ1292" s="81">
        <v>64.376590330788801</v>
      </c>
    </row>
    <row r="1293" spans="1:78" x14ac:dyDescent="0.15">
      <c r="A1293" s="60">
        <v>2</v>
      </c>
      <c r="B1293" s="61">
        <v>44743</v>
      </c>
      <c r="C1293" s="61">
        <v>44773</v>
      </c>
      <c r="D1293" s="61">
        <v>44780</v>
      </c>
      <c r="F1293" s="61" t="s">
        <v>309</v>
      </c>
      <c r="G1293" s="61">
        <v>44757</v>
      </c>
      <c r="H1293" s="61" t="s">
        <v>309</v>
      </c>
      <c r="I1293" s="60" t="s">
        <v>2495</v>
      </c>
      <c r="J1293" s="60">
        <v>2</v>
      </c>
      <c r="L1293" s="60">
        <v>0</v>
      </c>
      <c r="M1293" s="61">
        <v>44733</v>
      </c>
      <c r="O1293" s="62" t="s">
        <v>331</v>
      </c>
      <c r="P1293" s="60" t="s">
        <v>26</v>
      </c>
      <c r="Q1293" s="62" t="s">
        <v>138</v>
      </c>
      <c r="R1293" s="62" t="s">
        <v>3850</v>
      </c>
      <c r="S1293" s="63" t="s">
        <v>842</v>
      </c>
      <c r="T1293" s="63" t="s">
        <v>1524</v>
      </c>
      <c r="U1293" s="64">
        <v>78600</v>
      </c>
      <c r="V1293" s="64">
        <v>86460</v>
      </c>
      <c r="W1293" s="64">
        <v>78600</v>
      </c>
      <c r="X1293" s="64">
        <v>86460</v>
      </c>
      <c r="Y1293" s="64">
        <v>0</v>
      </c>
      <c r="Z1293" s="64">
        <v>0</v>
      </c>
      <c r="AA1293" s="61">
        <v>44746</v>
      </c>
      <c r="AB1293" s="61">
        <v>44747</v>
      </c>
      <c r="AD1293" s="60">
        <v>0</v>
      </c>
      <c r="AG1293" s="60">
        <v>0</v>
      </c>
      <c r="AJ1293" s="60">
        <v>0</v>
      </c>
      <c r="AQ1293" s="60" t="s">
        <v>3758</v>
      </c>
      <c r="AR1293" s="61">
        <v>44739</v>
      </c>
      <c r="AS1293" s="60">
        <v>6002045516</v>
      </c>
      <c r="AT1293" s="61">
        <v>44739</v>
      </c>
      <c r="AU1293" s="60" t="s">
        <v>3766</v>
      </c>
      <c r="AV1293" s="61">
        <v>44773</v>
      </c>
      <c r="AW1293" s="91">
        <v>44773</v>
      </c>
      <c r="AX1293" s="91">
        <v>44793</v>
      </c>
      <c r="AY1293" s="107">
        <v>78600</v>
      </c>
      <c r="AZ1293" s="107">
        <f>ROUNDDOWN(AY1293+(AY1293*MASTER!$A$2/100),0)</f>
        <v>86460</v>
      </c>
      <c r="BA1293" s="60" t="s">
        <v>319</v>
      </c>
      <c r="BB1293" s="64">
        <v>32000</v>
      </c>
      <c r="BC1293" s="64">
        <v>35200</v>
      </c>
      <c r="BD1293" s="60" t="s">
        <v>3800</v>
      </c>
      <c r="BG1293" s="64">
        <v>0</v>
      </c>
      <c r="BK1293" s="64">
        <v>0</v>
      </c>
      <c r="BS1293" s="64">
        <v>0</v>
      </c>
      <c r="BV1293" s="65">
        <v>86460</v>
      </c>
      <c r="BW1293" s="65">
        <v>35200</v>
      </c>
      <c r="BX1293" s="65">
        <v>44733</v>
      </c>
      <c r="BY1293" s="65">
        <v>51260</v>
      </c>
      <c r="BZ1293" s="81">
        <v>59.287531806615782</v>
      </c>
    </row>
    <row r="1294" spans="1:78" x14ac:dyDescent="0.15">
      <c r="A1294" s="60">
        <v>2</v>
      </c>
      <c r="B1294" s="61">
        <v>44743</v>
      </c>
      <c r="C1294" s="61">
        <v>44773</v>
      </c>
      <c r="D1294" s="61">
        <v>44783</v>
      </c>
      <c r="F1294" s="61" t="s">
        <v>309</v>
      </c>
      <c r="G1294" s="61">
        <v>44757</v>
      </c>
      <c r="H1294" s="61" t="s">
        <v>309</v>
      </c>
      <c r="I1294" s="60" t="s">
        <v>511</v>
      </c>
      <c r="J1294" s="60">
        <v>2</v>
      </c>
      <c r="L1294" s="60">
        <v>0</v>
      </c>
      <c r="M1294" s="61">
        <v>44733</v>
      </c>
      <c r="O1294" s="62" t="s">
        <v>331</v>
      </c>
      <c r="P1294" s="60" t="s">
        <v>26</v>
      </c>
      <c r="Q1294" s="62" t="s">
        <v>138</v>
      </c>
      <c r="R1294" s="62" t="s">
        <v>3851</v>
      </c>
      <c r="S1294" s="63" t="s">
        <v>3852</v>
      </c>
      <c r="T1294" s="63" t="s">
        <v>1524</v>
      </c>
      <c r="U1294" s="64">
        <v>78600</v>
      </c>
      <c r="V1294" s="64">
        <v>86460</v>
      </c>
      <c r="W1294" s="64">
        <v>78600</v>
      </c>
      <c r="X1294" s="64">
        <v>86460</v>
      </c>
      <c r="Y1294" s="64">
        <v>0</v>
      </c>
      <c r="Z1294" s="64">
        <v>0</v>
      </c>
      <c r="AA1294" s="61">
        <v>44756</v>
      </c>
      <c r="AB1294" s="61">
        <v>44756</v>
      </c>
      <c r="AD1294" s="60">
        <v>0</v>
      </c>
      <c r="AG1294" s="60">
        <v>0</v>
      </c>
      <c r="AJ1294" s="60">
        <v>0</v>
      </c>
      <c r="AQ1294" s="60" t="s">
        <v>3758</v>
      </c>
      <c r="AR1294" s="61">
        <v>44739</v>
      </c>
      <c r="AS1294" s="60">
        <v>6002045516</v>
      </c>
      <c r="AT1294" s="61">
        <v>44739</v>
      </c>
      <c r="AU1294" s="60" t="s">
        <v>3766</v>
      </c>
      <c r="AV1294" s="61">
        <v>44773</v>
      </c>
      <c r="AW1294" s="91">
        <v>44773</v>
      </c>
      <c r="AX1294" s="91">
        <v>44793</v>
      </c>
      <c r="AY1294" s="107">
        <v>78600</v>
      </c>
      <c r="AZ1294" s="107">
        <f>ROUNDDOWN(AY1294+(AY1294*MASTER!$A$2/100),0)</f>
        <v>86460</v>
      </c>
      <c r="BA1294" s="60" t="s">
        <v>582</v>
      </c>
      <c r="BB1294" s="64">
        <v>38000</v>
      </c>
      <c r="BC1294" s="64">
        <v>41800</v>
      </c>
      <c r="BD1294" s="60" t="s">
        <v>3800</v>
      </c>
      <c r="BG1294" s="64">
        <v>0</v>
      </c>
      <c r="BK1294" s="64">
        <v>0</v>
      </c>
      <c r="BS1294" s="64">
        <v>0</v>
      </c>
      <c r="BV1294" s="65">
        <v>86460</v>
      </c>
      <c r="BW1294" s="65">
        <v>41800</v>
      </c>
      <c r="BX1294" s="65">
        <v>44733</v>
      </c>
      <c r="BY1294" s="65">
        <v>44660</v>
      </c>
      <c r="BZ1294" s="81">
        <v>51.653944020356235</v>
      </c>
    </row>
    <row r="1295" spans="1:78" x14ac:dyDescent="0.15">
      <c r="A1295" s="60">
        <v>2</v>
      </c>
      <c r="B1295" s="61">
        <v>44743</v>
      </c>
      <c r="C1295" s="61">
        <v>44773</v>
      </c>
      <c r="D1295" s="61">
        <v>44783</v>
      </c>
      <c r="F1295" s="61" t="s">
        <v>309</v>
      </c>
      <c r="G1295" s="61">
        <v>44757</v>
      </c>
      <c r="H1295" s="61" t="s">
        <v>309</v>
      </c>
      <c r="I1295" s="60" t="s">
        <v>511</v>
      </c>
      <c r="J1295" s="60">
        <v>2</v>
      </c>
      <c r="L1295" s="60">
        <v>0</v>
      </c>
      <c r="M1295" s="61">
        <v>44733</v>
      </c>
      <c r="O1295" s="62" t="s">
        <v>331</v>
      </c>
      <c r="P1295" s="60" t="s">
        <v>26</v>
      </c>
      <c r="Q1295" s="62" t="s">
        <v>138</v>
      </c>
      <c r="R1295" s="62" t="s">
        <v>3853</v>
      </c>
      <c r="S1295" s="63" t="s">
        <v>1880</v>
      </c>
      <c r="T1295" s="63" t="s">
        <v>1524</v>
      </c>
      <c r="U1295" s="64">
        <v>78600</v>
      </c>
      <c r="V1295" s="64">
        <v>86460</v>
      </c>
      <c r="W1295" s="64">
        <v>78600</v>
      </c>
      <c r="X1295" s="64">
        <v>86460</v>
      </c>
      <c r="Y1295" s="64">
        <v>0</v>
      </c>
      <c r="Z1295" s="64">
        <v>0</v>
      </c>
      <c r="AA1295" s="61">
        <v>44756</v>
      </c>
      <c r="AB1295" s="61">
        <v>44756</v>
      </c>
      <c r="AD1295" s="60">
        <v>0</v>
      </c>
      <c r="AG1295" s="60">
        <v>0</v>
      </c>
      <c r="AJ1295" s="60">
        <v>0</v>
      </c>
      <c r="AQ1295" s="60" t="s">
        <v>3758</v>
      </c>
      <c r="AR1295" s="61">
        <v>44739</v>
      </c>
      <c r="AS1295" s="60">
        <v>6002045516</v>
      </c>
      <c r="AT1295" s="61">
        <v>44739</v>
      </c>
      <c r="AU1295" s="60" t="s">
        <v>3766</v>
      </c>
      <c r="AV1295" s="61">
        <v>44773</v>
      </c>
      <c r="AW1295" s="91">
        <v>44773</v>
      </c>
      <c r="AX1295" s="91">
        <v>44793</v>
      </c>
      <c r="AY1295" s="107">
        <v>78600</v>
      </c>
      <c r="AZ1295" s="107">
        <f>ROUNDDOWN(AY1295+(AY1295*MASTER!$A$2/100),0)</f>
        <v>86460</v>
      </c>
      <c r="BA1295" s="60" t="s">
        <v>582</v>
      </c>
      <c r="BB1295" s="64">
        <v>40000</v>
      </c>
      <c r="BC1295" s="64">
        <v>44000</v>
      </c>
      <c r="BD1295" s="60" t="s">
        <v>3800</v>
      </c>
      <c r="BG1295" s="64">
        <v>0</v>
      </c>
      <c r="BK1295" s="64">
        <v>0</v>
      </c>
      <c r="BS1295" s="64">
        <v>0</v>
      </c>
      <c r="BV1295" s="65">
        <v>86460</v>
      </c>
      <c r="BW1295" s="65">
        <v>44000</v>
      </c>
      <c r="BX1295" s="65">
        <v>44733</v>
      </c>
      <c r="BY1295" s="65">
        <v>42460</v>
      </c>
      <c r="BZ1295" s="81">
        <v>49.109414758269722</v>
      </c>
    </row>
    <row r="1296" spans="1:78" x14ac:dyDescent="0.15">
      <c r="A1296" s="60">
        <v>2</v>
      </c>
      <c r="B1296" s="61">
        <v>44743</v>
      </c>
      <c r="C1296" s="61">
        <v>44773</v>
      </c>
      <c r="D1296" s="61">
        <v>44783</v>
      </c>
      <c r="F1296" s="61" t="s">
        <v>309</v>
      </c>
      <c r="G1296" s="61">
        <v>44757</v>
      </c>
      <c r="H1296" s="61" t="s">
        <v>309</v>
      </c>
      <c r="I1296" s="60" t="s">
        <v>511</v>
      </c>
      <c r="J1296" s="60">
        <v>2</v>
      </c>
      <c r="L1296" s="60">
        <v>0</v>
      </c>
      <c r="M1296" s="61">
        <v>44733</v>
      </c>
      <c r="O1296" s="62" t="s">
        <v>331</v>
      </c>
      <c r="P1296" s="60" t="s">
        <v>26</v>
      </c>
      <c r="Q1296" s="62" t="s">
        <v>138</v>
      </c>
      <c r="R1296" s="62" t="s">
        <v>3854</v>
      </c>
      <c r="S1296" s="63" t="s">
        <v>363</v>
      </c>
      <c r="T1296" s="63" t="s">
        <v>1524</v>
      </c>
      <c r="U1296" s="64">
        <v>78600</v>
      </c>
      <c r="V1296" s="64">
        <v>86460</v>
      </c>
      <c r="W1296" s="64">
        <v>78600</v>
      </c>
      <c r="X1296" s="64">
        <v>86460</v>
      </c>
      <c r="Y1296" s="64">
        <v>0</v>
      </c>
      <c r="Z1296" s="64">
        <v>0</v>
      </c>
      <c r="AA1296" s="61">
        <v>44756</v>
      </c>
      <c r="AB1296" s="61">
        <v>44756</v>
      </c>
      <c r="AD1296" s="60">
        <v>0</v>
      </c>
      <c r="AG1296" s="60">
        <v>0</v>
      </c>
      <c r="AJ1296" s="60">
        <v>0</v>
      </c>
      <c r="AQ1296" s="60" t="s">
        <v>3758</v>
      </c>
      <c r="AR1296" s="61">
        <v>44739</v>
      </c>
      <c r="AS1296" s="60">
        <v>6002045516</v>
      </c>
      <c r="AT1296" s="61">
        <v>44739</v>
      </c>
      <c r="AU1296" s="60" t="s">
        <v>3766</v>
      </c>
      <c r="AV1296" s="61">
        <v>44773</v>
      </c>
      <c r="AW1296" s="91">
        <v>44773</v>
      </c>
      <c r="AX1296" s="91">
        <v>44793</v>
      </c>
      <c r="AY1296" s="107">
        <v>78600</v>
      </c>
      <c r="AZ1296" s="107">
        <f>ROUNDDOWN(AY1296+(AY1296*MASTER!$A$2/100),0)</f>
        <v>86460</v>
      </c>
      <c r="BA1296" s="60" t="s">
        <v>582</v>
      </c>
      <c r="BB1296" s="64">
        <v>36000</v>
      </c>
      <c r="BC1296" s="64">
        <v>39600</v>
      </c>
      <c r="BD1296" s="60" t="s">
        <v>3800</v>
      </c>
      <c r="BG1296" s="64">
        <v>0</v>
      </c>
      <c r="BK1296" s="64">
        <v>0</v>
      </c>
      <c r="BS1296" s="64">
        <v>0</v>
      </c>
      <c r="BV1296" s="65">
        <v>86460</v>
      </c>
      <c r="BW1296" s="65">
        <v>39600</v>
      </c>
      <c r="BX1296" s="65">
        <v>44733</v>
      </c>
      <c r="BY1296" s="65">
        <v>46860</v>
      </c>
      <c r="BZ1296" s="81">
        <v>54.198473282442748</v>
      </c>
    </row>
    <row r="1297" spans="1:78" x14ac:dyDescent="0.15">
      <c r="A1297" s="60">
        <v>2</v>
      </c>
      <c r="B1297" s="61">
        <v>44743</v>
      </c>
      <c r="C1297" s="61">
        <v>44773</v>
      </c>
      <c r="D1297" s="61">
        <v>44783</v>
      </c>
      <c r="F1297" s="61" t="s">
        <v>309</v>
      </c>
      <c r="G1297" s="61">
        <v>44757</v>
      </c>
      <c r="H1297" s="61" t="s">
        <v>309</v>
      </c>
      <c r="I1297" s="60" t="s">
        <v>511</v>
      </c>
      <c r="J1297" s="60">
        <v>2</v>
      </c>
      <c r="L1297" s="60">
        <v>0</v>
      </c>
      <c r="M1297" s="61">
        <v>44733</v>
      </c>
      <c r="O1297" s="62" t="s">
        <v>331</v>
      </c>
      <c r="P1297" s="60" t="s">
        <v>26</v>
      </c>
      <c r="Q1297" s="62" t="s">
        <v>138</v>
      </c>
      <c r="R1297" s="62" t="s">
        <v>3855</v>
      </c>
      <c r="S1297" s="63" t="s">
        <v>1069</v>
      </c>
      <c r="T1297" s="63" t="s">
        <v>1524</v>
      </c>
      <c r="U1297" s="64">
        <v>78600</v>
      </c>
      <c r="V1297" s="64">
        <v>86460</v>
      </c>
      <c r="W1297" s="64">
        <v>78600</v>
      </c>
      <c r="X1297" s="64">
        <v>86460</v>
      </c>
      <c r="Y1297" s="64">
        <v>0</v>
      </c>
      <c r="Z1297" s="64">
        <v>0</v>
      </c>
      <c r="AA1297" s="61">
        <v>44756</v>
      </c>
      <c r="AB1297" s="61">
        <v>44756</v>
      </c>
      <c r="AD1297" s="60">
        <v>0</v>
      </c>
      <c r="AG1297" s="60">
        <v>0</v>
      </c>
      <c r="AJ1297" s="60">
        <v>0</v>
      </c>
      <c r="AQ1297" s="60" t="s">
        <v>3758</v>
      </c>
      <c r="AR1297" s="61">
        <v>44739</v>
      </c>
      <c r="AS1297" s="60">
        <v>6002045516</v>
      </c>
      <c r="AT1297" s="61">
        <v>44739</v>
      </c>
      <c r="AU1297" s="60" t="s">
        <v>3766</v>
      </c>
      <c r="AV1297" s="61">
        <v>44773</v>
      </c>
      <c r="AW1297" s="91">
        <v>44773</v>
      </c>
      <c r="AX1297" s="91">
        <v>44793</v>
      </c>
      <c r="AY1297" s="107">
        <v>78600</v>
      </c>
      <c r="AZ1297" s="107">
        <f>ROUNDDOWN(AY1297+(AY1297*MASTER!$A$2/100),0)</f>
        <v>86460</v>
      </c>
      <c r="BA1297" s="60" t="s">
        <v>582</v>
      </c>
      <c r="BB1297" s="64">
        <v>38000</v>
      </c>
      <c r="BC1297" s="64">
        <v>41800</v>
      </c>
      <c r="BD1297" s="60" t="s">
        <v>3800</v>
      </c>
      <c r="BG1297" s="64">
        <v>0</v>
      </c>
      <c r="BK1297" s="64">
        <v>0</v>
      </c>
      <c r="BS1297" s="64">
        <v>0</v>
      </c>
      <c r="BV1297" s="65">
        <v>86460</v>
      </c>
      <c r="BW1297" s="65">
        <v>41800</v>
      </c>
      <c r="BX1297" s="65">
        <v>44733</v>
      </c>
      <c r="BY1297" s="65">
        <v>44660</v>
      </c>
      <c r="BZ1297" s="81">
        <v>51.653944020356235</v>
      </c>
    </row>
    <row r="1298" spans="1:78" x14ac:dyDescent="0.15">
      <c r="A1298" s="60">
        <v>2</v>
      </c>
      <c r="B1298" s="61">
        <v>44743</v>
      </c>
      <c r="C1298" s="61">
        <v>44773</v>
      </c>
      <c r="D1298" s="61">
        <v>44783</v>
      </c>
      <c r="F1298" s="61" t="s">
        <v>309</v>
      </c>
      <c r="G1298" s="61">
        <v>44763</v>
      </c>
      <c r="H1298" s="61" t="s">
        <v>309</v>
      </c>
      <c r="I1298" s="60" t="s">
        <v>511</v>
      </c>
      <c r="J1298" s="60">
        <v>2</v>
      </c>
      <c r="L1298" s="60">
        <v>0</v>
      </c>
      <c r="M1298" s="61">
        <v>44733</v>
      </c>
      <c r="O1298" s="62" t="s">
        <v>331</v>
      </c>
      <c r="P1298" s="60" t="s">
        <v>26</v>
      </c>
      <c r="Q1298" s="62" t="s">
        <v>138</v>
      </c>
      <c r="R1298" s="62" t="s">
        <v>3856</v>
      </c>
      <c r="S1298" s="63" t="s">
        <v>1071</v>
      </c>
      <c r="T1298" s="63" t="s">
        <v>1524</v>
      </c>
      <c r="U1298" s="64">
        <v>78600</v>
      </c>
      <c r="V1298" s="64">
        <v>86460</v>
      </c>
      <c r="W1298" s="64">
        <v>78600</v>
      </c>
      <c r="X1298" s="64">
        <v>86460</v>
      </c>
      <c r="Y1298" s="64">
        <v>0</v>
      </c>
      <c r="Z1298" s="64">
        <v>0</v>
      </c>
      <c r="AA1298" s="61">
        <v>44756</v>
      </c>
      <c r="AB1298" s="61">
        <v>44756</v>
      </c>
      <c r="AD1298" s="60">
        <v>0</v>
      </c>
      <c r="AG1298" s="60">
        <v>0</v>
      </c>
      <c r="AJ1298" s="60">
        <v>0</v>
      </c>
      <c r="AQ1298" s="60" t="s">
        <v>3758</v>
      </c>
      <c r="AR1298" s="61">
        <v>44739</v>
      </c>
      <c r="AS1298" s="60">
        <v>6002045516</v>
      </c>
      <c r="AT1298" s="61">
        <v>44739</v>
      </c>
      <c r="AU1298" s="60" t="s">
        <v>3766</v>
      </c>
      <c r="AV1298" s="61">
        <v>44773</v>
      </c>
      <c r="AW1298" s="91">
        <v>44773</v>
      </c>
      <c r="AX1298" s="91">
        <v>44793</v>
      </c>
      <c r="AY1298" s="107">
        <v>78600</v>
      </c>
      <c r="AZ1298" s="107">
        <f>ROUNDDOWN(AY1298+(AY1298*MASTER!$A$2/100),0)</f>
        <v>86460</v>
      </c>
      <c r="BA1298" s="60" t="s">
        <v>765</v>
      </c>
      <c r="BC1298" s="64">
        <v>0</v>
      </c>
      <c r="BG1298" s="64">
        <v>0</v>
      </c>
      <c r="BK1298" s="64">
        <v>0</v>
      </c>
      <c r="BS1298" s="64">
        <v>0</v>
      </c>
      <c r="BV1298" s="65">
        <v>86460</v>
      </c>
      <c r="BW1298" s="65">
        <v>0</v>
      </c>
      <c r="BX1298" s="65">
        <v>44733</v>
      </c>
      <c r="BY1298" s="65">
        <v>86460</v>
      </c>
      <c r="BZ1298" s="81">
        <v>100</v>
      </c>
    </row>
    <row r="1299" spans="1:78" x14ac:dyDescent="0.15">
      <c r="A1299" s="60">
        <v>2</v>
      </c>
      <c r="B1299" s="61">
        <v>44743</v>
      </c>
      <c r="C1299" s="61">
        <v>44773</v>
      </c>
      <c r="D1299" s="61">
        <v>44783</v>
      </c>
      <c r="F1299" s="61" t="s">
        <v>309</v>
      </c>
      <c r="G1299" s="61">
        <v>44775</v>
      </c>
      <c r="H1299" s="61" t="s">
        <v>309</v>
      </c>
      <c r="I1299" s="60" t="s">
        <v>511</v>
      </c>
      <c r="J1299" s="60">
        <v>2</v>
      </c>
      <c r="L1299" s="60">
        <v>0</v>
      </c>
      <c r="M1299" s="61">
        <v>44733</v>
      </c>
      <c r="O1299" s="62" t="s">
        <v>331</v>
      </c>
      <c r="P1299" s="60" t="s">
        <v>26</v>
      </c>
      <c r="Q1299" s="62" t="s">
        <v>138</v>
      </c>
      <c r="R1299" s="62" t="s">
        <v>3857</v>
      </c>
      <c r="S1299" s="63" t="s">
        <v>482</v>
      </c>
      <c r="T1299" s="63" t="s">
        <v>1524</v>
      </c>
      <c r="U1299" s="64">
        <v>78600</v>
      </c>
      <c r="V1299" s="64">
        <v>86460</v>
      </c>
      <c r="W1299" s="64">
        <v>78600</v>
      </c>
      <c r="X1299" s="64">
        <v>86460</v>
      </c>
      <c r="Y1299" s="64">
        <v>0</v>
      </c>
      <c r="Z1299" s="64">
        <v>0</v>
      </c>
      <c r="AA1299" s="61">
        <v>44773</v>
      </c>
      <c r="AB1299" s="61">
        <v>44773</v>
      </c>
      <c r="AD1299" s="60">
        <v>0</v>
      </c>
      <c r="AG1299" s="60">
        <v>0</v>
      </c>
      <c r="AJ1299" s="60">
        <v>0</v>
      </c>
      <c r="AQ1299" s="60" t="s">
        <v>3758</v>
      </c>
      <c r="AR1299" s="61">
        <v>44739</v>
      </c>
      <c r="AS1299" s="60">
        <v>6002045516</v>
      </c>
      <c r="AT1299" s="61">
        <v>44739</v>
      </c>
      <c r="AU1299" s="60" t="s">
        <v>3766</v>
      </c>
      <c r="AV1299" s="61">
        <v>44773</v>
      </c>
      <c r="AW1299" s="91">
        <v>44773</v>
      </c>
      <c r="AX1299" s="91">
        <v>44793</v>
      </c>
      <c r="AY1299" s="107">
        <v>78600</v>
      </c>
      <c r="AZ1299" s="107">
        <f>ROUNDDOWN(AY1299+(AY1299*MASTER!$A$2/100),0)</f>
        <v>86460</v>
      </c>
      <c r="BA1299" s="60" t="s">
        <v>314</v>
      </c>
      <c r="BB1299" s="64">
        <v>36000</v>
      </c>
      <c r="BC1299" s="64">
        <v>39600</v>
      </c>
      <c r="BD1299" s="60" t="s">
        <v>3800</v>
      </c>
      <c r="BG1299" s="64">
        <v>0</v>
      </c>
      <c r="BK1299" s="64">
        <v>0</v>
      </c>
      <c r="BS1299" s="64">
        <v>0</v>
      </c>
      <c r="BV1299" s="65">
        <v>86460</v>
      </c>
      <c r="BW1299" s="65">
        <v>39600</v>
      </c>
      <c r="BX1299" s="65">
        <v>44733</v>
      </c>
      <c r="BY1299" s="65">
        <v>46860</v>
      </c>
      <c r="BZ1299" s="81">
        <v>54.198473282442748</v>
      </c>
    </row>
    <row r="1300" spans="1:78" x14ac:dyDescent="0.15">
      <c r="A1300" s="60">
        <v>2</v>
      </c>
      <c r="B1300" s="61">
        <v>44743</v>
      </c>
      <c r="C1300" s="61">
        <v>44773</v>
      </c>
      <c r="D1300" s="61">
        <v>44783</v>
      </c>
      <c r="F1300" s="61" t="s">
        <v>309</v>
      </c>
      <c r="G1300" s="61">
        <v>44767</v>
      </c>
      <c r="H1300" s="61" t="s">
        <v>309</v>
      </c>
      <c r="I1300" s="60" t="s">
        <v>2495</v>
      </c>
      <c r="J1300" s="60">
        <v>2</v>
      </c>
      <c r="L1300" s="60">
        <v>0</v>
      </c>
      <c r="M1300" s="61">
        <v>44733</v>
      </c>
      <c r="O1300" s="62" t="s">
        <v>331</v>
      </c>
      <c r="P1300" s="60" t="s">
        <v>26</v>
      </c>
      <c r="Q1300" s="62" t="s">
        <v>138</v>
      </c>
      <c r="R1300" s="62" t="s">
        <v>3858</v>
      </c>
      <c r="S1300" s="63" t="s">
        <v>2376</v>
      </c>
      <c r="T1300" s="63" t="s">
        <v>1524</v>
      </c>
      <c r="U1300" s="64">
        <v>78600</v>
      </c>
      <c r="V1300" s="64">
        <v>86460</v>
      </c>
      <c r="W1300" s="64">
        <v>78600</v>
      </c>
      <c r="X1300" s="64">
        <v>86460</v>
      </c>
      <c r="Y1300" s="64">
        <v>0</v>
      </c>
      <c r="Z1300" s="64">
        <v>0</v>
      </c>
      <c r="AA1300" s="61">
        <v>44764</v>
      </c>
      <c r="AB1300" s="61">
        <v>44764</v>
      </c>
      <c r="AD1300" s="60">
        <v>0</v>
      </c>
      <c r="AG1300" s="60">
        <v>0</v>
      </c>
      <c r="AJ1300" s="60">
        <v>0</v>
      </c>
      <c r="AQ1300" s="60" t="s">
        <v>3758</v>
      </c>
      <c r="AR1300" s="61">
        <v>44739</v>
      </c>
      <c r="AS1300" s="60">
        <v>6002045516</v>
      </c>
      <c r="AT1300" s="61">
        <v>44739</v>
      </c>
      <c r="AU1300" s="60" t="s">
        <v>3766</v>
      </c>
      <c r="AV1300" s="61">
        <v>44773</v>
      </c>
      <c r="AW1300" s="91">
        <v>44773</v>
      </c>
      <c r="AX1300" s="91">
        <v>44793</v>
      </c>
      <c r="AY1300" s="107">
        <v>78600</v>
      </c>
      <c r="AZ1300" s="107">
        <f>ROUNDDOWN(AY1300+(AY1300*MASTER!$A$2/100),0)</f>
        <v>86460</v>
      </c>
      <c r="BA1300" s="60" t="s">
        <v>314</v>
      </c>
      <c r="BB1300" s="64">
        <v>29000</v>
      </c>
      <c r="BC1300" s="64">
        <v>31900</v>
      </c>
      <c r="BD1300" s="60" t="s">
        <v>3800</v>
      </c>
      <c r="BG1300" s="64">
        <v>0</v>
      </c>
      <c r="BK1300" s="64">
        <v>0</v>
      </c>
      <c r="BS1300" s="64">
        <v>0</v>
      </c>
      <c r="BV1300" s="65">
        <v>86460</v>
      </c>
      <c r="BW1300" s="65">
        <v>31900</v>
      </c>
      <c r="BX1300" s="65">
        <v>44733</v>
      </c>
      <c r="BY1300" s="65">
        <v>54560</v>
      </c>
      <c r="BZ1300" s="81">
        <v>63.104325699745544</v>
      </c>
    </row>
    <row r="1301" spans="1:78" x14ac:dyDescent="0.15">
      <c r="A1301" s="60">
        <v>2</v>
      </c>
      <c r="B1301" s="61">
        <v>44743</v>
      </c>
      <c r="C1301" s="61">
        <v>44773</v>
      </c>
      <c r="D1301" s="61">
        <v>44783</v>
      </c>
      <c r="F1301" s="61" t="s">
        <v>309</v>
      </c>
      <c r="G1301" s="61">
        <v>44756</v>
      </c>
      <c r="H1301" s="61" t="s">
        <v>309</v>
      </c>
      <c r="I1301" s="60" t="s">
        <v>2495</v>
      </c>
      <c r="J1301" s="60">
        <v>2</v>
      </c>
      <c r="L1301" s="60">
        <v>0</v>
      </c>
      <c r="M1301" s="61">
        <v>44733</v>
      </c>
      <c r="O1301" s="62" t="s">
        <v>331</v>
      </c>
      <c r="P1301" s="60" t="s">
        <v>26</v>
      </c>
      <c r="Q1301" s="62" t="s">
        <v>138</v>
      </c>
      <c r="R1301" s="62" t="s">
        <v>3859</v>
      </c>
      <c r="S1301" s="63" t="s">
        <v>371</v>
      </c>
      <c r="T1301" s="63" t="s">
        <v>1524</v>
      </c>
      <c r="U1301" s="64">
        <v>78600</v>
      </c>
      <c r="V1301" s="64">
        <v>86460</v>
      </c>
      <c r="W1301" s="64">
        <v>78600</v>
      </c>
      <c r="X1301" s="64">
        <v>86460</v>
      </c>
      <c r="Y1301" s="64">
        <v>0</v>
      </c>
      <c r="Z1301" s="64">
        <v>0</v>
      </c>
      <c r="AA1301" s="61">
        <v>44755</v>
      </c>
      <c r="AB1301" s="61">
        <v>44755</v>
      </c>
      <c r="AD1301" s="60">
        <v>0</v>
      </c>
      <c r="AG1301" s="60">
        <v>0</v>
      </c>
      <c r="AJ1301" s="60">
        <v>0</v>
      </c>
      <c r="AQ1301" s="60" t="s">
        <v>3758</v>
      </c>
      <c r="AR1301" s="61">
        <v>44739</v>
      </c>
      <c r="AS1301" s="60">
        <v>6002045516</v>
      </c>
      <c r="AT1301" s="61">
        <v>44739</v>
      </c>
      <c r="AU1301" s="60" t="s">
        <v>3766</v>
      </c>
      <c r="AV1301" s="61">
        <v>44773</v>
      </c>
      <c r="AW1301" s="91">
        <v>44773</v>
      </c>
      <c r="AX1301" s="91">
        <v>44793</v>
      </c>
      <c r="AY1301" s="107">
        <v>78600</v>
      </c>
      <c r="AZ1301" s="107">
        <f>ROUNDDOWN(AY1301+(AY1301*MASTER!$A$2/100),0)</f>
        <v>86460</v>
      </c>
      <c r="BA1301" s="60" t="s">
        <v>314</v>
      </c>
      <c r="BB1301" s="64">
        <v>29000</v>
      </c>
      <c r="BC1301" s="64">
        <v>31900</v>
      </c>
      <c r="BD1301" s="60" t="s">
        <v>3800</v>
      </c>
      <c r="BG1301" s="64">
        <v>0</v>
      </c>
      <c r="BK1301" s="64">
        <v>0</v>
      </c>
      <c r="BS1301" s="64">
        <v>0</v>
      </c>
      <c r="BV1301" s="65">
        <v>86460</v>
      </c>
      <c r="BW1301" s="65">
        <v>31900</v>
      </c>
      <c r="BX1301" s="65">
        <v>44733</v>
      </c>
      <c r="BY1301" s="65">
        <v>54560</v>
      </c>
      <c r="BZ1301" s="81">
        <v>63.104325699745544</v>
      </c>
    </row>
    <row r="1302" spans="1:78" x14ac:dyDescent="0.15">
      <c r="A1302" s="60">
        <v>2</v>
      </c>
      <c r="B1302" s="61">
        <v>44743</v>
      </c>
      <c r="C1302" s="61">
        <v>44773</v>
      </c>
      <c r="D1302" s="61">
        <v>44783</v>
      </c>
      <c r="F1302" s="61" t="s">
        <v>309</v>
      </c>
      <c r="G1302" s="61">
        <v>44756</v>
      </c>
      <c r="H1302" s="61" t="s">
        <v>309</v>
      </c>
      <c r="I1302" s="60" t="s">
        <v>511</v>
      </c>
      <c r="J1302" s="60">
        <v>2</v>
      </c>
      <c r="L1302" s="60">
        <v>0</v>
      </c>
      <c r="M1302" s="61">
        <v>44733</v>
      </c>
      <c r="O1302" s="62" t="s">
        <v>331</v>
      </c>
      <c r="P1302" s="60" t="s">
        <v>26</v>
      </c>
      <c r="Q1302" s="62" t="s">
        <v>138</v>
      </c>
      <c r="R1302" s="62" t="s">
        <v>3860</v>
      </c>
      <c r="S1302" s="63" t="s">
        <v>1512</v>
      </c>
      <c r="T1302" s="63" t="s">
        <v>1524</v>
      </c>
      <c r="U1302" s="64">
        <v>78600</v>
      </c>
      <c r="V1302" s="64">
        <v>86460</v>
      </c>
      <c r="W1302" s="64">
        <v>78600</v>
      </c>
      <c r="X1302" s="64">
        <v>86460</v>
      </c>
      <c r="Y1302" s="64">
        <v>0</v>
      </c>
      <c r="Z1302" s="64">
        <v>0</v>
      </c>
      <c r="AA1302" s="61">
        <v>44755</v>
      </c>
      <c r="AB1302" s="61">
        <v>44755</v>
      </c>
      <c r="AD1302" s="60">
        <v>0</v>
      </c>
      <c r="AG1302" s="60">
        <v>0</v>
      </c>
      <c r="AJ1302" s="60">
        <v>0</v>
      </c>
      <c r="AQ1302" s="60" t="s">
        <v>3758</v>
      </c>
      <c r="AR1302" s="61">
        <v>44739</v>
      </c>
      <c r="AS1302" s="60">
        <v>6002045516</v>
      </c>
      <c r="AT1302" s="61">
        <v>44739</v>
      </c>
      <c r="AU1302" s="60" t="s">
        <v>3766</v>
      </c>
      <c r="AV1302" s="61">
        <v>44773</v>
      </c>
      <c r="AW1302" s="91">
        <v>44773</v>
      </c>
      <c r="AX1302" s="91">
        <v>44793</v>
      </c>
      <c r="AY1302" s="107">
        <v>78600</v>
      </c>
      <c r="AZ1302" s="107">
        <f>ROUNDDOWN(AY1302+(AY1302*MASTER!$A$2/100),0)</f>
        <v>86460</v>
      </c>
      <c r="BA1302" s="60" t="s">
        <v>314</v>
      </c>
      <c r="BB1302" s="64">
        <v>29000</v>
      </c>
      <c r="BC1302" s="64">
        <v>31900</v>
      </c>
      <c r="BD1302" s="60" t="s">
        <v>3800</v>
      </c>
      <c r="BG1302" s="64">
        <v>0</v>
      </c>
      <c r="BK1302" s="64">
        <v>0</v>
      </c>
      <c r="BS1302" s="64">
        <v>0</v>
      </c>
      <c r="BV1302" s="65">
        <v>86460</v>
      </c>
      <c r="BW1302" s="65">
        <v>31900</v>
      </c>
      <c r="BX1302" s="65">
        <v>44733</v>
      </c>
      <c r="BY1302" s="65">
        <v>54560</v>
      </c>
      <c r="BZ1302" s="81">
        <v>63.104325699745544</v>
      </c>
    </row>
    <row r="1303" spans="1:78" x14ac:dyDescent="0.15">
      <c r="A1303" s="60">
        <v>2</v>
      </c>
      <c r="B1303" s="61">
        <v>44743</v>
      </c>
      <c r="C1303" s="61">
        <v>44773</v>
      </c>
      <c r="D1303" s="61">
        <v>44783</v>
      </c>
      <c r="F1303" s="61" t="s">
        <v>309</v>
      </c>
      <c r="G1303" s="61">
        <v>44761</v>
      </c>
      <c r="H1303" s="61" t="s">
        <v>309</v>
      </c>
      <c r="I1303" s="60" t="s">
        <v>2495</v>
      </c>
      <c r="J1303" s="60">
        <v>2</v>
      </c>
      <c r="L1303" s="60">
        <v>0</v>
      </c>
      <c r="M1303" s="61">
        <v>44733</v>
      </c>
      <c r="O1303" s="62" t="s">
        <v>331</v>
      </c>
      <c r="P1303" s="60" t="s">
        <v>26</v>
      </c>
      <c r="Q1303" s="62" t="s">
        <v>138</v>
      </c>
      <c r="R1303" s="62" t="s">
        <v>3861</v>
      </c>
      <c r="S1303" s="63" t="s">
        <v>726</v>
      </c>
      <c r="T1303" s="63" t="s">
        <v>1524</v>
      </c>
      <c r="U1303" s="64">
        <v>78600</v>
      </c>
      <c r="V1303" s="64">
        <v>86460</v>
      </c>
      <c r="W1303" s="64">
        <v>78600</v>
      </c>
      <c r="X1303" s="64">
        <v>86460</v>
      </c>
      <c r="Y1303" s="64">
        <v>0</v>
      </c>
      <c r="Z1303" s="64">
        <v>0</v>
      </c>
      <c r="AA1303" s="61">
        <v>44756</v>
      </c>
      <c r="AB1303" s="61">
        <v>44756</v>
      </c>
      <c r="AD1303" s="60">
        <v>0</v>
      </c>
      <c r="AG1303" s="60">
        <v>0</v>
      </c>
      <c r="AJ1303" s="60">
        <v>0</v>
      </c>
      <c r="AQ1303" s="60" t="s">
        <v>3758</v>
      </c>
      <c r="AR1303" s="61">
        <v>44739</v>
      </c>
      <c r="AS1303" s="60">
        <v>6002045514</v>
      </c>
      <c r="AT1303" s="61">
        <v>44739</v>
      </c>
      <c r="AU1303" s="60" t="s">
        <v>3765</v>
      </c>
      <c r="AV1303" s="61">
        <v>44773</v>
      </c>
      <c r="AW1303" s="91">
        <v>44773</v>
      </c>
      <c r="AX1303" s="91">
        <v>44793</v>
      </c>
      <c r="AY1303" s="107">
        <v>78600</v>
      </c>
      <c r="AZ1303" s="107">
        <f>ROUNDDOWN(AY1303+(AY1303*MASTER!$A$2/100),0)</f>
        <v>86460</v>
      </c>
      <c r="BA1303" s="60" t="s">
        <v>314</v>
      </c>
      <c r="BB1303" s="64">
        <v>29000</v>
      </c>
      <c r="BC1303" s="64">
        <v>31900</v>
      </c>
      <c r="BD1303" s="60" t="s">
        <v>3800</v>
      </c>
      <c r="BG1303" s="64">
        <v>0</v>
      </c>
      <c r="BK1303" s="64">
        <v>0</v>
      </c>
      <c r="BS1303" s="64">
        <v>0</v>
      </c>
      <c r="BV1303" s="65">
        <v>86460</v>
      </c>
      <c r="BW1303" s="65">
        <v>31900</v>
      </c>
      <c r="BX1303" s="65">
        <v>44733</v>
      </c>
      <c r="BY1303" s="65">
        <v>54560</v>
      </c>
      <c r="BZ1303" s="81">
        <v>63.104325699745544</v>
      </c>
    </row>
    <row r="1304" spans="1:78" x14ac:dyDescent="0.15">
      <c r="A1304" s="60">
        <v>2</v>
      </c>
      <c r="B1304" s="61">
        <v>44743</v>
      </c>
      <c r="C1304" s="61">
        <v>44773</v>
      </c>
      <c r="D1304" s="61">
        <v>44783</v>
      </c>
      <c r="F1304" s="61" t="s">
        <v>309</v>
      </c>
      <c r="G1304" s="61">
        <v>44749</v>
      </c>
      <c r="H1304" s="61" t="s">
        <v>309</v>
      </c>
      <c r="I1304" s="60" t="s">
        <v>2495</v>
      </c>
      <c r="J1304" s="60">
        <v>2</v>
      </c>
      <c r="L1304" s="60">
        <v>0</v>
      </c>
      <c r="M1304" s="61">
        <v>44733</v>
      </c>
      <c r="O1304" s="62" t="s">
        <v>331</v>
      </c>
      <c r="P1304" s="60" t="s">
        <v>26</v>
      </c>
      <c r="Q1304" s="62" t="s">
        <v>138</v>
      </c>
      <c r="R1304" s="62" t="s">
        <v>3862</v>
      </c>
      <c r="S1304" s="63" t="s">
        <v>3827</v>
      </c>
      <c r="T1304" s="63" t="s">
        <v>1524</v>
      </c>
      <c r="U1304" s="64">
        <v>78600</v>
      </c>
      <c r="V1304" s="64">
        <v>86460</v>
      </c>
      <c r="W1304" s="64">
        <v>78600</v>
      </c>
      <c r="X1304" s="64">
        <v>86460</v>
      </c>
      <c r="Y1304" s="64">
        <v>0</v>
      </c>
      <c r="Z1304" s="64">
        <v>0</v>
      </c>
      <c r="AA1304" s="61">
        <v>44747</v>
      </c>
      <c r="AB1304" s="61">
        <v>44747</v>
      </c>
      <c r="AD1304" s="60">
        <v>0</v>
      </c>
      <c r="AG1304" s="60">
        <v>0</v>
      </c>
      <c r="AJ1304" s="60">
        <v>0</v>
      </c>
      <c r="AQ1304" s="60" t="s">
        <v>3758</v>
      </c>
      <c r="AR1304" s="61">
        <v>44739</v>
      </c>
      <c r="AS1304" s="60">
        <v>6002045514</v>
      </c>
      <c r="AT1304" s="61">
        <v>44739</v>
      </c>
      <c r="AU1304" s="60" t="s">
        <v>3765</v>
      </c>
      <c r="AV1304" s="61">
        <v>44773</v>
      </c>
      <c r="AW1304" s="91">
        <v>44773</v>
      </c>
      <c r="AX1304" s="91">
        <v>44793</v>
      </c>
      <c r="AY1304" s="107">
        <v>78600</v>
      </c>
      <c r="AZ1304" s="107">
        <f>ROUNDDOWN(AY1304+(AY1304*MASTER!$A$2/100),0)</f>
        <v>86460</v>
      </c>
      <c r="BA1304" s="60" t="s">
        <v>314</v>
      </c>
      <c r="BB1304" s="64">
        <v>30000</v>
      </c>
      <c r="BC1304" s="64">
        <v>33000</v>
      </c>
      <c r="BD1304" s="60" t="s">
        <v>3800</v>
      </c>
      <c r="BG1304" s="64">
        <v>0</v>
      </c>
      <c r="BK1304" s="64">
        <v>0</v>
      </c>
      <c r="BS1304" s="64">
        <v>0</v>
      </c>
      <c r="BV1304" s="65">
        <v>86460</v>
      </c>
      <c r="BW1304" s="65">
        <v>33000</v>
      </c>
      <c r="BX1304" s="65">
        <v>44733</v>
      </c>
      <c r="BY1304" s="65">
        <v>53460</v>
      </c>
      <c r="BZ1304" s="81">
        <v>61.832061068702295</v>
      </c>
    </row>
    <row r="1305" spans="1:78" x14ac:dyDescent="0.15">
      <c r="A1305" s="60">
        <v>2</v>
      </c>
      <c r="B1305" s="61">
        <v>44743</v>
      </c>
      <c r="C1305" s="61">
        <v>44773</v>
      </c>
      <c r="D1305" s="61">
        <v>44783</v>
      </c>
      <c r="F1305" s="61" t="s">
        <v>309</v>
      </c>
      <c r="G1305" s="61">
        <v>44761</v>
      </c>
      <c r="H1305" s="61" t="s">
        <v>309</v>
      </c>
      <c r="I1305" s="60" t="s">
        <v>511</v>
      </c>
      <c r="J1305" s="60">
        <v>2</v>
      </c>
      <c r="L1305" s="60">
        <v>0</v>
      </c>
      <c r="M1305" s="61">
        <v>44733</v>
      </c>
      <c r="O1305" s="62" t="s">
        <v>331</v>
      </c>
      <c r="P1305" s="60" t="s">
        <v>26</v>
      </c>
      <c r="Q1305" s="62" t="s">
        <v>138</v>
      </c>
      <c r="R1305" s="62" t="s">
        <v>3863</v>
      </c>
      <c r="S1305" s="63" t="s">
        <v>3237</v>
      </c>
      <c r="T1305" s="63" t="s">
        <v>1524</v>
      </c>
      <c r="U1305" s="64">
        <v>78600</v>
      </c>
      <c r="V1305" s="64">
        <v>86460</v>
      </c>
      <c r="W1305" s="64">
        <v>78600</v>
      </c>
      <c r="X1305" s="64">
        <v>86460</v>
      </c>
      <c r="Y1305" s="64">
        <v>0</v>
      </c>
      <c r="Z1305" s="64">
        <v>0</v>
      </c>
      <c r="AA1305" s="61">
        <v>44756</v>
      </c>
      <c r="AB1305" s="61">
        <v>44756</v>
      </c>
      <c r="AD1305" s="60">
        <v>0</v>
      </c>
      <c r="AG1305" s="60">
        <v>0</v>
      </c>
      <c r="AJ1305" s="60">
        <v>0</v>
      </c>
      <c r="AQ1305" s="60" t="s">
        <v>3758</v>
      </c>
      <c r="AR1305" s="61">
        <v>44739</v>
      </c>
      <c r="AS1305" s="60">
        <v>6002045514</v>
      </c>
      <c r="AT1305" s="61">
        <v>44739</v>
      </c>
      <c r="AU1305" s="60" t="s">
        <v>3765</v>
      </c>
      <c r="AV1305" s="61">
        <v>44773</v>
      </c>
      <c r="AW1305" s="91">
        <v>44773</v>
      </c>
      <c r="AX1305" s="91">
        <v>44793</v>
      </c>
      <c r="AY1305" s="107">
        <v>78600</v>
      </c>
      <c r="AZ1305" s="107">
        <f>ROUNDDOWN(AY1305+(AY1305*MASTER!$A$2/100),0)</f>
        <v>86460</v>
      </c>
      <c r="BA1305" s="60" t="s">
        <v>314</v>
      </c>
      <c r="BB1305" s="64">
        <v>31000</v>
      </c>
      <c r="BC1305" s="64">
        <v>34100</v>
      </c>
      <c r="BD1305" s="60" t="s">
        <v>3800</v>
      </c>
      <c r="BG1305" s="64">
        <v>0</v>
      </c>
      <c r="BK1305" s="64">
        <v>0</v>
      </c>
      <c r="BS1305" s="64">
        <v>0</v>
      </c>
      <c r="BV1305" s="65">
        <v>86460</v>
      </c>
      <c r="BW1305" s="65">
        <v>34100</v>
      </c>
      <c r="BX1305" s="65">
        <v>44733</v>
      </c>
      <c r="BY1305" s="65">
        <v>52360</v>
      </c>
      <c r="BZ1305" s="81">
        <v>60.559796437659031</v>
      </c>
    </row>
    <row r="1306" spans="1:78" x14ac:dyDescent="0.15">
      <c r="A1306" s="60">
        <v>2</v>
      </c>
      <c r="B1306" s="61">
        <v>44743</v>
      </c>
      <c r="C1306" s="61">
        <v>44773</v>
      </c>
      <c r="D1306" s="61">
        <v>44783</v>
      </c>
      <c r="F1306" s="61" t="s">
        <v>309</v>
      </c>
      <c r="G1306" s="61">
        <v>44769</v>
      </c>
      <c r="H1306" s="61" t="s">
        <v>309</v>
      </c>
      <c r="I1306" s="60" t="s">
        <v>4277</v>
      </c>
      <c r="J1306" s="60">
        <v>2</v>
      </c>
      <c r="L1306" s="60">
        <v>0</v>
      </c>
      <c r="M1306" s="61">
        <v>44733</v>
      </c>
      <c r="O1306" s="62" t="s">
        <v>331</v>
      </c>
      <c r="P1306" s="60" t="s">
        <v>26</v>
      </c>
      <c r="Q1306" s="62" t="s">
        <v>138</v>
      </c>
      <c r="R1306" s="62" t="s">
        <v>3864</v>
      </c>
      <c r="S1306" s="63" t="s">
        <v>487</v>
      </c>
      <c r="T1306" s="63" t="s">
        <v>1524</v>
      </c>
      <c r="U1306" s="64">
        <v>78600</v>
      </c>
      <c r="V1306" s="64">
        <v>86460</v>
      </c>
      <c r="W1306" s="64">
        <v>78600</v>
      </c>
      <c r="X1306" s="64">
        <v>86460</v>
      </c>
      <c r="Y1306" s="64">
        <v>0</v>
      </c>
      <c r="Z1306" s="64">
        <v>0</v>
      </c>
      <c r="AA1306" s="61">
        <v>44769</v>
      </c>
      <c r="AB1306" s="61">
        <v>44769</v>
      </c>
      <c r="AD1306" s="60">
        <v>0</v>
      </c>
      <c r="AG1306" s="60">
        <v>0</v>
      </c>
      <c r="AJ1306" s="60">
        <v>0</v>
      </c>
      <c r="AQ1306" s="60" t="s">
        <v>3758</v>
      </c>
      <c r="AR1306" s="61">
        <v>44739</v>
      </c>
      <c r="AS1306" s="60">
        <v>6002045514</v>
      </c>
      <c r="AT1306" s="61">
        <v>44739</v>
      </c>
      <c r="AU1306" s="60" t="s">
        <v>3765</v>
      </c>
      <c r="AV1306" s="61">
        <v>44773</v>
      </c>
      <c r="AW1306" s="91">
        <v>44773</v>
      </c>
      <c r="AX1306" s="91">
        <v>44793</v>
      </c>
      <c r="AY1306" s="107">
        <v>78600</v>
      </c>
      <c r="AZ1306" s="107">
        <f>ROUNDDOWN(AY1306+(AY1306*MASTER!$A$2/100),0)</f>
        <v>86460</v>
      </c>
      <c r="BA1306" s="60" t="s">
        <v>765</v>
      </c>
      <c r="BC1306" s="64">
        <v>0</v>
      </c>
      <c r="BG1306" s="64">
        <v>0</v>
      </c>
      <c r="BK1306" s="64">
        <v>0</v>
      </c>
      <c r="BS1306" s="64">
        <v>0</v>
      </c>
      <c r="BV1306" s="65">
        <v>86460</v>
      </c>
      <c r="BW1306" s="65">
        <v>0</v>
      </c>
      <c r="BX1306" s="65">
        <v>44733</v>
      </c>
      <c r="BY1306" s="65">
        <v>86460</v>
      </c>
      <c r="BZ1306" s="81">
        <v>100</v>
      </c>
    </row>
    <row r="1307" spans="1:78" x14ac:dyDescent="0.15">
      <c r="A1307" s="60">
        <v>2</v>
      </c>
      <c r="B1307" s="61">
        <v>44743</v>
      </c>
      <c r="C1307" s="61">
        <v>44773</v>
      </c>
      <c r="D1307" s="61">
        <v>44783</v>
      </c>
      <c r="F1307" s="61" t="s">
        <v>309</v>
      </c>
      <c r="G1307" s="61">
        <v>44770</v>
      </c>
      <c r="H1307" s="61" t="s">
        <v>309</v>
      </c>
      <c r="I1307" s="60" t="s">
        <v>4277</v>
      </c>
      <c r="J1307" s="60">
        <v>2</v>
      </c>
      <c r="L1307" s="60">
        <v>0</v>
      </c>
      <c r="M1307" s="61">
        <v>44733</v>
      </c>
      <c r="O1307" s="62" t="s">
        <v>331</v>
      </c>
      <c r="P1307" s="60" t="s">
        <v>26</v>
      </c>
      <c r="Q1307" s="62" t="s">
        <v>138</v>
      </c>
      <c r="R1307" s="62" t="s">
        <v>3865</v>
      </c>
      <c r="S1307" s="63" t="s">
        <v>554</v>
      </c>
      <c r="T1307" s="63" t="s">
        <v>1524</v>
      </c>
      <c r="U1307" s="64">
        <v>78600</v>
      </c>
      <c r="V1307" s="64">
        <v>86460</v>
      </c>
      <c r="W1307" s="64">
        <v>78600</v>
      </c>
      <c r="X1307" s="64">
        <v>86460</v>
      </c>
      <c r="Y1307" s="64">
        <v>0</v>
      </c>
      <c r="Z1307" s="64">
        <v>0</v>
      </c>
      <c r="AA1307" s="61">
        <v>44769</v>
      </c>
      <c r="AB1307" s="61">
        <v>44769</v>
      </c>
      <c r="AD1307" s="60">
        <v>0</v>
      </c>
      <c r="AG1307" s="60">
        <v>0</v>
      </c>
      <c r="AJ1307" s="60">
        <v>0</v>
      </c>
      <c r="AQ1307" s="60" t="s">
        <v>3758</v>
      </c>
      <c r="AR1307" s="61">
        <v>44739</v>
      </c>
      <c r="AS1307" s="60">
        <v>6002045514</v>
      </c>
      <c r="AT1307" s="61">
        <v>44739</v>
      </c>
      <c r="AU1307" s="60" t="s">
        <v>3765</v>
      </c>
      <c r="AV1307" s="61">
        <v>44773</v>
      </c>
      <c r="AW1307" s="91">
        <v>44773</v>
      </c>
      <c r="AX1307" s="91">
        <v>44793</v>
      </c>
      <c r="AY1307" s="107">
        <v>78600</v>
      </c>
      <c r="AZ1307" s="107">
        <f>ROUNDDOWN(AY1307+(AY1307*MASTER!$A$2/100),0)</f>
        <v>86460</v>
      </c>
      <c r="BA1307" s="60" t="s">
        <v>765</v>
      </c>
      <c r="BC1307" s="64">
        <v>0</v>
      </c>
      <c r="BG1307" s="64">
        <v>0</v>
      </c>
      <c r="BK1307" s="64">
        <v>0</v>
      </c>
      <c r="BS1307" s="64">
        <v>0</v>
      </c>
      <c r="BV1307" s="65">
        <v>86460</v>
      </c>
      <c r="BW1307" s="65">
        <v>0</v>
      </c>
      <c r="BX1307" s="65">
        <v>44733</v>
      </c>
      <c r="BY1307" s="65">
        <v>86460</v>
      </c>
      <c r="BZ1307" s="81">
        <v>100</v>
      </c>
    </row>
    <row r="1308" spans="1:78" x14ac:dyDescent="0.15">
      <c r="A1308" s="60">
        <v>2</v>
      </c>
      <c r="B1308" s="61">
        <v>44743</v>
      </c>
      <c r="C1308" s="61">
        <v>44773</v>
      </c>
      <c r="D1308" s="61">
        <v>44783</v>
      </c>
      <c r="F1308" s="61" t="s">
        <v>309</v>
      </c>
      <c r="G1308" s="61">
        <v>44771</v>
      </c>
      <c r="H1308" s="61" t="s">
        <v>309</v>
      </c>
      <c r="I1308" s="60" t="s">
        <v>4277</v>
      </c>
      <c r="J1308" s="60">
        <v>2</v>
      </c>
      <c r="L1308" s="60">
        <v>0</v>
      </c>
      <c r="M1308" s="61">
        <v>44733</v>
      </c>
      <c r="O1308" s="62" t="s">
        <v>331</v>
      </c>
      <c r="P1308" s="60" t="s">
        <v>26</v>
      </c>
      <c r="Q1308" s="62" t="s">
        <v>138</v>
      </c>
      <c r="R1308" s="62" t="s">
        <v>3866</v>
      </c>
      <c r="S1308" s="63" t="s">
        <v>953</v>
      </c>
      <c r="T1308" s="63" t="s">
        <v>1524</v>
      </c>
      <c r="U1308" s="64">
        <v>78600</v>
      </c>
      <c r="V1308" s="64">
        <v>86460</v>
      </c>
      <c r="W1308" s="64">
        <v>78600</v>
      </c>
      <c r="X1308" s="64">
        <v>86460</v>
      </c>
      <c r="Y1308" s="64">
        <v>0</v>
      </c>
      <c r="Z1308" s="64">
        <v>0</v>
      </c>
      <c r="AA1308" s="61">
        <v>44771</v>
      </c>
      <c r="AB1308" s="61">
        <v>44771</v>
      </c>
      <c r="AD1308" s="60">
        <v>0</v>
      </c>
      <c r="AG1308" s="60">
        <v>0</v>
      </c>
      <c r="AJ1308" s="60">
        <v>0</v>
      </c>
      <c r="AQ1308" s="60" t="s">
        <v>3758</v>
      </c>
      <c r="AR1308" s="61">
        <v>44739</v>
      </c>
      <c r="AS1308" s="60">
        <v>6002045514</v>
      </c>
      <c r="AT1308" s="61">
        <v>44739</v>
      </c>
      <c r="AU1308" s="60" t="s">
        <v>3765</v>
      </c>
      <c r="AV1308" s="61">
        <v>44773</v>
      </c>
      <c r="AW1308" s="91">
        <v>44773</v>
      </c>
      <c r="AX1308" s="91">
        <v>44793</v>
      </c>
      <c r="AY1308" s="107">
        <v>78600</v>
      </c>
      <c r="AZ1308" s="107">
        <f>ROUNDDOWN(AY1308+(AY1308*MASTER!$A$2/100),0)</f>
        <v>86460</v>
      </c>
      <c r="BA1308" s="60" t="s">
        <v>765</v>
      </c>
      <c r="BC1308" s="64">
        <v>0</v>
      </c>
      <c r="BG1308" s="64">
        <v>0</v>
      </c>
      <c r="BK1308" s="64">
        <v>0</v>
      </c>
      <c r="BS1308" s="64">
        <v>0</v>
      </c>
      <c r="BV1308" s="65">
        <v>86460</v>
      </c>
      <c r="BW1308" s="65">
        <v>0</v>
      </c>
      <c r="BX1308" s="65">
        <v>44733</v>
      </c>
      <c r="BY1308" s="65">
        <v>86460</v>
      </c>
      <c r="BZ1308" s="81">
        <v>100</v>
      </c>
    </row>
    <row r="1309" spans="1:78" x14ac:dyDescent="0.15">
      <c r="A1309" s="60">
        <v>2</v>
      </c>
      <c r="B1309" s="61">
        <v>44743</v>
      </c>
      <c r="C1309" s="61">
        <v>44773</v>
      </c>
      <c r="D1309" s="61">
        <v>44783</v>
      </c>
      <c r="F1309" s="61" t="s">
        <v>309</v>
      </c>
      <c r="G1309" s="61">
        <v>44771</v>
      </c>
      <c r="H1309" s="61" t="s">
        <v>309</v>
      </c>
      <c r="I1309" s="60" t="s">
        <v>4277</v>
      </c>
      <c r="J1309" s="60">
        <v>2</v>
      </c>
      <c r="L1309" s="60">
        <v>0</v>
      </c>
      <c r="M1309" s="61">
        <v>44733</v>
      </c>
      <c r="O1309" s="62" t="s">
        <v>331</v>
      </c>
      <c r="P1309" s="60" t="s">
        <v>26</v>
      </c>
      <c r="Q1309" s="62" t="s">
        <v>138</v>
      </c>
      <c r="R1309" s="62" t="s">
        <v>3867</v>
      </c>
      <c r="S1309" s="63" t="s">
        <v>951</v>
      </c>
      <c r="T1309" s="63" t="s">
        <v>1524</v>
      </c>
      <c r="U1309" s="64">
        <v>78600</v>
      </c>
      <c r="V1309" s="64">
        <v>86460</v>
      </c>
      <c r="W1309" s="64">
        <v>78600</v>
      </c>
      <c r="X1309" s="64">
        <v>86460</v>
      </c>
      <c r="Y1309" s="64">
        <v>0</v>
      </c>
      <c r="Z1309" s="64">
        <v>0</v>
      </c>
      <c r="AA1309" s="61">
        <v>44771</v>
      </c>
      <c r="AB1309" s="61">
        <v>44771</v>
      </c>
      <c r="AD1309" s="60">
        <v>0</v>
      </c>
      <c r="AG1309" s="60">
        <v>0</v>
      </c>
      <c r="AJ1309" s="60">
        <v>0</v>
      </c>
      <c r="AQ1309" s="60" t="s">
        <v>3758</v>
      </c>
      <c r="AR1309" s="61">
        <v>44739</v>
      </c>
      <c r="AS1309" s="60">
        <v>6002045514</v>
      </c>
      <c r="AT1309" s="61">
        <v>44739</v>
      </c>
      <c r="AU1309" s="60" t="s">
        <v>3765</v>
      </c>
      <c r="AV1309" s="61">
        <v>44773</v>
      </c>
      <c r="AW1309" s="91">
        <v>44773</v>
      </c>
      <c r="AX1309" s="91">
        <v>44793</v>
      </c>
      <c r="AY1309" s="107">
        <v>78600</v>
      </c>
      <c r="AZ1309" s="107">
        <f>ROUNDDOWN(AY1309+(AY1309*MASTER!$A$2/100),0)</f>
        <v>86460</v>
      </c>
      <c r="BA1309" s="60" t="s">
        <v>765</v>
      </c>
      <c r="BC1309" s="64">
        <v>0</v>
      </c>
      <c r="BG1309" s="64">
        <v>0</v>
      </c>
      <c r="BK1309" s="64">
        <v>0</v>
      </c>
      <c r="BS1309" s="64">
        <v>0</v>
      </c>
      <c r="BV1309" s="65">
        <v>86460</v>
      </c>
      <c r="BW1309" s="65">
        <v>0</v>
      </c>
      <c r="BX1309" s="65">
        <v>44733</v>
      </c>
      <c r="BY1309" s="65">
        <v>86460</v>
      </c>
      <c r="BZ1309" s="81">
        <v>100</v>
      </c>
    </row>
    <row r="1310" spans="1:78" x14ac:dyDescent="0.15">
      <c r="A1310" s="60">
        <v>2</v>
      </c>
      <c r="B1310" s="61">
        <v>44743</v>
      </c>
      <c r="C1310" s="61">
        <v>44773</v>
      </c>
      <c r="D1310" s="61">
        <v>44783</v>
      </c>
      <c r="F1310" s="61" t="s">
        <v>309</v>
      </c>
      <c r="G1310" s="61">
        <v>44771</v>
      </c>
      <c r="H1310" s="61" t="s">
        <v>309</v>
      </c>
      <c r="I1310" s="60" t="s">
        <v>4277</v>
      </c>
      <c r="J1310" s="60">
        <v>2</v>
      </c>
      <c r="L1310" s="60">
        <v>0</v>
      </c>
      <c r="M1310" s="61">
        <v>44733</v>
      </c>
      <c r="O1310" s="62" t="s">
        <v>331</v>
      </c>
      <c r="P1310" s="60" t="s">
        <v>26</v>
      </c>
      <c r="Q1310" s="62" t="s">
        <v>138</v>
      </c>
      <c r="R1310" s="62" t="s">
        <v>3868</v>
      </c>
      <c r="S1310" s="63" t="s">
        <v>955</v>
      </c>
      <c r="T1310" s="63" t="s">
        <v>1524</v>
      </c>
      <c r="U1310" s="64">
        <v>78600</v>
      </c>
      <c r="V1310" s="64">
        <v>86460</v>
      </c>
      <c r="W1310" s="64">
        <v>78600</v>
      </c>
      <c r="X1310" s="64">
        <v>86460</v>
      </c>
      <c r="Y1310" s="64">
        <v>0</v>
      </c>
      <c r="Z1310" s="64">
        <v>0</v>
      </c>
      <c r="AA1310" s="61">
        <v>44771</v>
      </c>
      <c r="AB1310" s="61">
        <v>44771</v>
      </c>
      <c r="AD1310" s="60">
        <v>0</v>
      </c>
      <c r="AG1310" s="60">
        <v>0</v>
      </c>
      <c r="AJ1310" s="60">
        <v>0</v>
      </c>
      <c r="AQ1310" s="60" t="s">
        <v>3758</v>
      </c>
      <c r="AR1310" s="61">
        <v>44739</v>
      </c>
      <c r="AS1310" s="60">
        <v>6002045514</v>
      </c>
      <c r="AT1310" s="61">
        <v>44739</v>
      </c>
      <c r="AU1310" s="60" t="s">
        <v>3765</v>
      </c>
      <c r="AV1310" s="61">
        <v>44773</v>
      </c>
      <c r="AW1310" s="91">
        <v>44773</v>
      </c>
      <c r="AX1310" s="91">
        <v>44793</v>
      </c>
      <c r="AY1310" s="107">
        <v>78600</v>
      </c>
      <c r="AZ1310" s="107">
        <f>ROUNDDOWN(AY1310+(AY1310*MASTER!$A$2/100),0)</f>
        <v>86460</v>
      </c>
      <c r="BA1310" s="60" t="s">
        <v>765</v>
      </c>
      <c r="BC1310" s="64">
        <v>0</v>
      </c>
      <c r="BG1310" s="64">
        <v>0</v>
      </c>
      <c r="BK1310" s="64">
        <v>0</v>
      </c>
      <c r="BS1310" s="64">
        <v>0</v>
      </c>
      <c r="BV1310" s="65">
        <v>86460</v>
      </c>
      <c r="BW1310" s="65">
        <v>0</v>
      </c>
      <c r="BX1310" s="65">
        <v>44733</v>
      </c>
      <c r="BY1310" s="65">
        <v>86460</v>
      </c>
      <c r="BZ1310" s="81">
        <v>100</v>
      </c>
    </row>
    <row r="1311" spans="1:78" x14ac:dyDescent="0.15">
      <c r="A1311" s="60">
        <v>2</v>
      </c>
      <c r="B1311" s="61">
        <v>44743</v>
      </c>
      <c r="C1311" s="61">
        <v>44773</v>
      </c>
      <c r="D1311" s="61">
        <v>44783</v>
      </c>
      <c r="F1311" s="61" t="s">
        <v>309</v>
      </c>
      <c r="G1311" s="61">
        <v>44769</v>
      </c>
      <c r="H1311" s="61" t="s">
        <v>309</v>
      </c>
      <c r="I1311" s="60" t="s">
        <v>4277</v>
      </c>
      <c r="J1311" s="60">
        <v>2</v>
      </c>
      <c r="L1311" s="60">
        <v>0</v>
      </c>
      <c r="M1311" s="61">
        <v>44733</v>
      </c>
      <c r="O1311" s="62" t="s">
        <v>331</v>
      </c>
      <c r="P1311" s="60" t="s">
        <v>26</v>
      </c>
      <c r="Q1311" s="62" t="s">
        <v>138</v>
      </c>
      <c r="R1311" s="62" t="s">
        <v>3869</v>
      </c>
      <c r="S1311" s="63" t="s">
        <v>3870</v>
      </c>
      <c r="T1311" s="63" t="s">
        <v>1524</v>
      </c>
      <c r="U1311" s="64">
        <v>78600</v>
      </c>
      <c r="V1311" s="64">
        <v>86460</v>
      </c>
      <c r="W1311" s="64">
        <v>78600</v>
      </c>
      <c r="X1311" s="64">
        <v>86460</v>
      </c>
      <c r="Y1311" s="64">
        <v>0</v>
      </c>
      <c r="Z1311" s="64">
        <v>0</v>
      </c>
      <c r="AA1311" s="61">
        <v>44769</v>
      </c>
      <c r="AB1311" s="61">
        <v>44769</v>
      </c>
      <c r="AD1311" s="60">
        <v>0</v>
      </c>
      <c r="AG1311" s="60">
        <v>0</v>
      </c>
      <c r="AJ1311" s="60">
        <v>0</v>
      </c>
      <c r="AQ1311" s="60" t="s">
        <v>3758</v>
      </c>
      <c r="AR1311" s="61">
        <v>44739</v>
      </c>
      <c r="AS1311" s="60">
        <v>6002045514</v>
      </c>
      <c r="AT1311" s="61">
        <v>44739</v>
      </c>
      <c r="AU1311" s="60" t="s">
        <v>3765</v>
      </c>
      <c r="AV1311" s="61">
        <v>44773</v>
      </c>
      <c r="AW1311" s="91">
        <v>44773</v>
      </c>
      <c r="AX1311" s="91">
        <v>44793</v>
      </c>
      <c r="AY1311" s="107">
        <v>78600</v>
      </c>
      <c r="AZ1311" s="107">
        <f>ROUNDDOWN(AY1311+(AY1311*MASTER!$A$2/100),0)</f>
        <v>86460</v>
      </c>
      <c r="BA1311" s="60" t="s">
        <v>765</v>
      </c>
      <c r="BC1311" s="64">
        <v>0</v>
      </c>
      <c r="BG1311" s="64">
        <v>0</v>
      </c>
      <c r="BK1311" s="64">
        <v>0</v>
      </c>
      <c r="BS1311" s="64">
        <v>0</v>
      </c>
      <c r="BV1311" s="65">
        <v>86460</v>
      </c>
      <c r="BW1311" s="65">
        <v>0</v>
      </c>
      <c r="BX1311" s="65">
        <v>44733</v>
      </c>
      <c r="BY1311" s="65">
        <v>86460</v>
      </c>
      <c r="BZ1311" s="81">
        <v>100</v>
      </c>
    </row>
    <row r="1312" spans="1:78" x14ac:dyDescent="0.15">
      <c r="A1312" s="60">
        <v>2</v>
      </c>
      <c r="B1312" s="61">
        <v>44743</v>
      </c>
      <c r="C1312" s="61">
        <v>44773</v>
      </c>
      <c r="D1312" s="61">
        <v>44775</v>
      </c>
      <c r="F1312" s="61" t="s">
        <v>309</v>
      </c>
      <c r="G1312" s="61">
        <v>44743</v>
      </c>
      <c r="H1312" s="61" t="s">
        <v>309</v>
      </c>
      <c r="I1312" s="60" t="s">
        <v>4277</v>
      </c>
      <c r="J1312" s="60">
        <v>2</v>
      </c>
      <c r="L1312" s="60">
        <v>0</v>
      </c>
      <c r="M1312" s="61">
        <v>44733</v>
      </c>
      <c r="O1312" s="62" t="s">
        <v>331</v>
      </c>
      <c r="P1312" s="60" t="s">
        <v>26</v>
      </c>
      <c r="Q1312" s="62" t="s">
        <v>138</v>
      </c>
      <c r="R1312" s="62" t="s">
        <v>3871</v>
      </c>
      <c r="S1312" s="63" t="s">
        <v>451</v>
      </c>
      <c r="T1312" s="63" t="s">
        <v>1524</v>
      </c>
      <c r="U1312" s="64">
        <v>78600</v>
      </c>
      <c r="V1312" s="64">
        <v>86460</v>
      </c>
      <c r="W1312" s="64">
        <v>78600</v>
      </c>
      <c r="X1312" s="64">
        <v>86460</v>
      </c>
      <c r="Y1312" s="64">
        <v>0</v>
      </c>
      <c r="Z1312" s="64">
        <v>0</v>
      </c>
      <c r="AA1312" s="61">
        <v>44743</v>
      </c>
      <c r="AB1312" s="61">
        <v>44744</v>
      </c>
      <c r="AD1312" s="60">
        <v>0</v>
      </c>
      <c r="AG1312" s="60">
        <v>0</v>
      </c>
      <c r="AJ1312" s="60">
        <v>0</v>
      </c>
      <c r="AQ1312" s="60" t="s">
        <v>3758</v>
      </c>
      <c r="AR1312" s="61">
        <v>44739</v>
      </c>
      <c r="AS1312" s="60">
        <v>6002045514</v>
      </c>
      <c r="AT1312" s="61">
        <v>44739</v>
      </c>
      <c r="AU1312" s="60" t="s">
        <v>3765</v>
      </c>
      <c r="AV1312" s="61">
        <v>44773</v>
      </c>
      <c r="AW1312" s="91">
        <v>44773</v>
      </c>
      <c r="AX1312" s="91">
        <v>44793</v>
      </c>
      <c r="AY1312" s="107">
        <v>78600</v>
      </c>
      <c r="AZ1312" s="107">
        <f>ROUNDDOWN(AY1312+(AY1312*MASTER!$A$2/100),0)</f>
        <v>86460</v>
      </c>
      <c r="BA1312" s="60" t="s">
        <v>317</v>
      </c>
      <c r="BB1312" s="64">
        <v>35000</v>
      </c>
      <c r="BC1312" s="64">
        <v>38500</v>
      </c>
      <c r="BD1312" s="60" t="s">
        <v>3800</v>
      </c>
      <c r="BG1312" s="64">
        <v>0</v>
      </c>
      <c r="BK1312" s="64">
        <v>0</v>
      </c>
      <c r="BS1312" s="64">
        <v>0</v>
      </c>
      <c r="BV1312" s="65">
        <v>86460</v>
      </c>
      <c r="BW1312" s="65">
        <v>38500</v>
      </c>
      <c r="BX1312" s="65">
        <v>44733</v>
      </c>
      <c r="BY1312" s="65">
        <v>47960</v>
      </c>
      <c r="BZ1312" s="81">
        <v>55.470737913486005</v>
      </c>
    </row>
    <row r="1313" spans="1:89" x14ac:dyDescent="0.15">
      <c r="A1313" s="60">
        <v>2</v>
      </c>
      <c r="B1313" s="61">
        <v>44743</v>
      </c>
      <c r="C1313" s="61">
        <v>44773</v>
      </c>
      <c r="D1313" s="61">
        <v>44775</v>
      </c>
      <c r="F1313" s="61" t="s">
        <v>309</v>
      </c>
      <c r="G1313" s="61">
        <v>44743</v>
      </c>
      <c r="H1313" s="61" t="s">
        <v>309</v>
      </c>
      <c r="I1313" s="60" t="s">
        <v>4276</v>
      </c>
      <c r="J1313" s="60">
        <v>2</v>
      </c>
      <c r="L1313" s="60">
        <v>0</v>
      </c>
      <c r="M1313" s="61">
        <v>44733</v>
      </c>
      <c r="O1313" s="62" t="s">
        <v>331</v>
      </c>
      <c r="P1313" s="60" t="s">
        <v>26</v>
      </c>
      <c r="Q1313" s="62" t="s">
        <v>138</v>
      </c>
      <c r="R1313" s="62" t="s">
        <v>3872</v>
      </c>
      <c r="S1313" s="63" t="s">
        <v>3873</v>
      </c>
      <c r="T1313" s="63" t="s">
        <v>1524</v>
      </c>
      <c r="U1313" s="64">
        <v>78600</v>
      </c>
      <c r="V1313" s="64">
        <v>86460</v>
      </c>
      <c r="W1313" s="64">
        <v>78600</v>
      </c>
      <c r="X1313" s="64">
        <v>86460</v>
      </c>
      <c r="Y1313" s="64">
        <v>0</v>
      </c>
      <c r="Z1313" s="64">
        <v>0</v>
      </c>
      <c r="AA1313" s="61">
        <v>44743</v>
      </c>
      <c r="AB1313" s="61">
        <v>44744</v>
      </c>
      <c r="AD1313" s="60">
        <v>0</v>
      </c>
      <c r="AG1313" s="60">
        <v>0</v>
      </c>
      <c r="AJ1313" s="60">
        <v>0</v>
      </c>
      <c r="AQ1313" s="60" t="s">
        <v>3758</v>
      </c>
      <c r="AR1313" s="61">
        <v>44739</v>
      </c>
      <c r="AS1313" s="60">
        <v>6002045514</v>
      </c>
      <c r="AT1313" s="61">
        <v>44739</v>
      </c>
      <c r="AU1313" s="60" t="s">
        <v>3765</v>
      </c>
      <c r="AV1313" s="61">
        <v>44773</v>
      </c>
      <c r="AW1313" s="91">
        <v>44773</v>
      </c>
      <c r="AX1313" s="91">
        <v>44793</v>
      </c>
      <c r="AY1313" s="107">
        <v>78600</v>
      </c>
      <c r="AZ1313" s="107">
        <f>ROUNDDOWN(AY1313+(AY1313*MASTER!$A$2/100),0)</f>
        <v>86460</v>
      </c>
      <c r="BA1313" s="60" t="s">
        <v>317</v>
      </c>
      <c r="BB1313" s="64">
        <v>35000</v>
      </c>
      <c r="BC1313" s="64">
        <v>38500</v>
      </c>
      <c r="BD1313" s="60" t="s">
        <v>3800</v>
      </c>
      <c r="BG1313" s="64">
        <v>0</v>
      </c>
      <c r="BK1313" s="64">
        <v>0</v>
      </c>
      <c r="BS1313" s="64">
        <v>0</v>
      </c>
      <c r="BV1313" s="65">
        <v>86460</v>
      </c>
      <c r="BW1313" s="65">
        <v>38500</v>
      </c>
      <c r="BX1313" s="65">
        <v>44733</v>
      </c>
      <c r="BY1313" s="65">
        <v>47960</v>
      </c>
      <c r="BZ1313" s="81">
        <v>55.470737913486005</v>
      </c>
    </row>
    <row r="1314" spans="1:89" x14ac:dyDescent="0.15">
      <c r="A1314" s="60">
        <v>2</v>
      </c>
      <c r="B1314" s="61">
        <v>44743</v>
      </c>
      <c r="C1314" s="61">
        <v>44773</v>
      </c>
      <c r="D1314" s="61">
        <v>44775</v>
      </c>
      <c r="F1314" s="61" t="s">
        <v>309</v>
      </c>
      <c r="G1314" s="61">
        <v>44743</v>
      </c>
      <c r="H1314" s="61" t="s">
        <v>309</v>
      </c>
      <c r="I1314" s="60" t="s">
        <v>4276</v>
      </c>
      <c r="J1314" s="60">
        <v>2</v>
      </c>
      <c r="L1314" s="60">
        <v>0</v>
      </c>
      <c r="M1314" s="61">
        <v>44733</v>
      </c>
      <c r="O1314" s="62" t="s">
        <v>331</v>
      </c>
      <c r="P1314" s="60" t="s">
        <v>26</v>
      </c>
      <c r="Q1314" s="62" t="s">
        <v>138</v>
      </c>
      <c r="R1314" s="62" t="s">
        <v>3874</v>
      </c>
      <c r="S1314" s="63" t="s">
        <v>449</v>
      </c>
      <c r="T1314" s="63" t="s">
        <v>1524</v>
      </c>
      <c r="U1314" s="64">
        <v>78600</v>
      </c>
      <c r="V1314" s="64">
        <v>86460</v>
      </c>
      <c r="W1314" s="64">
        <v>78600</v>
      </c>
      <c r="X1314" s="64">
        <v>86460</v>
      </c>
      <c r="Y1314" s="64">
        <v>0</v>
      </c>
      <c r="Z1314" s="64">
        <v>0</v>
      </c>
      <c r="AA1314" s="61">
        <v>44743</v>
      </c>
      <c r="AB1314" s="61">
        <v>44744</v>
      </c>
      <c r="AD1314" s="60">
        <v>0</v>
      </c>
      <c r="AG1314" s="60">
        <v>0</v>
      </c>
      <c r="AJ1314" s="60">
        <v>0</v>
      </c>
      <c r="AQ1314" s="60" t="s">
        <v>3758</v>
      </c>
      <c r="AR1314" s="61">
        <v>44739</v>
      </c>
      <c r="AS1314" s="60">
        <v>6002045514</v>
      </c>
      <c r="AT1314" s="61">
        <v>44739</v>
      </c>
      <c r="AU1314" s="60" t="s">
        <v>3765</v>
      </c>
      <c r="AV1314" s="61">
        <v>44773</v>
      </c>
      <c r="AW1314" s="91">
        <v>44773</v>
      </c>
      <c r="AX1314" s="91">
        <v>44793</v>
      </c>
      <c r="AY1314" s="107">
        <v>78600</v>
      </c>
      <c r="AZ1314" s="107">
        <f>ROUNDDOWN(AY1314+(AY1314*MASTER!$A$2/100),0)</f>
        <v>86460</v>
      </c>
      <c r="BA1314" s="60" t="s">
        <v>317</v>
      </c>
      <c r="BB1314" s="64">
        <v>35000</v>
      </c>
      <c r="BC1314" s="64">
        <v>38500</v>
      </c>
      <c r="BD1314" s="60" t="s">
        <v>3800</v>
      </c>
      <c r="BG1314" s="64">
        <v>0</v>
      </c>
      <c r="BK1314" s="64">
        <v>0</v>
      </c>
      <c r="BS1314" s="64">
        <v>0</v>
      </c>
      <c r="BV1314" s="65">
        <v>86460</v>
      </c>
      <c r="BW1314" s="65">
        <v>38500</v>
      </c>
      <c r="BX1314" s="65">
        <v>44733</v>
      </c>
      <c r="BY1314" s="65">
        <v>47960</v>
      </c>
      <c r="BZ1314" s="81">
        <v>55.470737913486005</v>
      </c>
    </row>
    <row r="1315" spans="1:89" x14ac:dyDescent="0.15">
      <c r="A1315" s="60">
        <v>1</v>
      </c>
      <c r="C1315" s="61" t="s">
        <v>309</v>
      </c>
      <c r="F1315" s="61" t="s">
        <v>309</v>
      </c>
      <c r="H1315" s="61" t="s">
        <v>309</v>
      </c>
      <c r="J1315" s="60">
        <v>4</v>
      </c>
      <c r="L1315" s="60">
        <v>0</v>
      </c>
      <c r="M1315" s="61">
        <v>44734</v>
      </c>
      <c r="O1315" s="62" t="s">
        <v>331</v>
      </c>
      <c r="P1315" s="60" t="s">
        <v>263</v>
      </c>
      <c r="Q1315" s="62" t="s">
        <v>138</v>
      </c>
      <c r="R1315" s="62" t="s">
        <v>3706</v>
      </c>
      <c r="S1315" s="63" t="s">
        <v>326</v>
      </c>
      <c r="T1315" s="63" t="s">
        <v>3707</v>
      </c>
      <c r="U1315" s="64">
        <v>0</v>
      </c>
      <c r="V1315" s="64">
        <v>0</v>
      </c>
      <c r="W1315" s="64">
        <v>0</v>
      </c>
      <c r="X1315" s="64">
        <v>0</v>
      </c>
      <c r="Y1315" s="64">
        <v>0</v>
      </c>
      <c r="Z1315" s="64">
        <v>0</v>
      </c>
      <c r="AD1315" s="60">
        <v>0</v>
      </c>
      <c r="AG1315" s="60">
        <v>0</v>
      </c>
      <c r="AJ1315" s="60">
        <v>0</v>
      </c>
      <c r="AY1315" s="99">
        <f>ROUNDDOWN((0.96*U1315),0)</f>
        <v>0</v>
      </c>
      <c r="AZ1315" s="99">
        <f>ROUNDDOWN(AY1315+(AY1315*MASTER!$A$2/100),0)</f>
        <v>0</v>
      </c>
      <c r="BC1315" s="64">
        <v>0</v>
      </c>
      <c r="BG1315" s="64">
        <v>0</v>
      </c>
      <c r="BK1315" s="64">
        <v>0</v>
      </c>
      <c r="BS1315" s="64">
        <v>0</v>
      </c>
      <c r="BV1315" s="65">
        <v>0</v>
      </c>
      <c r="BW1315" s="65">
        <v>0</v>
      </c>
      <c r="BX1315" s="65">
        <v>44734</v>
      </c>
      <c r="BY1315" s="65">
        <v>0</v>
      </c>
      <c r="BZ1315" s="81" t="s">
        <v>309</v>
      </c>
      <c r="CD1315" s="63" t="s">
        <v>3708</v>
      </c>
    </row>
    <row r="1316" spans="1:89" x14ac:dyDescent="0.15">
      <c r="A1316" s="60">
        <v>2</v>
      </c>
      <c r="B1316" s="61">
        <v>44746</v>
      </c>
      <c r="C1316" s="61">
        <v>44750</v>
      </c>
      <c r="D1316" s="61">
        <v>44780</v>
      </c>
      <c r="E1316" s="61">
        <v>44753</v>
      </c>
      <c r="F1316" s="61">
        <v>44757</v>
      </c>
      <c r="G1316" s="61">
        <v>44750</v>
      </c>
      <c r="H1316" s="61">
        <v>44753</v>
      </c>
      <c r="I1316" s="60" t="s">
        <v>511</v>
      </c>
      <c r="J1316" s="60">
        <v>1</v>
      </c>
      <c r="L1316" s="60">
        <v>0</v>
      </c>
      <c r="M1316" s="61">
        <v>44734</v>
      </c>
      <c r="O1316" s="62" t="s">
        <v>331</v>
      </c>
      <c r="P1316" s="60" t="s">
        <v>26</v>
      </c>
      <c r="Q1316" s="62" t="s">
        <v>138</v>
      </c>
      <c r="R1316" s="62" t="s">
        <v>3875</v>
      </c>
      <c r="S1316" s="63" t="s">
        <v>664</v>
      </c>
      <c r="T1316" s="63" t="s">
        <v>3876</v>
      </c>
      <c r="U1316" s="64">
        <v>220500</v>
      </c>
      <c r="V1316" s="64">
        <v>242550</v>
      </c>
      <c r="W1316" s="64">
        <v>78000</v>
      </c>
      <c r="X1316" s="64">
        <v>85800</v>
      </c>
      <c r="Y1316" s="64">
        <v>142500</v>
      </c>
      <c r="Z1316" s="64">
        <v>156750</v>
      </c>
      <c r="AA1316" s="61">
        <v>44749</v>
      </c>
      <c r="AB1316" s="61">
        <v>44750</v>
      </c>
      <c r="AC1316" s="61">
        <v>44750</v>
      </c>
      <c r="AD1316" s="60">
        <v>0</v>
      </c>
      <c r="AG1316" s="60">
        <v>0</v>
      </c>
      <c r="AJ1316" s="60">
        <v>0</v>
      </c>
      <c r="AM1316" s="60" t="s">
        <v>273</v>
      </c>
      <c r="AN1316" s="60" t="s">
        <v>3877</v>
      </c>
      <c r="AQ1316" s="60" t="s">
        <v>3883</v>
      </c>
      <c r="AR1316" s="61">
        <v>44743</v>
      </c>
      <c r="AS1316" s="60">
        <v>6002047169</v>
      </c>
      <c r="AT1316" s="61">
        <v>44743</v>
      </c>
      <c r="AU1316" s="60" t="s">
        <v>3889</v>
      </c>
      <c r="AV1316" s="61">
        <v>44750</v>
      </c>
      <c r="AW1316" s="91">
        <v>44773</v>
      </c>
      <c r="AX1316" s="91">
        <v>44793</v>
      </c>
      <c r="AY1316" s="99">
        <v>211680</v>
      </c>
      <c r="AZ1316" s="99">
        <f>ROUNDDOWN(AY1316+(AY1316*MASTER!$A$2/100),0)</f>
        <v>232848</v>
      </c>
      <c r="BA1316" s="60" t="s">
        <v>613</v>
      </c>
      <c r="BB1316" s="64">
        <v>23000</v>
      </c>
      <c r="BC1316" s="64">
        <v>25300</v>
      </c>
      <c r="BD1316" s="60" t="s">
        <v>3800</v>
      </c>
      <c r="BG1316" s="64">
        <v>0</v>
      </c>
      <c r="BI1316" s="60" t="s">
        <v>748</v>
      </c>
      <c r="BJ1316" s="64">
        <v>92625</v>
      </c>
      <c r="BK1316" s="64">
        <v>101887.5</v>
      </c>
      <c r="BL1316" s="60" t="s">
        <v>3800</v>
      </c>
      <c r="BS1316" s="64">
        <v>0</v>
      </c>
      <c r="BV1316" s="65">
        <v>85800</v>
      </c>
      <c r="BW1316" s="65">
        <v>127187.5</v>
      </c>
      <c r="BX1316" s="65">
        <v>44734</v>
      </c>
      <c r="BY1316" s="65">
        <v>-41387.5</v>
      </c>
      <c r="BZ1316" s="81">
        <v>-48.237179487179489</v>
      </c>
    </row>
    <row r="1317" spans="1:89" x14ac:dyDescent="0.15">
      <c r="A1317" s="60">
        <v>2</v>
      </c>
      <c r="B1317" s="61">
        <v>44754</v>
      </c>
      <c r="C1317" s="61">
        <v>44758</v>
      </c>
      <c r="E1317" s="61">
        <v>44769</v>
      </c>
      <c r="F1317" s="61">
        <v>44765</v>
      </c>
      <c r="G1317" s="61">
        <v>44763</v>
      </c>
      <c r="H1317" s="61">
        <v>44761</v>
      </c>
      <c r="I1317" s="60" t="s">
        <v>511</v>
      </c>
      <c r="J1317" s="60">
        <v>1</v>
      </c>
      <c r="L1317" s="60">
        <v>0</v>
      </c>
      <c r="M1317" s="61">
        <v>44734</v>
      </c>
      <c r="O1317" s="62" t="s">
        <v>331</v>
      </c>
      <c r="P1317" s="60" t="s">
        <v>26</v>
      </c>
      <c r="Q1317" s="62" t="s">
        <v>138</v>
      </c>
      <c r="R1317" s="62" t="s">
        <v>3985</v>
      </c>
      <c r="S1317" s="63" t="s">
        <v>1166</v>
      </c>
      <c r="T1317" s="63" t="s">
        <v>3986</v>
      </c>
      <c r="U1317" s="64">
        <v>50000</v>
      </c>
      <c r="V1317" s="64">
        <v>55000</v>
      </c>
      <c r="W1317" s="64">
        <v>47000</v>
      </c>
      <c r="X1317" s="64">
        <v>51700</v>
      </c>
      <c r="Y1317" s="64">
        <v>3000</v>
      </c>
      <c r="Z1317" s="64">
        <v>3300</v>
      </c>
      <c r="AA1317" s="61">
        <v>44756</v>
      </c>
      <c r="AB1317" s="61">
        <v>44758</v>
      </c>
      <c r="AC1317" s="61">
        <v>44758</v>
      </c>
      <c r="AD1317" s="60">
        <v>0</v>
      </c>
      <c r="AG1317" s="60">
        <v>0</v>
      </c>
      <c r="AJ1317" s="60">
        <v>0</v>
      </c>
      <c r="AM1317" s="60" t="s">
        <v>273</v>
      </c>
      <c r="AN1317" s="60" t="s">
        <v>3987</v>
      </c>
      <c r="AQ1317" s="60" t="s">
        <v>3792</v>
      </c>
      <c r="AR1317" s="61">
        <v>44741</v>
      </c>
      <c r="AS1317" s="60">
        <v>6002046348</v>
      </c>
      <c r="AT1317" s="61">
        <v>44743</v>
      </c>
      <c r="AU1317" s="60" t="s">
        <v>3890</v>
      </c>
      <c r="AV1317" s="61">
        <v>44758</v>
      </c>
      <c r="AW1317" s="91">
        <v>44773</v>
      </c>
      <c r="AX1317" s="91">
        <v>44793</v>
      </c>
      <c r="AY1317" s="99">
        <v>48000</v>
      </c>
      <c r="AZ1317" s="99">
        <f>ROUNDDOWN(AY1317+(AY1317*MASTER!$A$2/100),0)</f>
        <v>52800</v>
      </c>
      <c r="BA1317" s="60" t="s">
        <v>780</v>
      </c>
      <c r="BB1317" s="64">
        <v>25000</v>
      </c>
      <c r="BC1317" s="64">
        <v>27500</v>
      </c>
      <c r="BD1317" s="60" t="s">
        <v>3800</v>
      </c>
      <c r="BG1317" s="64">
        <v>0</v>
      </c>
      <c r="BI1317" s="60" t="s">
        <v>748</v>
      </c>
      <c r="BJ1317" s="64">
        <v>1950</v>
      </c>
      <c r="BK1317" s="64">
        <v>2145</v>
      </c>
      <c r="BL1317" s="60" t="s">
        <v>3800</v>
      </c>
      <c r="BS1317" s="64">
        <v>0</v>
      </c>
      <c r="BV1317" s="65">
        <v>51700</v>
      </c>
      <c r="BW1317" s="65">
        <v>29645</v>
      </c>
      <c r="BX1317" s="65">
        <v>44734</v>
      </c>
      <c r="BY1317" s="65">
        <v>22055</v>
      </c>
      <c r="BZ1317" s="81">
        <v>42.659574468085104</v>
      </c>
    </row>
    <row r="1318" spans="1:89" s="152" customFormat="1" x14ac:dyDescent="0.15">
      <c r="A1318" s="142">
        <v>3</v>
      </c>
      <c r="B1318" s="143"/>
      <c r="C1318" s="143" t="s">
        <v>309</v>
      </c>
      <c r="D1318" s="143"/>
      <c r="E1318" s="143"/>
      <c r="F1318" s="143" t="s">
        <v>309</v>
      </c>
      <c r="G1318" s="143"/>
      <c r="H1318" s="143" t="s">
        <v>309</v>
      </c>
      <c r="I1318" s="142"/>
      <c r="J1318" s="142">
        <v>2</v>
      </c>
      <c r="K1318" s="143"/>
      <c r="L1318" s="142">
        <v>0</v>
      </c>
      <c r="M1318" s="143">
        <v>44734</v>
      </c>
      <c r="N1318" s="143"/>
      <c r="O1318" s="144" t="s">
        <v>331</v>
      </c>
      <c r="P1318" s="142" t="s">
        <v>26</v>
      </c>
      <c r="Q1318" s="144" t="s">
        <v>138</v>
      </c>
      <c r="R1318" s="144" t="s">
        <v>4447</v>
      </c>
      <c r="S1318" s="145" t="s">
        <v>4448</v>
      </c>
      <c r="T1318" s="145" t="s">
        <v>656</v>
      </c>
      <c r="U1318" s="146">
        <v>49500</v>
      </c>
      <c r="V1318" s="146">
        <v>54450</v>
      </c>
      <c r="W1318" s="146">
        <v>49500</v>
      </c>
      <c r="X1318" s="146">
        <v>54450</v>
      </c>
      <c r="Y1318" s="146">
        <v>0</v>
      </c>
      <c r="Z1318" s="146">
        <v>0</v>
      </c>
      <c r="AA1318" s="143"/>
      <c r="AB1318" s="143"/>
      <c r="AC1318" s="143"/>
      <c r="AD1318" s="142">
        <v>0</v>
      </c>
      <c r="AE1318" s="142"/>
      <c r="AF1318" s="142"/>
      <c r="AG1318" s="142">
        <v>0</v>
      </c>
      <c r="AH1318" s="142"/>
      <c r="AI1318" s="142"/>
      <c r="AJ1318" s="142">
        <v>0</v>
      </c>
      <c r="AK1318" s="142"/>
      <c r="AL1318" s="142"/>
      <c r="AM1318" s="142"/>
      <c r="AN1318" s="142" t="s">
        <v>309</v>
      </c>
      <c r="AO1318" s="143"/>
      <c r="AP1318" s="142"/>
      <c r="AQ1318" s="142"/>
      <c r="AR1318" s="143"/>
      <c r="AS1318" s="142"/>
      <c r="AT1318" s="143"/>
      <c r="AU1318" s="142"/>
      <c r="AV1318" s="143"/>
      <c r="AW1318" s="147"/>
      <c r="AX1318" s="147"/>
      <c r="AY1318" s="148">
        <v>47520</v>
      </c>
      <c r="AZ1318" s="148">
        <f>ROUNDDOWN(AY1318+(AY1318*MASTER!$A$2/100),0)</f>
        <v>52272</v>
      </c>
      <c r="BA1318" s="142"/>
      <c r="BB1318" s="146"/>
      <c r="BC1318" s="146">
        <v>0</v>
      </c>
      <c r="BD1318" s="142"/>
      <c r="BE1318" s="142"/>
      <c r="BF1318" s="146"/>
      <c r="BG1318" s="146">
        <v>0</v>
      </c>
      <c r="BH1318" s="142"/>
      <c r="BI1318" s="142"/>
      <c r="BJ1318" s="146"/>
      <c r="BK1318" s="146">
        <v>0</v>
      </c>
      <c r="BL1318" s="142"/>
      <c r="BM1318" s="146"/>
      <c r="BN1318" s="146"/>
      <c r="BO1318" s="146"/>
      <c r="BP1318" s="146"/>
      <c r="BQ1318" s="146"/>
      <c r="BR1318" s="146"/>
      <c r="BS1318" s="146">
        <v>0</v>
      </c>
      <c r="BT1318" s="149"/>
      <c r="BU1318" s="149"/>
      <c r="BV1318" s="150">
        <v>54450</v>
      </c>
      <c r="BW1318" s="150">
        <v>0</v>
      </c>
      <c r="BX1318" s="150">
        <v>44734</v>
      </c>
      <c r="BY1318" s="150">
        <v>54450</v>
      </c>
      <c r="BZ1318" s="151">
        <v>100</v>
      </c>
      <c r="CA1318" s="142"/>
      <c r="CB1318" s="142"/>
      <c r="CC1318" s="142"/>
      <c r="CD1318" s="145" t="s">
        <v>4449</v>
      </c>
      <c r="CE1318" s="143"/>
      <c r="CF1318" s="143"/>
      <c r="CG1318" s="143"/>
      <c r="CH1318" s="143"/>
      <c r="CI1318" s="143"/>
      <c r="CJ1318" s="143"/>
      <c r="CK1318" s="146"/>
    </row>
    <row r="1319" spans="1:89" x14ac:dyDescent="0.15">
      <c r="A1319" s="60">
        <v>1</v>
      </c>
      <c r="B1319" s="61">
        <v>44778</v>
      </c>
      <c r="C1319" s="61">
        <v>44778</v>
      </c>
      <c r="F1319" s="61" t="s">
        <v>309</v>
      </c>
      <c r="H1319" s="61" t="s">
        <v>309</v>
      </c>
      <c r="J1319" s="60">
        <v>3</v>
      </c>
      <c r="L1319" s="60">
        <v>0</v>
      </c>
      <c r="M1319" s="61">
        <v>44734</v>
      </c>
      <c r="O1319" s="62" t="s">
        <v>331</v>
      </c>
      <c r="P1319" s="60" t="s">
        <v>6</v>
      </c>
      <c r="Q1319" s="62" t="s">
        <v>138</v>
      </c>
      <c r="R1319" s="62" t="s">
        <v>4296</v>
      </c>
      <c r="S1319" s="63" t="s">
        <v>1910</v>
      </c>
      <c r="T1319" s="63" t="s">
        <v>463</v>
      </c>
      <c r="U1319" s="64">
        <v>9000</v>
      </c>
      <c r="V1319" s="64">
        <v>9900</v>
      </c>
      <c r="X1319" s="64">
        <v>0</v>
      </c>
      <c r="Y1319" s="64">
        <v>9000</v>
      </c>
      <c r="Z1319" s="64">
        <v>9900</v>
      </c>
      <c r="AD1319" s="60">
        <v>0</v>
      </c>
      <c r="AG1319" s="60">
        <v>0</v>
      </c>
      <c r="AJ1319" s="60">
        <v>0</v>
      </c>
      <c r="AN1319" s="60" t="s">
        <v>309</v>
      </c>
      <c r="AQ1319" s="60" t="s">
        <v>3790</v>
      </c>
      <c r="AR1319" s="61">
        <v>44741</v>
      </c>
      <c r="AS1319" s="60">
        <v>6002046348</v>
      </c>
      <c r="AT1319" s="61">
        <v>44743</v>
      </c>
      <c r="AU1319" s="60" t="s">
        <v>3890</v>
      </c>
      <c r="AV1319" s="61">
        <v>44778</v>
      </c>
      <c r="AW1319" s="91">
        <v>44804</v>
      </c>
      <c r="AX1319" s="91">
        <v>44824</v>
      </c>
      <c r="AY1319" s="99">
        <v>8640</v>
      </c>
      <c r="AZ1319" s="99">
        <f>ROUNDDOWN(AY1319+(AY1319*MASTER!$A$2/100),0)</f>
        <v>9504</v>
      </c>
      <c r="BC1319" s="64">
        <v>0</v>
      </c>
      <c r="BG1319" s="64">
        <v>0</v>
      </c>
      <c r="BK1319" s="64">
        <v>0</v>
      </c>
      <c r="BS1319" s="64">
        <v>0</v>
      </c>
      <c r="BV1319" s="65">
        <v>0</v>
      </c>
      <c r="BW1319" s="65">
        <v>0</v>
      </c>
      <c r="BX1319" s="65">
        <v>44734</v>
      </c>
      <c r="BY1319" s="65">
        <v>0</v>
      </c>
      <c r="BZ1319" s="81" t="s">
        <v>309</v>
      </c>
    </row>
    <row r="1320" spans="1:89" x14ac:dyDescent="0.15">
      <c r="A1320" s="60">
        <v>2</v>
      </c>
      <c r="B1320" s="61">
        <v>44771</v>
      </c>
      <c r="C1320" s="61">
        <v>44774</v>
      </c>
      <c r="D1320" s="61" t="s">
        <v>764</v>
      </c>
      <c r="E1320" s="61">
        <v>44785</v>
      </c>
      <c r="F1320" s="61">
        <v>44781</v>
      </c>
      <c r="G1320" s="61">
        <v>44775</v>
      </c>
      <c r="H1320" s="61">
        <v>44777</v>
      </c>
      <c r="I1320" s="60" t="s">
        <v>511</v>
      </c>
      <c r="J1320" s="60">
        <v>1</v>
      </c>
      <c r="L1320" s="60">
        <v>0</v>
      </c>
      <c r="M1320" s="61">
        <v>44734</v>
      </c>
      <c r="O1320" s="62" t="s">
        <v>331</v>
      </c>
      <c r="P1320" s="60" t="s">
        <v>26</v>
      </c>
      <c r="Q1320" s="62" t="s">
        <v>138</v>
      </c>
      <c r="R1320" s="62" t="s">
        <v>4099</v>
      </c>
      <c r="S1320" s="63" t="s">
        <v>563</v>
      </c>
      <c r="T1320" s="63" t="s">
        <v>502</v>
      </c>
      <c r="U1320" s="64">
        <v>23900</v>
      </c>
      <c r="V1320" s="64">
        <v>26290</v>
      </c>
      <c r="W1320" s="64">
        <v>14700</v>
      </c>
      <c r="X1320" s="64">
        <v>16170</v>
      </c>
      <c r="Y1320" s="64">
        <v>9200</v>
      </c>
      <c r="Z1320" s="64">
        <v>10120</v>
      </c>
      <c r="AA1320" s="61">
        <v>44773</v>
      </c>
      <c r="AB1320" s="61">
        <v>44774</v>
      </c>
      <c r="AC1320" s="61">
        <v>44774</v>
      </c>
      <c r="AD1320" s="60">
        <v>0</v>
      </c>
      <c r="AG1320" s="60">
        <v>0</v>
      </c>
      <c r="AJ1320" s="60">
        <v>0</v>
      </c>
      <c r="AM1320" s="60" t="s">
        <v>273</v>
      </c>
      <c r="AN1320" s="60" t="s">
        <v>4100</v>
      </c>
      <c r="AQ1320" s="60" t="s">
        <v>3891</v>
      </c>
      <c r="AR1320" s="61">
        <v>44747</v>
      </c>
      <c r="AS1320" s="60">
        <v>6002048034</v>
      </c>
      <c r="AT1320" s="61">
        <v>44747</v>
      </c>
      <c r="AU1320" s="60" t="s">
        <v>3917</v>
      </c>
      <c r="AV1320" s="61">
        <v>44774</v>
      </c>
      <c r="AW1320" s="91">
        <v>44804</v>
      </c>
      <c r="AX1320" s="91">
        <v>44824</v>
      </c>
      <c r="AY1320" s="99">
        <v>22944</v>
      </c>
      <c r="AZ1320" s="99">
        <f>ROUNDDOWN(AY1320+(AY1320*MASTER!$A$2/100),0)</f>
        <v>25238</v>
      </c>
      <c r="BA1320" s="60" t="s">
        <v>765</v>
      </c>
      <c r="BC1320" s="64">
        <v>0</v>
      </c>
      <c r="BG1320" s="64">
        <v>0</v>
      </c>
      <c r="BI1320" s="60" t="s">
        <v>267</v>
      </c>
      <c r="BJ1320" s="64">
        <v>5980</v>
      </c>
      <c r="BK1320" s="64">
        <v>6578</v>
      </c>
      <c r="BL1320" s="60" t="s">
        <v>4069</v>
      </c>
      <c r="BS1320" s="64">
        <v>0</v>
      </c>
      <c r="BV1320" s="65">
        <v>16170</v>
      </c>
      <c r="BW1320" s="65">
        <v>6578</v>
      </c>
      <c r="BX1320" s="65">
        <v>44734</v>
      </c>
      <c r="BY1320" s="65">
        <v>9592</v>
      </c>
      <c r="BZ1320" s="81">
        <v>59.319727891156461</v>
      </c>
    </row>
    <row r="1321" spans="1:89" x14ac:dyDescent="0.15">
      <c r="A1321" s="60">
        <v>2</v>
      </c>
      <c r="B1321" s="61">
        <v>44774</v>
      </c>
      <c r="C1321" s="61">
        <v>44783</v>
      </c>
      <c r="D1321" s="61" t="s">
        <v>764</v>
      </c>
      <c r="E1321" s="61">
        <v>44785</v>
      </c>
      <c r="F1321" s="61">
        <v>44790</v>
      </c>
      <c r="G1321" s="61">
        <v>44784</v>
      </c>
      <c r="H1321" s="61">
        <v>44786</v>
      </c>
      <c r="I1321" s="60" t="s">
        <v>774</v>
      </c>
      <c r="J1321" s="60">
        <v>1</v>
      </c>
      <c r="L1321" s="60">
        <v>0</v>
      </c>
      <c r="M1321" s="61">
        <v>44734</v>
      </c>
      <c r="O1321" s="62" t="s">
        <v>331</v>
      </c>
      <c r="P1321" s="60" t="s">
        <v>26</v>
      </c>
      <c r="Q1321" s="62" t="s">
        <v>138</v>
      </c>
      <c r="R1321" s="62" t="s">
        <v>4253</v>
      </c>
      <c r="S1321" s="63" t="s">
        <v>707</v>
      </c>
      <c r="T1321" s="63" t="s">
        <v>2455</v>
      </c>
      <c r="U1321" s="64">
        <v>23900</v>
      </c>
      <c r="V1321" s="64">
        <v>26290</v>
      </c>
      <c r="W1321" s="64">
        <v>14700</v>
      </c>
      <c r="X1321" s="64">
        <v>16170</v>
      </c>
      <c r="Y1321" s="64">
        <v>9200</v>
      </c>
      <c r="Z1321" s="64">
        <v>10120</v>
      </c>
      <c r="AA1321" s="61">
        <v>44781</v>
      </c>
      <c r="AB1321" s="61">
        <v>44783</v>
      </c>
      <c r="AC1321" s="61">
        <v>44783</v>
      </c>
      <c r="AD1321" s="60">
        <v>0</v>
      </c>
      <c r="AG1321" s="60">
        <v>0</v>
      </c>
      <c r="AJ1321" s="60">
        <v>0</v>
      </c>
      <c r="AM1321" s="60" t="s">
        <v>273</v>
      </c>
      <c r="AN1321" s="60" t="s">
        <v>4254</v>
      </c>
      <c r="AQ1321" s="60" t="s">
        <v>4026</v>
      </c>
      <c r="AR1321" s="61">
        <v>44757</v>
      </c>
      <c r="AS1321" s="60">
        <v>6002052729</v>
      </c>
      <c r="AT1321" s="61">
        <v>44761</v>
      </c>
      <c r="AU1321" s="60" t="s">
        <v>4029</v>
      </c>
      <c r="AV1321" s="61">
        <v>44783</v>
      </c>
      <c r="AW1321" s="91">
        <v>44804</v>
      </c>
      <c r="AX1321" s="91">
        <v>44824</v>
      </c>
      <c r="AY1321" s="99">
        <v>22944</v>
      </c>
      <c r="AZ1321" s="99">
        <f>ROUNDDOWN(AY1321+(AY1321*MASTER!$A$2/100),0)</f>
        <v>25238</v>
      </c>
      <c r="BA1321" s="60" t="s">
        <v>765</v>
      </c>
      <c r="BC1321" s="64">
        <v>0</v>
      </c>
      <c r="BG1321" s="64">
        <v>0</v>
      </c>
      <c r="BI1321" s="60" t="s">
        <v>267</v>
      </c>
      <c r="BJ1321" s="64">
        <v>5980</v>
      </c>
      <c r="BK1321" s="64">
        <v>6578</v>
      </c>
      <c r="BL1321" s="60" t="s">
        <v>4069</v>
      </c>
      <c r="BS1321" s="64">
        <v>0</v>
      </c>
      <c r="BV1321" s="65">
        <v>16170</v>
      </c>
      <c r="BW1321" s="65">
        <v>6578</v>
      </c>
      <c r="BX1321" s="65">
        <v>44734</v>
      </c>
      <c r="BY1321" s="65">
        <v>9592</v>
      </c>
      <c r="BZ1321" s="81">
        <v>59.319727891156461</v>
      </c>
    </row>
    <row r="1322" spans="1:89" x14ac:dyDescent="0.15">
      <c r="A1322" s="60">
        <v>2</v>
      </c>
      <c r="B1322" s="61">
        <v>44774</v>
      </c>
      <c r="C1322" s="61">
        <v>44782</v>
      </c>
      <c r="D1322" s="61" t="s">
        <v>764</v>
      </c>
      <c r="E1322" s="61">
        <v>44785</v>
      </c>
      <c r="F1322" s="61">
        <v>44788</v>
      </c>
      <c r="H1322" s="61">
        <v>44784</v>
      </c>
      <c r="I1322" s="60" t="s">
        <v>511</v>
      </c>
      <c r="J1322" s="60">
        <v>1</v>
      </c>
      <c r="L1322" s="60">
        <v>0</v>
      </c>
      <c r="M1322" s="61">
        <v>44734</v>
      </c>
      <c r="O1322" s="62" t="s">
        <v>331</v>
      </c>
      <c r="P1322" s="60" t="s">
        <v>26</v>
      </c>
      <c r="Q1322" s="62" t="s">
        <v>138</v>
      </c>
      <c r="R1322" s="62" t="s">
        <v>4244</v>
      </c>
      <c r="S1322" s="63" t="s">
        <v>4245</v>
      </c>
      <c r="T1322" s="63" t="s">
        <v>502</v>
      </c>
      <c r="U1322" s="64">
        <v>23900</v>
      </c>
      <c r="V1322" s="64">
        <v>26290</v>
      </c>
      <c r="W1322" s="64">
        <v>14700</v>
      </c>
      <c r="X1322" s="64">
        <v>16170</v>
      </c>
      <c r="Y1322" s="64">
        <v>9200</v>
      </c>
      <c r="Z1322" s="64">
        <v>10120</v>
      </c>
      <c r="AA1322" s="61">
        <v>44780</v>
      </c>
      <c r="AB1322" s="61">
        <v>44782</v>
      </c>
      <c r="AC1322" s="61">
        <v>44781</v>
      </c>
      <c r="AD1322" s="60">
        <v>0</v>
      </c>
      <c r="AG1322" s="60">
        <v>0</v>
      </c>
      <c r="AJ1322" s="60">
        <v>0</v>
      </c>
      <c r="AM1322" s="60" t="s">
        <v>273</v>
      </c>
      <c r="AN1322" s="60" t="s">
        <v>4246</v>
      </c>
      <c r="AQ1322" s="60" t="s">
        <v>3924</v>
      </c>
      <c r="AR1322" s="61">
        <v>44748</v>
      </c>
      <c r="AS1322" s="60">
        <v>6002048898</v>
      </c>
      <c r="AT1322" s="61">
        <v>44749</v>
      </c>
      <c r="AU1322" s="60" t="s">
        <v>3945</v>
      </c>
      <c r="AV1322" s="61">
        <v>44782</v>
      </c>
      <c r="AW1322" s="91">
        <v>44804</v>
      </c>
      <c r="AX1322" s="91">
        <v>44824</v>
      </c>
      <c r="AY1322" s="99">
        <v>22944</v>
      </c>
      <c r="AZ1322" s="99">
        <f>ROUNDDOWN(AY1322+(AY1322*MASTER!$A$2/100),0)</f>
        <v>25238</v>
      </c>
      <c r="BA1322" s="60" t="s">
        <v>765</v>
      </c>
      <c r="BC1322" s="64">
        <v>0</v>
      </c>
      <c r="BG1322" s="64">
        <v>0</v>
      </c>
      <c r="BI1322" s="60" t="s">
        <v>267</v>
      </c>
      <c r="BJ1322" s="64">
        <v>5980</v>
      </c>
      <c r="BK1322" s="64">
        <v>6578</v>
      </c>
      <c r="BL1322" s="60" t="s">
        <v>4069</v>
      </c>
      <c r="BS1322" s="64">
        <v>0</v>
      </c>
      <c r="BV1322" s="65">
        <v>16170</v>
      </c>
      <c r="BW1322" s="65">
        <v>6578</v>
      </c>
      <c r="BX1322" s="65">
        <v>44734</v>
      </c>
      <c r="BY1322" s="65">
        <v>9592</v>
      </c>
      <c r="BZ1322" s="81">
        <v>59.319727891156461</v>
      </c>
    </row>
    <row r="1323" spans="1:89" x14ac:dyDescent="0.15">
      <c r="A1323" s="60">
        <v>2</v>
      </c>
      <c r="B1323" s="61">
        <v>44790</v>
      </c>
      <c r="C1323" s="61">
        <v>44796</v>
      </c>
      <c r="D1323" s="61">
        <v>44806</v>
      </c>
      <c r="E1323" s="61">
        <v>44798</v>
      </c>
      <c r="F1323" s="61">
        <v>44803</v>
      </c>
      <c r="G1323" s="61">
        <v>44796</v>
      </c>
      <c r="H1323" s="61">
        <v>44799</v>
      </c>
      <c r="I1323" s="60" t="s">
        <v>511</v>
      </c>
      <c r="J1323" s="60">
        <v>1</v>
      </c>
      <c r="L1323" s="60">
        <v>0</v>
      </c>
      <c r="M1323" s="61">
        <v>44734</v>
      </c>
      <c r="O1323" s="62" t="s">
        <v>331</v>
      </c>
      <c r="P1323" s="60" t="s">
        <v>26</v>
      </c>
      <c r="Q1323" s="62" t="s">
        <v>138</v>
      </c>
      <c r="R1323" s="62" t="s">
        <v>4356</v>
      </c>
      <c r="S1323" s="63" t="s">
        <v>4357</v>
      </c>
      <c r="T1323" s="63" t="s">
        <v>621</v>
      </c>
      <c r="U1323" s="64">
        <v>50000</v>
      </c>
      <c r="V1323" s="64">
        <v>55000</v>
      </c>
      <c r="W1323" s="64">
        <v>47000</v>
      </c>
      <c r="X1323" s="64">
        <v>51700</v>
      </c>
      <c r="Y1323" s="64">
        <v>3000</v>
      </c>
      <c r="Z1323" s="64">
        <v>3300</v>
      </c>
      <c r="AA1323" s="61">
        <v>44795</v>
      </c>
      <c r="AB1323" s="61">
        <v>44796</v>
      </c>
      <c r="AC1323" s="61">
        <v>44796</v>
      </c>
      <c r="AD1323" s="60">
        <v>0</v>
      </c>
      <c r="AG1323" s="60">
        <v>0</v>
      </c>
      <c r="AJ1323" s="60">
        <v>0</v>
      </c>
      <c r="AM1323" s="60" t="s">
        <v>273</v>
      </c>
      <c r="AN1323" s="60" t="s">
        <v>4358</v>
      </c>
      <c r="AQ1323" s="60" t="s">
        <v>3926</v>
      </c>
      <c r="AR1323" s="61">
        <v>44748</v>
      </c>
      <c r="AS1323" s="60">
        <v>6002048898</v>
      </c>
      <c r="AT1323" s="61">
        <v>44749</v>
      </c>
      <c r="AU1323" s="60" t="s">
        <v>3945</v>
      </c>
      <c r="AV1323" s="61">
        <v>44796</v>
      </c>
      <c r="AW1323" s="91">
        <v>44804</v>
      </c>
      <c r="AX1323" s="91">
        <v>44824</v>
      </c>
      <c r="AY1323" s="99">
        <v>48000</v>
      </c>
      <c r="AZ1323" s="99">
        <f>ROUNDDOWN(AY1323+(AY1323*MASTER!$A$2/100),0)</f>
        <v>52800</v>
      </c>
      <c r="BA1323" s="60" t="s">
        <v>613</v>
      </c>
      <c r="BB1323" s="64">
        <v>32000</v>
      </c>
      <c r="BC1323" s="64">
        <v>35200</v>
      </c>
      <c r="BD1323" s="60" t="s">
        <v>3940</v>
      </c>
      <c r="BG1323" s="64">
        <v>0</v>
      </c>
      <c r="BI1323" s="60" t="s">
        <v>748</v>
      </c>
      <c r="BJ1323" s="64">
        <v>1950</v>
      </c>
      <c r="BK1323" s="64">
        <v>2145</v>
      </c>
      <c r="BL1323" s="60" t="s">
        <v>3940</v>
      </c>
      <c r="BS1323" s="64">
        <v>0</v>
      </c>
      <c r="BV1323" s="65">
        <v>51700</v>
      </c>
      <c r="BW1323" s="65">
        <v>37345</v>
      </c>
      <c r="BX1323" s="65">
        <v>44734</v>
      </c>
      <c r="BY1323" s="65">
        <v>14355</v>
      </c>
      <c r="BZ1323" s="81">
        <v>27.76595744680851</v>
      </c>
    </row>
    <row r="1324" spans="1:89" x14ac:dyDescent="0.15">
      <c r="A1324" s="60">
        <v>1</v>
      </c>
      <c r="B1324" s="61">
        <v>44775</v>
      </c>
      <c r="C1324" s="61">
        <v>44784</v>
      </c>
      <c r="D1324" s="61">
        <v>44809</v>
      </c>
      <c r="E1324" s="61">
        <v>44785</v>
      </c>
      <c r="F1324" s="61">
        <v>44791</v>
      </c>
      <c r="G1324" s="61">
        <v>44783</v>
      </c>
      <c r="H1324" s="61">
        <v>44787</v>
      </c>
      <c r="I1324" s="60" t="s">
        <v>774</v>
      </c>
      <c r="J1324" s="60">
        <v>1</v>
      </c>
      <c r="L1324" s="60">
        <v>0</v>
      </c>
      <c r="M1324" s="61">
        <v>44734</v>
      </c>
      <c r="O1324" s="62" t="s">
        <v>331</v>
      </c>
      <c r="P1324" s="60" t="s">
        <v>26</v>
      </c>
      <c r="Q1324" s="62" t="s">
        <v>138</v>
      </c>
      <c r="R1324" s="62" t="s">
        <v>4267</v>
      </c>
      <c r="S1324" s="63" t="s">
        <v>1207</v>
      </c>
      <c r="T1324" s="63" t="s">
        <v>1208</v>
      </c>
      <c r="U1324" s="64">
        <v>170500</v>
      </c>
      <c r="V1324" s="64">
        <v>187550</v>
      </c>
      <c r="W1324" s="64">
        <v>78000</v>
      </c>
      <c r="X1324" s="64">
        <v>85800</v>
      </c>
      <c r="Y1324" s="64">
        <v>92500</v>
      </c>
      <c r="Z1324" s="64">
        <v>101750</v>
      </c>
      <c r="AA1324" s="61">
        <v>44782</v>
      </c>
      <c r="AB1324" s="61">
        <v>44784</v>
      </c>
      <c r="AC1324" s="61">
        <v>44784</v>
      </c>
      <c r="AD1324" s="60">
        <v>0</v>
      </c>
      <c r="AG1324" s="60">
        <v>0</v>
      </c>
      <c r="AJ1324" s="60">
        <v>0</v>
      </c>
      <c r="AM1324" s="60" t="s">
        <v>273</v>
      </c>
      <c r="AN1324" s="60" t="s">
        <v>4268</v>
      </c>
      <c r="AQ1324" s="60" t="s">
        <v>3921</v>
      </c>
      <c r="AR1324" s="61">
        <v>44748</v>
      </c>
      <c r="AS1324" s="60">
        <v>6002048898</v>
      </c>
      <c r="AT1324" s="61">
        <v>44749</v>
      </c>
      <c r="AU1324" s="60" t="s">
        <v>3945</v>
      </c>
      <c r="AV1324" s="61">
        <v>44784</v>
      </c>
      <c r="AW1324" s="91">
        <v>44804</v>
      </c>
      <c r="AX1324" s="91">
        <v>44824</v>
      </c>
      <c r="AY1324" s="99">
        <v>163680</v>
      </c>
      <c r="AZ1324" s="99">
        <f>ROUNDDOWN(AY1324+(AY1324*MASTER!$A$2/100),0)</f>
        <v>180048</v>
      </c>
      <c r="BA1324" s="60" t="s">
        <v>317</v>
      </c>
      <c r="BB1324" s="64">
        <v>38000</v>
      </c>
      <c r="BC1324" s="64">
        <v>41800</v>
      </c>
      <c r="BD1324" s="60" t="s">
        <v>3940</v>
      </c>
      <c r="BG1324" s="64">
        <v>0</v>
      </c>
      <c r="BI1324" s="60" t="s">
        <v>748</v>
      </c>
      <c r="BJ1324" s="64">
        <v>60125</v>
      </c>
      <c r="BK1324" s="64">
        <v>66137.5</v>
      </c>
      <c r="BL1324" s="60" t="s">
        <v>3940</v>
      </c>
      <c r="BS1324" s="64">
        <v>0</v>
      </c>
      <c r="BV1324" s="65">
        <v>85800</v>
      </c>
      <c r="BW1324" s="65">
        <v>107937.5</v>
      </c>
      <c r="BX1324" s="65">
        <v>44734</v>
      </c>
      <c r="BY1324" s="65">
        <v>-22137.5</v>
      </c>
      <c r="BZ1324" s="81">
        <v>-25.801282051282055</v>
      </c>
    </row>
    <row r="1325" spans="1:89" x14ac:dyDescent="0.15">
      <c r="A1325" s="60">
        <v>1</v>
      </c>
      <c r="B1325" s="61">
        <v>44743</v>
      </c>
      <c r="C1325" s="61">
        <v>44746</v>
      </c>
      <c r="F1325" s="61" t="s">
        <v>309</v>
      </c>
      <c r="H1325" s="61" t="s">
        <v>309</v>
      </c>
      <c r="J1325" s="60">
        <v>2</v>
      </c>
      <c r="L1325" s="60">
        <v>0</v>
      </c>
      <c r="M1325" s="61">
        <v>44735</v>
      </c>
      <c r="O1325" s="62" t="s">
        <v>331</v>
      </c>
      <c r="P1325" s="60" t="s">
        <v>26</v>
      </c>
      <c r="Q1325" s="62" t="s">
        <v>138</v>
      </c>
      <c r="R1325" s="62" t="s">
        <v>3726</v>
      </c>
      <c r="S1325" s="63" t="s">
        <v>658</v>
      </c>
      <c r="T1325" s="63" t="s">
        <v>3725</v>
      </c>
      <c r="U1325" s="64">
        <v>42000</v>
      </c>
      <c r="V1325" s="64">
        <v>46200</v>
      </c>
      <c r="W1325" s="64">
        <v>42000</v>
      </c>
      <c r="X1325" s="64">
        <v>46200</v>
      </c>
      <c r="Y1325" s="64">
        <v>0</v>
      </c>
      <c r="Z1325" s="64">
        <v>0</v>
      </c>
      <c r="AA1325" s="61">
        <v>44743</v>
      </c>
      <c r="AD1325" s="60">
        <v>0</v>
      </c>
      <c r="AG1325" s="60">
        <v>0</v>
      </c>
      <c r="AJ1325" s="60">
        <v>0</v>
      </c>
      <c r="AQ1325" s="60" t="s">
        <v>3668</v>
      </c>
      <c r="AR1325" s="61">
        <v>44739</v>
      </c>
      <c r="AS1325" s="60">
        <v>6002045513</v>
      </c>
      <c r="AT1325" s="61">
        <v>44739</v>
      </c>
      <c r="AU1325" s="60" t="s">
        <v>3767</v>
      </c>
      <c r="AV1325" s="61">
        <v>44746</v>
      </c>
      <c r="AW1325" s="91">
        <v>44773</v>
      </c>
      <c r="AX1325" s="91">
        <v>44793</v>
      </c>
      <c r="AY1325" s="107">
        <v>42000</v>
      </c>
      <c r="AZ1325" s="107">
        <f>ROUNDDOWN(AY1325+(AY1325*MASTER!$A$2/100),0)</f>
        <v>46200</v>
      </c>
      <c r="BC1325" s="64">
        <v>0</v>
      </c>
      <c r="BG1325" s="64">
        <v>0</v>
      </c>
      <c r="BK1325" s="64">
        <v>0</v>
      </c>
      <c r="BS1325" s="64">
        <v>0</v>
      </c>
      <c r="BV1325" s="65">
        <v>46200</v>
      </c>
      <c r="BW1325" s="65">
        <v>0</v>
      </c>
      <c r="BX1325" s="65">
        <v>44735</v>
      </c>
      <c r="BY1325" s="65">
        <v>46200</v>
      </c>
      <c r="BZ1325" s="81">
        <v>100</v>
      </c>
    </row>
    <row r="1326" spans="1:89" x14ac:dyDescent="0.15">
      <c r="A1326" s="60">
        <v>2</v>
      </c>
      <c r="B1326" s="61">
        <v>44762</v>
      </c>
      <c r="C1326" s="61">
        <v>44767</v>
      </c>
      <c r="D1326" s="61">
        <v>44783</v>
      </c>
      <c r="E1326" s="61">
        <v>44763</v>
      </c>
      <c r="F1326" s="61">
        <v>44764</v>
      </c>
      <c r="G1326" s="61">
        <v>44761</v>
      </c>
      <c r="H1326" s="61">
        <v>44760</v>
      </c>
      <c r="I1326" s="60" t="s">
        <v>511</v>
      </c>
      <c r="J1326" s="60">
        <v>2</v>
      </c>
      <c r="L1326" s="60">
        <v>0</v>
      </c>
      <c r="M1326" s="61">
        <v>44735</v>
      </c>
      <c r="O1326" s="62" t="s">
        <v>331</v>
      </c>
      <c r="P1326" s="60" t="s">
        <v>26</v>
      </c>
      <c r="Q1326" s="62" t="s">
        <v>138</v>
      </c>
      <c r="R1326" s="62" t="s">
        <v>4041</v>
      </c>
      <c r="S1326" s="63" t="s">
        <v>513</v>
      </c>
      <c r="T1326" s="63" t="s">
        <v>3425</v>
      </c>
      <c r="U1326" s="64">
        <v>47000</v>
      </c>
      <c r="V1326" s="64">
        <v>51700</v>
      </c>
      <c r="W1326" s="64">
        <v>47000</v>
      </c>
      <c r="X1326" s="64">
        <v>51700</v>
      </c>
      <c r="Z1326" s="64">
        <v>0</v>
      </c>
      <c r="AA1326" s="61">
        <v>44756</v>
      </c>
      <c r="AB1326" s="61">
        <v>44757</v>
      </c>
      <c r="AC1326" s="61">
        <v>44757</v>
      </c>
      <c r="AD1326" s="60">
        <v>0</v>
      </c>
      <c r="AG1326" s="60">
        <v>0</v>
      </c>
      <c r="AJ1326" s="60">
        <v>0</v>
      </c>
      <c r="AM1326" s="60" t="s">
        <v>273</v>
      </c>
      <c r="AN1326" s="60" t="s">
        <v>4042</v>
      </c>
      <c r="AQ1326" s="60" t="s">
        <v>3884</v>
      </c>
      <c r="AR1326" s="61">
        <v>44743</v>
      </c>
      <c r="AS1326" s="60">
        <v>6002047169</v>
      </c>
      <c r="AT1326" s="61">
        <v>44743</v>
      </c>
      <c r="AU1326" s="60" t="s">
        <v>3889</v>
      </c>
      <c r="AV1326" s="61">
        <v>44767</v>
      </c>
      <c r="AW1326" s="91">
        <v>44773</v>
      </c>
      <c r="AX1326" s="91">
        <v>44793</v>
      </c>
      <c r="AY1326" s="99">
        <v>45120</v>
      </c>
      <c r="AZ1326" s="99">
        <f>ROUNDDOWN(AY1326+(AY1326*MASTER!$A$2/100),0)</f>
        <v>49632</v>
      </c>
      <c r="BA1326" s="60" t="s">
        <v>314</v>
      </c>
      <c r="BB1326" s="64">
        <v>33000</v>
      </c>
      <c r="BC1326" s="64">
        <v>36300</v>
      </c>
      <c r="BD1326" s="60" t="s">
        <v>3800</v>
      </c>
      <c r="BG1326" s="64">
        <v>0</v>
      </c>
      <c r="BK1326" s="64">
        <v>0</v>
      </c>
      <c r="BS1326" s="64">
        <v>0</v>
      </c>
      <c r="BV1326" s="65">
        <v>51700</v>
      </c>
      <c r="BW1326" s="65">
        <v>36300</v>
      </c>
      <c r="BX1326" s="65">
        <v>44735</v>
      </c>
      <c r="BY1326" s="65">
        <v>15400</v>
      </c>
      <c r="BZ1326" s="81">
        <v>29.787234042553191</v>
      </c>
    </row>
    <row r="1327" spans="1:89" x14ac:dyDescent="0.15">
      <c r="A1327" s="60">
        <v>1</v>
      </c>
      <c r="B1327" s="61">
        <v>44762</v>
      </c>
      <c r="C1327" s="61">
        <v>44762</v>
      </c>
      <c r="F1327" s="61" t="s">
        <v>309</v>
      </c>
      <c r="H1327" s="61" t="s">
        <v>309</v>
      </c>
      <c r="J1327" s="60">
        <v>2</v>
      </c>
      <c r="L1327" s="60">
        <v>0</v>
      </c>
      <c r="M1327" s="61">
        <v>44736</v>
      </c>
      <c r="O1327" s="62" t="s">
        <v>331</v>
      </c>
      <c r="P1327" s="60" t="s">
        <v>26</v>
      </c>
      <c r="Q1327" s="62" t="s">
        <v>138</v>
      </c>
      <c r="R1327" s="62" t="s">
        <v>4043</v>
      </c>
      <c r="S1327" s="63" t="s">
        <v>354</v>
      </c>
      <c r="T1327" s="63" t="s">
        <v>4044</v>
      </c>
      <c r="U1327" s="64">
        <v>304000</v>
      </c>
      <c r="V1327" s="64">
        <v>334400</v>
      </c>
      <c r="W1327" s="64">
        <v>304000</v>
      </c>
      <c r="X1327" s="64">
        <v>334400</v>
      </c>
      <c r="Z1327" s="64">
        <v>0</v>
      </c>
      <c r="AA1327" s="61">
        <v>44728</v>
      </c>
      <c r="AB1327" s="61">
        <v>44736</v>
      </c>
      <c r="AD1327" s="60">
        <v>0</v>
      </c>
      <c r="AG1327" s="60">
        <v>0</v>
      </c>
      <c r="AJ1327" s="60">
        <v>0</v>
      </c>
      <c r="AN1327" s="60" t="s">
        <v>309</v>
      </c>
      <c r="AQ1327" s="60" t="s">
        <v>4015</v>
      </c>
      <c r="AR1327" s="61">
        <v>44756</v>
      </c>
      <c r="AS1327" s="60">
        <v>6002052314</v>
      </c>
      <c r="AT1327" s="61">
        <v>44757</v>
      </c>
      <c r="AU1327" s="60" t="s">
        <v>4028</v>
      </c>
      <c r="AV1327" s="61">
        <v>44762</v>
      </c>
      <c r="AW1327" s="91">
        <v>44773</v>
      </c>
      <c r="AX1327" s="91">
        <v>44793</v>
      </c>
      <c r="AY1327" s="107">
        <v>304000</v>
      </c>
      <c r="AZ1327" s="107">
        <v>334400</v>
      </c>
      <c r="BC1327" s="64">
        <v>0</v>
      </c>
      <c r="BG1327" s="64">
        <v>0</v>
      </c>
      <c r="BK1327" s="64">
        <v>0</v>
      </c>
      <c r="BS1327" s="64">
        <v>0</v>
      </c>
      <c r="BV1327" s="65">
        <v>334400</v>
      </c>
      <c r="BW1327" s="65">
        <v>0</v>
      </c>
      <c r="BX1327" s="65">
        <v>44736</v>
      </c>
      <c r="BY1327" s="65">
        <v>334400</v>
      </c>
      <c r="BZ1327" s="81">
        <v>100</v>
      </c>
    </row>
    <row r="1328" spans="1:89" x14ac:dyDescent="0.15">
      <c r="A1328" s="60">
        <v>1</v>
      </c>
      <c r="C1328" s="61" t="s">
        <v>309</v>
      </c>
      <c r="F1328" s="61" t="s">
        <v>309</v>
      </c>
      <c r="H1328" s="61" t="s">
        <v>309</v>
      </c>
      <c r="J1328" s="60">
        <v>4</v>
      </c>
      <c r="L1328" s="60">
        <v>0</v>
      </c>
      <c r="M1328" s="61">
        <v>44736</v>
      </c>
      <c r="O1328" s="62" t="s">
        <v>331</v>
      </c>
      <c r="P1328" s="60" t="s">
        <v>263</v>
      </c>
      <c r="Q1328" s="62" t="s">
        <v>138</v>
      </c>
      <c r="R1328" s="62" t="s">
        <v>3738</v>
      </c>
      <c r="S1328" s="63" t="s">
        <v>326</v>
      </c>
      <c r="T1328" s="63" t="s">
        <v>3740</v>
      </c>
      <c r="U1328" s="64">
        <v>0</v>
      </c>
      <c r="V1328" s="64">
        <v>0</v>
      </c>
      <c r="W1328" s="64">
        <v>0</v>
      </c>
      <c r="X1328" s="64">
        <v>0</v>
      </c>
      <c r="Y1328" s="64">
        <v>0</v>
      </c>
      <c r="Z1328" s="64">
        <v>0</v>
      </c>
      <c r="AD1328" s="60">
        <v>0</v>
      </c>
      <c r="AG1328" s="60">
        <v>0</v>
      </c>
      <c r="AJ1328" s="60">
        <v>0</v>
      </c>
      <c r="AY1328" s="99">
        <f>ROUNDDOWN((0.96*U1328),0)</f>
        <v>0</v>
      </c>
      <c r="AZ1328" s="99">
        <f>ROUNDDOWN(AY1328+(AY1328*MASTER!$A$2/100),0)</f>
        <v>0</v>
      </c>
      <c r="BC1328" s="64">
        <v>0</v>
      </c>
      <c r="BG1328" s="64">
        <v>0</v>
      </c>
      <c r="BK1328" s="64">
        <v>0</v>
      </c>
      <c r="BS1328" s="64">
        <v>0</v>
      </c>
      <c r="BV1328" s="65">
        <v>0</v>
      </c>
      <c r="BW1328" s="65">
        <v>0</v>
      </c>
      <c r="BX1328" s="65">
        <v>44736</v>
      </c>
      <c r="BY1328" s="65">
        <v>0</v>
      </c>
      <c r="BZ1328" s="81" t="s">
        <v>309</v>
      </c>
      <c r="CD1328" s="63" t="s">
        <v>3739</v>
      </c>
    </row>
    <row r="1329" spans="1:89" x14ac:dyDescent="0.15">
      <c r="A1329" s="60">
        <v>1</v>
      </c>
      <c r="B1329" s="61">
        <v>44746</v>
      </c>
      <c r="C1329" s="61">
        <v>44746</v>
      </c>
      <c r="F1329" s="61" t="s">
        <v>309</v>
      </c>
      <c r="H1329" s="61" t="s">
        <v>309</v>
      </c>
      <c r="J1329" s="60">
        <v>2</v>
      </c>
      <c r="L1329" s="60">
        <v>0</v>
      </c>
      <c r="M1329" s="61">
        <v>44736</v>
      </c>
      <c r="O1329" s="62" t="s">
        <v>331</v>
      </c>
      <c r="P1329" s="60" t="s">
        <v>77</v>
      </c>
      <c r="Q1329" s="62" t="s">
        <v>138</v>
      </c>
      <c r="R1329" s="62" t="s">
        <v>3736</v>
      </c>
      <c r="S1329" s="63" t="s">
        <v>489</v>
      </c>
      <c r="T1329" s="63" t="s">
        <v>490</v>
      </c>
      <c r="U1329" s="64">
        <v>9880</v>
      </c>
      <c r="V1329" s="64">
        <v>10868</v>
      </c>
      <c r="W1329" s="64">
        <v>9880</v>
      </c>
      <c r="X1329" s="64">
        <v>10868</v>
      </c>
      <c r="Z1329" s="64">
        <v>0</v>
      </c>
      <c r="AD1329" s="60">
        <v>0</v>
      </c>
      <c r="AG1329" s="60">
        <v>0</v>
      </c>
      <c r="AJ1329" s="60">
        <v>0</v>
      </c>
      <c r="AQ1329" s="60" t="s">
        <v>3737</v>
      </c>
      <c r="AR1329" s="61">
        <v>44736</v>
      </c>
      <c r="AS1329" s="60">
        <v>6002044805</v>
      </c>
      <c r="AT1329" s="61">
        <v>44746</v>
      </c>
      <c r="AU1329" s="60" t="s">
        <v>3909</v>
      </c>
      <c r="AV1329" s="61">
        <v>44746</v>
      </c>
      <c r="AW1329" s="91">
        <v>44773</v>
      </c>
      <c r="AX1329" s="91">
        <v>44793</v>
      </c>
      <c r="AY1329" s="107">
        <v>9880</v>
      </c>
      <c r="AZ1329" s="107">
        <v>10868</v>
      </c>
      <c r="BC1329" s="64">
        <v>0</v>
      </c>
      <c r="BG1329" s="64">
        <v>0</v>
      </c>
      <c r="BK1329" s="64">
        <v>0</v>
      </c>
      <c r="BS1329" s="64">
        <v>0</v>
      </c>
      <c r="BV1329" s="65">
        <v>10868</v>
      </c>
      <c r="BW1329" s="65">
        <v>0</v>
      </c>
      <c r="BX1329" s="65">
        <v>44736</v>
      </c>
      <c r="BY1329" s="65">
        <v>10868</v>
      </c>
      <c r="BZ1329" s="81">
        <v>100</v>
      </c>
    </row>
    <row r="1330" spans="1:89" s="152" customFormat="1" x14ac:dyDescent="0.15">
      <c r="A1330" s="142">
        <v>3</v>
      </c>
      <c r="B1330" s="143"/>
      <c r="C1330" s="143" t="s">
        <v>309</v>
      </c>
      <c r="D1330" s="143"/>
      <c r="E1330" s="143"/>
      <c r="F1330" s="143" t="s">
        <v>309</v>
      </c>
      <c r="G1330" s="143"/>
      <c r="H1330" s="143" t="s">
        <v>309</v>
      </c>
      <c r="I1330" s="142"/>
      <c r="J1330" s="142">
        <v>1</v>
      </c>
      <c r="K1330" s="143"/>
      <c r="L1330" s="142">
        <v>0</v>
      </c>
      <c r="M1330" s="143">
        <v>44736</v>
      </c>
      <c r="N1330" s="143"/>
      <c r="O1330" s="144" t="s">
        <v>331</v>
      </c>
      <c r="P1330" s="142" t="s">
        <v>26</v>
      </c>
      <c r="Q1330" s="144" t="s">
        <v>138</v>
      </c>
      <c r="R1330" s="144" t="s">
        <v>3741</v>
      </c>
      <c r="S1330" s="145" t="s">
        <v>813</v>
      </c>
      <c r="T1330" s="145" t="s">
        <v>359</v>
      </c>
      <c r="U1330" s="146">
        <v>423885</v>
      </c>
      <c r="V1330" s="146">
        <v>466273.5</v>
      </c>
      <c r="W1330" s="146">
        <v>411885</v>
      </c>
      <c r="X1330" s="146">
        <v>453073.5</v>
      </c>
      <c r="Y1330" s="146">
        <v>12000</v>
      </c>
      <c r="Z1330" s="146">
        <v>13200</v>
      </c>
      <c r="AA1330" s="143">
        <v>44781</v>
      </c>
      <c r="AB1330" s="143">
        <v>44784</v>
      </c>
      <c r="AC1330" s="143"/>
      <c r="AD1330" s="142">
        <v>0</v>
      </c>
      <c r="AE1330" s="142"/>
      <c r="AF1330" s="142"/>
      <c r="AG1330" s="142">
        <v>0</v>
      </c>
      <c r="AH1330" s="142"/>
      <c r="AI1330" s="142"/>
      <c r="AJ1330" s="142">
        <v>0</v>
      </c>
      <c r="AK1330" s="142"/>
      <c r="AL1330" s="142"/>
      <c r="AM1330" s="142" t="s">
        <v>273</v>
      </c>
      <c r="AN1330" s="142" t="s">
        <v>3793</v>
      </c>
      <c r="AO1330" s="143"/>
      <c r="AP1330" s="142"/>
      <c r="AQ1330" s="142"/>
      <c r="AR1330" s="143"/>
      <c r="AS1330" s="142"/>
      <c r="AT1330" s="143"/>
      <c r="AU1330" s="142"/>
      <c r="AV1330" s="143"/>
      <c r="AW1330" s="147"/>
      <c r="AX1330" s="147"/>
      <c r="AY1330" s="148">
        <v>406929</v>
      </c>
      <c r="AZ1330" s="148">
        <f>ROUNDDOWN(AY1330+(AY1330*MASTER!$A$2/100),0)</f>
        <v>447621</v>
      </c>
      <c r="BA1330" s="142"/>
      <c r="BB1330" s="146"/>
      <c r="BC1330" s="146">
        <v>0</v>
      </c>
      <c r="BD1330" s="142"/>
      <c r="BE1330" s="142"/>
      <c r="BF1330" s="146"/>
      <c r="BG1330" s="146">
        <v>0</v>
      </c>
      <c r="BH1330" s="142"/>
      <c r="BI1330" s="142"/>
      <c r="BJ1330" s="146"/>
      <c r="BK1330" s="146">
        <v>0</v>
      </c>
      <c r="BL1330" s="142"/>
      <c r="BM1330" s="146"/>
      <c r="BN1330" s="146"/>
      <c r="BO1330" s="146"/>
      <c r="BP1330" s="146"/>
      <c r="BQ1330" s="146"/>
      <c r="BR1330" s="146"/>
      <c r="BS1330" s="146">
        <v>0</v>
      </c>
      <c r="BT1330" s="149"/>
      <c r="BU1330" s="149"/>
      <c r="BV1330" s="150">
        <v>453073.5</v>
      </c>
      <c r="BW1330" s="150">
        <v>0</v>
      </c>
      <c r="BX1330" s="150">
        <v>44736</v>
      </c>
      <c r="BY1330" s="150">
        <v>453073.5</v>
      </c>
      <c r="BZ1330" s="151">
        <v>100</v>
      </c>
      <c r="CA1330" s="142"/>
      <c r="CB1330" s="142"/>
      <c r="CC1330" s="142"/>
      <c r="CD1330" s="145" t="s">
        <v>4054</v>
      </c>
      <c r="CE1330" s="143"/>
      <c r="CF1330" s="143"/>
      <c r="CG1330" s="143"/>
      <c r="CH1330" s="143"/>
      <c r="CI1330" s="143"/>
      <c r="CJ1330" s="143"/>
      <c r="CK1330" s="146"/>
    </row>
    <row r="1331" spans="1:89" x14ac:dyDescent="0.15">
      <c r="A1331" s="60">
        <v>2</v>
      </c>
      <c r="B1331" s="61">
        <v>44762</v>
      </c>
      <c r="C1331" s="61">
        <v>44772</v>
      </c>
      <c r="D1331" s="61" t="s">
        <v>764</v>
      </c>
      <c r="E1331" s="61">
        <v>44775</v>
      </c>
      <c r="F1331" s="61">
        <v>44779</v>
      </c>
      <c r="G1331" s="61">
        <v>44774</v>
      </c>
      <c r="H1331" s="61">
        <v>44775</v>
      </c>
      <c r="I1331" s="60" t="s">
        <v>511</v>
      </c>
      <c r="J1331" s="60">
        <v>1</v>
      </c>
      <c r="L1331" s="60">
        <v>0</v>
      </c>
      <c r="M1331" s="61">
        <v>44736</v>
      </c>
      <c r="O1331" s="62" t="s">
        <v>331</v>
      </c>
      <c r="P1331" s="60" t="s">
        <v>26</v>
      </c>
      <c r="Q1331" s="62" t="s">
        <v>138</v>
      </c>
      <c r="R1331" s="62" t="s">
        <v>3743</v>
      </c>
      <c r="S1331" s="63" t="s">
        <v>2190</v>
      </c>
      <c r="T1331" s="63" t="s">
        <v>3742</v>
      </c>
      <c r="U1331" s="64">
        <v>23900</v>
      </c>
      <c r="V1331" s="64">
        <v>26290</v>
      </c>
      <c r="W1331" s="64">
        <v>14700</v>
      </c>
      <c r="X1331" s="64">
        <v>16170</v>
      </c>
      <c r="Y1331" s="64">
        <v>9200</v>
      </c>
      <c r="Z1331" s="64">
        <v>10120</v>
      </c>
      <c r="AA1331" s="61">
        <v>44771</v>
      </c>
      <c r="AB1331" s="61">
        <v>44772</v>
      </c>
      <c r="AC1331" s="61">
        <v>44772</v>
      </c>
      <c r="AD1331" s="60">
        <v>0</v>
      </c>
      <c r="AG1331" s="60">
        <v>0</v>
      </c>
      <c r="AJ1331" s="60">
        <v>0</v>
      </c>
      <c r="AM1331" s="60" t="s">
        <v>273</v>
      </c>
      <c r="AN1331" s="60" t="s">
        <v>4046</v>
      </c>
      <c r="AQ1331" s="60" t="s">
        <v>4014</v>
      </c>
      <c r="AR1331" s="61">
        <v>44756</v>
      </c>
      <c r="AS1331" s="60">
        <v>6002052314</v>
      </c>
      <c r="AT1331" s="61">
        <v>44757</v>
      </c>
      <c r="AU1331" s="60" t="s">
        <v>4028</v>
      </c>
      <c r="AV1331" s="61">
        <v>44772</v>
      </c>
      <c r="AW1331" s="91">
        <v>44773</v>
      </c>
      <c r="AX1331" s="91">
        <v>44793</v>
      </c>
      <c r="AY1331" s="99">
        <v>22944</v>
      </c>
      <c r="AZ1331" s="99">
        <f>ROUNDDOWN(AY1331+(AY1331*MASTER!$A$2/100),0)</f>
        <v>25238</v>
      </c>
      <c r="BA1331" s="60" t="s">
        <v>765</v>
      </c>
      <c r="BC1331" s="64">
        <v>0</v>
      </c>
      <c r="BG1331" s="64">
        <v>0</v>
      </c>
      <c r="BI1331" s="60" t="s">
        <v>748</v>
      </c>
      <c r="BJ1331" s="64">
        <v>5980</v>
      </c>
      <c r="BK1331" s="64">
        <v>6578</v>
      </c>
      <c r="BL1331" s="60" t="s">
        <v>3800</v>
      </c>
      <c r="BS1331" s="64">
        <v>0</v>
      </c>
      <c r="BV1331" s="65">
        <v>16170</v>
      </c>
      <c r="BW1331" s="65">
        <v>6578</v>
      </c>
      <c r="BX1331" s="65">
        <v>44736</v>
      </c>
      <c r="BY1331" s="65">
        <v>9592</v>
      </c>
      <c r="BZ1331" s="81">
        <v>59.319727891156461</v>
      </c>
    </row>
    <row r="1332" spans="1:89" x14ac:dyDescent="0.15">
      <c r="A1332" s="60">
        <v>2</v>
      </c>
      <c r="B1332" s="61">
        <v>44774</v>
      </c>
      <c r="C1332" s="61">
        <v>44781</v>
      </c>
      <c r="D1332" s="61" t="s">
        <v>764</v>
      </c>
      <c r="E1332" s="61">
        <v>44785</v>
      </c>
      <c r="F1332" s="61">
        <v>44788</v>
      </c>
      <c r="G1332" s="61">
        <v>44782</v>
      </c>
      <c r="H1332" s="61">
        <v>44784</v>
      </c>
      <c r="I1332" s="60" t="s">
        <v>511</v>
      </c>
      <c r="J1332" s="60">
        <v>1</v>
      </c>
      <c r="L1332" s="60">
        <v>0</v>
      </c>
      <c r="M1332" s="61">
        <v>44736</v>
      </c>
      <c r="O1332" s="62" t="s">
        <v>331</v>
      </c>
      <c r="P1332" s="60" t="s">
        <v>26</v>
      </c>
      <c r="Q1332" s="62" t="s">
        <v>138</v>
      </c>
      <c r="R1332" s="62" t="s">
        <v>3744</v>
      </c>
      <c r="S1332" s="63" t="s">
        <v>2415</v>
      </c>
      <c r="T1332" s="63" t="s">
        <v>502</v>
      </c>
      <c r="U1332" s="64">
        <v>23900</v>
      </c>
      <c r="V1332" s="64">
        <v>26290</v>
      </c>
      <c r="W1332" s="64">
        <v>14700</v>
      </c>
      <c r="X1332" s="64">
        <v>16170</v>
      </c>
      <c r="Y1332" s="64">
        <v>9200</v>
      </c>
      <c r="Z1332" s="64">
        <v>10120</v>
      </c>
      <c r="AA1332" s="61">
        <v>44780</v>
      </c>
      <c r="AB1332" s="61">
        <v>44781</v>
      </c>
      <c r="AC1332" s="61">
        <v>44781</v>
      </c>
      <c r="AD1332" s="60">
        <v>0</v>
      </c>
      <c r="AG1332" s="60">
        <v>0</v>
      </c>
      <c r="AJ1332" s="60">
        <v>0</v>
      </c>
      <c r="AM1332" s="60" t="s">
        <v>273</v>
      </c>
      <c r="AN1332" s="60" t="s">
        <v>4219</v>
      </c>
      <c r="AQ1332" s="60" t="s">
        <v>3928</v>
      </c>
      <c r="AR1332" s="61">
        <v>44749</v>
      </c>
      <c r="AS1332" s="60">
        <v>6002049760</v>
      </c>
      <c r="AT1332" s="61">
        <v>44749</v>
      </c>
      <c r="AU1332" s="60" t="s">
        <v>3946</v>
      </c>
      <c r="AV1332" s="61">
        <v>44781</v>
      </c>
      <c r="AW1332" s="91">
        <v>44804</v>
      </c>
      <c r="AX1332" s="91">
        <v>44824</v>
      </c>
      <c r="AY1332" s="99">
        <v>22944</v>
      </c>
      <c r="AZ1332" s="99">
        <f>ROUNDDOWN(AY1332+(AY1332*MASTER!$A$2/100),0)</f>
        <v>25238</v>
      </c>
      <c r="BA1332" s="60" t="s">
        <v>765</v>
      </c>
      <c r="BC1332" s="64">
        <v>0</v>
      </c>
      <c r="BG1332" s="64">
        <v>0</v>
      </c>
      <c r="BI1332" s="60" t="s">
        <v>267</v>
      </c>
      <c r="BJ1332" s="64">
        <v>5980</v>
      </c>
      <c r="BK1332" s="64">
        <v>6578</v>
      </c>
      <c r="BL1332" s="60" t="s">
        <v>4069</v>
      </c>
      <c r="BS1332" s="64">
        <v>0</v>
      </c>
      <c r="BV1332" s="65">
        <v>16170</v>
      </c>
      <c r="BW1332" s="65">
        <v>6578</v>
      </c>
      <c r="BX1332" s="65">
        <v>44736</v>
      </c>
      <c r="BY1332" s="65">
        <v>9592</v>
      </c>
      <c r="BZ1332" s="81">
        <v>59.319727891156461</v>
      </c>
    </row>
    <row r="1333" spans="1:89" x14ac:dyDescent="0.15">
      <c r="A1333" s="60">
        <v>2</v>
      </c>
      <c r="C1333" s="61" t="s">
        <v>309</v>
      </c>
      <c r="F1333" s="61" t="s">
        <v>309</v>
      </c>
      <c r="H1333" s="61" t="s">
        <v>309</v>
      </c>
      <c r="J1333" s="60">
        <v>4</v>
      </c>
      <c r="L1333" s="60">
        <v>0</v>
      </c>
      <c r="M1333" s="61">
        <v>44739</v>
      </c>
      <c r="O1333" s="62" t="s">
        <v>331</v>
      </c>
      <c r="P1333" s="60" t="s">
        <v>263</v>
      </c>
      <c r="Q1333" s="62" t="s">
        <v>138</v>
      </c>
      <c r="R1333" s="62" t="s">
        <v>3745</v>
      </c>
      <c r="S1333" s="63" t="s">
        <v>354</v>
      </c>
      <c r="T1333" s="63" t="s">
        <v>3750</v>
      </c>
      <c r="U1333" s="64">
        <v>0</v>
      </c>
      <c r="V1333" s="64">
        <v>0</v>
      </c>
      <c r="W1333" s="64">
        <v>0</v>
      </c>
      <c r="X1333" s="64">
        <v>0</v>
      </c>
      <c r="Y1333" s="64">
        <v>0</v>
      </c>
      <c r="Z1333" s="64">
        <v>0</v>
      </c>
      <c r="AA1333" s="61">
        <v>44713</v>
      </c>
      <c r="AB1333" s="61">
        <v>44742</v>
      </c>
      <c r="AD1333" s="60">
        <v>0</v>
      </c>
      <c r="AG1333" s="60">
        <v>0</v>
      </c>
      <c r="AJ1333" s="60">
        <v>0</v>
      </c>
      <c r="AN1333" s="60" t="s">
        <v>309</v>
      </c>
      <c r="AY1333" s="99">
        <v>0</v>
      </c>
      <c r="AZ1333" s="99">
        <f>ROUNDDOWN(AY1333+(AY1333*MASTER!$A$2/100),0)</f>
        <v>0</v>
      </c>
      <c r="BA1333" s="60" t="s">
        <v>14</v>
      </c>
      <c r="BB1333" s="64">
        <v>461720</v>
      </c>
      <c r="BC1333" s="64">
        <v>507892</v>
      </c>
      <c r="BD1333" s="60" t="s">
        <v>3048</v>
      </c>
      <c r="BG1333" s="64">
        <v>0</v>
      </c>
      <c r="BK1333" s="64">
        <v>0</v>
      </c>
      <c r="BS1333" s="64">
        <v>0</v>
      </c>
      <c r="BV1333" s="65">
        <v>0</v>
      </c>
      <c r="BW1333" s="65">
        <v>507892</v>
      </c>
      <c r="BX1333" s="65">
        <v>44739</v>
      </c>
      <c r="BY1333" s="65">
        <v>-507892</v>
      </c>
      <c r="BZ1333" s="81" t="s">
        <v>309</v>
      </c>
    </row>
    <row r="1334" spans="1:89" x14ac:dyDescent="0.15">
      <c r="A1334" s="60">
        <v>2</v>
      </c>
      <c r="C1334" s="61" t="s">
        <v>309</v>
      </c>
      <c r="F1334" s="61" t="s">
        <v>309</v>
      </c>
      <c r="H1334" s="61" t="s">
        <v>309</v>
      </c>
      <c r="J1334" s="60">
        <v>4</v>
      </c>
      <c r="L1334" s="60">
        <v>0</v>
      </c>
      <c r="M1334" s="61">
        <v>44739</v>
      </c>
      <c r="O1334" s="62" t="s">
        <v>331</v>
      </c>
      <c r="P1334" s="60" t="s">
        <v>77</v>
      </c>
      <c r="Q1334" s="62" t="s">
        <v>138</v>
      </c>
      <c r="R1334" s="62" t="s">
        <v>3746</v>
      </c>
      <c r="S1334" s="63" t="s">
        <v>354</v>
      </c>
      <c r="T1334" s="63" t="s">
        <v>3747</v>
      </c>
      <c r="U1334" s="64">
        <v>0</v>
      </c>
      <c r="V1334" s="64">
        <v>0</v>
      </c>
      <c r="W1334" s="64">
        <v>0</v>
      </c>
      <c r="X1334" s="64">
        <v>0</v>
      </c>
      <c r="Y1334" s="64">
        <v>0</v>
      </c>
      <c r="Z1334" s="64">
        <v>0</v>
      </c>
      <c r="AA1334" s="61">
        <v>44713</v>
      </c>
      <c r="AB1334" s="61">
        <v>44742</v>
      </c>
      <c r="AD1334" s="60">
        <v>0</v>
      </c>
      <c r="AG1334" s="60">
        <v>0</v>
      </c>
      <c r="AJ1334" s="60">
        <v>0</v>
      </c>
      <c r="AN1334" s="60" t="s">
        <v>309</v>
      </c>
      <c r="AY1334" s="99">
        <f>ROUNDDOWN((0.96*U1334),0)</f>
        <v>0</v>
      </c>
      <c r="AZ1334" s="99">
        <f>ROUNDDOWN(AY1334+(AY1334*MASTER!$A$2/100),0)</f>
        <v>0</v>
      </c>
      <c r="BA1334" s="60" t="s">
        <v>1463</v>
      </c>
      <c r="BC1334" s="64">
        <v>0</v>
      </c>
      <c r="BG1334" s="64">
        <v>0</v>
      </c>
      <c r="BK1334" s="64">
        <v>0</v>
      </c>
      <c r="BS1334" s="64">
        <v>0</v>
      </c>
      <c r="BV1334" s="65">
        <v>0</v>
      </c>
      <c r="BW1334" s="65">
        <v>0</v>
      </c>
      <c r="BX1334" s="65">
        <v>44739</v>
      </c>
      <c r="BY1334" s="65">
        <v>0</v>
      </c>
      <c r="BZ1334" s="81" t="s">
        <v>309</v>
      </c>
    </row>
    <row r="1335" spans="1:89" x14ac:dyDescent="0.15">
      <c r="A1335" s="60">
        <v>2</v>
      </c>
      <c r="C1335" s="61" t="s">
        <v>309</v>
      </c>
      <c r="F1335" s="61" t="s">
        <v>309</v>
      </c>
      <c r="H1335" s="61" t="s">
        <v>309</v>
      </c>
      <c r="J1335" s="60">
        <v>4</v>
      </c>
      <c r="L1335" s="60">
        <v>0</v>
      </c>
      <c r="M1335" s="61">
        <v>44739</v>
      </c>
      <c r="O1335" s="62" t="s">
        <v>331</v>
      </c>
      <c r="P1335" s="60" t="s">
        <v>77</v>
      </c>
      <c r="Q1335" s="62" t="s">
        <v>138</v>
      </c>
      <c r="R1335" s="62" t="s">
        <v>3963</v>
      </c>
      <c r="S1335" s="63" t="s">
        <v>354</v>
      </c>
      <c r="T1335" s="63" t="s">
        <v>3964</v>
      </c>
      <c r="U1335" s="64">
        <v>0</v>
      </c>
      <c r="V1335" s="64">
        <v>0</v>
      </c>
      <c r="W1335" s="64">
        <v>0</v>
      </c>
      <c r="X1335" s="64">
        <v>0</v>
      </c>
      <c r="Y1335" s="64">
        <v>0</v>
      </c>
      <c r="Z1335" s="64">
        <v>0</v>
      </c>
      <c r="AA1335" s="61">
        <v>44713</v>
      </c>
      <c r="AB1335" s="61">
        <v>44742</v>
      </c>
      <c r="AD1335" s="60">
        <v>0</v>
      </c>
      <c r="AG1335" s="60">
        <v>0</v>
      </c>
      <c r="AJ1335" s="60">
        <v>0</v>
      </c>
      <c r="AN1335" s="60" t="s">
        <v>309</v>
      </c>
      <c r="AY1335" s="99">
        <v>0</v>
      </c>
      <c r="AZ1335" s="99">
        <f>ROUNDDOWN(AY1335+(AY1335*MASTER!$A$2/100),0)</f>
        <v>0</v>
      </c>
      <c r="BA1335" s="60" t="s">
        <v>272</v>
      </c>
      <c r="BB1335" s="64">
        <v>337099</v>
      </c>
      <c r="BC1335" s="64">
        <v>370808.9</v>
      </c>
      <c r="BD1335" s="60" t="s">
        <v>3048</v>
      </c>
      <c r="BG1335" s="64">
        <v>0</v>
      </c>
      <c r="BK1335" s="64">
        <v>0</v>
      </c>
      <c r="BS1335" s="64">
        <v>0</v>
      </c>
      <c r="BV1335" s="65">
        <v>0</v>
      </c>
      <c r="BW1335" s="65">
        <v>370808.9</v>
      </c>
      <c r="BX1335" s="65">
        <v>44739</v>
      </c>
      <c r="BY1335" s="65">
        <v>-370808.9</v>
      </c>
      <c r="BZ1335" s="81" t="s">
        <v>309</v>
      </c>
    </row>
    <row r="1336" spans="1:89" x14ac:dyDescent="0.15">
      <c r="A1336" s="60">
        <v>2</v>
      </c>
      <c r="C1336" s="61" t="s">
        <v>309</v>
      </c>
      <c r="F1336" s="61" t="s">
        <v>309</v>
      </c>
      <c r="H1336" s="61" t="s">
        <v>309</v>
      </c>
      <c r="J1336" s="60">
        <v>4</v>
      </c>
      <c r="L1336" s="60">
        <v>0</v>
      </c>
      <c r="M1336" s="61">
        <v>44739</v>
      </c>
      <c r="O1336" s="62" t="s">
        <v>331</v>
      </c>
      <c r="P1336" s="60" t="s">
        <v>263</v>
      </c>
      <c r="Q1336" s="62" t="s">
        <v>138</v>
      </c>
      <c r="R1336" s="62" t="s">
        <v>3748</v>
      </c>
      <c r="S1336" s="63" t="s">
        <v>354</v>
      </c>
      <c r="T1336" s="63" t="s">
        <v>3749</v>
      </c>
      <c r="U1336" s="64">
        <v>0</v>
      </c>
      <c r="V1336" s="64">
        <v>0</v>
      </c>
      <c r="W1336" s="64">
        <v>0</v>
      </c>
      <c r="X1336" s="64">
        <v>0</v>
      </c>
      <c r="Y1336" s="64">
        <v>0</v>
      </c>
      <c r="Z1336" s="64">
        <v>0</v>
      </c>
      <c r="AA1336" s="61">
        <v>44713</v>
      </c>
      <c r="AB1336" s="61">
        <v>44742</v>
      </c>
      <c r="AD1336" s="60">
        <v>0</v>
      </c>
      <c r="AG1336" s="60">
        <v>0</v>
      </c>
      <c r="AJ1336" s="60">
        <v>0</v>
      </c>
      <c r="AN1336" s="60" t="s">
        <v>309</v>
      </c>
      <c r="AY1336" s="99">
        <v>0</v>
      </c>
      <c r="AZ1336" s="99">
        <f>ROUNDDOWN(AY1336+(AY1336*MASTER!$A$2/100),0)</f>
        <v>0</v>
      </c>
      <c r="BA1336" s="60" t="s">
        <v>318</v>
      </c>
      <c r="BB1336" s="64">
        <v>10000</v>
      </c>
      <c r="BC1336" s="64">
        <v>11000</v>
      </c>
      <c r="BD1336" s="60" t="s">
        <v>3530</v>
      </c>
      <c r="BG1336" s="64">
        <v>0</v>
      </c>
      <c r="BK1336" s="64">
        <v>0</v>
      </c>
      <c r="BS1336" s="64">
        <v>0</v>
      </c>
      <c r="BV1336" s="65">
        <v>0</v>
      </c>
      <c r="BW1336" s="65">
        <v>11000</v>
      </c>
      <c r="BX1336" s="65">
        <v>44739</v>
      </c>
      <c r="BY1336" s="65">
        <v>-11000</v>
      </c>
      <c r="BZ1336" s="81" t="s">
        <v>309</v>
      </c>
    </row>
    <row r="1337" spans="1:89" x14ac:dyDescent="0.15">
      <c r="A1337" s="60">
        <v>2</v>
      </c>
      <c r="B1337" s="61">
        <v>44774</v>
      </c>
      <c r="C1337" s="61">
        <v>44781</v>
      </c>
      <c r="D1337" s="61" t="s">
        <v>764</v>
      </c>
      <c r="E1337" s="61">
        <v>44785</v>
      </c>
      <c r="F1337" s="61">
        <v>44789</v>
      </c>
      <c r="G1337" s="61">
        <v>44783</v>
      </c>
      <c r="H1337" s="61">
        <v>44785</v>
      </c>
      <c r="I1337" s="60" t="s">
        <v>511</v>
      </c>
      <c r="J1337" s="60">
        <v>1</v>
      </c>
      <c r="L1337" s="60">
        <v>0</v>
      </c>
      <c r="M1337" s="61">
        <v>44739</v>
      </c>
      <c r="O1337" s="62" t="s">
        <v>331</v>
      </c>
      <c r="P1337" s="60" t="s">
        <v>26</v>
      </c>
      <c r="Q1337" s="62" t="s">
        <v>138</v>
      </c>
      <c r="R1337" s="62" t="s">
        <v>4227</v>
      </c>
      <c r="S1337" s="63" t="s">
        <v>719</v>
      </c>
      <c r="T1337" s="63" t="s">
        <v>502</v>
      </c>
      <c r="U1337" s="64">
        <v>23900</v>
      </c>
      <c r="V1337" s="64">
        <v>26290</v>
      </c>
      <c r="W1337" s="64">
        <v>14700</v>
      </c>
      <c r="X1337" s="64">
        <v>16170</v>
      </c>
      <c r="Y1337" s="64">
        <v>9200</v>
      </c>
      <c r="Z1337" s="64">
        <v>10120</v>
      </c>
      <c r="AA1337" s="61">
        <v>44780</v>
      </c>
      <c r="AB1337" s="61">
        <v>44782</v>
      </c>
      <c r="AC1337" s="61">
        <v>44782</v>
      </c>
      <c r="AD1337" s="60">
        <v>0</v>
      </c>
      <c r="AG1337" s="60">
        <v>0</v>
      </c>
      <c r="AJ1337" s="60">
        <v>0</v>
      </c>
      <c r="AM1337" s="60" t="s">
        <v>273</v>
      </c>
      <c r="AN1337" s="60" t="s">
        <v>4228</v>
      </c>
      <c r="AQ1337" s="60" t="s">
        <v>3892</v>
      </c>
      <c r="AR1337" s="61">
        <v>44747</v>
      </c>
      <c r="AS1337" s="60">
        <v>6002048034</v>
      </c>
      <c r="AT1337" s="61">
        <v>44747</v>
      </c>
      <c r="AU1337" s="60" t="s">
        <v>3917</v>
      </c>
      <c r="AV1337" s="61">
        <v>44781</v>
      </c>
      <c r="AW1337" s="91">
        <v>44804</v>
      </c>
      <c r="AX1337" s="91">
        <v>44824</v>
      </c>
      <c r="AY1337" s="99">
        <v>22944</v>
      </c>
      <c r="AZ1337" s="99">
        <f>ROUNDDOWN(AY1337+(AY1337*MASTER!$A$2/100),0)</f>
        <v>25238</v>
      </c>
      <c r="BA1337" s="60" t="s">
        <v>765</v>
      </c>
      <c r="BC1337" s="64">
        <v>0</v>
      </c>
      <c r="BG1337" s="64">
        <v>0</v>
      </c>
      <c r="BI1337" s="60" t="s">
        <v>267</v>
      </c>
      <c r="BJ1337" s="64">
        <v>5980</v>
      </c>
      <c r="BK1337" s="64">
        <v>6578</v>
      </c>
      <c r="BL1337" s="60" t="s">
        <v>4069</v>
      </c>
      <c r="BS1337" s="64">
        <v>0</v>
      </c>
      <c r="BV1337" s="65">
        <v>16170</v>
      </c>
      <c r="BW1337" s="65">
        <v>6578</v>
      </c>
      <c r="BX1337" s="65">
        <v>44739</v>
      </c>
      <c r="BY1337" s="65">
        <v>9592</v>
      </c>
      <c r="BZ1337" s="81">
        <v>59.319727891156461</v>
      </c>
    </row>
    <row r="1338" spans="1:89" x14ac:dyDescent="0.15">
      <c r="A1338" s="60">
        <v>1</v>
      </c>
      <c r="B1338" s="61">
        <v>44773</v>
      </c>
      <c r="C1338" s="61">
        <v>44750</v>
      </c>
      <c r="F1338" s="61" t="s">
        <v>309</v>
      </c>
      <c r="G1338" s="61">
        <v>44740</v>
      </c>
      <c r="H1338" s="61" t="s">
        <v>309</v>
      </c>
      <c r="J1338" s="60">
        <v>2</v>
      </c>
      <c r="L1338" s="60">
        <v>0</v>
      </c>
      <c r="M1338" s="61">
        <v>44739</v>
      </c>
      <c r="O1338" s="62" t="s">
        <v>331</v>
      </c>
      <c r="P1338" s="60" t="s">
        <v>6</v>
      </c>
      <c r="Q1338" s="62" t="s">
        <v>138</v>
      </c>
      <c r="R1338" s="62" t="s">
        <v>3770</v>
      </c>
      <c r="S1338" s="63" t="s">
        <v>3771</v>
      </c>
      <c r="T1338" s="63" t="s">
        <v>364</v>
      </c>
      <c r="U1338" s="64">
        <v>51000</v>
      </c>
      <c r="V1338" s="64">
        <v>56100</v>
      </c>
      <c r="W1338" s="64">
        <v>51000</v>
      </c>
      <c r="X1338" s="64">
        <v>56100</v>
      </c>
      <c r="Z1338" s="64">
        <v>0</v>
      </c>
      <c r="AD1338" s="60">
        <v>0</v>
      </c>
      <c r="AG1338" s="60">
        <v>0</v>
      </c>
      <c r="AJ1338" s="60">
        <v>0</v>
      </c>
      <c r="AN1338" s="60" t="s">
        <v>309</v>
      </c>
      <c r="AQ1338" s="60" t="s">
        <v>3791</v>
      </c>
      <c r="AR1338" s="61">
        <v>44741</v>
      </c>
      <c r="AS1338" s="60">
        <v>6002046348</v>
      </c>
      <c r="AT1338" s="61">
        <v>44743</v>
      </c>
      <c r="AU1338" s="60" t="s">
        <v>3890</v>
      </c>
      <c r="AV1338" s="61">
        <v>44750</v>
      </c>
      <c r="AW1338" s="91">
        <v>44773</v>
      </c>
      <c r="AX1338" s="91">
        <v>44793</v>
      </c>
      <c r="AY1338" s="99">
        <v>48960</v>
      </c>
      <c r="AZ1338" s="99">
        <f>ROUNDDOWN(AY1338+(AY1338*MASTER!$A$2/100),0)</f>
        <v>53856</v>
      </c>
      <c r="BC1338" s="64">
        <v>0</v>
      </c>
      <c r="BG1338" s="64">
        <v>0</v>
      </c>
      <c r="BK1338" s="64">
        <v>0</v>
      </c>
      <c r="BS1338" s="64">
        <v>0</v>
      </c>
      <c r="BV1338" s="65">
        <v>56100</v>
      </c>
      <c r="BW1338" s="65">
        <v>0</v>
      </c>
      <c r="BX1338" s="65">
        <v>44739</v>
      </c>
      <c r="BY1338" s="65">
        <v>56100</v>
      </c>
      <c r="BZ1338" s="81">
        <v>100</v>
      </c>
    </row>
    <row r="1339" spans="1:89" x14ac:dyDescent="0.15">
      <c r="A1339" s="60">
        <v>2</v>
      </c>
      <c r="B1339" s="61">
        <v>44750</v>
      </c>
      <c r="C1339" s="61">
        <v>44750</v>
      </c>
      <c r="D1339" s="61">
        <v>44746</v>
      </c>
      <c r="E1339" s="61">
        <v>44746</v>
      </c>
      <c r="F1339" s="61" t="s">
        <v>309</v>
      </c>
      <c r="G1339" s="61">
        <v>44746</v>
      </c>
      <c r="H1339" s="61" t="s">
        <v>309</v>
      </c>
      <c r="I1339" s="60" t="s">
        <v>494</v>
      </c>
      <c r="J1339" s="60">
        <v>2</v>
      </c>
      <c r="L1339" s="60">
        <v>0</v>
      </c>
      <c r="M1339" s="61">
        <v>44739</v>
      </c>
      <c r="O1339" s="62" t="s">
        <v>331</v>
      </c>
      <c r="P1339" s="60" t="s">
        <v>6</v>
      </c>
      <c r="Q1339" s="62" t="s">
        <v>138</v>
      </c>
      <c r="R1339" s="62" t="s">
        <v>3910</v>
      </c>
      <c r="S1339" s="63" t="s">
        <v>1203</v>
      </c>
      <c r="T1339" s="63" t="s">
        <v>364</v>
      </c>
      <c r="U1339" s="64">
        <v>35000</v>
      </c>
      <c r="V1339" s="64">
        <v>38500</v>
      </c>
      <c r="W1339" s="64">
        <v>35000</v>
      </c>
      <c r="X1339" s="64">
        <v>38500</v>
      </c>
      <c r="Z1339" s="64">
        <v>0</v>
      </c>
      <c r="AA1339" s="61">
        <v>44744</v>
      </c>
      <c r="AB1339" s="61">
        <v>44744</v>
      </c>
      <c r="AD1339" s="60">
        <v>0</v>
      </c>
      <c r="AG1339" s="60">
        <v>0</v>
      </c>
      <c r="AJ1339" s="60">
        <v>0</v>
      </c>
      <c r="AN1339" s="60" t="s">
        <v>309</v>
      </c>
      <c r="AQ1339" s="60" t="s">
        <v>3893</v>
      </c>
      <c r="AR1339" s="61">
        <v>44747</v>
      </c>
      <c r="AS1339" s="60">
        <v>6002048034</v>
      </c>
      <c r="AT1339" s="61">
        <v>44747</v>
      </c>
      <c r="AU1339" s="60" t="s">
        <v>3917</v>
      </c>
      <c r="AV1339" s="61">
        <v>44750</v>
      </c>
      <c r="AW1339" s="91">
        <v>44773</v>
      </c>
      <c r="AX1339" s="91">
        <v>44793</v>
      </c>
      <c r="AY1339" s="99">
        <v>33600</v>
      </c>
      <c r="AZ1339" s="99">
        <f>ROUNDDOWN(AY1339+(AY1339*MASTER!$A$2/100),0)</f>
        <v>36960</v>
      </c>
      <c r="BA1339" s="60" t="s">
        <v>901</v>
      </c>
      <c r="BB1339" s="64">
        <v>32000</v>
      </c>
      <c r="BC1339" s="64">
        <v>35200</v>
      </c>
      <c r="BD1339" s="60" t="s">
        <v>3885</v>
      </c>
      <c r="BG1339" s="64">
        <v>0</v>
      </c>
      <c r="BK1339" s="64">
        <v>0</v>
      </c>
      <c r="BS1339" s="64">
        <v>0</v>
      </c>
      <c r="BV1339" s="65">
        <v>38500</v>
      </c>
      <c r="BW1339" s="65">
        <v>35200</v>
      </c>
      <c r="BX1339" s="65">
        <v>44739</v>
      </c>
      <c r="BY1339" s="65">
        <v>3300</v>
      </c>
      <c r="BZ1339" s="81">
        <v>8.5714285714285712</v>
      </c>
    </row>
    <row r="1340" spans="1:89" s="152" customFormat="1" x14ac:dyDescent="0.15">
      <c r="A1340" s="142">
        <v>3</v>
      </c>
      <c r="B1340" s="143"/>
      <c r="C1340" s="143" t="s">
        <v>309</v>
      </c>
      <c r="D1340" s="143"/>
      <c r="E1340" s="143"/>
      <c r="F1340" s="143" t="s">
        <v>309</v>
      </c>
      <c r="G1340" s="143"/>
      <c r="H1340" s="143" t="s">
        <v>309</v>
      </c>
      <c r="I1340" s="142"/>
      <c r="J1340" s="142">
        <v>2</v>
      </c>
      <c r="K1340" s="143"/>
      <c r="L1340" s="142">
        <v>0</v>
      </c>
      <c r="M1340" s="143">
        <v>44739</v>
      </c>
      <c r="N1340" s="143"/>
      <c r="O1340" s="144" t="s">
        <v>331</v>
      </c>
      <c r="P1340" s="142" t="s">
        <v>26</v>
      </c>
      <c r="Q1340" s="144" t="s">
        <v>138</v>
      </c>
      <c r="R1340" s="144" t="s">
        <v>3762</v>
      </c>
      <c r="S1340" s="145" t="s">
        <v>1647</v>
      </c>
      <c r="T1340" s="145" t="s">
        <v>3763</v>
      </c>
      <c r="U1340" s="146">
        <v>80000</v>
      </c>
      <c r="V1340" s="146">
        <v>88000</v>
      </c>
      <c r="W1340" s="146">
        <v>80000</v>
      </c>
      <c r="X1340" s="146">
        <v>88000</v>
      </c>
      <c r="Y1340" s="146"/>
      <c r="Z1340" s="146">
        <v>0</v>
      </c>
      <c r="AA1340" s="143"/>
      <c r="AB1340" s="143"/>
      <c r="AC1340" s="143"/>
      <c r="AD1340" s="142">
        <v>0</v>
      </c>
      <c r="AE1340" s="142"/>
      <c r="AF1340" s="142"/>
      <c r="AG1340" s="142">
        <v>0</v>
      </c>
      <c r="AH1340" s="142"/>
      <c r="AI1340" s="142"/>
      <c r="AJ1340" s="142">
        <v>0</v>
      </c>
      <c r="AK1340" s="142"/>
      <c r="AL1340" s="142"/>
      <c r="AM1340" s="142" t="s">
        <v>273</v>
      </c>
      <c r="AN1340" s="142" t="s">
        <v>3764</v>
      </c>
      <c r="AO1340" s="143"/>
      <c r="AP1340" s="142"/>
      <c r="AQ1340" s="142"/>
      <c r="AR1340" s="143"/>
      <c r="AS1340" s="142"/>
      <c r="AT1340" s="143"/>
      <c r="AU1340" s="142"/>
      <c r="AV1340" s="143"/>
      <c r="AW1340" s="147"/>
      <c r="AX1340" s="147"/>
      <c r="AY1340" s="148">
        <v>76800</v>
      </c>
      <c r="AZ1340" s="148">
        <f>ROUNDDOWN(AY1340+(AY1340*MASTER!$A$2/100),0)</f>
        <v>84480</v>
      </c>
      <c r="BA1340" s="142"/>
      <c r="BB1340" s="146"/>
      <c r="BC1340" s="146">
        <v>0</v>
      </c>
      <c r="BD1340" s="142"/>
      <c r="BE1340" s="142"/>
      <c r="BF1340" s="146"/>
      <c r="BG1340" s="146">
        <v>0</v>
      </c>
      <c r="BH1340" s="142"/>
      <c r="BI1340" s="142"/>
      <c r="BJ1340" s="146"/>
      <c r="BK1340" s="146">
        <v>0</v>
      </c>
      <c r="BL1340" s="142"/>
      <c r="BM1340" s="146"/>
      <c r="BN1340" s="146"/>
      <c r="BO1340" s="146"/>
      <c r="BP1340" s="146"/>
      <c r="BQ1340" s="146"/>
      <c r="BR1340" s="146"/>
      <c r="BS1340" s="146">
        <v>0</v>
      </c>
      <c r="BT1340" s="149"/>
      <c r="BU1340" s="149"/>
      <c r="BV1340" s="150">
        <v>88000</v>
      </c>
      <c r="BW1340" s="150">
        <v>0</v>
      </c>
      <c r="BX1340" s="150">
        <v>44739</v>
      </c>
      <c r="BY1340" s="150">
        <v>88000</v>
      </c>
      <c r="BZ1340" s="151">
        <v>100</v>
      </c>
      <c r="CA1340" s="142"/>
      <c r="CB1340" s="142"/>
      <c r="CC1340" s="142"/>
      <c r="CD1340" s="145" t="s">
        <v>4093</v>
      </c>
      <c r="CE1340" s="143"/>
      <c r="CF1340" s="143"/>
      <c r="CG1340" s="143"/>
      <c r="CH1340" s="143"/>
      <c r="CI1340" s="143"/>
      <c r="CJ1340" s="143"/>
      <c r="CK1340" s="146"/>
    </row>
    <row r="1341" spans="1:89" x14ac:dyDescent="0.15">
      <c r="A1341" s="60">
        <v>2</v>
      </c>
      <c r="B1341" s="61">
        <v>44774</v>
      </c>
      <c r="C1341" s="61">
        <v>44778</v>
      </c>
      <c r="D1341" s="61" t="s">
        <v>764</v>
      </c>
      <c r="E1341" s="61">
        <v>44785</v>
      </c>
      <c r="F1341" s="61">
        <v>44785</v>
      </c>
      <c r="G1341" s="61">
        <v>44778</v>
      </c>
      <c r="H1341" s="61">
        <v>44781</v>
      </c>
      <c r="I1341" s="60" t="s">
        <v>511</v>
      </c>
      <c r="J1341" s="60">
        <v>1</v>
      </c>
      <c r="L1341" s="60">
        <v>0</v>
      </c>
      <c r="M1341" s="61">
        <v>44739</v>
      </c>
      <c r="O1341" s="62" t="s">
        <v>331</v>
      </c>
      <c r="P1341" s="60" t="s">
        <v>26</v>
      </c>
      <c r="Q1341" s="62" t="s">
        <v>138</v>
      </c>
      <c r="R1341" s="62" t="s">
        <v>4216</v>
      </c>
      <c r="S1341" s="63" t="s">
        <v>1590</v>
      </c>
      <c r="T1341" s="63" t="s">
        <v>502</v>
      </c>
      <c r="U1341" s="64">
        <v>23900</v>
      </c>
      <c r="V1341" s="64">
        <v>26290</v>
      </c>
      <c r="W1341" s="64">
        <v>14700</v>
      </c>
      <c r="X1341" s="64">
        <v>16170</v>
      </c>
      <c r="Y1341" s="64">
        <v>9200</v>
      </c>
      <c r="Z1341" s="64">
        <v>10120</v>
      </c>
      <c r="AA1341" s="61">
        <v>44776</v>
      </c>
      <c r="AB1341" s="61">
        <v>44778</v>
      </c>
      <c r="AC1341" s="61">
        <v>44778</v>
      </c>
      <c r="AD1341" s="60">
        <v>0</v>
      </c>
      <c r="AG1341" s="60">
        <v>0</v>
      </c>
      <c r="AJ1341" s="60">
        <v>0</v>
      </c>
      <c r="AM1341" s="60" t="s">
        <v>273</v>
      </c>
      <c r="AN1341" s="60" t="s">
        <v>4217</v>
      </c>
      <c r="AQ1341" s="60" t="s">
        <v>3925</v>
      </c>
      <c r="AR1341" s="61">
        <v>44748</v>
      </c>
      <c r="AS1341" s="60">
        <v>6002048898</v>
      </c>
      <c r="AT1341" s="61">
        <v>44749</v>
      </c>
      <c r="AU1341" s="60" t="s">
        <v>3945</v>
      </c>
      <c r="AV1341" s="61">
        <v>44778</v>
      </c>
      <c r="AW1341" s="91">
        <v>44804</v>
      </c>
      <c r="AX1341" s="91">
        <v>44824</v>
      </c>
      <c r="AY1341" s="99">
        <v>22944</v>
      </c>
      <c r="AZ1341" s="99">
        <f>ROUNDDOWN(AY1341+(AY1341*MASTER!$A$2/100),0)</f>
        <v>25238</v>
      </c>
      <c r="BA1341" s="60" t="s">
        <v>765</v>
      </c>
      <c r="BC1341" s="64">
        <v>0</v>
      </c>
      <c r="BG1341" s="64">
        <v>0</v>
      </c>
      <c r="BI1341" s="60" t="s">
        <v>267</v>
      </c>
      <c r="BJ1341" s="64">
        <v>5980</v>
      </c>
      <c r="BK1341" s="64">
        <v>6578</v>
      </c>
      <c r="BL1341" s="60" t="s">
        <v>4069</v>
      </c>
      <c r="BS1341" s="64">
        <v>0</v>
      </c>
      <c r="BV1341" s="65">
        <v>16170</v>
      </c>
      <c r="BW1341" s="65">
        <v>6578</v>
      </c>
      <c r="BX1341" s="65">
        <v>44739</v>
      </c>
      <c r="BY1341" s="65">
        <v>9592</v>
      </c>
      <c r="BZ1341" s="81">
        <v>59.319727891156461</v>
      </c>
    </row>
    <row r="1342" spans="1:89" x14ac:dyDescent="0.15">
      <c r="A1342" s="60">
        <v>2</v>
      </c>
      <c r="B1342" s="61">
        <v>44790</v>
      </c>
      <c r="C1342" s="61">
        <v>44784</v>
      </c>
      <c r="E1342" s="61">
        <v>44798</v>
      </c>
      <c r="F1342" s="61">
        <v>44805</v>
      </c>
      <c r="G1342" s="61">
        <v>44798</v>
      </c>
      <c r="H1342" s="61">
        <v>44801</v>
      </c>
      <c r="I1342" s="60" t="s">
        <v>511</v>
      </c>
      <c r="J1342" s="60">
        <v>1</v>
      </c>
      <c r="L1342" s="60">
        <v>0</v>
      </c>
      <c r="M1342" s="61">
        <v>44739</v>
      </c>
      <c r="O1342" s="62" t="s">
        <v>331</v>
      </c>
      <c r="P1342" s="60" t="s">
        <v>26</v>
      </c>
      <c r="Q1342" s="62" t="s">
        <v>138</v>
      </c>
      <c r="R1342" s="62" t="s">
        <v>4398</v>
      </c>
      <c r="S1342" s="63" t="s">
        <v>2177</v>
      </c>
      <c r="T1342" s="63" t="s">
        <v>667</v>
      </c>
      <c r="U1342" s="64">
        <v>59000</v>
      </c>
      <c r="V1342" s="64">
        <v>64900</v>
      </c>
      <c r="W1342" s="64">
        <v>47000</v>
      </c>
      <c r="X1342" s="64">
        <v>51700</v>
      </c>
      <c r="Y1342" s="64">
        <v>12000</v>
      </c>
      <c r="Z1342" s="64">
        <v>13200</v>
      </c>
      <c r="AA1342" s="61">
        <v>44795</v>
      </c>
      <c r="AB1342" s="61">
        <v>44798</v>
      </c>
      <c r="AC1342" s="61">
        <v>44798</v>
      </c>
      <c r="AD1342" s="60">
        <v>0</v>
      </c>
      <c r="AG1342" s="60">
        <v>0</v>
      </c>
      <c r="AJ1342" s="60">
        <v>0</v>
      </c>
      <c r="AM1342" s="60" t="s">
        <v>273</v>
      </c>
      <c r="AN1342" s="60" t="s">
        <v>4399</v>
      </c>
      <c r="AQ1342" s="60" t="s">
        <v>4025</v>
      </c>
      <c r="AR1342" s="61">
        <v>44757</v>
      </c>
      <c r="AS1342" s="60">
        <v>6002052729</v>
      </c>
      <c r="AT1342" s="61">
        <v>44761</v>
      </c>
      <c r="AU1342" s="60" t="s">
        <v>4029</v>
      </c>
      <c r="AV1342" s="61">
        <v>44784</v>
      </c>
      <c r="AW1342" s="91">
        <v>44804</v>
      </c>
      <c r="AX1342" s="91">
        <v>44824</v>
      </c>
      <c r="AY1342" s="99">
        <v>56640</v>
      </c>
      <c r="AZ1342" s="99">
        <f>ROUNDDOWN(AY1342+(AY1342*MASTER!$A$2/100),0)</f>
        <v>62304</v>
      </c>
      <c r="BA1342" s="60" t="s">
        <v>318</v>
      </c>
      <c r="BB1342" s="64">
        <v>26000</v>
      </c>
      <c r="BC1342" s="64">
        <v>28600</v>
      </c>
      <c r="BD1342" s="60" t="s">
        <v>3940</v>
      </c>
      <c r="BG1342" s="64">
        <v>0</v>
      </c>
      <c r="BI1342" s="60" t="s">
        <v>267</v>
      </c>
      <c r="BJ1342" s="64">
        <v>7800</v>
      </c>
      <c r="BK1342" s="64">
        <v>8580</v>
      </c>
      <c r="BL1342" s="60" t="s">
        <v>4069</v>
      </c>
      <c r="BS1342" s="64">
        <v>0</v>
      </c>
      <c r="BV1342" s="65">
        <v>51700</v>
      </c>
      <c r="BW1342" s="65">
        <v>37180</v>
      </c>
      <c r="BX1342" s="65">
        <v>44739</v>
      </c>
      <c r="BY1342" s="65">
        <v>14520</v>
      </c>
      <c r="BZ1342" s="81">
        <v>28.085106382978726</v>
      </c>
    </row>
    <row r="1343" spans="1:89" x14ac:dyDescent="0.15">
      <c r="A1343" s="60">
        <v>2</v>
      </c>
      <c r="B1343" s="61">
        <v>44775</v>
      </c>
      <c r="C1343" s="61">
        <v>44784</v>
      </c>
      <c r="D1343" s="61">
        <v>44816</v>
      </c>
      <c r="E1343" s="61">
        <v>44790</v>
      </c>
      <c r="F1343" s="61">
        <v>44791</v>
      </c>
      <c r="G1343" s="61">
        <v>44790</v>
      </c>
      <c r="H1343" s="61">
        <v>44787</v>
      </c>
      <c r="I1343" s="60" t="s">
        <v>511</v>
      </c>
      <c r="J1343" s="60">
        <v>1</v>
      </c>
      <c r="L1343" s="60">
        <v>0</v>
      </c>
      <c r="M1343" s="61">
        <v>44739</v>
      </c>
      <c r="O1343" s="62" t="s">
        <v>331</v>
      </c>
      <c r="P1343" s="60" t="s">
        <v>26</v>
      </c>
      <c r="Q1343" s="62" t="s">
        <v>138</v>
      </c>
      <c r="R1343" s="62" t="s">
        <v>4055</v>
      </c>
      <c r="S1343" s="63" t="s">
        <v>3783</v>
      </c>
      <c r="T1343" s="63" t="s">
        <v>498</v>
      </c>
      <c r="U1343" s="64">
        <v>50000</v>
      </c>
      <c r="V1343" s="64">
        <v>55000</v>
      </c>
      <c r="W1343" s="64">
        <v>47000</v>
      </c>
      <c r="X1343" s="64">
        <v>51700</v>
      </c>
      <c r="Y1343" s="64">
        <v>3000</v>
      </c>
      <c r="Z1343" s="64">
        <v>3300</v>
      </c>
      <c r="AA1343" s="61">
        <v>44783</v>
      </c>
      <c r="AB1343" s="61">
        <v>44784</v>
      </c>
      <c r="AC1343" s="61">
        <v>44784</v>
      </c>
      <c r="AD1343" s="60">
        <v>0</v>
      </c>
      <c r="AG1343" s="60">
        <v>0</v>
      </c>
      <c r="AJ1343" s="60">
        <v>0</v>
      </c>
      <c r="AM1343" s="60" t="s">
        <v>273</v>
      </c>
      <c r="AN1343" s="60" t="s">
        <v>4056</v>
      </c>
      <c r="AQ1343" s="60" t="s">
        <v>4269</v>
      </c>
      <c r="AR1343" s="61">
        <v>44763</v>
      </c>
      <c r="AS1343" s="60">
        <v>6002054182</v>
      </c>
      <c r="AT1343" s="61">
        <v>44763</v>
      </c>
      <c r="AU1343" s="60" t="s">
        <v>4067</v>
      </c>
      <c r="AV1343" s="61">
        <v>44784</v>
      </c>
      <c r="AW1343" s="91">
        <v>44804</v>
      </c>
      <c r="AX1343" s="91">
        <v>44824</v>
      </c>
      <c r="AY1343" s="99">
        <v>48000</v>
      </c>
      <c r="AZ1343" s="99">
        <f>ROUNDDOWN(AY1343+(AY1343*MASTER!$A$2/100),0)</f>
        <v>52800</v>
      </c>
      <c r="BA1343" s="60" t="s">
        <v>314</v>
      </c>
      <c r="BB1343" s="64">
        <v>33000</v>
      </c>
      <c r="BC1343" s="64">
        <v>36300</v>
      </c>
      <c r="BD1343" s="60" t="s">
        <v>3940</v>
      </c>
      <c r="BG1343" s="64">
        <v>0</v>
      </c>
      <c r="BI1343" s="60" t="s">
        <v>748</v>
      </c>
      <c r="BJ1343" s="64">
        <v>1950</v>
      </c>
      <c r="BK1343" s="64">
        <v>2145</v>
      </c>
      <c r="BL1343" s="60" t="s">
        <v>3940</v>
      </c>
      <c r="BS1343" s="64">
        <v>0</v>
      </c>
      <c r="BV1343" s="65">
        <v>51700</v>
      </c>
      <c r="BW1343" s="65">
        <v>38445</v>
      </c>
      <c r="BX1343" s="65">
        <v>44739</v>
      </c>
      <c r="BY1343" s="65">
        <v>13255</v>
      </c>
      <c r="BZ1343" s="81">
        <v>25.638297872340427</v>
      </c>
    </row>
    <row r="1344" spans="1:89" x14ac:dyDescent="0.15">
      <c r="A1344" s="60">
        <v>2</v>
      </c>
      <c r="B1344" s="61">
        <v>44809</v>
      </c>
      <c r="C1344" s="61">
        <v>44834</v>
      </c>
      <c r="E1344" s="61">
        <v>44817</v>
      </c>
      <c r="F1344" s="61" t="s">
        <v>309</v>
      </c>
      <c r="G1344" s="61">
        <v>44816</v>
      </c>
      <c r="H1344" s="61" t="s">
        <v>309</v>
      </c>
      <c r="I1344" s="60" t="s">
        <v>511</v>
      </c>
      <c r="J1344" s="60">
        <v>2</v>
      </c>
      <c r="L1344" s="60">
        <v>0</v>
      </c>
      <c r="M1344" s="61">
        <v>44740</v>
      </c>
      <c r="O1344" s="62" t="s">
        <v>331</v>
      </c>
      <c r="P1344" s="60" t="s">
        <v>26</v>
      </c>
      <c r="Q1344" s="62" t="s">
        <v>138</v>
      </c>
      <c r="R1344" s="62" t="s">
        <v>3769</v>
      </c>
      <c r="S1344" s="63" t="s">
        <v>1405</v>
      </c>
      <c r="T1344" s="63" t="s">
        <v>656</v>
      </c>
      <c r="U1344" s="64">
        <v>49500</v>
      </c>
      <c r="V1344" s="64">
        <v>54450</v>
      </c>
      <c r="W1344" s="64">
        <v>49500</v>
      </c>
      <c r="X1344" s="64">
        <v>54450</v>
      </c>
      <c r="Z1344" s="64">
        <v>0</v>
      </c>
      <c r="AA1344" s="61">
        <v>44813</v>
      </c>
      <c r="AB1344" s="61">
        <v>44814</v>
      </c>
      <c r="AD1344" s="60">
        <v>0</v>
      </c>
      <c r="AG1344" s="60">
        <v>0</v>
      </c>
      <c r="AJ1344" s="60">
        <v>0</v>
      </c>
      <c r="AN1344" s="60" t="s">
        <v>309</v>
      </c>
      <c r="AQ1344" s="60" t="s">
        <v>3919</v>
      </c>
      <c r="AR1344" s="61">
        <v>44748</v>
      </c>
      <c r="AS1344" s="60">
        <v>6002048898</v>
      </c>
      <c r="AT1344" s="61">
        <v>44749</v>
      </c>
      <c r="AU1344" s="60" t="s">
        <v>3945</v>
      </c>
      <c r="AV1344" s="61">
        <v>44834</v>
      </c>
      <c r="AW1344" s="91">
        <v>44834</v>
      </c>
      <c r="AX1344" s="91">
        <v>44854</v>
      </c>
      <c r="AY1344" s="99">
        <v>47520</v>
      </c>
      <c r="AZ1344" s="99">
        <f>ROUNDDOWN(AY1344+(AY1344*MASTER!$A$2/100),0)</f>
        <v>52272</v>
      </c>
      <c r="BA1344" s="60" t="s">
        <v>319</v>
      </c>
      <c r="BB1344" s="64">
        <v>26000</v>
      </c>
      <c r="BC1344" s="64">
        <v>28600</v>
      </c>
      <c r="BD1344" s="60" t="s">
        <v>4182</v>
      </c>
      <c r="BG1344" s="64">
        <v>0</v>
      </c>
      <c r="BK1344" s="64">
        <v>0</v>
      </c>
      <c r="BS1344" s="64">
        <v>0</v>
      </c>
      <c r="BV1344" s="65">
        <v>54450</v>
      </c>
      <c r="BW1344" s="65">
        <v>28600</v>
      </c>
      <c r="BX1344" s="65">
        <v>44740</v>
      </c>
      <c r="BY1344" s="65">
        <v>25850</v>
      </c>
      <c r="BZ1344" s="81">
        <v>47.474747474747474</v>
      </c>
    </row>
    <row r="1345" spans="1:78" x14ac:dyDescent="0.15">
      <c r="A1345" s="60">
        <v>1</v>
      </c>
      <c r="B1345" s="61">
        <v>44778</v>
      </c>
      <c r="C1345" s="61">
        <v>44783</v>
      </c>
      <c r="F1345" s="61" t="s">
        <v>309</v>
      </c>
      <c r="H1345" s="61" t="s">
        <v>309</v>
      </c>
      <c r="J1345" s="60">
        <v>3</v>
      </c>
      <c r="L1345" s="60">
        <v>0</v>
      </c>
      <c r="M1345" s="61">
        <v>44740</v>
      </c>
      <c r="O1345" s="62" t="s">
        <v>331</v>
      </c>
      <c r="P1345" s="60" t="s">
        <v>6</v>
      </c>
      <c r="Q1345" s="62" t="s">
        <v>138</v>
      </c>
      <c r="R1345" s="62" t="s">
        <v>4297</v>
      </c>
      <c r="S1345" s="63" t="s">
        <v>726</v>
      </c>
      <c r="T1345" s="63" t="s">
        <v>463</v>
      </c>
      <c r="U1345" s="64">
        <v>9000</v>
      </c>
      <c r="V1345" s="64">
        <v>9900</v>
      </c>
      <c r="X1345" s="64">
        <v>0</v>
      </c>
      <c r="Y1345" s="64">
        <v>9000</v>
      </c>
      <c r="Z1345" s="64">
        <v>9900</v>
      </c>
      <c r="AD1345" s="60">
        <v>0</v>
      </c>
      <c r="AG1345" s="60">
        <v>0</v>
      </c>
      <c r="AJ1345" s="60">
        <v>0</v>
      </c>
      <c r="AN1345" s="60" t="s">
        <v>309</v>
      </c>
      <c r="AQ1345" s="60" t="s">
        <v>3895</v>
      </c>
      <c r="AR1345" s="61">
        <v>44747</v>
      </c>
      <c r="AS1345" s="60">
        <v>6002048034</v>
      </c>
      <c r="AT1345" s="61">
        <v>44747</v>
      </c>
      <c r="AU1345" s="60" t="s">
        <v>3917</v>
      </c>
      <c r="AV1345" s="61">
        <v>44783</v>
      </c>
      <c r="AW1345" s="91">
        <v>44804</v>
      </c>
      <c r="AX1345" s="91">
        <v>44824</v>
      </c>
      <c r="AY1345" s="99">
        <v>8640</v>
      </c>
      <c r="AZ1345" s="99">
        <f>ROUNDDOWN(AY1345+(AY1345*MASTER!$A$2/100),0)</f>
        <v>9504</v>
      </c>
      <c r="BC1345" s="64">
        <v>0</v>
      </c>
      <c r="BG1345" s="64">
        <v>0</v>
      </c>
      <c r="BK1345" s="64">
        <v>0</v>
      </c>
      <c r="BS1345" s="64">
        <v>0</v>
      </c>
      <c r="BV1345" s="65">
        <v>0</v>
      </c>
      <c r="BW1345" s="65">
        <v>0</v>
      </c>
      <c r="BX1345" s="65">
        <v>44740</v>
      </c>
      <c r="BY1345" s="65">
        <v>0</v>
      </c>
      <c r="BZ1345" s="81" t="s">
        <v>309</v>
      </c>
    </row>
    <row r="1346" spans="1:78" x14ac:dyDescent="0.15">
      <c r="A1346" s="60">
        <v>2</v>
      </c>
      <c r="B1346" s="61">
        <v>44774</v>
      </c>
      <c r="C1346" s="61">
        <v>44783</v>
      </c>
      <c r="D1346" s="61" t="s">
        <v>764</v>
      </c>
      <c r="E1346" s="61">
        <v>44790</v>
      </c>
      <c r="F1346" s="61">
        <v>44790</v>
      </c>
      <c r="G1346" s="61">
        <v>44783</v>
      </c>
      <c r="H1346" s="61">
        <v>44786</v>
      </c>
      <c r="I1346" s="60" t="s">
        <v>511</v>
      </c>
      <c r="J1346" s="60">
        <v>1</v>
      </c>
      <c r="L1346" s="60">
        <v>0</v>
      </c>
      <c r="M1346" s="61">
        <v>44740</v>
      </c>
      <c r="O1346" s="62" t="s">
        <v>331</v>
      </c>
      <c r="P1346" s="60" t="s">
        <v>26</v>
      </c>
      <c r="Q1346" s="62" t="s">
        <v>138</v>
      </c>
      <c r="R1346" s="62" t="s">
        <v>4247</v>
      </c>
      <c r="S1346" s="63" t="s">
        <v>1085</v>
      </c>
      <c r="T1346" s="63" t="s">
        <v>2455</v>
      </c>
      <c r="U1346" s="64">
        <v>23900</v>
      </c>
      <c r="V1346" s="64">
        <v>26290</v>
      </c>
      <c r="W1346" s="64">
        <v>14700</v>
      </c>
      <c r="X1346" s="64">
        <v>16170</v>
      </c>
      <c r="Y1346" s="64">
        <v>9200</v>
      </c>
      <c r="Z1346" s="64">
        <v>10120</v>
      </c>
      <c r="AA1346" s="61">
        <v>44781</v>
      </c>
      <c r="AB1346" s="61">
        <v>44783</v>
      </c>
      <c r="AC1346" s="61">
        <v>44783</v>
      </c>
      <c r="AD1346" s="60">
        <v>0</v>
      </c>
      <c r="AG1346" s="60">
        <v>0</v>
      </c>
      <c r="AJ1346" s="60">
        <v>0</v>
      </c>
      <c r="AM1346" s="60" t="s">
        <v>273</v>
      </c>
      <c r="AN1346" s="60" t="s">
        <v>4248</v>
      </c>
      <c r="AQ1346" s="60" t="s">
        <v>3922</v>
      </c>
      <c r="AR1346" s="61">
        <v>44748</v>
      </c>
      <c r="AS1346" s="60">
        <v>6002048898</v>
      </c>
      <c r="AT1346" s="61">
        <v>44749</v>
      </c>
      <c r="AU1346" s="60" t="s">
        <v>3945</v>
      </c>
      <c r="AV1346" s="61">
        <v>44783</v>
      </c>
      <c r="AW1346" s="91">
        <v>44804</v>
      </c>
      <c r="AX1346" s="91">
        <v>44824</v>
      </c>
      <c r="AY1346" s="99">
        <v>22944</v>
      </c>
      <c r="AZ1346" s="99">
        <f>ROUNDDOWN(AY1346+(AY1346*MASTER!$A$2/100),0)</f>
        <v>25238</v>
      </c>
      <c r="BA1346" s="60" t="s">
        <v>765</v>
      </c>
      <c r="BC1346" s="64">
        <v>0</v>
      </c>
      <c r="BG1346" s="64">
        <v>0</v>
      </c>
      <c r="BI1346" s="60" t="s">
        <v>267</v>
      </c>
      <c r="BJ1346" s="64">
        <v>5980</v>
      </c>
      <c r="BK1346" s="64">
        <v>6578</v>
      </c>
      <c r="BL1346" s="60" t="s">
        <v>4069</v>
      </c>
      <c r="BS1346" s="64">
        <v>0</v>
      </c>
      <c r="BV1346" s="65">
        <v>16170</v>
      </c>
      <c r="BW1346" s="65">
        <v>6578</v>
      </c>
      <c r="BX1346" s="65">
        <v>44740</v>
      </c>
      <c r="BY1346" s="65">
        <v>9592</v>
      </c>
      <c r="BZ1346" s="81">
        <v>59.319727891156461</v>
      </c>
    </row>
    <row r="1347" spans="1:78" x14ac:dyDescent="0.15">
      <c r="A1347" s="60">
        <v>2</v>
      </c>
      <c r="B1347" s="61">
        <v>44774</v>
      </c>
      <c r="C1347" s="61">
        <v>44779</v>
      </c>
      <c r="D1347" s="61">
        <v>44816</v>
      </c>
      <c r="E1347" s="61">
        <v>44785</v>
      </c>
      <c r="F1347" s="61">
        <v>44786</v>
      </c>
      <c r="G1347" s="61">
        <v>44782</v>
      </c>
      <c r="H1347" s="61">
        <v>44782</v>
      </c>
      <c r="I1347" s="60" t="s">
        <v>511</v>
      </c>
      <c r="J1347" s="60">
        <v>1</v>
      </c>
      <c r="L1347" s="60">
        <v>0</v>
      </c>
      <c r="M1347" s="61">
        <v>44740</v>
      </c>
      <c r="O1347" s="62" t="s">
        <v>331</v>
      </c>
      <c r="P1347" s="60" t="s">
        <v>26</v>
      </c>
      <c r="Q1347" s="62" t="s">
        <v>138</v>
      </c>
      <c r="R1347" s="62" t="s">
        <v>3777</v>
      </c>
      <c r="S1347" s="63" t="s">
        <v>696</v>
      </c>
      <c r="T1347" s="63" t="s">
        <v>3776</v>
      </c>
      <c r="U1347" s="64">
        <v>50000</v>
      </c>
      <c r="V1347" s="64">
        <v>55000</v>
      </c>
      <c r="W1347" s="64">
        <v>47000</v>
      </c>
      <c r="X1347" s="64">
        <v>51700</v>
      </c>
      <c r="Y1347" s="64">
        <v>3000</v>
      </c>
      <c r="Z1347" s="64">
        <v>3300</v>
      </c>
      <c r="AA1347" s="61">
        <v>44778</v>
      </c>
      <c r="AB1347" s="61">
        <v>44779</v>
      </c>
      <c r="AC1347" s="61">
        <v>44779</v>
      </c>
      <c r="AD1347" s="60">
        <v>0</v>
      </c>
      <c r="AG1347" s="60">
        <v>0</v>
      </c>
      <c r="AJ1347" s="60">
        <v>0</v>
      </c>
      <c r="AM1347" s="60" t="s">
        <v>273</v>
      </c>
      <c r="AN1347" s="60" t="s">
        <v>4095</v>
      </c>
      <c r="AQ1347" s="60" t="s">
        <v>3923</v>
      </c>
      <c r="AR1347" s="61">
        <v>44748</v>
      </c>
      <c r="AS1347" s="60">
        <v>6002048898</v>
      </c>
      <c r="AT1347" s="61">
        <v>44749</v>
      </c>
      <c r="AU1347" s="60" t="s">
        <v>3945</v>
      </c>
      <c r="AV1347" s="61">
        <v>44779</v>
      </c>
      <c r="AW1347" s="91">
        <v>44804</v>
      </c>
      <c r="AX1347" s="91">
        <v>44824</v>
      </c>
      <c r="AY1347" s="99">
        <v>48000</v>
      </c>
      <c r="AZ1347" s="99">
        <f>ROUNDDOWN(AY1347+(AY1347*MASTER!$A$2/100),0)</f>
        <v>52800</v>
      </c>
      <c r="BA1347" s="60" t="s">
        <v>314</v>
      </c>
      <c r="BB1347" s="64">
        <v>28000</v>
      </c>
      <c r="BC1347" s="64">
        <v>30800</v>
      </c>
      <c r="BD1347" s="60" t="s">
        <v>3940</v>
      </c>
      <c r="BG1347" s="64">
        <v>0</v>
      </c>
      <c r="BI1347" s="60" t="s">
        <v>748</v>
      </c>
      <c r="BJ1347" s="64">
        <v>1950</v>
      </c>
      <c r="BK1347" s="64">
        <v>2145</v>
      </c>
      <c r="BL1347" s="60" t="s">
        <v>3940</v>
      </c>
      <c r="BS1347" s="64">
        <v>0</v>
      </c>
      <c r="BV1347" s="65">
        <v>51700</v>
      </c>
      <c r="BW1347" s="65">
        <v>32945</v>
      </c>
      <c r="BX1347" s="65">
        <v>44740</v>
      </c>
      <c r="BY1347" s="65">
        <v>18755</v>
      </c>
      <c r="BZ1347" s="81">
        <v>36.276595744680847</v>
      </c>
    </row>
    <row r="1348" spans="1:78" x14ac:dyDescent="0.15">
      <c r="A1348" s="60">
        <v>2</v>
      </c>
      <c r="B1348" s="61">
        <v>44774</v>
      </c>
      <c r="C1348" s="61">
        <v>44778</v>
      </c>
      <c r="D1348" s="61">
        <v>44806</v>
      </c>
      <c r="E1348" s="61">
        <v>44785</v>
      </c>
      <c r="F1348" s="61">
        <v>44785</v>
      </c>
      <c r="G1348" s="61">
        <v>44782</v>
      </c>
      <c r="H1348" s="61">
        <v>44781</v>
      </c>
      <c r="I1348" s="60" t="s">
        <v>511</v>
      </c>
      <c r="J1348" s="60">
        <v>1</v>
      </c>
      <c r="L1348" s="60">
        <v>0</v>
      </c>
      <c r="M1348" s="61">
        <v>44740</v>
      </c>
      <c r="O1348" s="62" t="s">
        <v>331</v>
      </c>
      <c r="P1348" s="60" t="s">
        <v>26</v>
      </c>
      <c r="Q1348" s="62" t="s">
        <v>138</v>
      </c>
      <c r="R1348" s="62" t="s">
        <v>3779</v>
      </c>
      <c r="S1348" s="63" t="s">
        <v>1588</v>
      </c>
      <c r="T1348" s="63" t="s">
        <v>3778</v>
      </c>
      <c r="U1348" s="64">
        <v>59200</v>
      </c>
      <c r="V1348" s="64">
        <v>65120</v>
      </c>
      <c r="W1348" s="64">
        <v>47000</v>
      </c>
      <c r="X1348" s="64">
        <v>51700</v>
      </c>
      <c r="Y1348" s="64">
        <v>12200</v>
      </c>
      <c r="Z1348" s="64">
        <v>13420</v>
      </c>
      <c r="AA1348" s="61">
        <v>44776</v>
      </c>
      <c r="AB1348" s="61">
        <v>44778</v>
      </c>
      <c r="AC1348" s="61">
        <v>44778</v>
      </c>
      <c r="AD1348" s="60">
        <v>0</v>
      </c>
      <c r="AG1348" s="60">
        <v>0</v>
      </c>
      <c r="AJ1348" s="60">
        <v>0</v>
      </c>
      <c r="AM1348" s="60" t="s">
        <v>273</v>
      </c>
      <c r="AN1348" s="60" t="s">
        <v>3998</v>
      </c>
      <c r="AQ1348" s="60" t="s">
        <v>4218</v>
      </c>
      <c r="AR1348" s="61">
        <v>44755</v>
      </c>
      <c r="AS1348" s="60">
        <v>6002051577</v>
      </c>
      <c r="AT1348" s="61">
        <v>44755</v>
      </c>
      <c r="AU1348" s="60" t="s">
        <v>4012</v>
      </c>
      <c r="AV1348" s="61">
        <v>44778</v>
      </c>
      <c r="AW1348" s="91">
        <v>44804</v>
      </c>
      <c r="AX1348" s="91">
        <v>44824</v>
      </c>
      <c r="AY1348" s="99">
        <v>56832</v>
      </c>
      <c r="AZ1348" s="99">
        <f>ROUNDDOWN(AY1348+(AY1348*MASTER!$A$2/100),0)</f>
        <v>62515</v>
      </c>
      <c r="BA1348" s="60" t="s">
        <v>613</v>
      </c>
      <c r="BB1348" s="64">
        <v>31000</v>
      </c>
      <c r="BC1348" s="64">
        <v>34100</v>
      </c>
      <c r="BD1348" s="60" t="s">
        <v>3940</v>
      </c>
      <c r="BG1348" s="64">
        <v>0</v>
      </c>
      <c r="BI1348" s="60" t="s">
        <v>748</v>
      </c>
      <c r="BJ1348" s="64">
        <v>7930</v>
      </c>
      <c r="BK1348" s="64">
        <v>8723</v>
      </c>
      <c r="BL1348" s="60" t="s">
        <v>3940</v>
      </c>
      <c r="BS1348" s="64">
        <v>0</v>
      </c>
      <c r="BV1348" s="65">
        <v>51700</v>
      </c>
      <c r="BW1348" s="65">
        <v>42823</v>
      </c>
      <c r="BX1348" s="65">
        <v>44740</v>
      </c>
      <c r="BY1348" s="65">
        <v>8877</v>
      </c>
      <c r="BZ1348" s="81">
        <v>17.170212765957444</v>
      </c>
    </row>
    <row r="1349" spans="1:78" x14ac:dyDescent="0.15">
      <c r="A1349" s="60">
        <v>2</v>
      </c>
      <c r="B1349" s="61">
        <v>44746</v>
      </c>
      <c r="C1349" s="61">
        <v>44748</v>
      </c>
      <c r="D1349" s="61">
        <v>44780</v>
      </c>
      <c r="F1349" s="61" t="s">
        <v>309</v>
      </c>
      <c r="H1349" s="61" t="s">
        <v>309</v>
      </c>
      <c r="I1349" s="60" t="s">
        <v>774</v>
      </c>
      <c r="J1349" s="60">
        <v>2</v>
      </c>
      <c r="L1349" s="60">
        <v>0</v>
      </c>
      <c r="M1349" s="61">
        <v>44741</v>
      </c>
      <c r="O1349" s="62" t="s">
        <v>331</v>
      </c>
      <c r="P1349" s="60" t="s">
        <v>77</v>
      </c>
      <c r="Q1349" s="62" t="s">
        <v>138</v>
      </c>
      <c r="R1349" s="62" t="s">
        <v>3906</v>
      </c>
      <c r="S1349" s="63" t="s">
        <v>1212</v>
      </c>
      <c r="T1349" s="63" t="s">
        <v>1081</v>
      </c>
      <c r="U1349" s="64">
        <v>65000</v>
      </c>
      <c r="V1349" s="64">
        <v>71500</v>
      </c>
      <c r="W1349" s="64">
        <v>65000</v>
      </c>
      <c r="X1349" s="64">
        <v>71500</v>
      </c>
      <c r="Y1349" s="64">
        <v>0</v>
      </c>
      <c r="Z1349" s="64">
        <v>0</v>
      </c>
      <c r="AA1349" s="61">
        <v>44748</v>
      </c>
      <c r="AB1349" s="61">
        <v>44749</v>
      </c>
      <c r="AD1349" s="60">
        <v>0</v>
      </c>
      <c r="AG1349" s="60">
        <v>0</v>
      </c>
      <c r="AJ1349" s="60">
        <v>0</v>
      </c>
      <c r="AQ1349" s="60" t="s">
        <v>3882</v>
      </c>
      <c r="AR1349" s="61">
        <v>44743</v>
      </c>
      <c r="AS1349" s="60">
        <v>6002047169</v>
      </c>
      <c r="AT1349" s="61">
        <v>44743</v>
      </c>
      <c r="AU1349" s="60" t="s">
        <v>3889</v>
      </c>
      <c r="AV1349" s="61">
        <v>44748</v>
      </c>
      <c r="AW1349" s="91">
        <v>44773</v>
      </c>
      <c r="AX1349" s="91">
        <v>44793</v>
      </c>
      <c r="AY1349" s="107">
        <v>65000</v>
      </c>
      <c r="AZ1349" s="107">
        <f>ROUNDDOWN(AY1349+(AY1349*MASTER!$A$2/100),0)</f>
        <v>71500</v>
      </c>
      <c r="BA1349" s="60" t="s">
        <v>765</v>
      </c>
      <c r="BC1349" s="64">
        <v>0</v>
      </c>
      <c r="BG1349" s="64">
        <v>0</v>
      </c>
      <c r="BK1349" s="64">
        <v>0</v>
      </c>
      <c r="BS1349" s="64">
        <v>0</v>
      </c>
      <c r="BV1349" s="65">
        <v>71500</v>
      </c>
      <c r="BW1349" s="65">
        <v>0</v>
      </c>
      <c r="BX1349" s="65">
        <v>44741</v>
      </c>
      <c r="BY1349" s="65">
        <v>71500</v>
      </c>
      <c r="BZ1349" s="81">
        <v>100</v>
      </c>
    </row>
    <row r="1350" spans="1:78" x14ac:dyDescent="0.15">
      <c r="A1350" s="60">
        <v>1</v>
      </c>
      <c r="C1350" s="61" t="s">
        <v>309</v>
      </c>
      <c r="F1350" s="61" t="s">
        <v>309</v>
      </c>
      <c r="H1350" s="61" t="s">
        <v>309</v>
      </c>
      <c r="J1350" s="60">
        <v>1</v>
      </c>
      <c r="L1350" s="60">
        <v>0</v>
      </c>
      <c r="M1350" s="61">
        <v>44741</v>
      </c>
      <c r="O1350" s="62" t="s">
        <v>331</v>
      </c>
      <c r="P1350" s="60" t="s">
        <v>77</v>
      </c>
      <c r="Q1350" s="62" t="s">
        <v>138</v>
      </c>
      <c r="R1350" s="62" t="s">
        <v>3781</v>
      </c>
      <c r="S1350" s="63" t="s">
        <v>3782</v>
      </c>
      <c r="T1350" s="63" t="s">
        <v>1081</v>
      </c>
      <c r="U1350" s="64">
        <v>65000</v>
      </c>
      <c r="V1350" s="64">
        <v>71500</v>
      </c>
      <c r="W1350" s="64">
        <v>65000</v>
      </c>
      <c r="X1350" s="64">
        <v>71500</v>
      </c>
      <c r="Y1350" s="64">
        <v>0</v>
      </c>
      <c r="Z1350" s="64">
        <v>0</v>
      </c>
      <c r="AA1350" s="61" t="s">
        <v>283</v>
      </c>
      <c r="AQ1350" s="60" t="s">
        <v>3882</v>
      </c>
      <c r="AR1350" s="61">
        <v>44743</v>
      </c>
      <c r="AS1350" s="60">
        <v>6002047169</v>
      </c>
      <c r="AT1350" s="61">
        <v>44743</v>
      </c>
      <c r="AU1350" s="60" t="s">
        <v>3889</v>
      </c>
      <c r="AV1350" s="61">
        <v>44750</v>
      </c>
      <c r="AW1350" s="91">
        <v>44773</v>
      </c>
      <c r="AX1350" s="91">
        <v>44793</v>
      </c>
      <c r="AY1350" s="107">
        <f>U1350</f>
        <v>65000</v>
      </c>
      <c r="AZ1350" s="107">
        <f>ROUNDDOWN(AY1350+(AY1350*MASTER!$A$2/100),0)</f>
        <v>71500</v>
      </c>
    </row>
    <row r="1351" spans="1:78" x14ac:dyDescent="0.15">
      <c r="A1351" s="60">
        <v>2</v>
      </c>
      <c r="B1351" s="61">
        <v>44746</v>
      </c>
      <c r="C1351" s="61">
        <v>44751</v>
      </c>
      <c r="D1351" s="61">
        <v>44780</v>
      </c>
      <c r="F1351" s="61" t="s">
        <v>309</v>
      </c>
      <c r="H1351" s="61" t="s">
        <v>309</v>
      </c>
      <c r="I1351" s="60" t="s">
        <v>774</v>
      </c>
      <c r="J1351" s="60">
        <v>2</v>
      </c>
      <c r="L1351" s="60">
        <v>0</v>
      </c>
      <c r="M1351" s="61">
        <v>44741</v>
      </c>
      <c r="O1351" s="62" t="s">
        <v>331</v>
      </c>
      <c r="P1351" s="60" t="s">
        <v>77</v>
      </c>
      <c r="Q1351" s="62" t="s">
        <v>138</v>
      </c>
      <c r="R1351" s="62" t="s">
        <v>3897</v>
      </c>
      <c r="S1351" s="63" t="s">
        <v>659</v>
      </c>
      <c r="T1351" s="63" t="s">
        <v>1081</v>
      </c>
      <c r="U1351" s="64">
        <v>65000</v>
      </c>
      <c r="V1351" s="64">
        <v>71500</v>
      </c>
      <c r="W1351" s="64">
        <v>65000</v>
      </c>
      <c r="X1351" s="64">
        <v>71500</v>
      </c>
      <c r="Y1351" s="64">
        <v>0</v>
      </c>
      <c r="Z1351" s="64">
        <v>0</v>
      </c>
      <c r="AA1351" s="61">
        <v>44750</v>
      </c>
      <c r="AB1351" s="61">
        <v>44751</v>
      </c>
      <c r="AD1351" s="60">
        <v>0</v>
      </c>
      <c r="AG1351" s="60">
        <v>0</v>
      </c>
      <c r="AJ1351" s="60">
        <v>0</v>
      </c>
      <c r="AQ1351" s="60" t="s">
        <v>3881</v>
      </c>
      <c r="AR1351" s="61">
        <v>44743</v>
      </c>
      <c r="AS1351" s="60">
        <v>6002047169</v>
      </c>
      <c r="AT1351" s="61">
        <v>44743</v>
      </c>
      <c r="AU1351" s="60" t="s">
        <v>3889</v>
      </c>
      <c r="AV1351" s="61">
        <v>44751</v>
      </c>
      <c r="AW1351" s="91">
        <v>44773</v>
      </c>
      <c r="AX1351" s="91">
        <v>44793</v>
      </c>
      <c r="AY1351" s="107">
        <v>65000</v>
      </c>
      <c r="AZ1351" s="107">
        <f>ROUNDDOWN(AY1351+(AY1351*MASTER!$A$2/100),0)</f>
        <v>71500</v>
      </c>
      <c r="BA1351" s="60" t="s">
        <v>765</v>
      </c>
      <c r="BC1351" s="64">
        <v>0</v>
      </c>
      <c r="BG1351" s="64">
        <v>0</v>
      </c>
      <c r="BK1351" s="64">
        <v>0</v>
      </c>
      <c r="BS1351" s="64">
        <v>0</v>
      </c>
      <c r="BV1351" s="65">
        <v>71500</v>
      </c>
      <c r="BW1351" s="65">
        <v>0</v>
      </c>
      <c r="BX1351" s="65">
        <v>44741</v>
      </c>
      <c r="BY1351" s="65">
        <v>71500</v>
      </c>
      <c r="BZ1351" s="81">
        <v>100</v>
      </c>
    </row>
    <row r="1352" spans="1:78" x14ac:dyDescent="0.15">
      <c r="A1352" s="60">
        <v>2</v>
      </c>
      <c r="B1352" s="61">
        <v>44746</v>
      </c>
      <c r="C1352" s="61">
        <v>44754</v>
      </c>
      <c r="D1352" s="61">
        <v>44780</v>
      </c>
      <c r="F1352" s="61" t="s">
        <v>309</v>
      </c>
      <c r="H1352" s="61" t="s">
        <v>309</v>
      </c>
      <c r="I1352" s="60" t="s">
        <v>1630</v>
      </c>
      <c r="J1352" s="60">
        <v>2</v>
      </c>
      <c r="L1352" s="60">
        <v>0</v>
      </c>
      <c r="M1352" s="61">
        <v>44741</v>
      </c>
      <c r="O1352" s="62" t="s">
        <v>331</v>
      </c>
      <c r="P1352" s="60" t="s">
        <v>77</v>
      </c>
      <c r="Q1352" s="62" t="s">
        <v>138</v>
      </c>
      <c r="R1352" s="62" t="s">
        <v>3898</v>
      </c>
      <c r="S1352" s="63" t="s">
        <v>2029</v>
      </c>
      <c r="T1352" s="63" t="s">
        <v>1081</v>
      </c>
      <c r="U1352" s="64">
        <v>65000</v>
      </c>
      <c r="V1352" s="64">
        <v>71500</v>
      </c>
      <c r="W1352" s="64">
        <v>65000</v>
      </c>
      <c r="X1352" s="64">
        <v>71500</v>
      </c>
      <c r="Y1352" s="64">
        <v>0</v>
      </c>
      <c r="Z1352" s="64">
        <v>0</v>
      </c>
      <c r="AA1352" s="61">
        <v>44753</v>
      </c>
      <c r="AB1352" s="61">
        <v>44754</v>
      </c>
      <c r="AD1352" s="60">
        <v>0</v>
      </c>
      <c r="AG1352" s="60">
        <v>0</v>
      </c>
      <c r="AJ1352" s="60">
        <v>0</v>
      </c>
      <c r="AQ1352" s="60" t="s">
        <v>3881</v>
      </c>
      <c r="AR1352" s="61">
        <v>44743</v>
      </c>
      <c r="AS1352" s="60">
        <v>6002047169</v>
      </c>
      <c r="AT1352" s="61">
        <v>44743</v>
      </c>
      <c r="AU1352" s="60" t="s">
        <v>3889</v>
      </c>
      <c r="AV1352" s="61">
        <v>44754</v>
      </c>
      <c r="AW1352" s="91">
        <v>44773</v>
      </c>
      <c r="AX1352" s="91">
        <v>44793</v>
      </c>
      <c r="AY1352" s="107">
        <v>65000</v>
      </c>
      <c r="AZ1352" s="107">
        <f>ROUNDDOWN(AY1352+(AY1352*MASTER!$A$2/100),0)</f>
        <v>71500</v>
      </c>
      <c r="BA1352" s="60" t="s">
        <v>107</v>
      </c>
      <c r="BC1352" s="64">
        <v>0</v>
      </c>
      <c r="BG1352" s="64">
        <v>0</v>
      </c>
      <c r="BK1352" s="64">
        <v>0</v>
      </c>
      <c r="BS1352" s="64">
        <v>0</v>
      </c>
      <c r="BV1352" s="65">
        <v>71500</v>
      </c>
      <c r="BW1352" s="65">
        <v>0</v>
      </c>
      <c r="BX1352" s="65">
        <v>44741</v>
      </c>
      <c r="BY1352" s="65">
        <v>71500</v>
      </c>
      <c r="BZ1352" s="81">
        <v>100</v>
      </c>
    </row>
    <row r="1353" spans="1:78" x14ac:dyDescent="0.15">
      <c r="A1353" s="60">
        <v>2</v>
      </c>
      <c r="B1353" s="61">
        <v>44746</v>
      </c>
      <c r="C1353" s="61">
        <v>44755</v>
      </c>
      <c r="D1353" s="61">
        <v>44780</v>
      </c>
      <c r="F1353" s="61" t="s">
        <v>309</v>
      </c>
      <c r="H1353" s="61" t="s">
        <v>309</v>
      </c>
      <c r="I1353" s="60" t="s">
        <v>774</v>
      </c>
      <c r="J1353" s="60">
        <v>2</v>
      </c>
      <c r="L1353" s="60">
        <v>0</v>
      </c>
      <c r="M1353" s="61">
        <v>44741</v>
      </c>
      <c r="O1353" s="62" t="s">
        <v>331</v>
      </c>
      <c r="P1353" s="60" t="s">
        <v>77</v>
      </c>
      <c r="Q1353" s="62" t="s">
        <v>138</v>
      </c>
      <c r="R1353" s="62" t="s">
        <v>3899</v>
      </c>
      <c r="S1353" s="63" t="s">
        <v>583</v>
      </c>
      <c r="T1353" s="63" t="s">
        <v>1081</v>
      </c>
      <c r="U1353" s="64">
        <v>65000</v>
      </c>
      <c r="V1353" s="64">
        <v>71500</v>
      </c>
      <c r="W1353" s="64">
        <v>65000</v>
      </c>
      <c r="X1353" s="64">
        <v>71500</v>
      </c>
      <c r="Y1353" s="64">
        <v>0</v>
      </c>
      <c r="Z1353" s="64">
        <v>0</v>
      </c>
      <c r="AA1353" s="61">
        <v>44754</v>
      </c>
      <c r="AB1353" s="61">
        <v>44755</v>
      </c>
      <c r="AD1353" s="60">
        <v>0</v>
      </c>
      <c r="AG1353" s="60">
        <v>0</v>
      </c>
      <c r="AJ1353" s="60">
        <v>0</v>
      </c>
      <c r="AQ1353" s="60" t="s">
        <v>3882</v>
      </c>
      <c r="AR1353" s="61">
        <v>44743</v>
      </c>
      <c r="AS1353" s="60">
        <v>6002047169</v>
      </c>
      <c r="AT1353" s="61">
        <v>44743</v>
      </c>
      <c r="AU1353" s="60" t="s">
        <v>3889</v>
      </c>
      <c r="AV1353" s="61">
        <v>44755</v>
      </c>
      <c r="AW1353" s="91">
        <v>44773</v>
      </c>
      <c r="AX1353" s="91">
        <v>44793</v>
      </c>
      <c r="AY1353" s="107">
        <v>65000</v>
      </c>
      <c r="AZ1353" s="107">
        <f>ROUNDDOWN(AY1353+(AY1353*MASTER!$A$2/100),0)</f>
        <v>71500</v>
      </c>
      <c r="BA1353" s="60" t="s">
        <v>765</v>
      </c>
      <c r="BC1353" s="64">
        <v>0</v>
      </c>
      <c r="BG1353" s="64">
        <v>0</v>
      </c>
      <c r="BK1353" s="64">
        <v>0</v>
      </c>
      <c r="BS1353" s="64">
        <v>0</v>
      </c>
      <c r="BV1353" s="65">
        <v>71500</v>
      </c>
      <c r="BW1353" s="65">
        <v>0</v>
      </c>
      <c r="BX1353" s="65">
        <v>44741</v>
      </c>
      <c r="BY1353" s="65">
        <v>71500</v>
      </c>
      <c r="BZ1353" s="81">
        <v>100</v>
      </c>
    </row>
    <row r="1354" spans="1:78" x14ac:dyDescent="0.15">
      <c r="A1354" s="60">
        <v>2</v>
      </c>
      <c r="B1354" s="61">
        <v>44746</v>
      </c>
      <c r="C1354" s="61">
        <v>44756</v>
      </c>
      <c r="D1354" s="61">
        <v>44780</v>
      </c>
      <c r="F1354" s="61" t="s">
        <v>309</v>
      </c>
      <c r="H1354" s="61" t="s">
        <v>309</v>
      </c>
      <c r="I1354" s="60" t="s">
        <v>774</v>
      </c>
      <c r="J1354" s="60">
        <v>2</v>
      </c>
      <c r="L1354" s="60">
        <v>0</v>
      </c>
      <c r="M1354" s="61">
        <v>44741</v>
      </c>
      <c r="O1354" s="62" t="s">
        <v>331</v>
      </c>
      <c r="P1354" s="60" t="s">
        <v>77</v>
      </c>
      <c r="Q1354" s="62" t="s">
        <v>138</v>
      </c>
      <c r="R1354" s="62" t="s">
        <v>3900</v>
      </c>
      <c r="S1354" s="63" t="s">
        <v>550</v>
      </c>
      <c r="T1354" s="63" t="s">
        <v>1081</v>
      </c>
      <c r="U1354" s="64">
        <v>65000</v>
      </c>
      <c r="V1354" s="64">
        <v>71500</v>
      </c>
      <c r="W1354" s="64">
        <v>65000</v>
      </c>
      <c r="X1354" s="64">
        <v>71500</v>
      </c>
      <c r="Y1354" s="64">
        <v>0</v>
      </c>
      <c r="Z1354" s="64">
        <v>0</v>
      </c>
      <c r="AA1354" s="61">
        <v>44755</v>
      </c>
      <c r="AB1354" s="61">
        <v>44756</v>
      </c>
      <c r="AD1354" s="60">
        <v>0</v>
      </c>
      <c r="AG1354" s="60">
        <v>0</v>
      </c>
      <c r="AJ1354" s="60">
        <v>0</v>
      </c>
      <c r="AQ1354" s="60" t="s">
        <v>3881</v>
      </c>
      <c r="AR1354" s="61">
        <v>44743</v>
      </c>
      <c r="AS1354" s="60">
        <v>6002047169</v>
      </c>
      <c r="AT1354" s="61">
        <v>44743</v>
      </c>
      <c r="AU1354" s="60" t="s">
        <v>3889</v>
      </c>
      <c r="AV1354" s="61">
        <v>44756</v>
      </c>
      <c r="AW1354" s="91">
        <v>44773</v>
      </c>
      <c r="AX1354" s="91">
        <v>44793</v>
      </c>
      <c r="AY1354" s="107">
        <v>65000</v>
      </c>
      <c r="AZ1354" s="107">
        <f>ROUNDDOWN(AY1354+(AY1354*MASTER!$A$2/100),0)</f>
        <v>71500</v>
      </c>
      <c r="BA1354" s="60" t="s">
        <v>765</v>
      </c>
      <c r="BC1354" s="64">
        <v>0</v>
      </c>
      <c r="BG1354" s="64">
        <v>0</v>
      </c>
      <c r="BK1354" s="64">
        <v>0</v>
      </c>
      <c r="BS1354" s="64">
        <v>0</v>
      </c>
      <c r="BV1354" s="65">
        <v>71500</v>
      </c>
      <c r="BW1354" s="65">
        <v>0</v>
      </c>
      <c r="BX1354" s="65">
        <v>44741</v>
      </c>
      <c r="BY1354" s="65">
        <v>71500</v>
      </c>
      <c r="BZ1354" s="81">
        <v>100</v>
      </c>
    </row>
    <row r="1355" spans="1:78" x14ac:dyDescent="0.15">
      <c r="A1355" s="60">
        <v>2</v>
      </c>
      <c r="B1355" s="61">
        <v>44746</v>
      </c>
      <c r="C1355" s="61">
        <v>44756</v>
      </c>
      <c r="D1355" s="61">
        <v>44780</v>
      </c>
      <c r="F1355" s="61" t="s">
        <v>309</v>
      </c>
      <c r="H1355" s="61" t="s">
        <v>309</v>
      </c>
      <c r="I1355" s="60" t="s">
        <v>774</v>
      </c>
      <c r="J1355" s="60">
        <v>2</v>
      </c>
      <c r="L1355" s="60">
        <v>0</v>
      </c>
      <c r="M1355" s="61">
        <v>44741</v>
      </c>
      <c r="O1355" s="62" t="s">
        <v>331</v>
      </c>
      <c r="P1355" s="60" t="s">
        <v>77</v>
      </c>
      <c r="Q1355" s="62" t="s">
        <v>138</v>
      </c>
      <c r="R1355" s="62" t="s">
        <v>3901</v>
      </c>
      <c r="S1355" s="63" t="s">
        <v>484</v>
      </c>
      <c r="T1355" s="63" t="s">
        <v>1081</v>
      </c>
      <c r="U1355" s="64">
        <v>65000</v>
      </c>
      <c r="V1355" s="64">
        <v>71500</v>
      </c>
      <c r="W1355" s="64">
        <v>65000</v>
      </c>
      <c r="X1355" s="64">
        <v>71500</v>
      </c>
      <c r="Y1355" s="64">
        <v>0</v>
      </c>
      <c r="Z1355" s="64">
        <v>0</v>
      </c>
      <c r="AA1355" s="61">
        <v>44756</v>
      </c>
      <c r="AB1355" s="61">
        <v>44757</v>
      </c>
      <c r="AD1355" s="60">
        <v>0</v>
      </c>
      <c r="AG1355" s="60">
        <v>0</v>
      </c>
      <c r="AJ1355" s="60">
        <v>0</v>
      </c>
      <c r="AQ1355" s="60" t="s">
        <v>3881</v>
      </c>
      <c r="AR1355" s="61">
        <v>44743</v>
      </c>
      <c r="AS1355" s="60">
        <v>6002047169</v>
      </c>
      <c r="AT1355" s="61">
        <v>44743</v>
      </c>
      <c r="AU1355" s="60" t="s">
        <v>3889</v>
      </c>
      <c r="AV1355" s="61">
        <v>44756</v>
      </c>
      <c r="AW1355" s="91">
        <v>44773</v>
      </c>
      <c r="AX1355" s="91">
        <v>44793</v>
      </c>
      <c r="AY1355" s="107">
        <v>65000</v>
      </c>
      <c r="AZ1355" s="107">
        <f>ROUNDDOWN(AY1355+(AY1355*MASTER!$A$2/100),0)</f>
        <v>71500</v>
      </c>
      <c r="BA1355" s="60" t="s">
        <v>765</v>
      </c>
      <c r="BC1355" s="64">
        <v>0</v>
      </c>
      <c r="BG1355" s="64">
        <v>0</v>
      </c>
      <c r="BK1355" s="64">
        <v>0</v>
      </c>
      <c r="BS1355" s="64">
        <v>0</v>
      </c>
      <c r="BV1355" s="65">
        <v>71500</v>
      </c>
      <c r="BW1355" s="65">
        <v>0</v>
      </c>
      <c r="BX1355" s="65">
        <v>44741</v>
      </c>
      <c r="BY1355" s="65">
        <v>71500</v>
      </c>
      <c r="BZ1355" s="81">
        <v>100</v>
      </c>
    </row>
    <row r="1356" spans="1:78" x14ac:dyDescent="0.15">
      <c r="A1356" s="60">
        <v>2</v>
      </c>
      <c r="B1356" s="61">
        <v>44746</v>
      </c>
      <c r="C1356" s="61">
        <v>44758</v>
      </c>
      <c r="D1356" s="61">
        <v>44780</v>
      </c>
      <c r="F1356" s="61" t="s">
        <v>309</v>
      </c>
      <c r="H1356" s="61" t="s">
        <v>309</v>
      </c>
      <c r="I1356" s="60" t="s">
        <v>774</v>
      </c>
      <c r="J1356" s="60">
        <v>2</v>
      </c>
      <c r="L1356" s="60">
        <v>0</v>
      </c>
      <c r="M1356" s="61">
        <v>44741</v>
      </c>
      <c r="O1356" s="62" t="s">
        <v>331</v>
      </c>
      <c r="P1356" s="60" t="s">
        <v>77</v>
      </c>
      <c r="Q1356" s="62" t="s">
        <v>138</v>
      </c>
      <c r="R1356" s="62" t="s">
        <v>3902</v>
      </c>
      <c r="S1356" s="63" t="s">
        <v>786</v>
      </c>
      <c r="T1356" s="63" t="s">
        <v>1081</v>
      </c>
      <c r="U1356" s="64">
        <v>65000</v>
      </c>
      <c r="V1356" s="64">
        <v>71500</v>
      </c>
      <c r="W1356" s="64">
        <v>65000</v>
      </c>
      <c r="X1356" s="64">
        <v>71500</v>
      </c>
      <c r="Y1356" s="64">
        <v>0</v>
      </c>
      <c r="Z1356" s="64">
        <v>0</v>
      </c>
      <c r="AA1356" s="61">
        <v>44757</v>
      </c>
      <c r="AB1356" s="61">
        <v>44758</v>
      </c>
      <c r="AD1356" s="60">
        <v>0</v>
      </c>
      <c r="AG1356" s="60">
        <v>0</v>
      </c>
      <c r="AJ1356" s="60">
        <v>0</v>
      </c>
      <c r="AQ1356" s="60" t="s">
        <v>3882</v>
      </c>
      <c r="AR1356" s="61">
        <v>44743</v>
      </c>
      <c r="AS1356" s="60">
        <v>6002047169</v>
      </c>
      <c r="AT1356" s="61">
        <v>44743</v>
      </c>
      <c r="AU1356" s="60" t="s">
        <v>3889</v>
      </c>
      <c r="AV1356" s="61">
        <v>44758</v>
      </c>
      <c r="AW1356" s="91">
        <v>44773</v>
      </c>
      <c r="AX1356" s="91">
        <v>44793</v>
      </c>
      <c r="AY1356" s="107">
        <v>65000</v>
      </c>
      <c r="AZ1356" s="107">
        <f>ROUNDDOWN(AY1356+(AY1356*MASTER!$A$2/100),0)</f>
        <v>71500</v>
      </c>
      <c r="BA1356" s="60" t="s">
        <v>765</v>
      </c>
      <c r="BC1356" s="64">
        <v>0</v>
      </c>
      <c r="BG1356" s="64">
        <v>0</v>
      </c>
      <c r="BK1356" s="64">
        <v>0</v>
      </c>
      <c r="BS1356" s="64">
        <v>0</v>
      </c>
      <c r="BV1356" s="65">
        <v>71500</v>
      </c>
      <c r="BW1356" s="65">
        <v>0</v>
      </c>
      <c r="BX1356" s="65">
        <v>44741</v>
      </c>
      <c r="BY1356" s="65">
        <v>71500</v>
      </c>
      <c r="BZ1356" s="81">
        <v>100</v>
      </c>
    </row>
    <row r="1357" spans="1:78" x14ac:dyDescent="0.15">
      <c r="A1357" s="60">
        <v>2</v>
      </c>
      <c r="B1357" s="61">
        <v>44746</v>
      </c>
      <c r="C1357" s="61">
        <v>44762</v>
      </c>
      <c r="D1357" s="61">
        <v>44780</v>
      </c>
      <c r="F1357" s="61" t="s">
        <v>309</v>
      </c>
      <c r="H1357" s="61" t="s">
        <v>309</v>
      </c>
      <c r="I1357" s="60" t="s">
        <v>774</v>
      </c>
      <c r="J1357" s="60">
        <v>2</v>
      </c>
      <c r="L1357" s="60">
        <v>0</v>
      </c>
      <c r="M1357" s="61">
        <v>44741</v>
      </c>
      <c r="O1357" s="62" t="s">
        <v>331</v>
      </c>
      <c r="P1357" s="60" t="s">
        <v>77</v>
      </c>
      <c r="Q1357" s="62" t="s">
        <v>138</v>
      </c>
      <c r="R1357" s="62" t="s">
        <v>3903</v>
      </c>
      <c r="S1357" s="63" t="s">
        <v>3660</v>
      </c>
      <c r="T1357" s="63" t="s">
        <v>1081</v>
      </c>
      <c r="U1357" s="64">
        <v>65000</v>
      </c>
      <c r="V1357" s="64">
        <v>71500</v>
      </c>
      <c r="W1357" s="64">
        <v>65000</v>
      </c>
      <c r="X1357" s="64">
        <v>71500</v>
      </c>
      <c r="Y1357" s="64">
        <v>0</v>
      </c>
      <c r="Z1357" s="64">
        <v>0</v>
      </c>
      <c r="AA1357" s="61">
        <v>44761</v>
      </c>
      <c r="AB1357" s="61">
        <v>44762</v>
      </c>
      <c r="AD1357" s="60">
        <v>0</v>
      </c>
      <c r="AG1357" s="60">
        <v>0</v>
      </c>
      <c r="AJ1357" s="60">
        <v>0</v>
      </c>
      <c r="AQ1357" s="60" t="s">
        <v>3881</v>
      </c>
      <c r="AR1357" s="61">
        <v>44743</v>
      </c>
      <c r="AS1357" s="60">
        <v>6002047169</v>
      </c>
      <c r="AT1357" s="61">
        <v>44743</v>
      </c>
      <c r="AU1357" s="60" t="s">
        <v>3889</v>
      </c>
      <c r="AV1357" s="61">
        <v>44762</v>
      </c>
      <c r="AW1357" s="91">
        <v>44773</v>
      </c>
      <c r="AX1357" s="91">
        <v>44793</v>
      </c>
      <c r="AY1357" s="107">
        <v>65000</v>
      </c>
      <c r="AZ1357" s="107">
        <f>ROUNDDOWN(AY1357+(AY1357*MASTER!$A$2/100),0)</f>
        <v>71500</v>
      </c>
      <c r="BA1357" s="60" t="s">
        <v>765</v>
      </c>
      <c r="BC1357" s="64">
        <v>0</v>
      </c>
      <c r="BG1357" s="64">
        <v>0</v>
      </c>
      <c r="BK1357" s="64">
        <v>0</v>
      </c>
      <c r="BS1357" s="64">
        <v>0</v>
      </c>
      <c r="BV1357" s="65">
        <v>71500</v>
      </c>
      <c r="BW1357" s="65">
        <v>0</v>
      </c>
      <c r="BX1357" s="65">
        <v>44741</v>
      </c>
      <c r="BY1357" s="65">
        <v>71500</v>
      </c>
      <c r="BZ1357" s="81">
        <v>100</v>
      </c>
    </row>
    <row r="1358" spans="1:78" x14ac:dyDescent="0.15">
      <c r="A1358" s="60">
        <v>2</v>
      </c>
      <c r="B1358" s="61">
        <v>44746</v>
      </c>
      <c r="C1358" s="61">
        <v>44762</v>
      </c>
      <c r="D1358" s="61">
        <v>44780</v>
      </c>
      <c r="F1358" s="61" t="s">
        <v>309</v>
      </c>
      <c r="H1358" s="61" t="s">
        <v>309</v>
      </c>
      <c r="I1358" s="60" t="s">
        <v>774</v>
      </c>
      <c r="J1358" s="60">
        <v>2</v>
      </c>
      <c r="L1358" s="60">
        <v>0</v>
      </c>
      <c r="M1358" s="61">
        <v>44741</v>
      </c>
      <c r="O1358" s="62" t="s">
        <v>331</v>
      </c>
      <c r="P1358" s="60" t="s">
        <v>77</v>
      </c>
      <c r="Q1358" s="62" t="s">
        <v>138</v>
      </c>
      <c r="R1358" s="62" t="s">
        <v>3904</v>
      </c>
      <c r="S1358" s="63" t="s">
        <v>617</v>
      </c>
      <c r="T1358" s="63" t="s">
        <v>1081</v>
      </c>
      <c r="U1358" s="64">
        <v>65000</v>
      </c>
      <c r="V1358" s="64">
        <v>71500</v>
      </c>
      <c r="W1358" s="64">
        <v>65000</v>
      </c>
      <c r="X1358" s="64">
        <v>71500</v>
      </c>
      <c r="Y1358" s="64">
        <v>0</v>
      </c>
      <c r="Z1358" s="64">
        <v>0</v>
      </c>
      <c r="AA1358" s="61">
        <v>44762</v>
      </c>
      <c r="AB1358" s="61">
        <v>44763</v>
      </c>
      <c r="AD1358" s="60">
        <v>0</v>
      </c>
      <c r="AG1358" s="60">
        <v>0</v>
      </c>
      <c r="AJ1358" s="60">
        <v>0</v>
      </c>
      <c r="AQ1358" s="60" t="s">
        <v>3882</v>
      </c>
      <c r="AR1358" s="61">
        <v>44743</v>
      </c>
      <c r="AS1358" s="60">
        <v>6002047169</v>
      </c>
      <c r="AT1358" s="61">
        <v>44743</v>
      </c>
      <c r="AU1358" s="60" t="s">
        <v>3889</v>
      </c>
      <c r="AV1358" s="61">
        <v>44762</v>
      </c>
      <c r="AW1358" s="91">
        <v>44773</v>
      </c>
      <c r="AX1358" s="91">
        <v>44793</v>
      </c>
      <c r="AY1358" s="107">
        <v>65000</v>
      </c>
      <c r="AZ1358" s="107">
        <f>ROUNDDOWN(AY1358+(AY1358*MASTER!$A$2/100),0)</f>
        <v>71500</v>
      </c>
      <c r="BA1358" s="60" t="s">
        <v>765</v>
      </c>
      <c r="BC1358" s="64">
        <v>0</v>
      </c>
      <c r="BG1358" s="64">
        <v>0</v>
      </c>
      <c r="BK1358" s="64">
        <v>0</v>
      </c>
      <c r="BS1358" s="64">
        <v>0</v>
      </c>
      <c r="BV1358" s="65">
        <v>71500</v>
      </c>
      <c r="BW1358" s="65">
        <v>0</v>
      </c>
      <c r="BX1358" s="65">
        <v>44741</v>
      </c>
      <c r="BY1358" s="65">
        <v>71500</v>
      </c>
      <c r="BZ1358" s="81">
        <v>100</v>
      </c>
    </row>
    <row r="1359" spans="1:78" x14ac:dyDescent="0.15">
      <c r="A1359" s="60">
        <v>2</v>
      </c>
      <c r="B1359" s="61">
        <v>44746</v>
      </c>
      <c r="C1359" s="61">
        <v>44764</v>
      </c>
      <c r="D1359" s="61">
        <v>44780</v>
      </c>
      <c r="F1359" s="61" t="s">
        <v>309</v>
      </c>
      <c r="H1359" s="61" t="s">
        <v>309</v>
      </c>
      <c r="I1359" s="60" t="s">
        <v>774</v>
      </c>
      <c r="J1359" s="60">
        <v>2</v>
      </c>
      <c r="L1359" s="60">
        <v>0</v>
      </c>
      <c r="M1359" s="61">
        <v>44741</v>
      </c>
      <c r="O1359" s="62" t="s">
        <v>331</v>
      </c>
      <c r="P1359" s="60" t="s">
        <v>77</v>
      </c>
      <c r="Q1359" s="62" t="s">
        <v>138</v>
      </c>
      <c r="R1359" s="62" t="s">
        <v>3905</v>
      </c>
      <c r="S1359" s="63" t="s">
        <v>840</v>
      </c>
      <c r="T1359" s="63" t="s">
        <v>1081</v>
      </c>
      <c r="U1359" s="64">
        <v>65000</v>
      </c>
      <c r="V1359" s="64">
        <v>71500</v>
      </c>
      <c r="W1359" s="64">
        <v>65000</v>
      </c>
      <c r="X1359" s="64">
        <v>71500</v>
      </c>
      <c r="Y1359" s="64">
        <v>0</v>
      </c>
      <c r="Z1359" s="64">
        <v>0</v>
      </c>
      <c r="AA1359" s="61">
        <v>44763</v>
      </c>
      <c r="AB1359" s="61">
        <v>44764</v>
      </c>
      <c r="AD1359" s="60">
        <v>0</v>
      </c>
      <c r="AG1359" s="60">
        <v>0</v>
      </c>
      <c r="AJ1359" s="60">
        <v>0</v>
      </c>
      <c r="AQ1359" s="60" t="s">
        <v>3882</v>
      </c>
      <c r="AR1359" s="61">
        <v>44743</v>
      </c>
      <c r="AS1359" s="60">
        <v>6002047169</v>
      </c>
      <c r="AT1359" s="61">
        <v>44743</v>
      </c>
      <c r="AU1359" s="60" t="s">
        <v>3889</v>
      </c>
      <c r="AV1359" s="61">
        <v>44764</v>
      </c>
      <c r="AW1359" s="91">
        <v>44773</v>
      </c>
      <c r="AX1359" s="91">
        <v>44793</v>
      </c>
      <c r="AY1359" s="107">
        <v>65000</v>
      </c>
      <c r="AZ1359" s="107">
        <f>ROUNDDOWN(AY1359+(AY1359*MASTER!$A$2/100),0)</f>
        <v>71500</v>
      </c>
      <c r="BA1359" s="60" t="s">
        <v>765</v>
      </c>
      <c r="BC1359" s="64">
        <v>0</v>
      </c>
      <c r="BG1359" s="64">
        <v>0</v>
      </c>
      <c r="BK1359" s="64">
        <v>0</v>
      </c>
      <c r="BS1359" s="64">
        <v>0</v>
      </c>
      <c r="BV1359" s="65">
        <v>71500</v>
      </c>
      <c r="BW1359" s="65">
        <v>0</v>
      </c>
      <c r="BX1359" s="65">
        <v>44741</v>
      </c>
      <c r="BY1359" s="65">
        <v>71500</v>
      </c>
      <c r="BZ1359" s="81">
        <v>100</v>
      </c>
    </row>
    <row r="1360" spans="1:78" x14ac:dyDescent="0.15">
      <c r="A1360" s="60">
        <v>2</v>
      </c>
      <c r="B1360" s="61">
        <v>44746</v>
      </c>
      <c r="C1360" s="61">
        <v>44765</v>
      </c>
      <c r="D1360" s="61">
        <v>44780</v>
      </c>
      <c r="F1360" s="61" t="s">
        <v>309</v>
      </c>
      <c r="H1360" s="61" t="s">
        <v>309</v>
      </c>
      <c r="I1360" s="60" t="s">
        <v>774</v>
      </c>
      <c r="J1360" s="60">
        <v>2</v>
      </c>
      <c r="L1360" s="60">
        <v>0</v>
      </c>
      <c r="M1360" s="61">
        <v>44741</v>
      </c>
      <c r="O1360" s="62" t="s">
        <v>331</v>
      </c>
      <c r="P1360" s="60" t="s">
        <v>77</v>
      </c>
      <c r="Q1360" s="62" t="s">
        <v>138</v>
      </c>
      <c r="R1360" s="62" t="s">
        <v>3907</v>
      </c>
      <c r="S1360" s="63" t="s">
        <v>3783</v>
      </c>
      <c r="T1360" s="63" t="s">
        <v>1081</v>
      </c>
      <c r="U1360" s="64">
        <v>65000</v>
      </c>
      <c r="V1360" s="64">
        <v>71500</v>
      </c>
      <c r="W1360" s="64">
        <v>65000</v>
      </c>
      <c r="X1360" s="64">
        <v>71500</v>
      </c>
      <c r="Y1360" s="64">
        <v>0</v>
      </c>
      <c r="Z1360" s="64">
        <v>0</v>
      </c>
      <c r="AA1360" s="61">
        <v>44763</v>
      </c>
      <c r="AB1360" s="61">
        <v>44764</v>
      </c>
      <c r="AD1360" s="60">
        <v>0</v>
      </c>
      <c r="AG1360" s="60">
        <v>0</v>
      </c>
      <c r="AJ1360" s="60">
        <v>0</v>
      </c>
      <c r="AQ1360" s="60" t="s">
        <v>3881</v>
      </c>
      <c r="AR1360" s="61">
        <v>44743</v>
      </c>
      <c r="AS1360" s="60">
        <v>6002047169</v>
      </c>
      <c r="AT1360" s="61">
        <v>44743</v>
      </c>
      <c r="AU1360" s="60" t="s">
        <v>3889</v>
      </c>
      <c r="AV1360" s="61">
        <v>44765</v>
      </c>
      <c r="AW1360" s="91">
        <v>44773</v>
      </c>
      <c r="AX1360" s="91">
        <v>44793</v>
      </c>
      <c r="AY1360" s="107">
        <v>65000</v>
      </c>
      <c r="AZ1360" s="107">
        <f>ROUNDDOWN(AY1360+(AY1360*MASTER!$A$2/100),0)</f>
        <v>71500</v>
      </c>
      <c r="BA1360" s="60" t="s">
        <v>765</v>
      </c>
      <c r="BC1360" s="64">
        <v>0</v>
      </c>
      <c r="BG1360" s="64">
        <v>0</v>
      </c>
      <c r="BK1360" s="64">
        <v>0</v>
      </c>
      <c r="BS1360" s="64">
        <v>0</v>
      </c>
      <c r="BV1360" s="65">
        <v>71500</v>
      </c>
      <c r="BW1360" s="65">
        <v>0</v>
      </c>
      <c r="BX1360" s="65">
        <v>44741</v>
      </c>
      <c r="BY1360" s="65">
        <v>71500</v>
      </c>
      <c r="BZ1360" s="81">
        <v>100</v>
      </c>
    </row>
    <row r="1361" spans="1:89" s="152" customFormat="1" x14ac:dyDescent="0.15">
      <c r="A1361" s="142">
        <v>3</v>
      </c>
      <c r="B1361" s="143"/>
      <c r="C1361" s="143" t="s">
        <v>309</v>
      </c>
      <c r="D1361" s="143"/>
      <c r="E1361" s="143"/>
      <c r="F1361" s="143" t="s">
        <v>309</v>
      </c>
      <c r="G1361" s="143"/>
      <c r="H1361" s="143" t="s">
        <v>309</v>
      </c>
      <c r="I1361" s="142"/>
      <c r="J1361" s="142">
        <v>1</v>
      </c>
      <c r="K1361" s="143"/>
      <c r="L1361" s="142">
        <v>0</v>
      </c>
      <c r="M1361" s="143">
        <v>44741</v>
      </c>
      <c r="N1361" s="143"/>
      <c r="O1361" s="144" t="s">
        <v>331</v>
      </c>
      <c r="P1361" s="142" t="s">
        <v>26</v>
      </c>
      <c r="Q1361" s="144" t="s">
        <v>138</v>
      </c>
      <c r="R1361" s="144" t="s">
        <v>4688</v>
      </c>
      <c r="S1361" s="145" t="s">
        <v>1016</v>
      </c>
      <c r="T1361" s="145" t="s">
        <v>4689</v>
      </c>
      <c r="U1361" s="146">
        <v>59000</v>
      </c>
      <c r="V1361" s="146">
        <v>64900</v>
      </c>
      <c r="W1361" s="146">
        <v>47000</v>
      </c>
      <c r="X1361" s="146">
        <v>51700</v>
      </c>
      <c r="Y1361" s="146">
        <v>12000</v>
      </c>
      <c r="Z1361" s="146">
        <v>13200</v>
      </c>
      <c r="AA1361" s="143"/>
      <c r="AB1361" s="143"/>
      <c r="AC1361" s="143"/>
      <c r="AD1361" s="142">
        <v>0</v>
      </c>
      <c r="AE1361" s="142"/>
      <c r="AF1361" s="142"/>
      <c r="AG1361" s="142">
        <v>0</v>
      </c>
      <c r="AH1361" s="142"/>
      <c r="AI1361" s="142"/>
      <c r="AJ1361" s="142">
        <v>0</v>
      </c>
      <c r="AK1361" s="142"/>
      <c r="AL1361" s="142"/>
      <c r="AM1361" s="142" t="s">
        <v>273</v>
      </c>
      <c r="AN1361" s="142" t="s">
        <v>4690</v>
      </c>
      <c r="AO1361" s="143"/>
      <c r="AP1361" s="142"/>
      <c r="AQ1361" s="142"/>
      <c r="AR1361" s="143"/>
      <c r="AS1361" s="142"/>
      <c r="AT1361" s="143"/>
      <c r="AU1361" s="142"/>
      <c r="AV1361" s="143"/>
      <c r="AW1361" s="147"/>
      <c r="AX1361" s="147"/>
      <c r="AY1361" s="148">
        <v>56640</v>
      </c>
      <c r="AZ1361" s="148">
        <f>ROUNDDOWN(AY1361+(AY1361*MASTER!$A$2/100),0)</f>
        <v>62304</v>
      </c>
      <c r="BA1361" s="142"/>
      <c r="BB1361" s="146"/>
      <c r="BC1361" s="146">
        <v>0</v>
      </c>
      <c r="BD1361" s="142"/>
      <c r="BE1361" s="142"/>
      <c r="BF1361" s="146"/>
      <c r="BG1361" s="146">
        <v>0</v>
      </c>
      <c r="BH1361" s="142"/>
      <c r="BI1361" s="142"/>
      <c r="BJ1361" s="146"/>
      <c r="BK1361" s="146">
        <v>0</v>
      </c>
      <c r="BL1361" s="142"/>
      <c r="BM1361" s="146"/>
      <c r="BN1361" s="146"/>
      <c r="BO1361" s="146"/>
      <c r="BP1361" s="146"/>
      <c r="BQ1361" s="146"/>
      <c r="BR1361" s="146"/>
      <c r="BS1361" s="146">
        <v>0</v>
      </c>
      <c r="BT1361" s="149"/>
      <c r="BU1361" s="149"/>
      <c r="BV1361" s="150">
        <v>51700</v>
      </c>
      <c r="BW1361" s="150">
        <v>0</v>
      </c>
      <c r="BX1361" s="150">
        <v>44741</v>
      </c>
      <c r="BY1361" s="150">
        <v>51700</v>
      </c>
      <c r="BZ1361" s="151">
        <v>100</v>
      </c>
      <c r="CA1361" s="142"/>
      <c r="CB1361" s="142"/>
      <c r="CC1361" s="142"/>
      <c r="CD1361" s="145" t="s">
        <v>4691</v>
      </c>
      <c r="CE1361" s="143"/>
      <c r="CF1361" s="143"/>
      <c r="CG1361" s="143"/>
      <c r="CH1361" s="143"/>
      <c r="CI1361" s="143"/>
      <c r="CJ1361" s="143"/>
      <c r="CK1361" s="146"/>
    </row>
    <row r="1362" spans="1:89" x14ac:dyDescent="0.15">
      <c r="A1362" s="60">
        <v>2</v>
      </c>
      <c r="B1362" s="61">
        <v>44775</v>
      </c>
      <c r="C1362" s="61">
        <v>44786</v>
      </c>
      <c r="D1362" s="61" t="s">
        <v>764</v>
      </c>
      <c r="E1362" s="61">
        <v>44790</v>
      </c>
      <c r="F1362" s="61">
        <v>44793</v>
      </c>
      <c r="G1362" s="61">
        <v>44790</v>
      </c>
      <c r="H1362" s="61">
        <v>44789</v>
      </c>
      <c r="I1362" s="60" t="s">
        <v>511</v>
      </c>
      <c r="J1362" s="60">
        <v>1</v>
      </c>
      <c r="L1362" s="60">
        <v>0</v>
      </c>
      <c r="M1362" s="61">
        <v>44742</v>
      </c>
      <c r="O1362" s="62" t="s">
        <v>331</v>
      </c>
      <c r="P1362" s="60" t="s">
        <v>26</v>
      </c>
      <c r="Q1362" s="62" t="s">
        <v>138</v>
      </c>
      <c r="R1362" s="62" t="s">
        <v>3995</v>
      </c>
      <c r="S1362" s="63" t="s">
        <v>3996</v>
      </c>
      <c r="T1362" s="63" t="s">
        <v>502</v>
      </c>
      <c r="U1362" s="64">
        <v>23900</v>
      </c>
      <c r="V1362" s="64">
        <v>26290</v>
      </c>
      <c r="W1362" s="64">
        <v>14700</v>
      </c>
      <c r="X1362" s="64">
        <v>16170</v>
      </c>
      <c r="Y1362" s="64">
        <v>9200</v>
      </c>
      <c r="Z1362" s="64">
        <v>10120</v>
      </c>
      <c r="AA1362" s="61">
        <v>44785</v>
      </c>
      <c r="AB1362" s="61">
        <v>44786</v>
      </c>
      <c r="AC1362" s="61">
        <v>44786</v>
      </c>
      <c r="AD1362" s="60">
        <v>0</v>
      </c>
      <c r="AG1362" s="60">
        <v>0</v>
      </c>
      <c r="AJ1362" s="60">
        <v>0</v>
      </c>
      <c r="AM1362" s="60" t="s">
        <v>273</v>
      </c>
      <c r="AN1362" s="60" t="s">
        <v>3997</v>
      </c>
      <c r="AQ1362" s="60" t="s">
        <v>4270</v>
      </c>
      <c r="AR1362" s="61">
        <v>44755</v>
      </c>
      <c r="AS1362" s="60">
        <v>6002051577</v>
      </c>
      <c r="AT1362" s="61">
        <v>44755</v>
      </c>
      <c r="AU1362" s="60" t="s">
        <v>4012</v>
      </c>
      <c r="AV1362" s="61">
        <v>44786</v>
      </c>
      <c r="AW1362" s="91">
        <v>44804</v>
      </c>
      <c r="AX1362" s="91">
        <v>44824</v>
      </c>
      <c r="AY1362" s="99">
        <v>22944</v>
      </c>
      <c r="AZ1362" s="99">
        <f>ROUNDDOWN(AY1362+(AY1362*MASTER!$A$2/100),0)</f>
        <v>25238</v>
      </c>
      <c r="BA1362" s="60" t="s">
        <v>765</v>
      </c>
      <c r="BC1362" s="64">
        <v>0</v>
      </c>
      <c r="BG1362" s="64">
        <v>0</v>
      </c>
      <c r="BI1362" s="60" t="s">
        <v>267</v>
      </c>
      <c r="BJ1362" s="64">
        <v>5980</v>
      </c>
      <c r="BK1362" s="64">
        <v>6578</v>
      </c>
      <c r="BL1362" s="60" t="s">
        <v>4069</v>
      </c>
      <c r="BS1362" s="64">
        <v>0</v>
      </c>
      <c r="BV1362" s="65">
        <v>16170</v>
      </c>
      <c r="BW1362" s="65">
        <v>6578</v>
      </c>
      <c r="BX1362" s="65">
        <v>44742</v>
      </c>
      <c r="BY1362" s="65">
        <v>9592</v>
      </c>
      <c r="BZ1362" s="81">
        <v>59.319727891156461</v>
      </c>
    </row>
    <row r="1363" spans="1:89" x14ac:dyDescent="0.15">
      <c r="A1363" s="60">
        <v>2</v>
      </c>
      <c r="B1363" s="61">
        <v>44790</v>
      </c>
      <c r="C1363" s="61">
        <v>44795</v>
      </c>
      <c r="D1363" s="61">
        <v>44806</v>
      </c>
      <c r="E1363" s="61">
        <v>44796</v>
      </c>
      <c r="F1363" s="61">
        <v>44802</v>
      </c>
      <c r="G1363" s="61">
        <v>44795</v>
      </c>
      <c r="H1363" s="61">
        <v>44798</v>
      </c>
      <c r="I1363" s="60" t="s">
        <v>511</v>
      </c>
      <c r="J1363" s="60">
        <v>1</v>
      </c>
      <c r="L1363" s="60">
        <v>0</v>
      </c>
      <c r="M1363" s="61">
        <v>44742</v>
      </c>
      <c r="O1363" s="62" t="s">
        <v>331</v>
      </c>
      <c r="P1363" s="60" t="s">
        <v>26</v>
      </c>
      <c r="Q1363" s="62" t="s">
        <v>138</v>
      </c>
      <c r="R1363" s="62" t="s">
        <v>3999</v>
      </c>
      <c r="S1363" s="63" t="s">
        <v>3660</v>
      </c>
      <c r="T1363" s="63" t="s">
        <v>621</v>
      </c>
      <c r="U1363" s="64">
        <v>50000</v>
      </c>
      <c r="V1363" s="64">
        <v>55000</v>
      </c>
      <c r="W1363" s="64">
        <v>47000</v>
      </c>
      <c r="X1363" s="64">
        <v>51700</v>
      </c>
      <c r="Y1363" s="64">
        <v>3000</v>
      </c>
      <c r="Z1363" s="64">
        <v>3300</v>
      </c>
      <c r="AA1363" s="61">
        <v>44794</v>
      </c>
      <c r="AB1363" s="61">
        <v>44795</v>
      </c>
      <c r="AC1363" s="61">
        <v>44795</v>
      </c>
      <c r="AD1363" s="60">
        <v>0</v>
      </c>
      <c r="AG1363" s="60">
        <v>0</v>
      </c>
      <c r="AJ1363" s="60">
        <v>0</v>
      </c>
      <c r="AM1363" s="60" t="s">
        <v>273</v>
      </c>
      <c r="AN1363" s="60" t="s">
        <v>4000</v>
      </c>
      <c r="AQ1363" s="60" t="s">
        <v>4001</v>
      </c>
      <c r="AR1363" s="61">
        <v>44755</v>
      </c>
      <c r="AS1363" s="60">
        <v>6002051577</v>
      </c>
      <c r="AT1363" s="61">
        <v>44755</v>
      </c>
      <c r="AU1363" s="60" t="s">
        <v>4012</v>
      </c>
      <c r="AV1363" s="61">
        <v>44795</v>
      </c>
      <c r="AW1363" s="91">
        <v>44804</v>
      </c>
      <c r="AX1363" s="91">
        <v>44824</v>
      </c>
      <c r="AY1363" s="99">
        <v>48000</v>
      </c>
      <c r="AZ1363" s="99">
        <f>ROUNDDOWN(AY1363+(AY1363*MASTER!$A$2/100),0)</f>
        <v>52800</v>
      </c>
      <c r="BA1363" s="60" t="s">
        <v>613</v>
      </c>
      <c r="BB1363" s="64">
        <v>27000</v>
      </c>
      <c r="BC1363" s="64">
        <v>29700</v>
      </c>
      <c r="BD1363" s="60" t="s">
        <v>3940</v>
      </c>
      <c r="BG1363" s="64">
        <v>0</v>
      </c>
      <c r="BI1363" s="60" t="s">
        <v>748</v>
      </c>
      <c r="BJ1363" s="64">
        <v>1950</v>
      </c>
      <c r="BK1363" s="64">
        <v>2145</v>
      </c>
      <c r="BL1363" s="60" t="s">
        <v>3940</v>
      </c>
      <c r="BS1363" s="64">
        <v>0</v>
      </c>
      <c r="BV1363" s="65">
        <v>51700</v>
      </c>
      <c r="BW1363" s="65">
        <v>31845</v>
      </c>
      <c r="BX1363" s="65">
        <v>44742</v>
      </c>
      <c r="BY1363" s="65">
        <v>19855</v>
      </c>
      <c r="BZ1363" s="81">
        <v>38.404255319148938</v>
      </c>
    </row>
    <row r="1364" spans="1:89" x14ac:dyDescent="0.15">
      <c r="A1364" s="60">
        <v>2</v>
      </c>
      <c r="B1364" s="61">
        <v>44774</v>
      </c>
      <c r="C1364" s="61">
        <v>44780</v>
      </c>
      <c r="D1364" s="61">
        <v>44816</v>
      </c>
      <c r="E1364" s="61">
        <v>44785</v>
      </c>
      <c r="F1364" s="61">
        <v>44787</v>
      </c>
      <c r="G1364" s="61">
        <v>44782</v>
      </c>
      <c r="H1364" s="61">
        <v>44783</v>
      </c>
      <c r="I1364" s="60" t="s">
        <v>511</v>
      </c>
      <c r="J1364" s="60">
        <v>1</v>
      </c>
      <c r="L1364" s="60">
        <v>0</v>
      </c>
      <c r="M1364" s="61">
        <v>44742</v>
      </c>
      <c r="O1364" s="62" t="s">
        <v>331</v>
      </c>
      <c r="P1364" s="60" t="s">
        <v>26</v>
      </c>
      <c r="Q1364" s="62" t="s">
        <v>138</v>
      </c>
      <c r="R1364" s="62" t="s">
        <v>4002</v>
      </c>
      <c r="S1364" s="63" t="s">
        <v>698</v>
      </c>
      <c r="T1364" s="63" t="s">
        <v>442</v>
      </c>
      <c r="U1364" s="64">
        <v>59000</v>
      </c>
      <c r="V1364" s="64">
        <v>64900</v>
      </c>
      <c r="W1364" s="64">
        <v>47000</v>
      </c>
      <c r="X1364" s="64">
        <v>51700</v>
      </c>
      <c r="Y1364" s="64">
        <v>12000</v>
      </c>
      <c r="Z1364" s="64">
        <v>13200</v>
      </c>
      <c r="AA1364" s="61">
        <v>44779</v>
      </c>
      <c r="AB1364" s="61">
        <v>44780</v>
      </c>
      <c r="AC1364" s="61">
        <v>44780</v>
      </c>
      <c r="AD1364" s="60">
        <v>0</v>
      </c>
      <c r="AG1364" s="60">
        <v>0</v>
      </c>
      <c r="AJ1364" s="60">
        <v>0</v>
      </c>
      <c r="AM1364" s="60" t="s">
        <v>273</v>
      </c>
      <c r="AN1364" s="60" t="s">
        <v>4003</v>
      </c>
      <c r="AQ1364" s="60" t="s">
        <v>4094</v>
      </c>
      <c r="AR1364" s="61">
        <v>44755</v>
      </c>
      <c r="AS1364" s="60">
        <v>6002051577</v>
      </c>
      <c r="AT1364" s="61">
        <v>44755</v>
      </c>
      <c r="AU1364" s="60" t="s">
        <v>4012</v>
      </c>
      <c r="AV1364" s="61">
        <v>44780</v>
      </c>
      <c r="AW1364" s="91">
        <v>44804</v>
      </c>
      <c r="AX1364" s="91">
        <v>44824</v>
      </c>
      <c r="AY1364" s="99">
        <v>56640</v>
      </c>
      <c r="AZ1364" s="99">
        <f>ROUNDDOWN(AY1364+(AY1364*MASTER!$A$2/100),0)</f>
        <v>62304</v>
      </c>
      <c r="BA1364" s="60" t="s">
        <v>314</v>
      </c>
      <c r="BB1364" s="64">
        <v>28000</v>
      </c>
      <c r="BC1364" s="64">
        <v>30800</v>
      </c>
      <c r="BD1364" s="60" t="s">
        <v>3940</v>
      </c>
      <c r="BG1364" s="64">
        <v>0</v>
      </c>
      <c r="BI1364" s="60" t="s">
        <v>748</v>
      </c>
      <c r="BJ1364" s="64">
        <v>7800</v>
      </c>
      <c r="BK1364" s="64">
        <v>8580</v>
      </c>
      <c r="BL1364" s="60" t="s">
        <v>3940</v>
      </c>
      <c r="BS1364" s="64">
        <v>0</v>
      </c>
      <c r="BV1364" s="65">
        <v>51700</v>
      </c>
      <c r="BW1364" s="65">
        <v>39380</v>
      </c>
      <c r="BX1364" s="65">
        <v>44742</v>
      </c>
      <c r="BY1364" s="65">
        <v>12320</v>
      </c>
      <c r="BZ1364" s="81">
        <v>23.829787234042556</v>
      </c>
    </row>
    <row r="1365" spans="1:89" x14ac:dyDescent="0.15">
      <c r="A1365" s="60">
        <v>1</v>
      </c>
      <c r="B1365" s="61">
        <v>44754</v>
      </c>
      <c r="C1365" s="61">
        <v>44767</v>
      </c>
      <c r="F1365" s="61" t="s">
        <v>309</v>
      </c>
      <c r="H1365" s="61" t="s">
        <v>309</v>
      </c>
      <c r="J1365" s="60">
        <v>2</v>
      </c>
      <c r="L1365" s="60">
        <v>0</v>
      </c>
      <c r="M1365" s="61">
        <v>44743</v>
      </c>
      <c r="O1365" s="62" t="s">
        <v>331</v>
      </c>
      <c r="P1365" s="60" t="s">
        <v>262</v>
      </c>
      <c r="Q1365" s="62" t="s">
        <v>200</v>
      </c>
      <c r="R1365" s="62" t="s">
        <v>3799</v>
      </c>
      <c r="S1365" s="63" t="s">
        <v>326</v>
      </c>
      <c r="T1365" s="63" t="s">
        <v>3795</v>
      </c>
      <c r="U1365" s="64">
        <v>438000</v>
      </c>
      <c r="V1365" s="64">
        <v>481800</v>
      </c>
      <c r="W1365" s="64">
        <v>438000</v>
      </c>
      <c r="X1365" s="64">
        <v>481800</v>
      </c>
      <c r="Y1365" s="64">
        <v>0</v>
      </c>
      <c r="Z1365" s="64">
        <v>0</v>
      </c>
      <c r="AA1365" s="61">
        <v>44743</v>
      </c>
      <c r="AB1365" s="61">
        <v>44773</v>
      </c>
      <c r="AD1365" s="60">
        <v>0</v>
      </c>
      <c r="AG1365" s="60">
        <v>0</v>
      </c>
      <c r="AJ1365" s="60">
        <v>0</v>
      </c>
      <c r="AQ1365" s="60" t="s">
        <v>3929</v>
      </c>
      <c r="AR1365" s="61">
        <v>44749</v>
      </c>
      <c r="AS1365" s="60">
        <v>6002049760</v>
      </c>
      <c r="AT1365" s="61">
        <v>44749</v>
      </c>
      <c r="AU1365" s="60" t="s">
        <v>3946</v>
      </c>
      <c r="AV1365" s="61">
        <v>44767</v>
      </c>
      <c r="AW1365" s="91">
        <v>44773</v>
      </c>
      <c r="AX1365" s="91">
        <v>44793</v>
      </c>
      <c r="AY1365" s="107">
        <v>438000</v>
      </c>
      <c r="AZ1365" s="107">
        <f>ROUNDDOWN(AY1365+(AY1365*MASTER!$A$2/100),0)</f>
        <v>481800</v>
      </c>
      <c r="BC1365" s="64">
        <v>0</v>
      </c>
      <c r="BG1365" s="64">
        <v>0</v>
      </c>
      <c r="BK1365" s="64">
        <v>0</v>
      </c>
      <c r="BS1365" s="64">
        <v>0</v>
      </c>
      <c r="BV1365" s="65">
        <v>481800</v>
      </c>
      <c r="BW1365" s="65">
        <v>0</v>
      </c>
      <c r="BX1365" s="65">
        <v>44743</v>
      </c>
      <c r="BY1365" s="65">
        <v>481800</v>
      </c>
      <c r="BZ1365" s="81">
        <v>100</v>
      </c>
    </row>
    <row r="1366" spans="1:89" x14ac:dyDescent="0.15">
      <c r="A1366" s="60">
        <v>1</v>
      </c>
      <c r="B1366" s="61">
        <v>44755</v>
      </c>
      <c r="C1366" s="61">
        <v>44767</v>
      </c>
      <c r="F1366" s="61" t="s">
        <v>309</v>
      </c>
      <c r="H1366" s="61" t="s">
        <v>309</v>
      </c>
      <c r="J1366" s="60">
        <v>2</v>
      </c>
      <c r="L1366" s="60">
        <v>0</v>
      </c>
      <c r="M1366" s="61">
        <v>44743</v>
      </c>
      <c r="O1366" s="62" t="s">
        <v>331</v>
      </c>
      <c r="P1366" s="60" t="s">
        <v>262</v>
      </c>
      <c r="Q1366" s="62" t="s">
        <v>200</v>
      </c>
      <c r="R1366" s="62" t="s">
        <v>3970</v>
      </c>
      <c r="S1366" s="63" t="s">
        <v>326</v>
      </c>
      <c r="T1366" s="63" t="s">
        <v>3796</v>
      </c>
      <c r="U1366" s="64">
        <v>438000</v>
      </c>
      <c r="V1366" s="64">
        <v>481800</v>
      </c>
      <c r="W1366" s="64">
        <v>438000</v>
      </c>
      <c r="X1366" s="64">
        <v>481800</v>
      </c>
      <c r="Y1366" s="64">
        <v>0</v>
      </c>
      <c r="Z1366" s="64">
        <v>0</v>
      </c>
      <c r="AA1366" s="61">
        <v>44743</v>
      </c>
      <c r="AB1366" s="61">
        <v>44773</v>
      </c>
      <c r="AD1366" s="60">
        <v>0</v>
      </c>
      <c r="AG1366" s="60">
        <v>0</v>
      </c>
      <c r="AJ1366" s="60">
        <v>0</v>
      </c>
      <c r="AQ1366" s="60" t="s">
        <v>3929</v>
      </c>
      <c r="AR1366" s="61">
        <v>44749</v>
      </c>
      <c r="AS1366" s="60">
        <v>6002049760</v>
      </c>
      <c r="AT1366" s="61">
        <v>44749</v>
      </c>
      <c r="AU1366" s="60" t="s">
        <v>3946</v>
      </c>
      <c r="AV1366" s="61">
        <v>44767</v>
      </c>
      <c r="AW1366" s="91">
        <v>44773</v>
      </c>
      <c r="AX1366" s="91">
        <v>44793</v>
      </c>
      <c r="AY1366" s="107">
        <v>438000</v>
      </c>
      <c r="AZ1366" s="107">
        <f>ROUNDDOWN(AY1366+(AY1366*MASTER!$A$2/100),0)</f>
        <v>481800</v>
      </c>
      <c r="BC1366" s="64">
        <v>0</v>
      </c>
      <c r="BG1366" s="64">
        <v>0</v>
      </c>
      <c r="BK1366" s="64">
        <v>0</v>
      </c>
      <c r="BS1366" s="64">
        <v>0</v>
      </c>
      <c r="BV1366" s="65">
        <v>481800</v>
      </c>
      <c r="BW1366" s="65">
        <v>0</v>
      </c>
      <c r="BX1366" s="65">
        <v>44743</v>
      </c>
      <c r="BY1366" s="65">
        <v>481800</v>
      </c>
      <c r="BZ1366" s="81">
        <v>100</v>
      </c>
    </row>
    <row r="1367" spans="1:89" x14ac:dyDescent="0.15">
      <c r="A1367" s="60">
        <v>1</v>
      </c>
      <c r="B1367" s="61">
        <v>44754</v>
      </c>
      <c r="C1367" s="61">
        <v>44767</v>
      </c>
      <c r="F1367" s="61" t="s">
        <v>309</v>
      </c>
      <c r="H1367" s="61" t="s">
        <v>309</v>
      </c>
      <c r="J1367" s="60">
        <v>2</v>
      </c>
      <c r="L1367" s="60">
        <v>0</v>
      </c>
      <c r="M1367" s="61">
        <v>44743</v>
      </c>
      <c r="O1367" s="62" t="s">
        <v>331</v>
      </c>
      <c r="P1367" s="60" t="s">
        <v>262</v>
      </c>
      <c r="Q1367" s="62" t="s">
        <v>200</v>
      </c>
      <c r="R1367" s="62" t="s">
        <v>3969</v>
      </c>
      <c r="S1367" s="63" t="s">
        <v>326</v>
      </c>
      <c r="T1367" s="63" t="s">
        <v>3797</v>
      </c>
      <c r="U1367" s="64">
        <v>262000</v>
      </c>
      <c r="V1367" s="64">
        <v>288200</v>
      </c>
      <c r="W1367" s="64">
        <v>262000</v>
      </c>
      <c r="X1367" s="64">
        <v>288200</v>
      </c>
      <c r="Y1367" s="64">
        <v>0</v>
      </c>
      <c r="Z1367" s="64">
        <v>0</v>
      </c>
      <c r="AA1367" s="61">
        <v>44743</v>
      </c>
      <c r="AB1367" s="61">
        <v>44773</v>
      </c>
      <c r="AD1367" s="60">
        <v>0</v>
      </c>
      <c r="AG1367" s="60">
        <v>0</v>
      </c>
      <c r="AJ1367" s="60">
        <v>0</v>
      </c>
      <c r="AQ1367" s="60" t="s">
        <v>3929</v>
      </c>
      <c r="AR1367" s="61">
        <v>44749</v>
      </c>
      <c r="AS1367" s="60">
        <v>6002049760</v>
      </c>
      <c r="AT1367" s="61">
        <v>44749</v>
      </c>
      <c r="AU1367" s="60" t="s">
        <v>3946</v>
      </c>
      <c r="AV1367" s="61">
        <v>44767</v>
      </c>
      <c r="AW1367" s="91">
        <v>44773</v>
      </c>
      <c r="AX1367" s="91">
        <v>44793</v>
      </c>
      <c r="AY1367" s="107">
        <v>262000</v>
      </c>
      <c r="AZ1367" s="107">
        <f>ROUNDDOWN(AY1367+(AY1367*MASTER!$A$2/100),0)</f>
        <v>288200</v>
      </c>
      <c r="BC1367" s="64">
        <v>0</v>
      </c>
      <c r="BG1367" s="64">
        <v>0</v>
      </c>
      <c r="BK1367" s="64">
        <v>0</v>
      </c>
      <c r="BS1367" s="64">
        <v>0</v>
      </c>
      <c r="BV1367" s="65">
        <v>288200</v>
      </c>
      <c r="BW1367" s="65">
        <v>0</v>
      </c>
      <c r="BX1367" s="65">
        <v>44743</v>
      </c>
      <c r="BY1367" s="65">
        <v>288200</v>
      </c>
      <c r="BZ1367" s="81">
        <v>100</v>
      </c>
    </row>
    <row r="1368" spans="1:89" x14ac:dyDescent="0.15">
      <c r="A1368" s="60">
        <v>1</v>
      </c>
      <c r="B1368" s="61">
        <v>44754</v>
      </c>
      <c r="C1368" s="61">
        <v>44767</v>
      </c>
      <c r="F1368" s="61" t="s">
        <v>309</v>
      </c>
      <c r="H1368" s="61" t="s">
        <v>309</v>
      </c>
      <c r="J1368" s="60">
        <v>2</v>
      </c>
      <c r="L1368" s="60">
        <v>0</v>
      </c>
      <c r="M1368" s="61">
        <v>44743</v>
      </c>
      <c r="O1368" s="62" t="s">
        <v>331</v>
      </c>
      <c r="P1368" s="60" t="s">
        <v>260</v>
      </c>
      <c r="Q1368" s="62" t="s">
        <v>200</v>
      </c>
      <c r="R1368" s="62" t="s">
        <v>3971</v>
      </c>
      <c r="S1368" s="63" t="s">
        <v>417</v>
      </c>
      <c r="T1368" s="63" t="s">
        <v>3798</v>
      </c>
      <c r="U1368" s="64">
        <v>66000</v>
      </c>
      <c r="V1368" s="64">
        <v>72600</v>
      </c>
      <c r="W1368" s="64">
        <v>66000</v>
      </c>
      <c r="X1368" s="64">
        <v>72600</v>
      </c>
      <c r="Y1368" s="64">
        <v>0</v>
      </c>
      <c r="Z1368" s="64">
        <v>0</v>
      </c>
      <c r="AA1368" s="61">
        <v>44743</v>
      </c>
      <c r="AB1368" s="61">
        <v>44773</v>
      </c>
      <c r="AD1368" s="60">
        <v>0</v>
      </c>
      <c r="AG1368" s="60">
        <v>0</v>
      </c>
      <c r="AJ1368" s="60">
        <v>0</v>
      </c>
      <c r="AQ1368" s="60" t="s">
        <v>3930</v>
      </c>
      <c r="AR1368" s="61">
        <v>44749</v>
      </c>
      <c r="AS1368" s="60">
        <v>6002049760</v>
      </c>
      <c r="AT1368" s="61">
        <v>44749</v>
      </c>
      <c r="AU1368" s="60" t="s">
        <v>3946</v>
      </c>
      <c r="AV1368" s="61">
        <v>44767</v>
      </c>
      <c r="AW1368" s="91">
        <v>44773</v>
      </c>
      <c r="AX1368" s="91">
        <v>44793</v>
      </c>
      <c r="AY1368" s="107">
        <v>66000</v>
      </c>
      <c r="AZ1368" s="107">
        <f>ROUNDDOWN(AY1368+(AY1368*MASTER!$A$2/100),0)</f>
        <v>72600</v>
      </c>
      <c r="BC1368" s="64">
        <v>0</v>
      </c>
      <c r="BG1368" s="64">
        <v>0</v>
      </c>
      <c r="BK1368" s="64">
        <v>0</v>
      </c>
      <c r="BS1368" s="64">
        <v>0</v>
      </c>
      <c r="BV1368" s="65">
        <v>72600</v>
      </c>
      <c r="BW1368" s="65">
        <v>0</v>
      </c>
      <c r="BX1368" s="65">
        <v>44743</v>
      </c>
      <c r="BY1368" s="65">
        <v>72600</v>
      </c>
      <c r="BZ1368" s="81">
        <v>100</v>
      </c>
    </row>
    <row r="1369" spans="1:89" x14ac:dyDescent="0.15">
      <c r="A1369" s="60">
        <v>2</v>
      </c>
      <c r="C1369" s="61" t="s">
        <v>309</v>
      </c>
      <c r="F1369" s="61" t="s">
        <v>309</v>
      </c>
      <c r="H1369" s="61" t="s">
        <v>309</v>
      </c>
      <c r="J1369" s="60">
        <v>4</v>
      </c>
      <c r="L1369" s="60">
        <v>0</v>
      </c>
      <c r="M1369" s="61">
        <v>44743</v>
      </c>
      <c r="O1369" s="62" t="s">
        <v>335</v>
      </c>
      <c r="P1369" s="60" t="s">
        <v>430</v>
      </c>
      <c r="Q1369" s="62" t="s">
        <v>3794</v>
      </c>
      <c r="R1369" s="62" t="s">
        <v>3804</v>
      </c>
      <c r="S1369" s="63" t="s">
        <v>3805</v>
      </c>
      <c r="T1369" s="63" t="s">
        <v>3806</v>
      </c>
      <c r="U1369" s="64">
        <v>0</v>
      </c>
      <c r="V1369" s="64">
        <v>0</v>
      </c>
      <c r="W1369" s="64">
        <v>0</v>
      </c>
      <c r="X1369" s="64">
        <v>0</v>
      </c>
      <c r="Z1369" s="64">
        <v>0</v>
      </c>
      <c r="AA1369" s="61">
        <v>44733</v>
      </c>
      <c r="AB1369" s="61">
        <v>44734</v>
      </c>
      <c r="AD1369" s="60">
        <v>0</v>
      </c>
      <c r="AG1369" s="60">
        <v>0</v>
      </c>
      <c r="AJ1369" s="60">
        <v>0</v>
      </c>
      <c r="AN1369" s="60" t="s">
        <v>309</v>
      </c>
      <c r="AY1369" s="99">
        <f>ROUNDDOWN((0.96*U1369),0)</f>
        <v>0</v>
      </c>
      <c r="AZ1369" s="99">
        <f>ROUNDDOWN(AY1369+(AY1369*MASTER!$A$2/100),0)</f>
        <v>0</v>
      </c>
      <c r="BA1369" s="60" t="s">
        <v>3807</v>
      </c>
      <c r="BB1369" s="64">
        <v>46000</v>
      </c>
      <c r="BC1369" s="64">
        <v>50600</v>
      </c>
      <c r="BD1369" s="60" t="s">
        <v>3048</v>
      </c>
      <c r="BG1369" s="64">
        <v>0</v>
      </c>
      <c r="BK1369" s="64">
        <v>0</v>
      </c>
      <c r="BS1369" s="64">
        <v>0</v>
      </c>
      <c r="BV1369" s="65">
        <v>0</v>
      </c>
      <c r="BW1369" s="65">
        <v>50600</v>
      </c>
      <c r="BX1369" s="65">
        <v>44743</v>
      </c>
      <c r="BY1369" s="65">
        <v>-50600</v>
      </c>
      <c r="BZ1369" s="81" t="s">
        <v>309</v>
      </c>
    </row>
    <row r="1370" spans="1:89" x14ac:dyDescent="0.15">
      <c r="A1370" s="60">
        <v>1</v>
      </c>
      <c r="B1370" s="61">
        <v>44753</v>
      </c>
      <c r="C1370" s="61">
        <v>44762</v>
      </c>
      <c r="F1370" s="61" t="s">
        <v>309</v>
      </c>
      <c r="H1370" s="61" t="s">
        <v>309</v>
      </c>
      <c r="J1370" s="60">
        <v>2</v>
      </c>
      <c r="L1370" s="60">
        <v>0</v>
      </c>
      <c r="M1370" s="61">
        <v>44743</v>
      </c>
      <c r="O1370" s="62" t="s">
        <v>331</v>
      </c>
      <c r="P1370" s="60" t="s">
        <v>77</v>
      </c>
      <c r="Q1370" s="62" t="s">
        <v>200</v>
      </c>
      <c r="R1370" s="62" t="s">
        <v>3808</v>
      </c>
      <c r="S1370" s="63" t="s">
        <v>489</v>
      </c>
      <c r="T1370" s="63" t="s">
        <v>490</v>
      </c>
      <c r="U1370" s="64">
        <v>9880</v>
      </c>
      <c r="V1370" s="64">
        <v>10868</v>
      </c>
      <c r="W1370" s="64">
        <v>9880</v>
      </c>
      <c r="X1370" s="64">
        <v>10868</v>
      </c>
      <c r="Z1370" s="64">
        <v>0</v>
      </c>
      <c r="AD1370" s="60">
        <v>0</v>
      </c>
      <c r="AG1370" s="60">
        <v>0</v>
      </c>
      <c r="AJ1370" s="60">
        <v>0</v>
      </c>
      <c r="AQ1370" s="60" t="s">
        <v>3809</v>
      </c>
      <c r="AR1370" s="61">
        <v>44743</v>
      </c>
      <c r="AS1370" s="60">
        <v>6002046861</v>
      </c>
      <c r="AT1370" s="61">
        <v>44750</v>
      </c>
      <c r="AU1370" s="60" t="s">
        <v>3961</v>
      </c>
      <c r="AV1370" s="61">
        <v>44762</v>
      </c>
      <c r="AW1370" s="91">
        <v>44773</v>
      </c>
      <c r="AX1370" s="91">
        <v>44793</v>
      </c>
      <c r="AY1370" s="107">
        <v>9880</v>
      </c>
      <c r="AZ1370" s="107">
        <v>10868</v>
      </c>
      <c r="BC1370" s="64">
        <v>0</v>
      </c>
      <c r="BG1370" s="64">
        <v>0</v>
      </c>
      <c r="BK1370" s="64">
        <v>0</v>
      </c>
      <c r="BS1370" s="64">
        <v>0</v>
      </c>
      <c r="BV1370" s="65">
        <v>10868</v>
      </c>
      <c r="BW1370" s="65">
        <v>0</v>
      </c>
      <c r="BX1370" s="65">
        <v>44743</v>
      </c>
      <c r="BY1370" s="65">
        <v>10868</v>
      </c>
      <c r="BZ1370" s="81">
        <v>100</v>
      </c>
    </row>
    <row r="1371" spans="1:89" x14ac:dyDescent="0.15">
      <c r="A1371" s="60">
        <v>2</v>
      </c>
      <c r="B1371" s="61">
        <v>44774</v>
      </c>
      <c r="C1371" s="61">
        <v>44784</v>
      </c>
      <c r="D1371" s="61">
        <v>44806</v>
      </c>
      <c r="E1371" s="61">
        <v>44785</v>
      </c>
      <c r="F1371" s="61">
        <v>44784</v>
      </c>
      <c r="G1371" s="61">
        <v>44776</v>
      </c>
      <c r="H1371" s="61">
        <v>44780</v>
      </c>
      <c r="I1371" s="60" t="s">
        <v>511</v>
      </c>
      <c r="J1371" s="60">
        <v>1</v>
      </c>
      <c r="L1371" s="60">
        <v>0</v>
      </c>
      <c r="M1371" s="61">
        <v>44743</v>
      </c>
      <c r="O1371" s="62" t="s">
        <v>331</v>
      </c>
      <c r="P1371" s="60" t="s">
        <v>26</v>
      </c>
      <c r="Q1371" s="62" t="s">
        <v>200</v>
      </c>
      <c r="R1371" s="62" t="s">
        <v>4271</v>
      </c>
      <c r="S1371" s="63" t="s">
        <v>520</v>
      </c>
      <c r="T1371" s="63" t="s">
        <v>4272</v>
      </c>
      <c r="U1371" s="64">
        <v>170500</v>
      </c>
      <c r="V1371" s="64">
        <v>187550</v>
      </c>
      <c r="W1371" s="64">
        <v>78000</v>
      </c>
      <c r="X1371" s="64">
        <v>85800</v>
      </c>
      <c r="Y1371" s="64">
        <v>92500</v>
      </c>
      <c r="Z1371" s="64">
        <v>101750</v>
      </c>
      <c r="AA1371" s="61">
        <v>44775</v>
      </c>
      <c r="AB1371" s="61">
        <v>44777</v>
      </c>
      <c r="AC1371" s="61">
        <v>44777</v>
      </c>
      <c r="AD1371" s="60">
        <v>0</v>
      </c>
      <c r="AG1371" s="60">
        <v>0</v>
      </c>
      <c r="AJ1371" s="60">
        <v>0</v>
      </c>
      <c r="AM1371" s="60" t="s">
        <v>273</v>
      </c>
      <c r="AN1371" s="60" t="s">
        <v>4273</v>
      </c>
      <c r="AQ1371" s="60" t="s">
        <v>4047</v>
      </c>
      <c r="AR1371" s="61">
        <v>44763</v>
      </c>
      <c r="AS1371" s="60">
        <v>6002054419</v>
      </c>
      <c r="AT1371" s="61">
        <v>44764</v>
      </c>
      <c r="AU1371" s="60" t="s">
        <v>4084</v>
      </c>
      <c r="AV1371" s="61">
        <v>44784</v>
      </c>
      <c r="AW1371" s="91">
        <v>44804</v>
      </c>
      <c r="AX1371" s="91">
        <v>44824</v>
      </c>
      <c r="AY1371" s="99">
        <v>163680</v>
      </c>
      <c r="AZ1371" s="99">
        <f>ROUNDDOWN(AY1371+(AY1371*MASTER!$A$2/100),0)</f>
        <v>180048</v>
      </c>
      <c r="BA1371" s="60" t="s">
        <v>613</v>
      </c>
      <c r="BB1371" s="64">
        <v>28000</v>
      </c>
      <c r="BC1371" s="64">
        <v>30800</v>
      </c>
      <c r="BD1371" s="60" t="s">
        <v>3940</v>
      </c>
      <c r="BG1371" s="64">
        <v>0</v>
      </c>
      <c r="BI1371" s="60" t="s">
        <v>748</v>
      </c>
      <c r="BJ1371" s="64">
        <v>60125</v>
      </c>
      <c r="BK1371" s="64">
        <v>66137.5</v>
      </c>
      <c r="BL1371" s="60" t="s">
        <v>3940</v>
      </c>
      <c r="BS1371" s="64">
        <v>0</v>
      </c>
      <c r="BV1371" s="65">
        <v>85800</v>
      </c>
      <c r="BW1371" s="65">
        <v>96937.5</v>
      </c>
      <c r="BX1371" s="65">
        <v>44743</v>
      </c>
      <c r="BY1371" s="65">
        <v>-11137.5</v>
      </c>
      <c r="BZ1371" s="81">
        <v>-12.980769230769232</v>
      </c>
    </row>
    <row r="1372" spans="1:89" x14ac:dyDescent="0.15">
      <c r="A1372" s="60">
        <v>1</v>
      </c>
      <c r="B1372" s="61">
        <v>44774</v>
      </c>
      <c r="C1372" s="61">
        <v>44781</v>
      </c>
      <c r="D1372" s="61">
        <v>44809</v>
      </c>
      <c r="F1372" s="61">
        <v>44788</v>
      </c>
      <c r="G1372" s="61">
        <v>44783</v>
      </c>
      <c r="H1372" s="61">
        <v>44784</v>
      </c>
      <c r="I1372" s="60" t="s">
        <v>774</v>
      </c>
      <c r="J1372" s="60">
        <v>1</v>
      </c>
      <c r="L1372" s="60">
        <v>0</v>
      </c>
      <c r="M1372" s="61">
        <v>44743</v>
      </c>
      <c r="O1372" s="62" t="s">
        <v>331</v>
      </c>
      <c r="P1372" s="60" t="s">
        <v>26</v>
      </c>
      <c r="Q1372" s="62" t="s">
        <v>200</v>
      </c>
      <c r="R1372" s="62" t="s">
        <v>3816</v>
      </c>
      <c r="S1372" s="63" t="s">
        <v>1023</v>
      </c>
      <c r="T1372" s="63" t="s">
        <v>3817</v>
      </c>
      <c r="U1372" s="64">
        <v>178500</v>
      </c>
      <c r="V1372" s="64">
        <v>196350</v>
      </c>
      <c r="W1372" s="64">
        <v>86000</v>
      </c>
      <c r="X1372" s="64">
        <v>94600</v>
      </c>
      <c r="Y1372" s="64">
        <v>92500</v>
      </c>
      <c r="Z1372" s="64">
        <v>101750</v>
      </c>
      <c r="AA1372" s="61">
        <v>44780</v>
      </c>
      <c r="AB1372" s="61">
        <v>44781</v>
      </c>
      <c r="AC1372" s="61">
        <v>44781</v>
      </c>
      <c r="AD1372" s="60">
        <v>0</v>
      </c>
      <c r="AG1372" s="60">
        <v>0</v>
      </c>
      <c r="AJ1372" s="60">
        <v>0</v>
      </c>
      <c r="AM1372" s="60" t="s">
        <v>273</v>
      </c>
      <c r="AN1372" s="60" t="s">
        <v>3818</v>
      </c>
      <c r="AQ1372" s="60" t="s">
        <v>4027</v>
      </c>
      <c r="AR1372" s="61">
        <v>44757</v>
      </c>
      <c r="AS1372" s="60">
        <v>6002052729</v>
      </c>
      <c r="AT1372" s="61">
        <v>44761</v>
      </c>
      <c r="AU1372" s="60" t="s">
        <v>4029</v>
      </c>
      <c r="AV1372" s="61">
        <v>44781</v>
      </c>
      <c r="AW1372" s="91">
        <v>44804</v>
      </c>
      <c r="AX1372" s="91">
        <v>44824</v>
      </c>
      <c r="AY1372" s="99">
        <v>171360</v>
      </c>
      <c r="AZ1372" s="99">
        <f>ROUNDDOWN(AY1372+(AY1372*MASTER!$A$2/100),0)</f>
        <v>188496</v>
      </c>
      <c r="BA1372" s="60" t="s">
        <v>317</v>
      </c>
      <c r="BB1372" s="64">
        <v>35000</v>
      </c>
      <c r="BC1372" s="64">
        <v>38500</v>
      </c>
      <c r="BD1372" s="60" t="s">
        <v>3940</v>
      </c>
      <c r="BG1372" s="64">
        <v>0</v>
      </c>
      <c r="BI1372" s="60" t="s">
        <v>748</v>
      </c>
      <c r="BJ1372" s="64">
        <v>60125</v>
      </c>
      <c r="BK1372" s="64">
        <v>66137.5</v>
      </c>
      <c r="BL1372" s="60" t="s">
        <v>3940</v>
      </c>
      <c r="BS1372" s="64">
        <v>0</v>
      </c>
      <c r="BV1372" s="65">
        <v>94600</v>
      </c>
      <c r="BW1372" s="65">
        <v>104637.5</v>
      </c>
      <c r="BX1372" s="65">
        <v>44743</v>
      </c>
      <c r="BY1372" s="65">
        <v>-10037.5</v>
      </c>
      <c r="BZ1372" s="81">
        <v>-10.61046511627907</v>
      </c>
    </row>
    <row r="1373" spans="1:89" x14ac:dyDescent="0.15">
      <c r="A1373" s="60">
        <v>1</v>
      </c>
      <c r="B1373" s="61">
        <v>44754</v>
      </c>
      <c r="C1373" s="61">
        <v>44757</v>
      </c>
      <c r="F1373" s="61" t="s">
        <v>309</v>
      </c>
      <c r="H1373" s="61" t="s">
        <v>309</v>
      </c>
      <c r="J1373" s="60">
        <v>3</v>
      </c>
      <c r="L1373" s="60">
        <v>0</v>
      </c>
      <c r="M1373" s="61">
        <v>44743</v>
      </c>
      <c r="O1373" s="62" t="s">
        <v>331</v>
      </c>
      <c r="P1373" s="60" t="s">
        <v>26</v>
      </c>
      <c r="Q1373" s="62" t="s">
        <v>200</v>
      </c>
      <c r="R1373" s="62" t="s">
        <v>3820</v>
      </c>
      <c r="S1373" s="63" t="s">
        <v>1913</v>
      </c>
      <c r="T1373" s="63" t="s">
        <v>3819</v>
      </c>
      <c r="U1373" s="64">
        <v>17500</v>
      </c>
      <c r="V1373" s="64">
        <v>19250</v>
      </c>
      <c r="W1373" s="64">
        <v>0</v>
      </c>
      <c r="X1373" s="64">
        <v>0</v>
      </c>
      <c r="Y1373" s="64">
        <v>17500</v>
      </c>
      <c r="Z1373" s="64">
        <v>19250</v>
      </c>
      <c r="AD1373" s="60">
        <v>0</v>
      </c>
      <c r="AG1373" s="60">
        <v>0</v>
      </c>
      <c r="AJ1373" s="60">
        <v>0</v>
      </c>
      <c r="AQ1373" s="60" t="s">
        <v>3918</v>
      </c>
      <c r="AR1373" s="61">
        <v>44748</v>
      </c>
      <c r="AS1373" s="60">
        <v>6002048897</v>
      </c>
      <c r="AT1373" s="61">
        <v>44749</v>
      </c>
      <c r="AU1373" s="60" t="s">
        <v>3944</v>
      </c>
      <c r="AV1373" s="61">
        <v>44757</v>
      </c>
      <c r="AW1373" s="91">
        <v>44773</v>
      </c>
      <c r="AX1373" s="91">
        <v>44793</v>
      </c>
      <c r="AY1373" s="107">
        <v>17500</v>
      </c>
      <c r="AZ1373" s="107">
        <f>ROUNDDOWN(AY1373+(AY1373*MASTER!$A$2/100),0)</f>
        <v>19250</v>
      </c>
      <c r="BC1373" s="64">
        <v>0</v>
      </c>
      <c r="BG1373" s="64">
        <v>0</v>
      </c>
      <c r="BI1373" s="60" t="s">
        <v>748</v>
      </c>
      <c r="BJ1373" s="64">
        <v>11375</v>
      </c>
      <c r="BK1373" s="64">
        <v>12512.5</v>
      </c>
      <c r="BL1373" s="60" t="s">
        <v>3885</v>
      </c>
      <c r="BS1373" s="64">
        <v>0</v>
      </c>
      <c r="BV1373" s="65">
        <v>0</v>
      </c>
      <c r="BW1373" s="65">
        <v>12512.5</v>
      </c>
      <c r="BX1373" s="65">
        <v>44743</v>
      </c>
      <c r="BY1373" s="65">
        <v>-12512.5</v>
      </c>
      <c r="BZ1373" s="81" t="s">
        <v>309</v>
      </c>
    </row>
    <row r="1374" spans="1:89" x14ac:dyDescent="0.15">
      <c r="A1374" s="60">
        <v>2</v>
      </c>
      <c r="B1374" s="61">
        <v>44756</v>
      </c>
      <c r="C1374" s="61">
        <v>44762</v>
      </c>
      <c r="D1374" s="61">
        <v>44754</v>
      </c>
      <c r="E1374" s="61">
        <v>44754</v>
      </c>
      <c r="F1374" s="61" t="s">
        <v>309</v>
      </c>
      <c r="G1374" s="61">
        <v>44754</v>
      </c>
      <c r="H1374" s="61" t="s">
        <v>309</v>
      </c>
      <c r="I1374" s="60" t="s">
        <v>766</v>
      </c>
      <c r="J1374" s="60">
        <v>2</v>
      </c>
      <c r="L1374" s="60">
        <v>0</v>
      </c>
      <c r="M1374" s="61">
        <v>44746</v>
      </c>
      <c r="O1374" s="62" t="s">
        <v>331</v>
      </c>
      <c r="P1374" s="60" t="s">
        <v>6</v>
      </c>
      <c r="Q1374" s="62" t="s">
        <v>200</v>
      </c>
      <c r="R1374" s="62" t="s">
        <v>3966</v>
      </c>
      <c r="S1374" s="63" t="s">
        <v>1990</v>
      </c>
      <c r="T1374" s="63" t="s">
        <v>364</v>
      </c>
      <c r="U1374" s="64">
        <v>51000</v>
      </c>
      <c r="V1374" s="64">
        <v>56100</v>
      </c>
      <c r="W1374" s="64">
        <v>51000</v>
      </c>
      <c r="X1374" s="64">
        <v>56100</v>
      </c>
      <c r="Z1374" s="64">
        <v>0</v>
      </c>
      <c r="AA1374" s="61">
        <v>44753</v>
      </c>
      <c r="AB1374" s="61">
        <v>44753</v>
      </c>
      <c r="AD1374" s="60">
        <v>0</v>
      </c>
      <c r="AG1374" s="60">
        <v>0</v>
      </c>
      <c r="AJ1374" s="60">
        <v>0</v>
      </c>
      <c r="AN1374" s="60" t="s">
        <v>309</v>
      </c>
      <c r="AQ1374" s="60" t="s">
        <v>4006</v>
      </c>
      <c r="AR1374" s="61">
        <v>44755</v>
      </c>
      <c r="AS1374" s="60">
        <v>6002051577</v>
      </c>
      <c r="AT1374" s="61">
        <v>44755</v>
      </c>
      <c r="AU1374" s="60" t="s">
        <v>4012</v>
      </c>
      <c r="AV1374" s="61">
        <v>44762</v>
      </c>
      <c r="AW1374" s="91">
        <v>44773</v>
      </c>
      <c r="AX1374" s="91">
        <v>44793</v>
      </c>
      <c r="AY1374" s="99">
        <v>48960</v>
      </c>
      <c r="AZ1374" s="99">
        <f>ROUNDDOWN(AY1374+(AY1374*MASTER!$A$2/100),0)</f>
        <v>53856</v>
      </c>
      <c r="BA1374" s="60" t="s">
        <v>317</v>
      </c>
      <c r="BB1374" s="64">
        <v>24000</v>
      </c>
      <c r="BC1374" s="64">
        <v>26400</v>
      </c>
      <c r="BD1374" s="60" t="s">
        <v>3800</v>
      </c>
      <c r="BG1374" s="64">
        <v>0</v>
      </c>
      <c r="BK1374" s="64">
        <v>0</v>
      </c>
      <c r="BS1374" s="64">
        <v>0</v>
      </c>
      <c r="BV1374" s="65">
        <v>56100</v>
      </c>
      <c r="BW1374" s="65">
        <v>26400</v>
      </c>
      <c r="BX1374" s="65">
        <v>44746</v>
      </c>
      <c r="BY1374" s="65">
        <v>29700</v>
      </c>
      <c r="BZ1374" s="81">
        <v>52.941176470588239</v>
      </c>
    </row>
    <row r="1375" spans="1:89" s="152" customFormat="1" x14ac:dyDescent="0.15">
      <c r="A1375" s="142">
        <v>3</v>
      </c>
      <c r="B1375" s="143"/>
      <c r="C1375" s="143" t="s">
        <v>309</v>
      </c>
      <c r="D1375" s="143"/>
      <c r="E1375" s="143"/>
      <c r="F1375" s="143" t="s">
        <v>309</v>
      </c>
      <c r="G1375" s="143"/>
      <c r="H1375" s="143" t="s">
        <v>309</v>
      </c>
      <c r="I1375" s="142"/>
      <c r="J1375" s="142">
        <v>2</v>
      </c>
      <c r="K1375" s="143"/>
      <c r="L1375" s="142">
        <v>0</v>
      </c>
      <c r="M1375" s="143">
        <v>44746</v>
      </c>
      <c r="N1375" s="143"/>
      <c r="O1375" s="144" t="s">
        <v>331</v>
      </c>
      <c r="P1375" s="142" t="s">
        <v>6</v>
      </c>
      <c r="Q1375" s="144" t="s">
        <v>200</v>
      </c>
      <c r="R1375" s="144" t="s">
        <v>4422</v>
      </c>
      <c r="S1375" s="145" t="s">
        <v>2744</v>
      </c>
      <c r="T1375" s="145" t="s">
        <v>364</v>
      </c>
      <c r="U1375" s="146">
        <v>51000</v>
      </c>
      <c r="V1375" s="146">
        <v>56100</v>
      </c>
      <c r="W1375" s="146">
        <v>51000</v>
      </c>
      <c r="X1375" s="146">
        <v>56100</v>
      </c>
      <c r="Y1375" s="146">
        <v>0</v>
      </c>
      <c r="Z1375" s="146">
        <v>0</v>
      </c>
      <c r="AA1375" s="143"/>
      <c r="AB1375" s="143"/>
      <c r="AC1375" s="143"/>
      <c r="AD1375" s="142">
        <v>0</v>
      </c>
      <c r="AE1375" s="142"/>
      <c r="AF1375" s="142"/>
      <c r="AG1375" s="142">
        <v>0</v>
      </c>
      <c r="AH1375" s="142"/>
      <c r="AI1375" s="142"/>
      <c r="AJ1375" s="142">
        <v>0</v>
      </c>
      <c r="AK1375" s="142"/>
      <c r="AL1375" s="142"/>
      <c r="AM1375" s="142"/>
      <c r="AN1375" s="142" t="s">
        <v>309</v>
      </c>
      <c r="AO1375" s="143"/>
      <c r="AP1375" s="142"/>
      <c r="AQ1375" s="142"/>
      <c r="AR1375" s="143"/>
      <c r="AS1375" s="142"/>
      <c r="AT1375" s="143"/>
      <c r="AU1375" s="142"/>
      <c r="AV1375" s="143"/>
      <c r="AW1375" s="147"/>
      <c r="AX1375" s="147"/>
      <c r="AY1375" s="148">
        <v>48960</v>
      </c>
      <c r="AZ1375" s="148">
        <f>ROUNDDOWN(AY1375+(AY1375*MASTER!$A$2/100),0)</f>
        <v>53856</v>
      </c>
      <c r="BA1375" s="142"/>
      <c r="BB1375" s="146"/>
      <c r="BC1375" s="146">
        <v>0</v>
      </c>
      <c r="BD1375" s="142"/>
      <c r="BE1375" s="142"/>
      <c r="BF1375" s="146"/>
      <c r="BG1375" s="146">
        <v>0</v>
      </c>
      <c r="BH1375" s="142"/>
      <c r="BI1375" s="142"/>
      <c r="BJ1375" s="146"/>
      <c r="BK1375" s="146">
        <v>0</v>
      </c>
      <c r="BL1375" s="142"/>
      <c r="BM1375" s="146"/>
      <c r="BN1375" s="146"/>
      <c r="BO1375" s="146"/>
      <c r="BP1375" s="146"/>
      <c r="BQ1375" s="146"/>
      <c r="BR1375" s="146"/>
      <c r="BS1375" s="146">
        <v>0</v>
      </c>
      <c r="BT1375" s="149"/>
      <c r="BU1375" s="149"/>
      <c r="BV1375" s="150">
        <v>56100</v>
      </c>
      <c r="BW1375" s="150">
        <v>0</v>
      </c>
      <c r="BX1375" s="150">
        <v>44746</v>
      </c>
      <c r="BY1375" s="150">
        <v>56100</v>
      </c>
      <c r="BZ1375" s="151">
        <v>100</v>
      </c>
      <c r="CA1375" s="142"/>
      <c r="CB1375" s="142"/>
      <c r="CC1375" s="142"/>
      <c r="CD1375" s="145" t="s">
        <v>4687</v>
      </c>
      <c r="CE1375" s="143"/>
      <c r="CF1375" s="143"/>
      <c r="CG1375" s="143"/>
      <c r="CH1375" s="143"/>
      <c r="CI1375" s="143"/>
      <c r="CJ1375" s="143"/>
      <c r="CK1375" s="146"/>
    </row>
    <row r="1376" spans="1:89" x14ac:dyDescent="0.15">
      <c r="A1376" s="60">
        <v>2</v>
      </c>
      <c r="B1376" s="61">
        <v>44771</v>
      </c>
      <c r="C1376" s="61">
        <v>44774</v>
      </c>
      <c r="D1376" s="61">
        <v>44783</v>
      </c>
      <c r="E1376" s="61">
        <v>44776</v>
      </c>
      <c r="F1376" s="61">
        <v>44781</v>
      </c>
      <c r="G1376" s="61">
        <v>44775</v>
      </c>
      <c r="H1376" s="61">
        <v>44777</v>
      </c>
      <c r="I1376" s="60" t="s">
        <v>511</v>
      </c>
      <c r="J1376" s="60">
        <v>1</v>
      </c>
      <c r="L1376" s="60">
        <v>0</v>
      </c>
      <c r="M1376" s="61">
        <v>44747</v>
      </c>
      <c r="O1376" s="62" t="s">
        <v>331</v>
      </c>
      <c r="P1376" s="60" t="s">
        <v>26</v>
      </c>
      <c r="Q1376" s="62" t="s">
        <v>200</v>
      </c>
      <c r="R1376" s="62" t="s">
        <v>4004</v>
      </c>
      <c r="S1376" s="63" t="s">
        <v>513</v>
      </c>
      <c r="T1376" s="63" t="s">
        <v>621</v>
      </c>
      <c r="U1376" s="64">
        <v>50000</v>
      </c>
      <c r="V1376" s="64">
        <v>55000</v>
      </c>
      <c r="W1376" s="64">
        <v>47000</v>
      </c>
      <c r="X1376" s="64">
        <v>51700</v>
      </c>
      <c r="Y1376" s="64">
        <v>3000</v>
      </c>
      <c r="Z1376" s="64">
        <v>3300</v>
      </c>
      <c r="AA1376" s="61">
        <v>44773</v>
      </c>
      <c r="AB1376" s="61">
        <v>44774</v>
      </c>
      <c r="AC1376" s="61">
        <v>44774</v>
      </c>
      <c r="AD1376" s="60">
        <v>0</v>
      </c>
      <c r="AG1376" s="60">
        <v>0</v>
      </c>
      <c r="AJ1376" s="60">
        <v>0</v>
      </c>
      <c r="AM1376" s="60" t="s">
        <v>273</v>
      </c>
      <c r="AN1376" s="60" t="s">
        <v>4005</v>
      </c>
      <c r="AQ1376" s="60" t="s">
        <v>4097</v>
      </c>
      <c r="AR1376" s="61">
        <v>44755</v>
      </c>
      <c r="AS1376" s="60">
        <v>6002051577</v>
      </c>
      <c r="AT1376" s="61">
        <v>44755</v>
      </c>
      <c r="AU1376" s="60" t="s">
        <v>4012</v>
      </c>
      <c r="AV1376" s="61">
        <v>44774</v>
      </c>
      <c r="AW1376" s="91">
        <v>44804</v>
      </c>
      <c r="AX1376" s="91">
        <v>44824</v>
      </c>
      <c r="AY1376" s="99">
        <v>48000</v>
      </c>
      <c r="AZ1376" s="99">
        <f>ROUNDDOWN(AY1376+(AY1376*MASTER!$A$2/100),0)</f>
        <v>52800</v>
      </c>
      <c r="BA1376" s="60" t="s">
        <v>314</v>
      </c>
      <c r="BB1376" s="64">
        <v>33000</v>
      </c>
      <c r="BC1376" s="64">
        <v>36300</v>
      </c>
      <c r="BD1376" s="60" t="s">
        <v>3940</v>
      </c>
      <c r="BG1376" s="64">
        <v>0</v>
      </c>
      <c r="BI1376" s="60" t="s">
        <v>267</v>
      </c>
      <c r="BJ1376" s="64">
        <v>1950</v>
      </c>
      <c r="BK1376" s="64">
        <v>2145</v>
      </c>
      <c r="BL1376" s="60" t="s">
        <v>4069</v>
      </c>
      <c r="BS1376" s="64">
        <v>0</v>
      </c>
      <c r="BV1376" s="65">
        <v>51700</v>
      </c>
      <c r="BW1376" s="65">
        <v>38445</v>
      </c>
      <c r="BX1376" s="65">
        <v>44747</v>
      </c>
      <c r="BY1376" s="65">
        <v>13255</v>
      </c>
      <c r="BZ1376" s="81">
        <v>25.638297872340427</v>
      </c>
    </row>
    <row r="1377" spans="1:89" x14ac:dyDescent="0.15">
      <c r="A1377" s="60">
        <v>1</v>
      </c>
      <c r="C1377" s="61" t="s">
        <v>309</v>
      </c>
      <c r="F1377" s="61" t="s">
        <v>309</v>
      </c>
      <c r="H1377" s="61" t="s">
        <v>309</v>
      </c>
      <c r="J1377" s="60">
        <v>2</v>
      </c>
      <c r="L1377" s="60">
        <v>0</v>
      </c>
      <c r="M1377" s="61">
        <v>44747</v>
      </c>
      <c r="O1377" s="62" t="s">
        <v>335</v>
      </c>
      <c r="P1377" s="60" t="s">
        <v>349</v>
      </c>
      <c r="Q1377" s="62" t="s">
        <v>3794</v>
      </c>
      <c r="R1377" s="62" t="s">
        <v>3915</v>
      </c>
      <c r="S1377" s="63" t="s">
        <v>3916</v>
      </c>
      <c r="T1377" s="63" t="s">
        <v>412</v>
      </c>
      <c r="U1377" s="64">
        <v>49500</v>
      </c>
      <c r="V1377" s="64">
        <v>54450</v>
      </c>
      <c r="W1377" s="64">
        <v>49500</v>
      </c>
      <c r="X1377" s="64">
        <v>54450</v>
      </c>
      <c r="Z1377" s="64">
        <v>0</v>
      </c>
      <c r="AD1377" s="60">
        <v>0</v>
      </c>
      <c r="AG1377" s="60">
        <v>0</v>
      </c>
      <c r="AJ1377" s="60">
        <v>0</v>
      </c>
      <c r="AN1377" s="60" t="s">
        <v>309</v>
      </c>
      <c r="AQ1377" s="60" t="s">
        <v>4023</v>
      </c>
      <c r="AR1377" s="61">
        <v>44757</v>
      </c>
      <c r="AS1377" s="60">
        <v>6002052729</v>
      </c>
      <c r="AT1377" s="61">
        <v>44761</v>
      </c>
      <c r="AU1377" s="60" t="s">
        <v>4029</v>
      </c>
      <c r="AV1377" s="61">
        <v>44885</v>
      </c>
      <c r="AY1377" s="99">
        <f>ROUNDDOWN((0.96*U1377),0)</f>
        <v>47520</v>
      </c>
      <c r="AZ1377" s="99">
        <f>ROUNDDOWN(AY1377+(AY1377*MASTER!$A$2/100),0)</f>
        <v>52272</v>
      </c>
      <c r="BC1377" s="64">
        <v>0</v>
      </c>
      <c r="BG1377" s="64">
        <v>0</v>
      </c>
      <c r="BK1377" s="64">
        <v>0</v>
      </c>
      <c r="BS1377" s="64">
        <v>0</v>
      </c>
      <c r="BV1377" s="65">
        <v>54450</v>
      </c>
      <c r="BW1377" s="65">
        <v>0</v>
      </c>
      <c r="BX1377" s="65">
        <v>44747</v>
      </c>
      <c r="BY1377" s="65">
        <v>54450</v>
      </c>
      <c r="BZ1377" s="81">
        <v>100</v>
      </c>
    </row>
    <row r="1378" spans="1:89" s="189" customFormat="1" x14ac:dyDescent="0.15">
      <c r="A1378" s="180">
        <v>1</v>
      </c>
      <c r="B1378" s="181"/>
      <c r="C1378" s="181" t="s">
        <v>309</v>
      </c>
      <c r="D1378" s="181"/>
      <c r="E1378" s="181"/>
      <c r="F1378" s="181" t="s">
        <v>309</v>
      </c>
      <c r="G1378" s="181"/>
      <c r="H1378" s="181" t="s">
        <v>309</v>
      </c>
      <c r="I1378" s="180"/>
      <c r="J1378" s="180">
        <v>2</v>
      </c>
      <c r="K1378" s="181"/>
      <c r="L1378" s="180">
        <v>0</v>
      </c>
      <c r="M1378" s="181">
        <v>44747</v>
      </c>
      <c r="N1378" s="181"/>
      <c r="O1378" s="176" t="s">
        <v>331</v>
      </c>
      <c r="P1378" s="180" t="s">
        <v>6</v>
      </c>
      <c r="Q1378" s="176" t="s">
        <v>200</v>
      </c>
      <c r="R1378" s="176" t="s">
        <v>4686</v>
      </c>
      <c r="S1378" s="182" t="s">
        <v>1228</v>
      </c>
      <c r="T1378" s="182" t="s">
        <v>364</v>
      </c>
      <c r="U1378" s="183">
        <v>35000</v>
      </c>
      <c r="V1378" s="183">
        <v>38500</v>
      </c>
      <c r="W1378" s="183">
        <v>35000</v>
      </c>
      <c r="X1378" s="183">
        <v>38500</v>
      </c>
      <c r="Y1378" s="183">
        <v>0</v>
      </c>
      <c r="Z1378" s="183">
        <v>0</v>
      </c>
      <c r="AA1378" s="181"/>
      <c r="AB1378" s="181"/>
      <c r="AC1378" s="181"/>
      <c r="AD1378" s="180">
        <v>0</v>
      </c>
      <c r="AE1378" s="180"/>
      <c r="AF1378" s="180"/>
      <c r="AG1378" s="180">
        <v>0</v>
      </c>
      <c r="AH1378" s="180"/>
      <c r="AI1378" s="180"/>
      <c r="AJ1378" s="180">
        <v>0</v>
      </c>
      <c r="AK1378" s="180"/>
      <c r="AL1378" s="180"/>
      <c r="AM1378" s="180"/>
      <c r="AN1378" s="180" t="s">
        <v>309</v>
      </c>
      <c r="AO1378" s="181"/>
      <c r="AP1378" s="180"/>
      <c r="AQ1378" s="180" t="s">
        <v>5215</v>
      </c>
      <c r="AR1378" s="181">
        <v>44833</v>
      </c>
      <c r="AS1378" s="180">
        <v>6002077653</v>
      </c>
      <c r="AT1378" s="181">
        <v>44833</v>
      </c>
      <c r="AU1378" s="180" t="s">
        <v>5219</v>
      </c>
      <c r="AV1378" s="181">
        <v>44921</v>
      </c>
      <c r="AW1378" s="184"/>
      <c r="AX1378" s="184"/>
      <c r="AY1378" s="185">
        <v>33600</v>
      </c>
      <c r="AZ1378" s="185">
        <f>ROUNDDOWN(AY1378+(AY1378*MASTER!$A$2/100),0)</f>
        <v>36960</v>
      </c>
      <c r="BA1378" s="180"/>
      <c r="BB1378" s="183"/>
      <c r="BC1378" s="183">
        <v>0</v>
      </c>
      <c r="BD1378" s="180"/>
      <c r="BE1378" s="180"/>
      <c r="BF1378" s="183"/>
      <c r="BG1378" s="183">
        <v>0</v>
      </c>
      <c r="BH1378" s="180"/>
      <c r="BI1378" s="180"/>
      <c r="BJ1378" s="183"/>
      <c r="BK1378" s="183">
        <v>0</v>
      </c>
      <c r="BL1378" s="180"/>
      <c r="BM1378" s="183"/>
      <c r="BN1378" s="183"/>
      <c r="BO1378" s="183"/>
      <c r="BP1378" s="183"/>
      <c r="BQ1378" s="183"/>
      <c r="BR1378" s="183"/>
      <c r="BS1378" s="183">
        <v>0</v>
      </c>
      <c r="BT1378" s="186"/>
      <c r="BU1378" s="186"/>
      <c r="BV1378" s="187">
        <v>38500</v>
      </c>
      <c r="BW1378" s="187">
        <v>0</v>
      </c>
      <c r="BX1378" s="187">
        <v>44747</v>
      </c>
      <c r="BY1378" s="187">
        <v>38500</v>
      </c>
      <c r="BZ1378" s="188">
        <v>100</v>
      </c>
      <c r="CA1378" s="180"/>
      <c r="CB1378" s="180"/>
      <c r="CC1378" s="180"/>
      <c r="CD1378" s="182" t="s">
        <v>5138</v>
      </c>
      <c r="CE1378" s="181"/>
      <c r="CF1378" s="181"/>
      <c r="CG1378" s="181"/>
      <c r="CH1378" s="181"/>
      <c r="CI1378" s="181"/>
      <c r="CJ1378" s="181"/>
      <c r="CK1378" s="183"/>
    </row>
    <row r="1379" spans="1:89" x14ac:dyDescent="0.15">
      <c r="A1379" s="60">
        <v>1</v>
      </c>
      <c r="B1379" s="61">
        <v>44824</v>
      </c>
      <c r="C1379" s="61">
        <v>44865</v>
      </c>
      <c r="F1379" s="61" t="s">
        <v>309</v>
      </c>
      <c r="G1379" s="61">
        <v>44826</v>
      </c>
      <c r="H1379" s="61" t="s">
        <v>309</v>
      </c>
      <c r="J1379" s="60">
        <v>2</v>
      </c>
      <c r="L1379" s="60">
        <v>0</v>
      </c>
      <c r="M1379" s="61">
        <v>44747</v>
      </c>
      <c r="O1379" s="62" t="s">
        <v>331</v>
      </c>
      <c r="P1379" s="60" t="s">
        <v>6</v>
      </c>
      <c r="Q1379" s="62" t="s">
        <v>200</v>
      </c>
      <c r="R1379" s="62" t="s">
        <v>4868</v>
      </c>
      <c r="S1379" s="63" t="s">
        <v>1604</v>
      </c>
      <c r="T1379" s="63" t="s">
        <v>364</v>
      </c>
      <c r="U1379" s="64">
        <v>51000</v>
      </c>
      <c r="V1379" s="64">
        <v>56100</v>
      </c>
      <c r="W1379" s="64">
        <v>51000</v>
      </c>
      <c r="X1379" s="64">
        <v>56100</v>
      </c>
      <c r="Z1379" s="64">
        <v>0</v>
      </c>
      <c r="AA1379" s="61">
        <v>44819</v>
      </c>
      <c r="AB1379" s="61">
        <v>44819</v>
      </c>
      <c r="AD1379" s="60">
        <v>0</v>
      </c>
      <c r="AG1379" s="60">
        <v>0</v>
      </c>
      <c r="AJ1379" s="60">
        <v>0</v>
      </c>
      <c r="AN1379" s="60" t="s">
        <v>309</v>
      </c>
      <c r="AQ1379" s="60" t="s">
        <v>4111</v>
      </c>
      <c r="AR1379" s="61">
        <v>44770</v>
      </c>
      <c r="AS1379" s="60">
        <v>6002056788</v>
      </c>
      <c r="AT1379" s="61">
        <v>44774</v>
      </c>
      <c r="AU1379" s="60" t="s">
        <v>4205</v>
      </c>
      <c r="AV1379" s="61">
        <v>44865</v>
      </c>
      <c r="AW1379" s="91">
        <v>44865</v>
      </c>
      <c r="AX1379" s="91">
        <v>44885</v>
      </c>
      <c r="AY1379" s="99">
        <v>48960</v>
      </c>
      <c r="AZ1379" s="99">
        <f>ROUNDDOWN(AY1379+(AY1379*MASTER!$A$2/100),0)</f>
        <v>53856</v>
      </c>
      <c r="BA1379" s="60" t="s">
        <v>317</v>
      </c>
      <c r="BB1379" s="64">
        <v>21000</v>
      </c>
      <c r="BC1379" s="64">
        <v>23100</v>
      </c>
      <c r="BD1379" s="60" t="s">
        <v>4182</v>
      </c>
      <c r="BG1379" s="64">
        <v>0</v>
      </c>
      <c r="BK1379" s="64">
        <v>0</v>
      </c>
      <c r="BS1379" s="64">
        <v>0</v>
      </c>
      <c r="BV1379" s="65">
        <v>56100</v>
      </c>
      <c r="BW1379" s="65">
        <v>23100</v>
      </c>
      <c r="BX1379" s="65">
        <v>44747</v>
      </c>
      <c r="BY1379" s="65">
        <v>33000</v>
      </c>
      <c r="BZ1379" s="81">
        <v>58.82352941176471</v>
      </c>
    </row>
    <row r="1380" spans="1:89" x14ac:dyDescent="0.15">
      <c r="A1380" s="60">
        <v>1</v>
      </c>
      <c r="B1380" s="61">
        <v>44754</v>
      </c>
      <c r="C1380" s="61">
        <v>44753</v>
      </c>
      <c r="F1380" s="61" t="s">
        <v>309</v>
      </c>
      <c r="H1380" s="61" t="s">
        <v>309</v>
      </c>
      <c r="J1380" s="60">
        <v>2</v>
      </c>
      <c r="L1380" s="60">
        <v>0</v>
      </c>
      <c r="M1380" s="61">
        <v>44747</v>
      </c>
      <c r="O1380" s="62" t="s">
        <v>331</v>
      </c>
      <c r="P1380" s="60" t="s">
        <v>6</v>
      </c>
      <c r="Q1380" s="62" t="s">
        <v>200</v>
      </c>
      <c r="R1380" s="62" t="s">
        <v>3967</v>
      </c>
      <c r="S1380" s="63" t="s">
        <v>1305</v>
      </c>
      <c r="T1380" s="63" t="s">
        <v>364</v>
      </c>
      <c r="U1380" s="64">
        <v>25000</v>
      </c>
      <c r="V1380" s="64">
        <v>27500</v>
      </c>
      <c r="W1380" s="64">
        <v>25000</v>
      </c>
      <c r="X1380" s="64">
        <v>27500</v>
      </c>
      <c r="Z1380" s="64">
        <v>0</v>
      </c>
      <c r="AD1380" s="60">
        <v>0</v>
      </c>
      <c r="AG1380" s="60">
        <v>0</v>
      </c>
      <c r="AJ1380" s="60">
        <v>0</v>
      </c>
      <c r="AN1380" s="60" t="s">
        <v>309</v>
      </c>
      <c r="AQ1380" s="60" t="s">
        <v>3929</v>
      </c>
      <c r="AR1380" s="61">
        <v>44749</v>
      </c>
      <c r="AS1380" s="60">
        <v>6002049760</v>
      </c>
      <c r="AT1380" s="61">
        <v>44749</v>
      </c>
      <c r="AU1380" s="60" t="s">
        <v>3946</v>
      </c>
      <c r="AV1380" s="61">
        <v>44753</v>
      </c>
      <c r="AW1380" s="91">
        <v>44773</v>
      </c>
      <c r="AX1380" s="91">
        <v>44793</v>
      </c>
      <c r="AY1380" s="99">
        <v>24000</v>
      </c>
      <c r="AZ1380" s="99">
        <f>ROUNDDOWN(AY1380+(AY1380*MASTER!$A$2/100),0)</f>
        <v>26400</v>
      </c>
      <c r="BC1380" s="64">
        <v>0</v>
      </c>
      <c r="BG1380" s="64">
        <v>0</v>
      </c>
      <c r="BK1380" s="64">
        <v>0</v>
      </c>
      <c r="BS1380" s="64">
        <v>0</v>
      </c>
      <c r="BV1380" s="65">
        <v>27500</v>
      </c>
      <c r="BW1380" s="65">
        <v>0</v>
      </c>
      <c r="BX1380" s="65">
        <v>44747</v>
      </c>
      <c r="BY1380" s="65">
        <v>27500</v>
      </c>
      <c r="BZ1380" s="81">
        <v>100</v>
      </c>
    </row>
    <row r="1381" spans="1:89" x14ac:dyDescent="0.15">
      <c r="A1381" s="60">
        <v>1</v>
      </c>
      <c r="B1381" s="61">
        <v>44754</v>
      </c>
      <c r="C1381" s="61">
        <v>44761</v>
      </c>
      <c r="F1381" s="61" t="s">
        <v>309</v>
      </c>
      <c r="G1381" s="61">
        <v>44756</v>
      </c>
      <c r="H1381" s="61" t="s">
        <v>309</v>
      </c>
      <c r="J1381" s="60">
        <v>2</v>
      </c>
      <c r="L1381" s="60">
        <v>0</v>
      </c>
      <c r="M1381" s="61">
        <v>44747</v>
      </c>
      <c r="O1381" s="62" t="s">
        <v>331</v>
      </c>
      <c r="P1381" s="60" t="s">
        <v>6</v>
      </c>
      <c r="Q1381" s="62" t="s">
        <v>200</v>
      </c>
      <c r="R1381" s="62" t="s">
        <v>3968</v>
      </c>
      <c r="S1381" s="63" t="s">
        <v>363</v>
      </c>
      <c r="T1381" s="63" t="s">
        <v>364</v>
      </c>
      <c r="U1381" s="64">
        <v>20000</v>
      </c>
      <c r="V1381" s="64">
        <v>22000</v>
      </c>
      <c r="W1381" s="64">
        <v>20000</v>
      </c>
      <c r="X1381" s="64">
        <v>22000</v>
      </c>
      <c r="Z1381" s="64">
        <v>0</v>
      </c>
      <c r="AD1381" s="60">
        <v>0</v>
      </c>
      <c r="AG1381" s="60">
        <v>0</v>
      </c>
      <c r="AJ1381" s="60">
        <v>0</v>
      </c>
      <c r="AN1381" s="60" t="s">
        <v>309</v>
      </c>
      <c r="AQ1381" s="60" t="s">
        <v>3929</v>
      </c>
      <c r="AR1381" s="61">
        <v>44749</v>
      </c>
      <c r="AS1381" s="60">
        <v>6002049760</v>
      </c>
      <c r="AT1381" s="61">
        <v>44749</v>
      </c>
      <c r="AU1381" s="60" t="s">
        <v>3946</v>
      </c>
      <c r="AV1381" s="61">
        <v>44761</v>
      </c>
      <c r="AW1381" s="91">
        <v>44773</v>
      </c>
      <c r="AX1381" s="91">
        <v>44793</v>
      </c>
      <c r="AY1381" s="99">
        <v>19200</v>
      </c>
      <c r="AZ1381" s="99">
        <f>ROUNDDOWN(AY1381+(AY1381*MASTER!$A$2/100),0)</f>
        <v>21120</v>
      </c>
      <c r="BC1381" s="64">
        <v>0</v>
      </c>
      <c r="BG1381" s="64">
        <v>0</v>
      </c>
      <c r="BK1381" s="64">
        <v>0</v>
      </c>
      <c r="BS1381" s="64">
        <v>0</v>
      </c>
      <c r="BV1381" s="65">
        <v>22000</v>
      </c>
      <c r="BW1381" s="65">
        <v>0</v>
      </c>
      <c r="BX1381" s="65">
        <v>44747</v>
      </c>
      <c r="BY1381" s="65">
        <v>22000</v>
      </c>
      <c r="BZ1381" s="81">
        <v>100</v>
      </c>
    </row>
    <row r="1382" spans="1:89" x14ac:dyDescent="0.15">
      <c r="A1382" s="60">
        <v>2</v>
      </c>
      <c r="B1382" s="61">
        <v>44774</v>
      </c>
      <c r="C1382" s="61">
        <v>44777</v>
      </c>
      <c r="D1382" s="61" t="s">
        <v>764</v>
      </c>
      <c r="E1382" s="61">
        <v>44785</v>
      </c>
      <c r="F1382" s="61">
        <v>44784</v>
      </c>
      <c r="G1382" s="61">
        <v>44777</v>
      </c>
      <c r="H1382" s="61">
        <v>44780</v>
      </c>
      <c r="I1382" s="60" t="s">
        <v>511</v>
      </c>
      <c r="J1382" s="60">
        <v>1</v>
      </c>
      <c r="L1382" s="60">
        <v>0</v>
      </c>
      <c r="M1382" s="61">
        <v>44748</v>
      </c>
      <c r="O1382" s="62" t="s">
        <v>331</v>
      </c>
      <c r="P1382" s="60" t="s">
        <v>26</v>
      </c>
      <c r="Q1382" s="62" t="s">
        <v>200</v>
      </c>
      <c r="R1382" s="62" t="s">
        <v>4210</v>
      </c>
      <c r="S1382" s="63" t="s">
        <v>1061</v>
      </c>
      <c r="T1382" s="63" t="s">
        <v>1883</v>
      </c>
      <c r="U1382" s="64">
        <v>23900</v>
      </c>
      <c r="V1382" s="64">
        <v>26290</v>
      </c>
      <c r="W1382" s="64">
        <v>14700</v>
      </c>
      <c r="X1382" s="64">
        <v>16170</v>
      </c>
      <c r="Y1382" s="64">
        <v>9200</v>
      </c>
      <c r="Z1382" s="64">
        <v>10120</v>
      </c>
      <c r="AA1382" s="61">
        <v>44776</v>
      </c>
      <c r="AB1382" s="61">
        <v>44777</v>
      </c>
      <c r="AC1382" s="61">
        <v>44777</v>
      </c>
      <c r="AD1382" s="60">
        <v>0</v>
      </c>
      <c r="AG1382" s="60">
        <v>0</v>
      </c>
      <c r="AJ1382" s="60">
        <v>0</v>
      </c>
      <c r="AM1382" s="60" t="s">
        <v>273</v>
      </c>
      <c r="AN1382" s="60" t="s">
        <v>4211</v>
      </c>
      <c r="AQ1382" s="60" t="s">
        <v>4051</v>
      </c>
      <c r="AR1382" s="61">
        <v>44763</v>
      </c>
      <c r="AS1382" s="60">
        <v>6002054419</v>
      </c>
      <c r="AT1382" s="61">
        <v>44764</v>
      </c>
      <c r="AU1382" s="60" t="s">
        <v>4084</v>
      </c>
      <c r="AV1382" s="61">
        <v>44777</v>
      </c>
      <c r="AW1382" s="91">
        <v>44804</v>
      </c>
      <c r="AX1382" s="91">
        <v>44824</v>
      </c>
      <c r="AY1382" s="99">
        <v>22944</v>
      </c>
      <c r="AZ1382" s="99">
        <f>ROUNDDOWN(AY1382+(AY1382*MASTER!$A$2/100),0)</f>
        <v>25238</v>
      </c>
      <c r="BA1382" s="60" t="s">
        <v>765</v>
      </c>
      <c r="BC1382" s="64">
        <v>0</v>
      </c>
      <c r="BG1382" s="64">
        <v>0</v>
      </c>
      <c r="BI1382" s="60" t="s">
        <v>267</v>
      </c>
      <c r="BJ1382" s="64">
        <v>5980</v>
      </c>
      <c r="BK1382" s="64">
        <v>6578</v>
      </c>
      <c r="BL1382" s="60" t="s">
        <v>4069</v>
      </c>
      <c r="BS1382" s="64">
        <v>0</v>
      </c>
      <c r="BV1382" s="65">
        <v>16170</v>
      </c>
      <c r="BW1382" s="65">
        <v>6578</v>
      </c>
      <c r="BX1382" s="65">
        <v>44748</v>
      </c>
      <c r="BY1382" s="65">
        <v>9592</v>
      </c>
      <c r="BZ1382" s="81">
        <v>59.319727891156461</v>
      </c>
    </row>
    <row r="1383" spans="1:89" x14ac:dyDescent="0.15">
      <c r="A1383" s="60">
        <v>2</v>
      </c>
      <c r="B1383" s="61">
        <v>44775</v>
      </c>
      <c r="C1383" s="61">
        <v>44782</v>
      </c>
      <c r="D1383" s="61">
        <v>44816</v>
      </c>
      <c r="E1383" s="61">
        <v>44785</v>
      </c>
      <c r="F1383" s="61">
        <v>44789</v>
      </c>
      <c r="G1383" s="61">
        <v>44783</v>
      </c>
      <c r="H1383" s="61">
        <v>44785</v>
      </c>
      <c r="I1383" s="60" t="s">
        <v>511</v>
      </c>
      <c r="J1383" s="60">
        <v>1</v>
      </c>
      <c r="L1383" s="60">
        <v>0</v>
      </c>
      <c r="M1383" s="61">
        <v>44748</v>
      </c>
      <c r="O1383" s="62" t="s">
        <v>331</v>
      </c>
      <c r="P1383" s="60" t="s">
        <v>26</v>
      </c>
      <c r="Q1383" s="62" t="s">
        <v>200</v>
      </c>
      <c r="R1383" s="62" t="s">
        <v>4256</v>
      </c>
      <c r="S1383" s="63" t="s">
        <v>606</v>
      </c>
      <c r="T1383" s="63" t="s">
        <v>498</v>
      </c>
      <c r="U1383" s="64">
        <v>50000</v>
      </c>
      <c r="V1383" s="64">
        <v>55000</v>
      </c>
      <c r="W1383" s="64">
        <v>47000</v>
      </c>
      <c r="X1383" s="64">
        <v>51700</v>
      </c>
      <c r="Y1383" s="64">
        <v>3000</v>
      </c>
      <c r="Z1383" s="64">
        <v>3300</v>
      </c>
      <c r="AA1383" s="61">
        <v>44781</v>
      </c>
      <c r="AB1383" s="61">
        <v>44782</v>
      </c>
      <c r="AC1383" s="61">
        <v>44782</v>
      </c>
      <c r="AD1383" s="60">
        <v>0</v>
      </c>
      <c r="AG1383" s="60">
        <v>0</v>
      </c>
      <c r="AJ1383" s="60">
        <v>0</v>
      </c>
      <c r="AM1383" s="60" t="s">
        <v>273</v>
      </c>
      <c r="AN1383" s="60" t="s">
        <v>4257</v>
      </c>
      <c r="AQ1383" s="60" t="s">
        <v>4118</v>
      </c>
      <c r="AR1383" s="61">
        <v>44770</v>
      </c>
      <c r="AS1383" s="60">
        <v>6002056788</v>
      </c>
      <c r="AT1383" s="61">
        <v>44774</v>
      </c>
      <c r="AU1383" s="60" t="s">
        <v>4205</v>
      </c>
      <c r="AV1383" s="61">
        <v>44782</v>
      </c>
      <c r="AW1383" s="91">
        <v>44804</v>
      </c>
      <c r="AX1383" s="91">
        <v>44824</v>
      </c>
      <c r="AY1383" s="99">
        <v>48000</v>
      </c>
      <c r="AZ1383" s="99">
        <f>ROUNDDOWN(AY1383+(AY1383*MASTER!$A$2/100),0)</f>
        <v>52800</v>
      </c>
      <c r="BA1383" s="60" t="s">
        <v>314</v>
      </c>
      <c r="BB1383" s="64">
        <v>32000</v>
      </c>
      <c r="BC1383" s="64">
        <v>35200</v>
      </c>
      <c r="BD1383" s="60" t="s">
        <v>3940</v>
      </c>
      <c r="BG1383" s="64">
        <v>0</v>
      </c>
      <c r="BI1383" s="60" t="s">
        <v>748</v>
      </c>
      <c r="BJ1383" s="64">
        <v>1950</v>
      </c>
      <c r="BK1383" s="64">
        <v>2145</v>
      </c>
      <c r="BL1383" s="60" t="s">
        <v>3940</v>
      </c>
      <c r="BS1383" s="64">
        <v>0</v>
      </c>
      <c r="BV1383" s="65">
        <v>51700</v>
      </c>
      <c r="BW1383" s="65">
        <v>37345</v>
      </c>
      <c r="BX1383" s="65">
        <v>44748</v>
      </c>
      <c r="BY1383" s="65">
        <v>14355</v>
      </c>
      <c r="BZ1383" s="81">
        <v>27.76595744680851</v>
      </c>
    </row>
    <row r="1384" spans="1:89" x14ac:dyDescent="0.15">
      <c r="A1384" s="60">
        <v>2</v>
      </c>
      <c r="B1384" s="61">
        <v>44775</v>
      </c>
      <c r="C1384" s="61">
        <v>44778</v>
      </c>
      <c r="D1384" s="61">
        <v>44806</v>
      </c>
      <c r="E1384" s="61">
        <v>44785</v>
      </c>
      <c r="F1384" s="61">
        <v>44785</v>
      </c>
      <c r="G1384" s="61">
        <v>44778</v>
      </c>
      <c r="H1384" s="61">
        <v>44781</v>
      </c>
      <c r="I1384" s="60" t="s">
        <v>511</v>
      </c>
      <c r="J1384" s="60">
        <v>1</v>
      </c>
      <c r="L1384" s="60">
        <v>0</v>
      </c>
      <c r="M1384" s="61">
        <v>44748</v>
      </c>
      <c r="O1384" s="62" t="s">
        <v>331</v>
      </c>
      <c r="P1384" s="60" t="s">
        <v>26</v>
      </c>
      <c r="Q1384" s="62" t="s">
        <v>200</v>
      </c>
      <c r="R1384" s="62" t="s">
        <v>4258</v>
      </c>
      <c r="S1384" s="63" t="s">
        <v>1073</v>
      </c>
      <c r="T1384" s="63" t="s">
        <v>4233</v>
      </c>
      <c r="U1384" s="64">
        <v>170500</v>
      </c>
      <c r="V1384" s="64">
        <v>187550</v>
      </c>
      <c r="W1384" s="64">
        <v>78000</v>
      </c>
      <c r="X1384" s="64">
        <v>85800</v>
      </c>
      <c r="Y1384" s="64">
        <v>92500</v>
      </c>
      <c r="Z1384" s="64">
        <v>101750</v>
      </c>
      <c r="AA1384" s="61">
        <v>44776</v>
      </c>
      <c r="AB1384" s="61">
        <v>44778</v>
      </c>
      <c r="AC1384" s="61">
        <v>44778</v>
      </c>
      <c r="AD1384" s="60">
        <v>0</v>
      </c>
      <c r="AG1384" s="60">
        <v>0</v>
      </c>
      <c r="AJ1384" s="60">
        <v>0</v>
      </c>
      <c r="AM1384" s="60" t="s">
        <v>273</v>
      </c>
      <c r="AN1384" s="60" t="s">
        <v>4259</v>
      </c>
      <c r="AQ1384" s="60" t="s">
        <v>4116</v>
      </c>
      <c r="AR1384" s="61">
        <v>44770</v>
      </c>
      <c r="AS1384" s="60">
        <v>6002056788</v>
      </c>
      <c r="AT1384" s="61">
        <v>44774</v>
      </c>
      <c r="AU1384" s="60" t="s">
        <v>4205</v>
      </c>
      <c r="AV1384" s="61">
        <v>44778</v>
      </c>
      <c r="AW1384" s="91">
        <v>44804</v>
      </c>
      <c r="AX1384" s="91">
        <v>44824</v>
      </c>
      <c r="AY1384" s="99">
        <v>163680</v>
      </c>
      <c r="AZ1384" s="99">
        <f>ROUNDDOWN(AY1384+(AY1384*MASTER!$A$2/100),0)</f>
        <v>180048</v>
      </c>
      <c r="BA1384" s="60" t="s">
        <v>780</v>
      </c>
      <c r="BB1384" s="64">
        <v>25000</v>
      </c>
      <c r="BC1384" s="64">
        <v>27500</v>
      </c>
      <c r="BD1384" s="60" t="s">
        <v>3940</v>
      </c>
      <c r="BG1384" s="64">
        <v>0</v>
      </c>
      <c r="BI1384" s="60" t="s">
        <v>748</v>
      </c>
      <c r="BJ1384" s="64">
        <v>60125</v>
      </c>
      <c r="BK1384" s="64">
        <v>66137.5</v>
      </c>
      <c r="BL1384" s="60" t="s">
        <v>3940</v>
      </c>
      <c r="BS1384" s="64">
        <v>0</v>
      </c>
      <c r="BV1384" s="65">
        <v>85800</v>
      </c>
      <c r="BW1384" s="65">
        <v>93637.5</v>
      </c>
      <c r="BX1384" s="65">
        <v>44748</v>
      </c>
      <c r="BY1384" s="65">
        <v>-7837.5</v>
      </c>
      <c r="BZ1384" s="81">
        <v>-9.1346153846153832</v>
      </c>
    </row>
    <row r="1385" spans="1:89" x14ac:dyDescent="0.15">
      <c r="A1385" s="60">
        <v>2</v>
      </c>
      <c r="B1385" s="61">
        <v>44768</v>
      </c>
      <c r="C1385" s="61">
        <v>44771</v>
      </c>
      <c r="E1385" s="61">
        <v>44775</v>
      </c>
      <c r="F1385" s="61">
        <v>44778</v>
      </c>
      <c r="G1385" s="61">
        <v>44771</v>
      </c>
      <c r="H1385" s="61">
        <v>44774</v>
      </c>
      <c r="I1385" s="60" t="s">
        <v>511</v>
      </c>
      <c r="J1385" s="60">
        <v>1</v>
      </c>
      <c r="K1385" s="61">
        <v>44753</v>
      </c>
      <c r="L1385" s="60" t="s">
        <v>529</v>
      </c>
      <c r="M1385" s="61">
        <v>44749</v>
      </c>
      <c r="O1385" s="62" t="s">
        <v>331</v>
      </c>
      <c r="P1385" s="60" t="s">
        <v>26</v>
      </c>
      <c r="Q1385" s="62" t="s">
        <v>200</v>
      </c>
      <c r="R1385" s="62" t="s">
        <v>4032</v>
      </c>
      <c r="S1385" s="63" t="s">
        <v>1526</v>
      </c>
      <c r="T1385" s="63" t="s">
        <v>442</v>
      </c>
      <c r="U1385" s="64">
        <v>223500</v>
      </c>
      <c r="V1385" s="64">
        <v>245850</v>
      </c>
      <c r="W1385" s="64">
        <v>211500</v>
      </c>
      <c r="X1385" s="64">
        <v>232650</v>
      </c>
      <c r="Y1385" s="64">
        <v>12000</v>
      </c>
      <c r="Z1385" s="64">
        <v>13200</v>
      </c>
      <c r="AA1385" s="61">
        <v>44761</v>
      </c>
      <c r="AB1385" s="61">
        <v>44771</v>
      </c>
      <c r="AC1385" s="61">
        <v>44771</v>
      </c>
      <c r="AD1385" s="60">
        <v>0</v>
      </c>
      <c r="AG1385" s="60">
        <v>0</v>
      </c>
      <c r="AJ1385" s="60">
        <v>0</v>
      </c>
      <c r="AM1385" s="60" t="s">
        <v>273</v>
      </c>
      <c r="AN1385" s="60" t="s">
        <v>4034</v>
      </c>
      <c r="AQ1385" s="60" t="s">
        <v>4123</v>
      </c>
      <c r="AR1385" s="61">
        <v>44763</v>
      </c>
      <c r="AS1385" s="60">
        <v>6002054182</v>
      </c>
      <c r="AT1385" s="61">
        <v>44763</v>
      </c>
      <c r="AU1385" s="60" t="s">
        <v>4067</v>
      </c>
      <c r="AV1385" s="61">
        <v>44771</v>
      </c>
      <c r="AW1385" s="91">
        <v>44773</v>
      </c>
      <c r="AX1385" s="91">
        <v>44793</v>
      </c>
      <c r="AY1385" s="99">
        <v>214560</v>
      </c>
      <c r="AZ1385" s="99">
        <f>ROUNDDOWN(AY1385+(AY1385*MASTER!$A$2/100),0)</f>
        <v>236016</v>
      </c>
      <c r="BA1385" s="60" t="s">
        <v>314</v>
      </c>
      <c r="BB1385" s="64">
        <v>64000</v>
      </c>
      <c r="BC1385" s="64">
        <v>70400</v>
      </c>
      <c r="BD1385" s="60" t="s">
        <v>3800</v>
      </c>
      <c r="BG1385" s="64">
        <v>0</v>
      </c>
      <c r="BI1385" s="60" t="s">
        <v>748</v>
      </c>
      <c r="BJ1385" s="64">
        <v>7800</v>
      </c>
      <c r="BK1385" s="64">
        <v>8580</v>
      </c>
      <c r="BL1385" s="60" t="s">
        <v>3800</v>
      </c>
      <c r="BS1385" s="64">
        <v>0</v>
      </c>
      <c r="BV1385" s="65">
        <v>232650</v>
      </c>
      <c r="BW1385" s="65">
        <v>78980</v>
      </c>
      <c r="BX1385" s="65">
        <v>0</v>
      </c>
      <c r="BY1385" s="65">
        <v>44753</v>
      </c>
      <c r="BZ1385" s="81">
        <v>66.05200945626477</v>
      </c>
    </row>
    <row r="1386" spans="1:89" x14ac:dyDescent="0.15">
      <c r="A1386" s="60">
        <v>2</v>
      </c>
      <c r="B1386" s="61">
        <v>44774</v>
      </c>
      <c r="C1386" s="61">
        <v>44781</v>
      </c>
      <c r="E1386" s="61">
        <v>44785</v>
      </c>
      <c r="F1386" s="61">
        <v>44788</v>
      </c>
      <c r="G1386" s="61">
        <v>44782</v>
      </c>
      <c r="H1386" s="61">
        <v>44784</v>
      </c>
      <c r="I1386" s="60" t="s">
        <v>511</v>
      </c>
      <c r="J1386" s="60">
        <v>1</v>
      </c>
      <c r="L1386" s="60">
        <v>0</v>
      </c>
      <c r="M1386" s="61">
        <v>44749</v>
      </c>
      <c r="O1386" s="62" t="s">
        <v>331</v>
      </c>
      <c r="P1386" s="60" t="s">
        <v>26</v>
      </c>
      <c r="Q1386" s="62" t="s">
        <v>200</v>
      </c>
      <c r="R1386" s="62" t="s">
        <v>4232</v>
      </c>
      <c r="S1386" s="63" t="s">
        <v>1166</v>
      </c>
      <c r="T1386" s="63" t="s">
        <v>4233</v>
      </c>
      <c r="U1386" s="64">
        <v>186500</v>
      </c>
      <c r="V1386" s="64">
        <v>205150</v>
      </c>
      <c r="W1386" s="64">
        <v>94000</v>
      </c>
      <c r="X1386" s="64">
        <v>103400</v>
      </c>
      <c r="Y1386" s="64">
        <v>92500</v>
      </c>
      <c r="Z1386" s="64">
        <v>101750</v>
      </c>
      <c r="AA1386" s="61">
        <v>44780</v>
      </c>
      <c r="AB1386" s="61">
        <v>44781</v>
      </c>
      <c r="AC1386" s="61">
        <v>44781</v>
      </c>
      <c r="AD1386" s="60">
        <v>0</v>
      </c>
      <c r="AG1386" s="60">
        <v>0</v>
      </c>
      <c r="AJ1386" s="60">
        <v>0</v>
      </c>
      <c r="AM1386" s="60" t="s">
        <v>273</v>
      </c>
      <c r="AN1386" s="60" t="s">
        <v>4234</v>
      </c>
      <c r="AQ1386" s="60" t="s">
        <v>4050</v>
      </c>
      <c r="AR1386" s="61">
        <v>44763</v>
      </c>
      <c r="AS1386" s="60">
        <v>6002054419</v>
      </c>
      <c r="AT1386" s="61">
        <v>44764</v>
      </c>
      <c r="AU1386" s="60" t="s">
        <v>4084</v>
      </c>
      <c r="AV1386" s="61">
        <v>44781</v>
      </c>
      <c r="AW1386" s="91">
        <v>44804</v>
      </c>
      <c r="AX1386" s="91">
        <v>44824</v>
      </c>
      <c r="AY1386" s="99">
        <v>179040</v>
      </c>
      <c r="AZ1386" s="99">
        <f>ROUNDDOWN(AY1386+(AY1386*MASTER!$A$2/100),0)</f>
        <v>196944</v>
      </c>
      <c r="BA1386" s="60" t="s">
        <v>780</v>
      </c>
      <c r="BB1386" s="64">
        <v>27000</v>
      </c>
      <c r="BC1386" s="64">
        <v>29700</v>
      </c>
      <c r="BD1386" s="60" t="s">
        <v>3940</v>
      </c>
      <c r="BG1386" s="64">
        <v>0</v>
      </c>
      <c r="BI1386" s="60" t="s">
        <v>267</v>
      </c>
      <c r="BJ1386" s="64">
        <v>60125</v>
      </c>
      <c r="BK1386" s="64">
        <v>66137.5</v>
      </c>
      <c r="BL1386" s="60" t="s">
        <v>4069</v>
      </c>
      <c r="BS1386" s="64">
        <v>0</v>
      </c>
      <c r="BV1386" s="65">
        <v>103400</v>
      </c>
      <c r="BW1386" s="65">
        <v>95837.5</v>
      </c>
      <c r="BX1386" s="65">
        <v>44749</v>
      </c>
      <c r="BY1386" s="65">
        <v>7562.5</v>
      </c>
      <c r="BZ1386" s="81">
        <v>7.3138297872340425</v>
      </c>
    </row>
    <row r="1387" spans="1:89" x14ac:dyDescent="0.15">
      <c r="A1387" s="60">
        <v>1</v>
      </c>
      <c r="B1387" s="61">
        <v>44818</v>
      </c>
      <c r="C1387" s="61">
        <v>44834</v>
      </c>
      <c r="F1387" s="61" t="s">
        <v>309</v>
      </c>
      <c r="H1387" s="61" t="s">
        <v>309</v>
      </c>
      <c r="J1387" s="60">
        <v>2</v>
      </c>
      <c r="L1387" s="60">
        <v>0</v>
      </c>
      <c r="M1387" s="61">
        <v>44749</v>
      </c>
      <c r="O1387" s="62" t="s">
        <v>331</v>
      </c>
      <c r="P1387" s="60" t="s">
        <v>26</v>
      </c>
      <c r="Q1387" s="62" t="s">
        <v>200</v>
      </c>
      <c r="R1387" s="62" t="s">
        <v>3927</v>
      </c>
      <c r="S1387" s="63" t="s">
        <v>1156</v>
      </c>
      <c r="T1387" s="63" t="s">
        <v>656</v>
      </c>
      <c r="U1387" s="64">
        <v>49500</v>
      </c>
      <c r="V1387" s="64">
        <v>54450</v>
      </c>
      <c r="W1387" s="64">
        <v>49500</v>
      </c>
      <c r="X1387" s="64">
        <v>54450</v>
      </c>
      <c r="Y1387" s="64">
        <v>0</v>
      </c>
      <c r="Z1387" s="64">
        <v>0</v>
      </c>
      <c r="AA1387" s="61">
        <v>44830</v>
      </c>
      <c r="AB1387" s="61">
        <v>44831</v>
      </c>
      <c r="AD1387" s="60">
        <v>0</v>
      </c>
      <c r="AG1387" s="60">
        <v>0</v>
      </c>
      <c r="AJ1387" s="60">
        <v>0</v>
      </c>
      <c r="AN1387" s="60" t="s">
        <v>309</v>
      </c>
      <c r="AQ1387" s="60" t="s">
        <v>4833</v>
      </c>
      <c r="AR1387" s="61">
        <v>44755</v>
      </c>
      <c r="AS1387" s="60">
        <v>6002051577</v>
      </c>
      <c r="AT1387" s="61">
        <v>44755</v>
      </c>
      <c r="AU1387" s="60" t="s">
        <v>4012</v>
      </c>
      <c r="AV1387" s="61">
        <v>44834</v>
      </c>
      <c r="AW1387" s="91">
        <v>44834</v>
      </c>
      <c r="AX1387" s="91">
        <v>44854</v>
      </c>
      <c r="AY1387" s="99">
        <v>47520</v>
      </c>
      <c r="AZ1387" s="99">
        <f>ROUNDDOWN(AY1387+(AY1387*MASTER!$A$2/100),0)</f>
        <v>52272</v>
      </c>
      <c r="BA1387" s="60" t="s">
        <v>314</v>
      </c>
      <c r="BB1387" s="64">
        <v>28000</v>
      </c>
      <c r="BC1387" s="64">
        <v>30800</v>
      </c>
      <c r="BD1387" s="60" t="s">
        <v>4182</v>
      </c>
      <c r="BG1387" s="64">
        <v>0</v>
      </c>
      <c r="BK1387" s="64">
        <v>0</v>
      </c>
      <c r="BS1387" s="64">
        <v>0</v>
      </c>
      <c r="BV1387" s="65">
        <v>54450</v>
      </c>
      <c r="BW1387" s="65">
        <v>30800</v>
      </c>
      <c r="BX1387" s="65">
        <v>44749</v>
      </c>
      <c r="BY1387" s="65">
        <v>23650</v>
      </c>
      <c r="BZ1387" s="81">
        <v>43.43434343434344</v>
      </c>
    </row>
    <row r="1388" spans="1:89" x14ac:dyDescent="0.15">
      <c r="A1388" s="60">
        <v>2</v>
      </c>
      <c r="B1388" s="61">
        <v>44771</v>
      </c>
      <c r="C1388" s="61">
        <v>44804</v>
      </c>
      <c r="D1388" s="61">
        <v>44811</v>
      </c>
      <c r="F1388" s="61" t="s">
        <v>309</v>
      </c>
      <c r="G1388" s="61">
        <v>44782</v>
      </c>
      <c r="H1388" s="61" t="s">
        <v>309</v>
      </c>
      <c r="I1388" s="60" t="s">
        <v>2495</v>
      </c>
      <c r="J1388" s="60">
        <v>2</v>
      </c>
      <c r="L1388" s="60">
        <v>0</v>
      </c>
      <c r="M1388" s="61">
        <v>44749</v>
      </c>
      <c r="O1388" s="62" t="s">
        <v>331</v>
      </c>
      <c r="P1388" s="60" t="s">
        <v>26</v>
      </c>
      <c r="Q1388" s="62" t="s">
        <v>200</v>
      </c>
      <c r="R1388" s="62" t="s">
        <v>3931</v>
      </c>
      <c r="S1388" s="63" t="s">
        <v>1829</v>
      </c>
      <c r="T1388" s="63" t="s">
        <v>1524</v>
      </c>
      <c r="U1388" s="64">
        <v>78600</v>
      </c>
      <c r="V1388" s="64">
        <v>86460</v>
      </c>
      <c r="W1388" s="64">
        <v>78600</v>
      </c>
      <c r="X1388" s="64">
        <v>86460</v>
      </c>
      <c r="Y1388" s="64">
        <v>0</v>
      </c>
      <c r="Z1388" s="64">
        <v>0</v>
      </c>
      <c r="AA1388" s="61">
        <v>44782</v>
      </c>
      <c r="AB1388" s="61">
        <v>44782</v>
      </c>
      <c r="AD1388" s="60">
        <v>0</v>
      </c>
      <c r="AG1388" s="60">
        <v>0</v>
      </c>
      <c r="AJ1388" s="60">
        <v>0</v>
      </c>
      <c r="AM1388" s="60" t="s">
        <v>273</v>
      </c>
      <c r="AN1388" s="60" t="s">
        <v>4127</v>
      </c>
      <c r="AQ1388" s="60" t="s">
        <v>4128</v>
      </c>
      <c r="AR1388" s="61">
        <v>44754</v>
      </c>
      <c r="AS1388" s="60">
        <v>6002051170</v>
      </c>
      <c r="AT1388" s="61">
        <v>44754</v>
      </c>
      <c r="AU1388" s="60" t="s">
        <v>3993</v>
      </c>
      <c r="AV1388" s="61">
        <v>44804</v>
      </c>
      <c r="AW1388" s="91">
        <v>44804</v>
      </c>
      <c r="AX1388" s="91">
        <v>44824</v>
      </c>
      <c r="AY1388" s="107">
        <v>78600</v>
      </c>
      <c r="AZ1388" s="107">
        <f>ROUNDDOWN(AY1388+(AY1388*MASTER!$A$2/100),0)</f>
        <v>86460</v>
      </c>
      <c r="BA1388" s="60" t="s">
        <v>318</v>
      </c>
      <c r="BB1388" s="64">
        <v>32000</v>
      </c>
      <c r="BC1388" s="64">
        <v>35200</v>
      </c>
      <c r="BD1388" s="60" t="s">
        <v>3940</v>
      </c>
      <c r="BG1388" s="64">
        <v>0</v>
      </c>
      <c r="BK1388" s="64">
        <v>0</v>
      </c>
      <c r="BS1388" s="64">
        <v>0</v>
      </c>
      <c r="BV1388" s="65">
        <v>86460</v>
      </c>
      <c r="BW1388" s="65">
        <v>35200</v>
      </c>
      <c r="BX1388" s="65">
        <v>44749</v>
      </c>
      <c r="BY1388" s="65">
        <v>51260</v>
      </c>
      <c r="BZ1388" s="81">
        <v>59.287531806615782</v>
      </c>
    </row>
    <row r="1389" spans="1:89" x14ac:dyDescent="0.15">
      <c r="A1389" s="60">
        <v>2</v>
      </c>
      <c r="B1389" s="61">
        <v>44771</v>
      </c>
      <c r="C1389" s="61">
        <v>44804</v>
      </c>
      <c r="D1389" s="61">
        <v>44811</v>
      </c>
      <c r="F1389" s="61" t="s">
        <v>309</v>
      </c>
      <c r="G1389" s="61">
        <v>44782</v>
      </c>
      <c r="H1389" s="61" t="s">
        <v>309</v>
      </c>
      <c r="I1389" s="60" t="s">
        <v>511</v>
      </c>
      <c r="J1389" s="60">
        <v>2</v>
      </c>
      <c r="L1389" s="60">
        <v>0</v>
      </c>
      <c r="M1389" s="61">
        <v>44749</v>
      </c>
      <c r="O1389" s="62" t="s">
        <v>331</v>
      </c>
      <c r="P1389" s="60" t="s">
        <v>26</v>
      </c>
      <c r="Q1389" s="62" t="s">
        <v>200</v>
      </c>
      <c r="R1389" s="62" t="s">
        <v>4129</v>
      </c>
      <c r="S1389" s="63" t="s">
        <v>871</v>
      </c>
      <c r="T1389" s="63" t="s">
        <v>1524</v>
      </c>
      <c r="U1389" s="64">
        <v>78600</v>
      </c>
      <c r="V1389" s="64">
        <v>86460</v>
      </c>
      <c r="W1389" s="64">
        <v>78600</v>
      </c>
      <c r="X1389" s="64">
        <v>86460</v>
      </c>
      <c r="Y1389" s="64">
        <v>0</v>
      </c>
      <c r="Z1389" s="64">
        <v>0</v>
      </c>
      <c r="AA1389" s="61">
        <v>44781</v>
      </c>
      <c r="AB1389" s="61">
        <v>44781</v>
      </c>
      <c r="AD1389" s="60">
        <v>0</v>
      </c>
      <c r="AG1389" s="60">
        <v>0</v>
      </c>
      <c r="AJ1389" s="60">
        <v>0</v>
      </c>
      <c r="AM1389" s="60" t="s">
        <v>273</v>
      </c>
      <c r="AN1389" s="60" t="s">
        <v>4127</v>
      </c>
      <c r="AQ1389" s="60" t="s">
        <v>4128</v>
      </c>
      <c r="AR1389" s="61">
        <v>44754</v>
      </c>
      <c r="AS1389" s="60">
        <v>6002051170</v>
      </c>
      <c r="AT1389" s="61">
        <v>44754</v>
      </c>
      <c r="AU1389" s="60" t="s">
        <v>3993</v>
      </c>
      <c r="AV1389" s="61">
        <v>44804</v>
      </c>
      <c r="AW1389" s="91">
        <v>44804</v>
      </c>
      <c r="AX1389" s="91">
        <v>44824</v>
      </c>
      <c r="AY1389" s="107">
        <v>78600</v>
      </c>
      <c r="AZ1389" s="107">
        <f>ROUNDDOWN(AY1389+(AY1389*MASTER!$A$2/100),0)</f>
        <v>86460</v>
      </c>
      <c r="BA1389" s="60" t="s">
        <v>318</v>
      </c>
      <c r="BB1389" s="64">
        <v>32000</v>
      </c>
      <c r="BC1389" s="64">
        <v>35200</v>
      </c>
      <c r="BD1389" s="60" t="s">
        <v>3940</v>
      </c>
      <c r="BG1389" s="64">
        <v>0</v>
      </c>
      <c r="BK1389" s="64">
        <v>0</v>
      </c>
      <c r="BS1389" s="64">
        <v>0</v>
      </c>
      <c r="BV1389" s="65">
        <v>86460</v>
      </c>
      <c r="BW1389" s="65">
        <v>35200</v>
      </c>
      <c r="BX1389" s="65">
        <v>44749</v>
      </c>
      <c r="BY1389" s="65">
        <v>51260</v>
      </c>
      <c r="BZ1389" s="81">
        <v>59.287531806615782</v>
      </c>
    </row>
    <row r="1390" spans="1:89" x14ac:dyDescent="0.15">
      <c r="A1390" s="60">
        <v>2</v>
      </c>
      <c r="B1390" s="61">
        <v>44771</v>
      </c>
      <c r="C1390" s="61">
        <v>44804</v>
      </c>
      <c r="D1390" s="61">
        <v>44811</v>
      </c>
      <c r="F1390" s="61" t="s">
        <v>309</v>
      </c>
      <c r="G1390" s="61">
        <v>44782</v>
      </c>
      <c r="H1390" s="61" t="s">
        <v>309</v>
      </c>
      <c r="I1390" s="60" t="s">
        <v>511</v>
      </c>
      <c r="J1390" s="60">
        <v>2</v>
      </c>
      <c r="L1390" s="60">
        <v>0</v>
      </c>
      <c r="M1390" s="61">
        <v>44749</v>
      </c>
      <c r="O1390" s="62" t="s">
        <v>331</v>
      </c>
      <c r="P1390" s="60" t="s">
        <v>26</v>
      </c>
      <c r="Q1390" s="62" t="s">
        <v>200</v>
      </c>
      <c r="R1390" s="62" t="s">
        <v>4130</v>
      </c>
      <c r="S1390" s="63" t="s">
        <v>2252</v>
      </c>
      <c r="T1390" s="63" t="s">
        <v>1524</v>
      </c>
      <c r="U1390" s="64">
        <v>78600</v>
      </c>
      <c r="V1390" s="64">
        <v>86460</v>
      </c>
      <c r="W1390" s="64">
        <v>78600</v>
      </c>
      <c r="X1390" s="64">
        <v>86460</v>
      </c>
      <c r="Y1390" s="64">
        <v>0</v>
      </c>
      <c r="Z1390" s="64">
        <v>0</v>
      </c>
      <c r="AA1390" s="61">
        <v>44781</v>
      </c>
      <c r="AB1390" s="61">
        <v>44781</v>
      </c>
      <c r="AD1390" s="60">
        <v>0</v>
      </c>
      <c r="AG1390" s="60">
        <v>0</v>
      </c>
      <c r="AJ1390" s="60">
        <v>0</v>
      </c>
      <c r="AM1390" s="60" t="s">
        <v>273</v>
      </c>
      <c r="AN1390" s="60" t="s">
        <v>4127</v>
      </c>
      <c r="AQ1390" s="60" t="s">
        <v>4128</v>
      </c>
      <c r="AR1390" s="61">
        <v>44754</v>
      </c>
      <c r="AS1390" s="60">
        <v>6002051170</v>
      </c>
      <c r="AT1390" s="61">
        <v>44754</v>
      </c>
      <c r="AU1390" s="60" t="s">
        <v>3993</v>
      </c>
      <c r="AV1390" s="61">
        <v>44804</v>
      </c>
      <c r="AW1390" s="91">
        <v>44804</v>
      </c>
      <c r="AX1390" s="91">
        <v>44824</v>
      </c>
      <c r="AY1390" s="107">
        <v>78600</v>
      </c>
      <c r="AZ1390" s="107">
        <f>ROUNDDOWN(AY1390+(AY1390*MASTER!$A$2/100),0)</f>
        <v>86460</v>
      </c>
      <c r="BA1390" s="60" t="s">
        <v>318</v>
      </c>
      <c r="BB1390" s="64">
        <v>32000</v>
      </c>
      <c r="BC1390" s="64">
        <v>35200</v>
      </c>
      <c r="BD1390" s="60" t="s">
        <v>3940</v>
      </c>
      <c r="BG1390" s="64">
        <v>0</v>
      </c>
      <c r="BK1390" s="64">
        <v>0</v>
      </c>
      <c r="BS1390" s="64">
        <v>0</v>
      </c>
      <c r="BV1390" s="65">
        <v>86460</v>
      </c>
      <c r="BW1390" s="65">
        <v>35200</v>
      </c>
      <c r="BX1390" s="65">
        <v>44749</v>
      </c>
      <c r="BY1390" s="65">
        <v>51260</v>
      </c>
      <c r="BZ1390" s="81">
        <v>59.287531806615782</v>
      </c>
    </row>
    <row r="1391" spans="1:89" x14ac:dyDescent="0.15">
      <c r="A1391" s="60">
        <v>2</v>
      </c>
      <c r="B1391" s="61">
        <v>44771</v>
      </c>
      <c r="C1391" s="61">
        <v>44804</v>
      </c>
      <c r="D1391" s="61">
        <v>44811</v>
      </c>
      <c r="F1391" s="61" t="s">
        <v>309</v>
      </c>
      <c r="G1391" s="61">
        <v>44782</v>
      </c>
      <c r="H1391" s="61" t="s">
        <v>309</v>
      </c>
      <c r="I1391" s="60" t="s">
        <v>511</v>
      </c>
      <c r="J1391" s="60">
        <v>2</v>
      </c>
      <c r="L1391" s="60">
        <v>0</v>
      </c>
      <c r="M1391" s="61">
        <v>44749</v>
      </c>
      <c r="O1391" s="62" t="s">
        <v>331</v>
      </c>
      <c r="P1391" s="60" t="s">
        <v>26</v>
      </c>
      <c r="Q1391" s="62" t="s">
        <v>200</v>
      </c>
      <c r="R1391" s="62" t="s">
        <v>4131</v>
      </c>
      <c r="S1391" s="63" t="s">
        <v>2734</v>
      </c>
      <c r="T1391" s="63" t="s">
        <v>1524</v>
      </c>
      <c r="U1391" s="64">
        <v>78600</v>
      </c>
      <c r="V1391" s="64">
        <v>86460</v>
      </c>
      <c r="W1391" s="64">
        <v>78600</v>
      </c>
      <c r="X1391" s="64">
        <v>86460</v>
      </c>
      <c r="Y1391" s="64">
        <v>0</v>
      </c>
      <c r="Z1391" s="64">
        <v>0</v>
      </c>
      <c r="AA1391" s="61">
        <v>44781</v>
      </c>
      <c r="AB1391" s="61">
        <v>44781</v>
      </c>
      <c r="AD1391" s="60">
        <v>0</v>
      </c>
      <c r="AG1391" s="60">
        <v>0</v>
      </c>
      <c r="AJ1391" s="60">
        <v>0</v>
      </c>
      <c r="AM1391" s="60" t="s">
        <v>273</v>
      </c>
      <c r="AN1391" s="60" t="s">
        <v>4127</v>
      </c>
      <c r="AQ1391" s="60" t="s">
        <v>4128</v>
      </c>
      <c r="AR1391" s="61">
        <v>44754</v>
      </c>
      <c r="AS1391" s="60">
        <v>6002051170</v>
      </c>
      <c r="AT1391" s="61">
        <v>44754</v>
      </c>
      <c r="AU1391" s="60" t="s">
        <v>3993</v>
      </c>
      <c r="AV1391" s="61">
        <v>44804</v>
      </c>
      <c r="AW1391" s="91">
        <v>44804</v>
      </c>
      <c r="AX1391" s="91">
        <v>44824</v>
      </c>
      <c r="AY1391" s="107">
        <v>78600</v>
      </c>
      <c r="AZ1391" s="107">
        <f>ROUNDDOWN(AY1391+(AY1391*MASTER!$A$2/100),0)</f>
        <v>86460</v>
      </c>
      <c r="BA1391" s="60" t="s">
        <v>318</v>
      </c>
      <c r="BB1391" s="64">
        <v>35000</v>
      </c>
      <c r="BC1391" s="64">
        <v>38500</v>
      </c>
      <c r="BD1391" s="60" t="s">
        <v>3940</v>
      </c>
      <c r="BG1391" s="64">
        <v>0</v>
      </c>
      <c r="BK1391" s="64">
        <v>0</v>
      </c>
      <c r="BS1391" s="64">
        <v>0</v>
      </c>
      <c r="BV1391" s="65">
        <v>86460</v>
      </c>
      <c r="BW1391" s="65">
        <v>38500</v>
      </c>
      <c r="BX1391" s="65">
        <v>44749</v>
      </c>
      <c r="BY1391" s="65">
        <v>47960</v>
      </c>
      <c r="BZ1391" s="81">
        <v>55.470737913486005</v>
      </c>
    </row>
    <row r="1392" spans="1:89" x14ac:dyDescent="0.15">
      <c r="A1392" s="60">
        <v>2</v>
      </c>
      <c r="B1392" s="61">
        <v>44771</v>
      </c>
      <c r="C1392" s="61">
        <v>44804</v>
      </c>
      <c r="D1392" s="61">
        <v>44811</v>
      </c>
      <c r="F1392" s="61" t="s">
        <v>309</v>
      </c>
      <c r="G1392" s="61">
        <v>44778</v>
      </c>
      <c r="H1392" s="61" t="s">
        <v>309</v>
      </c>
      <c r="I1392" s="60" t="s">
        <v>511</v>
      </c>
      <c r="J1392" s="60">
        <v>2</v>
      </c>
      <c r="L1392" s="60">
        <v>0</v>
      </c>
      <c r="M1392" s="61">
        <v>44749</v>
      </c>
      <c r="O1392" s="62" t="s">
        <v>331</v>
      </c>
      <c r="P1392" s="60" t="s">
        <v>26</v>
      </c>
      <c r="Q1392" s="62" t="s">
        <v>200</v>
      </c>
      <c r="R1392" s="62" t="s">
        <v>4132</v>
      </c>
      <c r="S1392" s="63" t="s">
        <v>2290</v>
      </c>
      <c r="T1392" s="63" t="s">
        <v>1524</v>
      </c>
      <c r="U1392" s="64">
        <v>78600</v>
      </c>
      <c r="V1392" s="64">
        <v>86460</v>
      </c>
      <c r="W1392" s="64">
        <v>78600</v>
      </c>
      <c r="X1392" s="64">
        <v>86460</v>
      </c>
      <c r="Y1392" s="64">
        <v>0</v>
      </c>
      <c r="Z1392" s="64">
        <v>0</v>
      </c>
      <c r="AA1392" s="61">
        <v>44776</v>
      </c>
      <c r="AB1392" s="61">
        <v>44776</v>
      </c>
      <c r="AD1392" s="60">
        <v>0</v>
      </c>
      <c r="AG1392" s="60">
        <v>0</v>
      </c>
      <c r="AJ1392" s="60">
        <v>0</v>
      </c>
      <c r="AM1392" s="60" t="s">
        <v>273</v>
      </c>
      <c r="AN1392" s="60" t="s">
        <v>4127</v>
      </c>
      <c r="AQ1392" s="60" t="s">
        <v>4128</v>
      </c>
      <c r="AR1392" s="61">
        <v>44754</v>
      </c>
      <c r="AS1392" s="60">
        <v>6002051170</v>
      </c>
      <c r="AT1392" s="61">
        <v>44754</v>
      </c>
      <c r="AU1392" s="60" t="s">
        <v>3993</v>
      </c>
      <c r="AV1392" s="61">
        <v>44804</v>
      </c>
      <c r="AW1392" s="91">
        <v>44804</v>
      </c>
      <c r="AX1392" s="91">
        <v>44824</v>
      </c>
      <c r="AY1392" s="107">
        <v>78600</v>
      </c>
      <c r="AZ1392" s="107">
        <f>ROUNDDOWN(AY1392+(AY1392*MASTER!$A$2/100),0)</f>
        <v>86460</v>
      </c>
      <c r="BA1392" s="60" t="s">
        <v>318</v>
      </c>
      <c r="BB1392" s="64">
        <v>51000</v>
      </c>
      <c r="BC1392" s="64">
        <v>56100</v>
      </c>
      <c r="BD1392" s="60" t="s">
        <v>3940</v>
      </c>
      <c r="BG1392" s="64">
        <v>0</v>
      </c>
      <c r="BK1392" s="64">
        <v>0</v>
      </c>
      <c r="BS1392" s="64">
        <v>0</v>
      </c>
      <c r="BV1392" s="65">
        <v>86460</v>
      </c>
      <c r="BW1392" s="65">
        <v>56100</v>
      </c>
      <c r="BX1392" s="65">
        <v>44749</v>
      </c>
      <c r="BY1392" s="65">
        <v>30360</v>
      </c>
      <c r="BZ1392" s="81">
        <v>35.114503816793892</v>
      </c>
    </row>
    <row r="1393" spans="1:78" x14ac:dyDescent="0.15">
      <c r="A1393" s="60">
        <v>2</v>
      </c>
      <c r="B1393" s="61">
        <v>44771</v>
      </c>
      <c r="C1393" s="61">
        <v>44804</v>
      </c>
      <c r="D1393" s="61">
        <v>44811</v>
      </c>
      <c r="F1393" s="61" t="s">
        <v>309</v>
      </c>
      <c r="G1393" s="61">
        <v>44782</v>
      </c>
      <c r="H1393" s="61" t="s">
        <v>309</v>
      </c>
      <c r="I1393" s="60" t="s">
        <v>511</v>
      </c>
      <c r="J1393" s="60">
        <v>2</v>
      </c>
      <c r="L1393" s="60">
        <v>0</v>
      </c>
      <c r="M1393" s="61">
        <v>44749</v>
      </c>
      <c r="O1393" s="62" t="s">
        <v>331</v>
      </c>
      <c r="P1393" s="60" t="s">
        <v>26</v>
      </c>
      <c r="Q1393" s="62" t="s">
        <v>200</v>
      </c>
      <c r="R1393" s="62" t="s">
        <v>1379</v>
      </c>
      <c r="S1393" s="63" t="s">
        <v>3932</v>
      </c>
      <c r="T1393" s="63" t="s">
        <v>1524</v>
      </c>
      <c r="U1393" s="64">
        <v>78600</v>
      </c>
      <c r="V1393" s="64">
        <v>86460</v>
      </c>
      <c r="W1393" s="64">
        <v>78600</v>
      </c>
      <c r="X1393" s="64">
        <v>86460</v>
      </c>
      <c r="Y1393" s="64">
        <v>0</v>
      </c>
      <c r="Z1393" s="64">
        <v>0</v>
      </c>
      <c r="AA1393" s="61">
        <v>44777</v>
      </c>
      <c r="AB1393" s="61">
        <v>44777</v>
      </c>
      <c r="AD1393" s="60">
        <v>0</v>
      </c>
      <c r="AG1393" s="60">
        <v>0</v>
      </c>
      <c r="AJ1393" s="60">
        <v>0</v>
      </c>
      <c r="AM1393" s="60" t="s">
        <v>273</v>
      </c>
      <c r="AN1393" s="60" t="s">
        <v>4127</v>
      </c>
      <c r="AQ1393" s="60" t="s">
        <v>4128</v>
      </c>
      <c r="AR1393" s="61">
        <v>44754</v>
      </c>
      <c r="AS1393" s="60">
        <v>6002051170</v>
      </c>
      <c r="AT1393" s="61">
        <v>44754</v>
      </c>
      <c r="AU1393" s="60" t="s">
        <v>3993</v>
      </c>
      <c r="AV1393" s="61">
        <v>44804</v>
      </c>
      <c r="AW1393" s="91">
        <v>44804</v>
      </c>
      <c r="AX1393" s="91">
        <v>44824</v>
      </c>
      <c r="AY1393" s="107">
        <v>78600</v>
      </c>
      <c r="AZ1393" s="107">
        <f>ROUNDDOWN(AY1393+(AY1393*MASTER!$A$2/100),0)</f>
        <v>86460</v>
      </c>
      <c r="BA1393" s="60" t="s">
        <v>318</v>
      </c>
      <c r="BB1393" s="64">
        <v>48000</v>
      </c>
      <c r="BC1393" s="64">
        <v>52800</v>
      </c>
      <c r="BD1393" s="60" t="s">
        <v>3940</v>
      </c>
      <c r="BG1393" s="64">
        <v>0</v>
      </c>
      <c r="BK1393" s="64">
        <v>0</v>
      </c>
      <c r="BS1393" s="64">
        <v>0</v>
      </c>
      <c r="BV1393" s="65">
        <v>86460</v>
      </c>
      <c r="BW1393" s="65">
        <v>52800</v>
      </c>
      <c r="BX1393" s="65">
        <v>44749</v>
      </c>
      <c r="BY1393" s="65">
        <v>33660</v>
      </c>
      <c r="BZ1393" s="81">
        <v>38.931297709923662</v>
      </c>
    </row>
    <row r="1394" spans="1:78" x14ac:dyDescent="0.15">
      <c r="A1394" s="60">
        <v>2</v>
      </c>
      <c r="B1394" s="61">
        <v>44771</v>
      </c>
      <c r="C1394" s="61">
        <v>44804</v>
      </c>
      <c r="D1394" s="61">
        <v>44811</v>
      </c>
      <c r="F1394" s="61" t="s">
        <v>309</v>
      </c>
      <c r="G1394" s="61">
        <v>44792</v>
      </c>
      <c r="H1394" s="61" t="s">
        <v>309</v>
      </c>
      <c r="I1394" s="60" t="s">
        <v>511</v>
      </c>
      <c r="J1394" s="60">
        <v>2</v>
      </c>
      <c r="L1394" s="60">
        <v>0</v>
      </c>
      <c r="M1394" s="61">
        <v>44749</v>
      </c>
      <c r="O1394" s="62" t="s">
        <v>331</v>
      </c>
      <c r="P1394" s="60" t="s">
        <v>26</v>
      </c>
      <c r="Q1394" s="62" t="s">
        <v>200</v>
      </c>
      <c r="R1394" s="62" t="s">
        <v>4133</v>
      </c>
      <c r="S1394" s="63" t="s">
        <v>2255</v>
      </c>
      <c r="T1394" s="63" t="s">
        <v>1524</v>
      </c>
      <c r="U1394" s="64">
        <v>78600</v>
      </c>
      <c r="V1394" s="64">
        <v>86460</v>
      </c>
      <c r="W1394" s="64">
        <v>78600</v>
      </c>
      <c r="X1394" s="64">
        <v>86460</v>
      </c>
      <c r="Y1394" s="64">
        <v>0</v>
      </c>
      <c r="Z1394" s="64">
        <v>0</v>
      </c>
      <c r="AA1394" s="61">
        <v>44791</v>
      </c>
      <c r="AB1394" s="61">
        <v>44791</v>
      </c>
      <c r="AD1394" s="60">
        <v>0</v>
      </c>
      <c r="AG1394" s="60">
        <v>0</v>
      </c>
      <c r="AJ1394" s="60">
        <v>0</v>
      </c>
      <c r="AM1394" s="60" t="s">
        <v>273</v>
      </c>
      <c r="AN1394" s="60" t="s">
        <v>4127</v>
      </c>
      <c r="AQ1394" s="60" t="s">
        <v>4128</v>
      </c>
      <c r="AR1394" s="61">
        <v>44754</v>
      </c>
      <c r="AS1394" s="60">
        <v>6002051170</v>
      </c>
      <c r="AT1394" s="61">
        <v>44754</v>
      </c>
      <c r="AU1394" s="60" t="s">
        <v>3993</v>
      </c>
      <c r="AV1394" s="61">
        <v>44804</v>
      </c>
      <c r="AW1394" s="91">
        <v>44804</v>
      </c>
      <c r="AX1394" s="91">
        <v>44824</v>
      </c>
      <c r="AY1394" s="107">
        <v>78600</v>
      </c>
      <c r="AZ1394" s="107">
        <f>ROUNDDOWN(AY1394+(AY1394*MASTER!$A$2/100),0)</f>
        <v>86460</v>
      </c>
      <c r="BA1394" s="60" t="s">
        <v>318</v>
      </c>
      <c r="BB1394" s="64">
        <v>44000</v>
      </c>
      <c r="BC1394" s="64">
        <v>48400</v>
      </c>
      <c r="BD1394" s="60" t="s">
        <v>3940</v>
      </c>
      <c r="BG1394" s="64">
        <v>0</v>
      </c>
      <c r="BK1394" s="64">
        <v>0</v>
      </c>
      <c r="BS1394" s="64">
        <v>0</v>
      </c>
      <c r="BV1394" s="65">
        <v>86460</v>
      </c>
      <c r="BW1394" s="65">
        <v>48400</v>
      </c>
      <c r="BX1394" s="65">
        <v>44749</v>
      </c>
      <c r="BY1394" s="65">
        <v>38060</v>
      </c>
      <c r="BZ1394" s="81">
        <v>44.020356234096688</v>
      </c>
    </row>
    <row r="1395" spans="1:78" x14ac:dyDescent="0.15">
      <c r="A1395" s="60">
        <v>2</v>
      </c>
      <c r="B1395" s="61">
        <v>44771</v>
      </c>
      <c r="C1395" s="61">
        <v>44804</v>
      </c>
      <c r="D1395" s="61">
        <v>44816</v>
      </c>
      <c r="F1395" s="61" t="s">
        <v>309</v>
      </c>
      <c r="G1395" s="61">
        <v>44790</v>
      </c>
      <c r="H1395" s="61" t="s">
        <v>309</v>
      </c>
      <c r="I1395" s="60" t="s">
        <v>2495</v>
      </c>
      <c r="J1395" s="60">
        <v>2</v>
      </c>
      <c r="L1395" s="60">
        <v>0</v>
      </c>
      <c r="M1395" s="61">
        <v>44749</v>
      </c>
      <c r="O1395" s="62" t="s">
        <v>331</v>
      </c>
      <c r="P1395" s="60" t="s">
        <v>26</v>
      </c>
      <c r="Q1395" s="62" t="s">
        <v>200</v>
      </c>
      <c r="R1395" s="62" t="s">
        <v>4134</v>
      </c>
      <c r="S1395" s="63" t="s">
        <v>1009</v>
      </c>
      <c r="T1395" s="63" t="s">
        <v>1524</v>
      </c>
      <c r="U1395" s="64">
        <v>78600</v>
      </c>
      <c r="V1395" s="64">
        <v>86460</v>
      </c>
      <c r="W1395" s="64">
        <v>78600</v>
      </c>
      <c r="X1395" s="64">
        <v>86460</v>
      </c>
      <c r="Y1395" s="64">
        <v>0</v>
      </c>
      <c r="Z1395" s="64">
        <v>0</v>
      </c>
      <c r="AA1395" s="61">
        <v>44783</v>
      </c>
      <c r="AB1395" s="61">
        <v>44783</v>
      </c>
      <c r="AD1395" s="60">
        <v>0</v>
      </c>
      <c r="AG1395" s="60">
        <v>0</v>
      </c>
      <c r="AJ1395" s="60">
        <v>0</v>
      </c>
      <c r="AM1395" s="60" t="s">
        <v>273</v>
      </c>
      <c r="AN1395" s="60" t="s">
        <v>4127</v>
      </c>
      <c r="AQ1395" s="60" t="s">
        <v>4128</v>
      </c>
      <c r="AR1395" s="61">
        <v>44754</v>
      </c>
      <c r="AS1395" s="60">
        <v>6002051170</v>
      </c>
      <c r="AT1395" s="61">
        <v>44754</v>
      </c>
      <c r="AU1395" s="60" t="s">
        <v>3993</v>
      </c>
      <c r="AV1395" s="61">
        <v>44804</v>
      </c>
      <c r="AW1395" s="91">
        <v>44804</v>
      </c>
      <c r="AX1395" s="91">
        <v>44824</v>
      </c>
      <c r="AY1395" s="107">
        <v>78600</v>
      </c>
      <c r="AZ1395" s="107">
        <f>ROUNDDOWN(AY1395+(AY1395*MASTER!$A$2/100),0)</f>
        <v>86460</v>
      </c>
      <c r="BA1395" s="60" t="s">
        <v>319</v>
      </c>
      <c r="BB1395" s="64">
        <v>32000</v>
      </c>
      <c r="BC1395" s="64">
        <v>35200</v>
      </c>
      <c r="BD1395" s="60" t="s">
        <v>3940</v>
      </c>
      <c r="BG1395" s="64">
        <v>0</v>
      </c>
      <c r="BK1395" s="64">
        <v>0</v>
      </c>
      <c r="BS1395" s="64">
        <v>0</v>
      </c>
      <c r="BV1395" s="65">
        <v>86460</v>
      </c>
      <c r="BW1395" s="65">
        <v>35200</v>
      </c>
      <c r="BX1395" s="65">
        <v>44749</v>
      </c>
      <c r="BY1395" s="65">
        <v>51260</v>
      </c>
      <c r="BZ1395" s="81">
        <v>59.287531806615782</v>
      </c>
    </row>
    <row r="1396" spans="1:78" x14ac:dyDescent="0.15">
      <c r="A1396" s="60">
        <v>1</v>
      </c>
      <c r="B1396" s="61">
        <v>44771</v>
      </c>
      <c r="C1396" s="61">
        <v>44804</v>
      </c>
      <c r="D1396" s="61">
        <v>44810</v>
      </c>
      <c r="F1396" s="61" t="s">
        <v>309</v>
      </c>
      <c r="G1396" s="61">
        <v>44783</v>
      </c>
      <c r="H1396" s="61" t="s">
        <v>309</v>
      </c>
      <c r="I1396" s="60" t="s">
        <v>2495</v>
      </c>
      <c r="J1396" s="60">
        <v>2</v>
      </c>
      <c r="L1396" s="60">
        <v>0</v>
      </c>
      <c r="M1396" s="61">
        <v>44749</v>
      </c>
      <c r="O1396" s="62" t="s">
        <v>331</v>
      </c>
      <c r="P1396" s="60" t="s">
        <v>26</v>
      </c>
      <c r="Q1396" s="62" t="s">
        <v>200</v>
      </c>
      <c r="R1396" s="62" t="s">
        <v>4135</v>
      </c>
      <c r="S1396" s="63" t="s">
        <v>2285</v>
      </c>
      <c r="T1396" s="63" t="s">
        <v>1524</v>
      </c>
      <c r="U1396" s="64">
        <v>78600</v>
      </c>
      <c r="V1396" s="64">
        <v>86460</v>
      </c>
      <c r="W1396" s="64">
        <v>78600</v>
      </c>
      <c r="X1396" s="64">
        <v>86460</v>
      </c>
      <c r="Y1396" s="64">
        <v>0</v>
      </c>
      <c r="Z1396" s="64">
        <v>0</v>
      </c>
      <c r="AA1396" s="61">
        <v>44783</v>
      </c>
      <c r="AB1396" s="61">
        <v>44783</v>
      </c>
      <c r="AD1396" s="60">
        <v>0</v>
      </c>
      <c r="AG1396" s="60">
        <v>0</v>
      </c>
      <c r="AJ1396" s="60">
        <v>0</v>
      </c>
      <c r="AM1396" s="60" t="s">
        <v>273</v>
      </c>
      <c r="AN1396" s="60" t="s">
        <v>4127</v>
      </c>
      <c r="AQ1396" s="60" t="s">
        <v>4128</v>
      </c>
      <c r="AR1396" s="61">
        <v>44754</v>
      </c>
      <c r="AS1396" s="60">
        <v>6002051170</v>
      </c>
      <c r="AT1396" s="61">
        <v>44754</v>
      </c>
      <c r="AU1396" s="60" t="s">
        <v>3993</v>
      </c>
      <c r="AV1396" s="61">
        <v>44804</v>
      </c>
      <c r="AW1396" s="91">
        <v>44804</v>
      </c>
      <c r="AX1396" s="91">
        <v>44824</v>
      </c>
      <c r="AY1396" s="107">
        <v>78600</v>
      </c>
      <c r="AZ1396" s="107">
        <f>ROUNDDOWN(AY1396+(AY1396*MASTER!$A$2/100),0)</f>
        <v>86460</v>
      </c>
      <c r="BA1396" s="60" t="s">
        <v>582</v>
      </c>
      <c r="BB1396" s="64">
        <v>25000</v>
      </c>
      <c r="BC1396" s="64">
        <v>27500</v>
      </c>
      <c r="BD1396" s="60" t="s">
        <v>3940</v>
      </c>
      <c r="BG1396" s="64">
        <v>0</v>
      </c>
      <c r="BK1396" s="64">
        <v>0</v>
      </c>
      <c r="BS1396" s="64">
        <v>0</v>
      </c>
      <c r="BV1396" s="65">
        <v>86460</v>
      </c>
      <c r="BW1396" s="65">
        <v>27500</v>
      </c>
      <c r="BX1396" s="65">
        <v>44749</v>
      </c>
      <c r="BY1396" s="65">
        <v>58960</v>
      </c>
      <c r="BZ1396" s="81">
        <v>68.193384223918571</v>
      </c>
    </row>
    <row r="1397" spans="1:78" x14ac:dyDescent="0.15">
      <c r="A1397" s="60">
        <v>1</v>
      </c>
      <c r="B1397" s="61">
        <v>44771</v>
      </c>
      <c r="C1397" s="61">
        <v>44804</v>
      </c>
      <c r="D1397" s="61">
        <v>44806</v>
      </c>
      <c r="F1397" s="61" t="s">
        <v>309</v>
      </c>
      <c r="G1397" s="61">
        <v>44791</v>
      </c>
      <c r="H1397" s="61" t="s">
        <v>309</v>
      </c>
      <c r="I1397" s="60" t="s">
        <v>2495</v>
      </c>
      <c r="J1397" s="60">
        <v>2</v>
      </c>
      <c r="L1397" s="60">
        <v>0</v>
      </c>
      <c r="M1397" s="61">
        <v>44749</v>
      </c>
      <c r="O1397" s="62" t="s">
        <v>331</v>
      </c>
      <c r="P1397" s="60" t="s">
        <v>26</v>
      </c>
      <c r="Q1397" s="62" t="s">
        <v>200</v>
      </c>
      <c r="R1397" s="62" t="s">
        <v>4136</v>
      </c>
      <c r="S1397" s="63" t="s">
        <v>509</v>
      </c>
      <c r="T1397" s="63" t="s">
        <v>1524</v>
      </c>
      <c r="U1397" s="64">
        <v>78600</v>
      </c>
      <c r="V1397" s="64">
        <v>86460</v>
      </c>
      <c r="W1397" s="64">
        <v>78600</v>
      </c>
      <c r="X1397" s="64">
        <v>86460</v>
      </c>
      <c r="Y1397" s="64">
        <v>0</v>
      </c>
      <c r="Z1397" s="64">
        <v>0</v>
      </c>
      <c r="AA1397" s="61">
        <v>44791</v>
      </c>
      <c r="AB1397" s="61">
        <v>44791</v>
      </c>
      <c r="AD1397" s="60">
        <v>0</v>
      </c>
      <c r="AG1397" s="60">
        <v>0</v>
      </c>
      <c r="AJ1397" s="60">
        <v>0</v>
      </c>
      <c r="AM1397" s="60" t="s">
        <v>273</v>
      </c>
      <c r="AN1397" s="60" t="s">
        <v>4127</v>
      </c>
      <c r="AQ1397" s="60" t="s">
        <v>4128</v>
      </c>
      <c r="AR1397" s="61">
        <v>44754</v>
      </c>
      <c r="AS1397" s="60">
        <v>6002051170</v>
      </c>
      <c r="AT1397" s="61">
        <v>44754</v>
      </c>
      <c r="AU1397" s="60" t="s">
        <v>3993</v>
      </c>
      <c r="AV1397" s="61">
        <v>44804</v>
      </c>
      <c r="AW1397" s="91">
        <v>44804</v>
      </c>
      <c r="AX1397" s="91">
        <v>44824</v>
      </c>
      <c r="AY1397" s="107">
        <v>78600</v>
      </c>
      <c r="AZ1397" s="107">
        <f>ROUNDDOWN(AY1397+(AY1397*MASTER!$A$2/100),0)</f>
        <v>86460</v>
      </c>
      <c r="BA1397" s="60" t="s">
        <v>613</v>
      </c>
      <c r="BB1397" s="64">
        <v>31000</v>
      </c>
      <c r="BC1397" s="64">
        <v>34100</v>
      </c>
      <c r="BD1397" s="60" t="s">
        <v>3940</v>
      </c>
      <c r="BG1397" s="64">
        <v>0</v>
      </c>
      <c r="BK1397" s="64">
        <v>0</v>
      </c>
      <c r="BS1397" s="64">
        <v>0</v>
      </c>
      <c r="BV1397" s="65">
        <v>86460</v>
      </c>
      <c r="BW1397" s="65">
        <v>34100</v>
      </c>
      <c r="BX1397" s="65">
        <v>44749</v>
      </c>
      <c r="BY1397" s="65">
        <v>52360</v>
      </c>
      <c r="BZ1397" s="81">
        <v>60.559796437659031</v>
      </c>
    </row>
    <row r="1398" spans="1:78" x14ac:dyDescent="0.15">
      <c r="A1398" s="60">
        <v>1</v>
      </c>
      <c r="B1398" s="61">
        <v>44771</v>
      </c>
      <c r="C1398" s="61">
        <v>44804</v>
      </c>
      <c r="F1398" s="61" t="s">
        <v>309</v>
      </c>
      <c r="G1398" s="61">
        <v>44791</v>
      </c>
      <c r="H1398" s="61" t="s">
        <v>309</v>
      </c>
      <c r="J1398" s="60">
        <v>2</v>
      </c>
      <c r="L1398" s="60">
        <v>0</v>
      </c>
      <c r="M1398" s="61">
        <v>44749</v>
      </c>
      <c r="O1398" s="62" t="s">
        <v>331</v>
      </c>
      <c r="P1398" s="60" t="s">
        <v>26</v>
      </c>
      <c r="Q1398" s="62" t="s">
        <v>200</v>
      </c>
      <c r="R1398" s="62" t="s">
        <v>4137</v>
      </c>
      <c r="S1398" s="63" t="s">
        <v>1323</v>
      </c>
      <c r="T1398" s="63" t="s">
        <v>1524</v>
      </c>
      <c r="U1398" s="64">
        <v>78600</v>
      </c>
      <c r="V1398" s="64">
        <v>86460</v>
      </c>
      <c r="W1398" s="64">
        <v>78600</v>
      </c>
      <c r="X1398" s="64">
        <v>86460</v>
      </c>
      <c r="Y1398" s="64">
        <v>0</v>
      </c>
      <c r="Z1398" s="64">
        <v>0</v>
      </c>
      <c r="AA1398" s="61">
        <v>44791</v>
      </c>
      <c r="AB1398" s="61">
        <v>44791</v>
      </c>
      <c r="AD1398" s="60">
        <v>0</v>
      </c>
      <c r="AG1398" s="60">
        <v>0</v>
      </c>
      <c r="AJ1398" s="60">
        <v>0</v>
      </c>
      <c r="AM1398" s="60" t="s">
        <v>273</v>
      </c>
      <c r="AN1398" s="60" t="s">
        <v>4127</v>
      </c>
      <c r="AQ1398" s="60" t="s">
        <v>4128</v>
      </c>
      <c r="AR1398" s="61">
        <v>44754</v>
      </c>
      <c r="AS1398" s="60">
        <v>6002051170</v>
      </c>
      <c r="AT1398" s="61">
        <v>44754</v>
      </c>
      <c r="AU1398" s="60" t="s">
        <v>3993</v>
      </c>
      <c r="AV1398" s="61">
        <v>44804</v>
      </c>
      <c r="AW1398" s="91">
        <v>44804</v>
      </c>
      <c r="AX1398" s="91">
        <v>44824</v>
      </c>
      <c r="AY1398" s="107">
        <v>78600</v>
      </c>
      <c r="AZ1398" s="107">
        <f>ROUNDDOWN(AY1398+(AY1398*MASTER!$A$2/100),0)</f>
        <v>86460</v>
      </c>
      <c r="BA1398" s="60" t="s">
        <v>613</v>
      </c>
      <c r="BB1398" s="64">
        <v>30000</v>
      </c>
      <c r="BC1398" s="64">
        <v>33000</v>
      </c>
      <c r="BD1398" s="60" t="s">
        <v>3940</v>
      </c>
      <c r="BG1398" s="64">
        <v>0</v>
      </c>
      <c r="BK1398" s="64">
        <v>0</v>
      </c>
      <c r="BS1398" s="64">
        <v>0</v>
      </c>
      <c r="BV1398" s="65">
        <v>86460</v>
      </c>
      <c r="BW1398" s="65">
        <v>33000</v>
      </c>
      <c r="BX1398" s="65">
        <v>44749</v>
      </c>
      <c r="BY1398" s="65">
        <v>53460</v>
      </c>
      <c r="BZ1398" s="81">
        <v>61.832061068702295</v>
      </c>
    </row>
    <row r="1399" spans="1:78" x14ac:dyDescent="0.15">
      <c r="A1399" s="60">
        <v>2</v>
      </c>
      <c r="B1399" s="61">
        <v>44771</v>
      </c>
      <c r="C1399" s="61">
        <v>44804</v>
      </c>
      <c r="D1399" s="61">
        <v>44816</v>
      </c>
      <c r="F1399" s="61" t="s">
        <v>309</v>
      </c>
      <c r="G1399" s="61">
        <v>44802</v>
      </c>
      <c r="H1399" s="61" t="s">
        <v>309</v>
      </c>
      <c r="I1399" s="60" t="s">
        <v>511</v>
      </c>
      <c r="J1399" s="60">
        <v>2</v>
      </c>
      <c r="L1399" s="60">
        <v>0</v>
      </c>
      <c r="M1399" s="61">
        <v>44749</v>
      </c>
      <c r="O1399" s="62" t="s">
        <v>331</v>
      </c>
      <c r="P1399" s="60" t="s">
        <v>26</v>
      </c>
      <c r="Q1399" s="62" t="s">
        <v>200</v>
      </c>
      <c r="R1399" s="62" t="s">
        <v>4138</v>
      </c>
      <c r="S1399" s="63" t="s">
        <v>361</v>
      </c>
      <c r="T1399" s="63" t="s">
        <v>1524</v>
      </c>
      <c r="U1399" s="64">
        <v>78600</v>
      </c>
      <c r="V1399" s="64">
        <v>86460</v>
      </c>
      <c r="W1399" s="64">
        <v>78600</v>
      </c>
      <c r="X1399" s="64">
        <v>86460</v>
      </c>
      <c r="Y1399" s="64">
        <v>0</v>
      </c>
      <c r="Z1399" s="64">
        <v>0</v>
      </c>
      <c r="AA1399" s="61">
        <v>44798</v>
      </c>
      <c r="AB1399" s="61">
        <v>44798</v>
      </c>
      <c r="AD1399" s="60">
        <v>0</v>
      </c>
      <c r="AG1399" s="60">
        <v>0</v>
      </c>
      <c r="AJ1399" s="60">
        <v>0</v>
      </c>
      <c r="AM1399" s="60" t="s">
        <v>273</v>
      </c>
      <c r="AN1399" s="60" t="s">
        <v>4127</v>
      </c>
      <c r="AQ1399" s="60" t="s">
        <v>4128</v>
      </c>
      <c r="AR1399" s="61">
        <v>44754</v>
      </c>
      <c r="AS1399" s="60">
        <v>6002051170</v>
      </c>
      <c r="AT1399" s="61">
        <v>44754</v>
      </c>
      <c r="AU1399" s="60" t="s">
        <v>3993</v>
      </c>
      <c r="AV1399" s="61">
        <v>44804</v>
      </c>
      <c r="AW1399" s="91">
        <v>44804</v>
      </c>
      <c r="AX1399" s="91">
        <v>44824</v>
      </c>
      <c r="AY1399" s="107">
        <v>78600</v>
      </c>
      <c r="AZ1399" s="107">
        <f>ROUNDDOWN(AY1399+(AY1399*MASTER!$A$2/100),0)</f>
        <v>86460</v>
      </c>
      <c r="BA1399" s="60" t="s">
        <v>314</v>
      </c>
      <c r="BB1399" s="64">
        <v>46000</v>
      </c>
      <c r="BC1399" s="64">
        <v>50600</v>
      </c>
      <c r="BD1399" s="60" t="s">
        <v>3940</v>
      </c>
      <c r="BG1399" s="64">
        <v>0</v>
      </c>
      <c r="BK1399" s="64">
        <v>0</v>
      </c>
      <c r="BS1399" s="64">
        <v>0</v>
      </c>
      <c r="BV1399" s="65">
        <v>86460</v>
      </c>
      <c r="BW1399" s="65">
        <v>50600</v>
      </c>
      <c r="BX1399" s="65">
        <v>44749</v>
      </c>
      <c r="BY1399" s="65">
        <v>35860</v>
      </c>
      <c r="BZ1399" s="81">
        <v>41.475826972010175</v>
      </c>
    </row>
    <row r="1400" spans="1:78" x14ac:dyDescent="0.15">
      <c r="A1400" s="60">
        <v>2</v>
      </c>
      <c r="B1400" s="61">
        <v>44771</v>
      </c>
      <c r="C1400" s="61">
        <v>44804</v>
      </c>
      <c r="D1400" s="61">
        <v>44816</v>
      </c>
      <c r="F1400" s="61" t="s">
        <v>309</v>
      </c>
      <c r="G1400" s="61">
        <v>44802</v>
      </c>
      <c r="H1400" s="61" t="s">
        <v>309</v>
      </c>
      <c r="I1400" s="60" t="s">
        <v>511</v>
      </c>
      <c r="J1400" s="60">
        <v>2</v>
      </c>
      <c r="L1400" s="60">
        <v>0</v>
      </c>
      <c r="M1400" s="61">
        <v>44749</v>
      </c>
      <c r="O1400" s="62" t="s">
        <v>331</v>
      </c>
      <c r="P1400" s="60" t="s">
        <v>26</v>
      </c>
      <c r="Q1400" s="62" t="s">
        <v>200</v>
      </c>
      <c r="R1400" s="62" t="s">
        <v>4139</v>
      </c>
      <c r="S1400" s="63" t="s">
        <v>1767</v>
      </c>
      <c r="T1400" s="63" t="s">
        <v>1524</v>
      </c>
      <c r="U1400" s="64">
        <v>78600</v>
      </c>
      <c r="V1400" s="64">
        <v>86460</v>
      </c>
      <c r="W1400" s="64">
        <v>78600</v>
      </c>
      <c r="X1400" s="64">
        <v>86460</v>
      </c>
      <c r="Y1400" s="64">
        <v>0</v>
      </c>
      <c r="Z1400" s="64">
        <v>0</v>
      </c>
      <c r="AA1400" s="61">
        <v>44797</v>
      </c>
      <c r="AB1400" s="61">
        <v>44797</v>
      </c>
      <c r="AD1400" s="60">
        <v>0</v>
      </c>
      <c r="AG1400" s="60">
        <v>0</v>
      </c>
      <c r="AJ1400" s="60">
        <v>0</v>
      </c>
      <c r="AM1400" s="60" t="s">
        <v>273</v>
      </c>
      <c r="AN1400" s="60" t="s">
        <v>4127</v>
      </c>
      <c r="AQ1400" s="60" t="s">
        <v>4128</v>
      </c>
      <c r="AR1400" s="61">
        <v>44754</v>
      </c>
      <c r="AS1400" s="60">
        <v>6002051170</v>
      </c>
      <c r="AT1400" s="61">
        <v>44754</v>
      </c>
      <c r="AU1400" s="60" t="s">
        <v>3993</v>
      </c>
      <c r="AV1400" s="61">
        <v>44804</v>
      </c>
      <c r="AW1400" s="91">
        <v>44804</v>
      </c>
      <c r="AX1400" s="91">
        <v>44824</v>
      </c>
      <c r="AY1400" s="107">
        <v>78600</v>
      </c>
      <c r="AZ1400" s="107">
        <f>ROUNDDOWN(AY1400+(AY1400*MASTER!$A$2/100),0)</f>
        <v>86460</v>
      </c>
      <c r="BA1400" s="60" t="s">
        <v>314</v>
      </c>
      <c r="BB1400" s="64">
        <v>42000</v>
      </c>
      <c r="BC1400" s="64">
        <v>46200</v>
      </c>
      <c r="BD1400" s="60" t="s">
        <v>3940</v>
      </c>
      <c r="BG1400" s="64">
        <v>0</v>
      </c>
      <c r="BK1400" s="64">
        <v>0</v>
      </c>
      <c r="BS1400" s="64">
        <v>0</v>
      </c>
      <c r="BV1400" s="65">
        <v>86460</v>
      </c>
      <c r="BW1400" s="65">
        <v>46200</v>
      </c>
      <c r="BX1400" s="65">
        <v>44749</v>
      </c>
      <c r="BY1400" s="65">
        <v>40260</v>
      </c>
      <c r="BZ1400" s="81">
        <v>46.564885496183209</v>
      </c>
    </row>
    <row r="1401" spans="1:78" x14ac:dyDescent="0.15">
      <c r="A1401" s="60">
        <v>2</v>
      </c>
      <c r="B1401" s="61">
        <v>44771</v>
      </c>
      <c r="C1401" s="61">
        <v>44804</v>
      </c>
      <c r="D1401" s="61">
        <v>44816</v>
      </c>
      <c r="F1401" s="61" t="s">
        <v>309</v>
      </c>
      <c r="G1401" s="61">
        <v>44802</v>
      </c>
      <c r="H1401" s="61" t="s">
        <v>309</v>
      </c>
      <c r="I1401" s="60" t="s">
        <v>2495</v>
      </c>
      <c r="J1401" s="60">
        <v>2</v>
      </c>
      <c r="L1401" s="60">
        <v>0</v>
      </c>
      <c r="M1401" s="61">
        <v>44749</v>
      </c>
      <c r="O1401" s="62" t="s">
        <v>331</v>
      </c>
      <c r="P1401" s="60" t="s">
        <v>26</v>
      </c>
      <c r="Q1401" s="62" t="s">
        <v>200</v>
      </c>
      <c r="R1401" s="62" t="s">
        <v>4140</v>
      </c>
      <c r="S1401" s="63" t="s">
        <v>1156</v>
      </c>
      <c r="T1401" s="63" t="s">
        <v>1524</v>
      </c>
      <c r="U1401" s="64">
        <v>78600</v>
      </c>
      <c r="V1401" s="64">
        <v>86460</v>
      </c>
      <c r="W1401" s="64">
        <v>78600</v>
      </c>
      <c r="X1401" s="64">
        <v>86460</v>
      </c>
      <c r="Y1401" s="64">
        <v>0</v>
      </c>
      <c r="Z1401" s="64">
        <v>0</v>
      </c>
      <c r="AA1401" s="61">
        <v>44797</v>
      </c>
      <c r="AB1401" s="61">
        <v>44797</v>
      </c>
      <c r="AD1401" s="60">
        <v>0</v>
      </c>
      <c r="AG1401" s="60">
        <v>0</v>
      </c>
      <c r="AJ1401" s="60">
        <v>0</v>
      </c>
      <c r="AM1401" s="60" t="s">
        <v>273</v>
      </c>
      <c r="AN1401" s="60" t="s">
        <v>4127</v>
      </c>
      <c r="AQ1401" s="60" t="s">
        <v>4128</v>
      </c>
      <c r="AR1401" s="61">
        <v>44754</v>
      </c>
      <c r="AS1401" s="60">
        <v>6002051170</v>
      </c>
      <c r="AT1401" s="61">
        <v>44754</v>
      </c>
      <c r="AU1401" s="60" t="s">
        <v>3993</v>
      </c>
      <c r="AV1401" s="61">
        <v>44804</v>
      </c>
      <c r="AW1401" s="91">
        <v>44804</v>
      </c>
      <c r="AX1401" s="91">
        <v>44824</v>
      </c>
      <c r="AY1401" s="107">
        <v>78600</v>
      </c>
      <c r="AZ1401" s="107">
        <f>ROUNDDOWN(AY1401+(AY1401*MASTER!$A$2/100),0)</f>
        <v>86460</v>
      </c>
      <c r="BA1401" s="60" t="s">
        <v>314</v>
      </c>
      <c r="BB1401" s="64">
        <v>36000</v>
      </c>
      <c r="BC1401" s="64">
        <v>39600</v>
      </c>
      <c r="BD1401" s="60" t="s">
        <v>3940</v>
      </c>
      <c r="BG1401" s="64">
        <v>0</v>
      </c>
      <c r="BK1401" s="64">
        <v>0</v>
      </c>
      <c r="BS1401" s="64">
        <v>0</v>
      </c>
      <c r="BV1401" s="65">
        <v>86460</v>
      </c>
      <c r="BW1401" s="65">
        <v>39600</v>
      </c>
      <c r="BX1401" s="65">
        <v>44749</v>
      </c>
      <c r="BY1401" s="65">
        <v>46860</v>
      </c>
      <c r="BZ1401" s="81">
        <v>54.198473282442748</v>
      </c>
    </row>
    <row r="1402" spans="1:78" x14ac:dyDescent="0.15">
      <c r="A1402" s="60">
        <v>2</v>
      </c>
      <c r="B1402" s="61">
        <v>44771</v>
      </c>
      <c r="C1402" s="61">
        <v>44804</v>
      </c>
      <c r="D1402" s="61">
        <v>44816</v>
      </c>
      <c r="F1402" s="61" t="s">
        <v>309</v>
      </c>
      <c r="G1402" s="61">
        <v>44783</v>
      </c>
      <c r="H1402" s="61" t="s">
        <v>309</v>
      </c>
      <c r="I1402" s="60" t="s">
        <v>2495</v>
      </c>
      <c r="J1402" s="60">
        <v>2</v>
      </c>
      <c r="L1402" s="60">
        <v>0</v>
      </c>
      <c r="M1402" s="61">
        <v>44749</v>
      </c>
      <c r="O1402" s="62" t="s">
        <v>331</v>
      </c>
      <c r="P1402" s="60" t="s">
        <v>26</v>
      </c>
      <c r="Q1402" s="62" t="s">
        <v>200</v>
      </c>
      <c r="R1402" s="62" t="s">
        <v>4141</v>
      </c>
      <c r="S1402" s="63" t="s">
        <v>3613</v>
      </c>
      <c r="T1402" s="63" t="s">
        <v>1524</v>
      </c>
      <c r="U1402" s="64">
        <v>78600</v>
      </c>
      <c r="V1402" s="64">
        <v>86460</v>
      </c>
      <c r="W1402" s="64">
        <v>78600</v>
      </c>
      <c r="X1402" s="64">
        <v>86460</v>
      </c>
      <c r="Y1402" s="64">
        <v>0</v>
      </c>
      <c r="Z1402" s="64">
        <v>0</v>
      </c>
      <c r="AA1402" s="61">
        <v>44782</v>
      </c>
      <c r="AB1402" s="61">
        <v>44782</v>
      </c>
      <c r="AD1402" s="60">
        <v>0</v>
      </c>
      <c r="AG1402" s="60">
        <v>0</v>
      </c>
      <c r="AJ1402" s="60">
        <v>0</v>
      </c>
      <c r="AM1402" s="60" t="s">
        <v>273</v>
      </c>
      <c r="AN1402" s="60" t="s">
        <v>4127</v>
      </c>
      <c r="AQ1402" s="60" t="s">
        <v>4128</v>
      </c>
      <c r="AR1402" s="61">
        <v>44754</v>
      </c>
      <c r="AS1402" s="60">
        <v>6002051170</v>
      </c>
      <c r="AT1402" s="61">
        <v>44754</v>
      </c>
      <c r="AU1402" s="60" t="s">
        <v>3993</v>
      </c>
      <c r="AV1402" s="61">
        <v>44804</v>
      </c>
      <c r="AW1402" s="91">
        <v>44804</v>
      </c>
      <c r="AX1402" s="91">
        <v>44824</v>
      </c>
      <c r="AY1402" s="107">
        <v>78600</v>
      </c>
      <c r="AZ1402" s="107">
        <f>ROUNDDOWN(AY1402+(AY1402*MASTER!$A$2/100),0)</f>
        <v>86460</v>
      </c>
      <c r="BA1402" s="60" t="s">
        <v>314</v>
      </c>
      <c r="BB1402" s="64">
        <v>36000</v>
      </c>
      <c r="BC1402" s="64">
        <v>39600</v>
      </c>
      <c r="BD1402" s="60" t="s">
        <v>3940</v>
      </c>
      <c r="BG1402" s="64">
        <v>0</v>
      </c>
      <c r="BK1402" s="64">
        <v>0</v>
      </c>
      <c r="BS1402" s="64">
        <v>0</v>
      </c>
      <c r="BV1402" s="65">
        <v>86460</v>
      </c>
      <c r="BW1402" s="65">
        <v>39600</v>
      </c>
      <c r="BX1402" s="65">
        <v>44749</v>
      </c>
      <c r="BY1402" s="65">
        <v>46860</v>
      </c>
      <c r="BZ1402" s="81">
        <v>54.198473282442748</v>
      </c>
    </row>
    <row r="1403" spans="1:78" x14ac:dyDescent="0.15">
      <c r="A1403" s="60">
        <v>2</v>
      </c>
      <c r="B1403" s="61">
        <v>44771</v>
      </c>
      <c r="C1403" s="61">
        <v>44804</v>
      </c>
      <c r="D1403" s="61">
        <v>44816</v>
      </c>
      <c r="F1403" s="61" t="s">
        <v>309</v>
      </c>
      <c r="G1403" s="61">
        <v>44783</v>
      </c>
      <c r="H1403" s="61" t="s">
        <v>309</v>
      </c>
      <c r="I1403" s="60" t="s">
        <v>2495</v>
      </c>
      <c r="J1403" s="60">
        <v>2</v>
      </c>
      <c r="L1403" s="60">
        <v>0</v>
      </c>
      <c r="M1403" s="61">
        <v>44749</v>
      </c>
      <c r="O1403" s="62" t="s">
        <v>331</v>
      </c>
      <c r="P1403" s="60" t="s">
        <v>26</v>
      </c>
      <c r="Q1403" s="62" t="s">
        <v>200</v>
      </c>
      <c r="R1403" s="62" t="s">
        <v>4142</v>
      </c>
      <c r="S1403" s="63" t="s">
        <v>3933</v>
      </c>
      <c r="T1403" s="63" t="s">
        <v>1524</v>
      </c>
      <c r="U1403" s="64">
        <v>78600</v>
      </c>
      <c r="V1403" s="64">
        <v>86460</v>
      </c>
      <c r="W1403" s="64">
        <v>78600</v>
      </c>
      <c r="X1403" s="64">
        <v>86460</v>
      </c>
      <c r="Y1403" s="64">
        <v>0</v>
      </c>
      <c r="Z1403" s="64">
        <v>0</v>
      </c>
      <c r="AA1403" s="61">
        <v>44782</v>
      </c>
      <c r="AB1403" s="61">
        <v>44782</v>
      </c>
      <c r="AD1403" s="60">
        <v>0</v>
      </c>
      <c r="AG1403" s="60">
        <v>0</v>
      </c>
      <c r="AJ1403" s="60">
        <v>0</v>
      </c>
      <c r="AM1403" s="60" t="s">
        <v>273</v>
      </c>
      <c r="AN1403" s="60" t="s">
        <v>4127</v>
      </c>
      <c r="AQ1403" s="60" t="s">
        <v>4128</v>
      </c>
      <c r="AR1403" s="61">
        <v>44754</v>
      </c>
      <c r="AS1403" s="60">
        <v>6002051170</v>
      </c>
      <c r="AT1403" s="61">
        <v>44754</v>
      </c>
      <c r="AU1403" s="60" t="s">
        <v>3993</v>
      </c>
      <c r="AV1403" s="61">
        <v>44804</v>
      </c>
      <c r="AW1403" s="91">
        <v>44804</v>
      </c>
      <c r="AX1403" s="91">
        <v>44824</v>
      </c>
      <c r="AY1403" s="107">
        <v>78600</v>
      </c>
      <c r="AZ1403" s="107">
        <f>ROUNDDOWN(AY1403+(AY1403*MASTER!$A$2/100),0)</f>
        <v>86460</v>
      </c>
      <c r="BA1403" s="60" t="s">
        <v>314</v>
      </c>
      <c r="BB1403" s="64">
        <v>36000</v>
      </c>
      <c r="BC1403" s="64">
        <v>39600</v>
      </c>
      <c r="BD1403" s="60" t="s">
        <v>3940</v>
      </c>
      <c r="BG1403" s="64">
        <v>0</v>
      </c>
      <c r="BK1403" s="64">
        <v>0</v>
      </c>
      <c r="BS1403" s="64">
        <v>0</v>
      </c>
      <c r="BV1403" s="65">
        <v>86460</v>
      </c>
      <c r="BW1403" s="65">
        <v>39600</v>
      </c>
      <c r="BX1403" s="65">
        <v>44749</v>
      </c>
      <c r="BY1403" s="65">
        <v>46860</v>
      </c>
      <c r="BZ1403" s="81">
        <v>54.198473282442748</v>
      </c>
    </row>
    <row r="1404" spans="1:78" x14ac:dyDescent="0.15">
      <c r="A1404" s="60">
        <v>2</v>
      </c>
      <c r="B1404" s="61">
        <v>44771</v>
      </c>
      <c r="C1404" s="61">
        <v>44804</v>
      </c>
      <c r="D1404" s="61">
        <v>44816</v>
      </c>
      <c r="F1404" s="61" t="s">
        <v>309</v>
      </c>
      <c r="G1404" s="61">
        <v>44790</v>
      </c>
      <c r="H1404" s="61" t="s">
        <v>309</v>
      </c>
      <c r="I1404" s="60" t="s">
        <v>2495</v>
      </c>
      <c r="J1404" s="60">
        <v>2</v>
      </c>
      <c r="L1404" s="60">
        <v>0</v>
      </c>
      <c r="M1404" s="61">
        <v>44749</v>
      </c>
      <c r="O1404" s="62" t="s">
        <v>331</v>
      </c>
      <c r="P1404" s="60" t="s">
        <v>26</v>
      </c>
      <c r="Q1404" s="62" t="s">
        <v>200</v>
      </c>
      <c r="R1404" s="62" t="s">
        <v>4143</v>
      </c>
      <c r="S1404" s="63" t="s">
        <v>731</v>
      </c>
      <c r="T1404" s="63" t="s">
        <v>1524</v>
      </c>
      <c r="U1404" s="64">
        <v>78600</v>
      </c>
      <c r="V1404" s="64">
        <v>86460</v>
      </c>
      <c r="W1404" s="64">
        <v>78600</v>
      </c>
      <c r="X1404" s="64">
        <v>86460</v>
      </c>
      <c r="Y1404" s="64">
        <v>0</v>
      </c>
      <c r="Z1404" s="64">
        <v>0</v>
      </c>
      <c r="AA1404" s="61">
        <v>44783</v>
      </c>
      <c r="AB1404" s="61">
        <v>44783</v>
      </c>
      <c r="AD1404" s="60">
        <v>0</v>
      </c>
      <c r="AG1404" s="60">
        <v>0</v>
      </c>
      <c r="AJ1404" s="60">
        <v>0</v>
      </c>
      <c r="AM1404" s="60" t="s">
        <v>273</v>
      </c>
      <c r="AN1404" s="60" t="s">
        <v>4127</v>
      </c>
      <c r="AQ1404" s="60" t="s">
        <v>4128</v>
      </c>
      <c r="AR1404" s="61">
        <v>44754</v>
      </c>
      <c r="AS1404" s="60">
        <v>6002051170</v>
      </c>
      <c r="AT1404" s="61">
        <v>44754</v>
      </c>
      <c r="AU1404" s="60" t="s">
        <v>3993</v>
      </c>
      <c r="AV1404" s="61">
        <v>44804</v>
      </c>
      <c r="AW1404" s="91">
        <v>44804</v>
      </c>
      <c r="AX1404" s="91">
        <v>44824</v>
      </c>
      <c r="AY1404" s="107">
        <v>78600</v>
      </c>
      <c r="AZ1404" s="107">
        <f>ROUNDDOWN(AY1404+(AY1404*MASTER!$A$2/100),0)</f>
        <v>86460</v>
      </c>
      <c r="BA1404" s="60" t="s">
        <v>314</v>
      </c>
      <c r="BB1404" s="64">
        <v>34000</v>
      </c>
      <c r="BC1404" s="64">
        <v>37400</v>
      </c>
      <c r="BD1404" s="60" t="s">
        <v>3940</v>
      </c>
      <c r="BG1404" s="64">
        <v>0</v>
      </c>
      <c r="BK1404" s="64">
        <v>0</v>
      </c>
      <c r="BS1404" s="64">
        <v>0</v>
      </c>
      <c r="BV1404" s="65">
        <v>86460</v>
      </c>
      <c r="BW1404" s="65">
        <v>37400</v>
      </c>
      <c r="BX1404" s="65">
        <v>44749</v>
      </c>
      <c r="BY1404" s="65">
        <v>49060</v>
      </c>
      <c r="BZ1404" s="81">
        <v>56.743002544529261</v>
      </c>
    </row>
    <row r="1405" spans="1:78" x14ac:dyDescent="0.15">
      <c r="A1405" s="60">
        <v>2</v>
      </c>
      <c r="B1405" s="61">
        <v>44771</v>
      </c>
      <c r="C1405" s="61">
        <v>44804</v>
      </c>
      <c r="D1405" s="61">
        <v>44816</v>
      </c>
      <c r="F1405" s="61" t="s">
        <v>309</v>
      </c>
      <c r="G1405" s="61">
        <v>44775</v>
      </c>
      <c r="H1405" s="61" t="s">
        <v>309</v>
      </c>
      <c r="I1405" s="60" t="s">
        <v>511</v>
      </c>
      <c r="J1405" s="60">
        <v>2</v>
      </c>
      <c r="L1405" s="60">
        <v>0</v>
      </c>
      <c r="M1405" s="61">
        <v>44749</v>
      </c>
      <c r="O1405" s="62" t="s">
        <v>331</v>
      </c>
      <c r="P1405" s="60" t="s">
        <v>26</v>
      </c>
      <c r="Q1405" s="62" t="s">
        <v>200</v>
      </c>
      <c r="R1405" s="62" t="s">
        <v>4144</v>
      </c>
      <c r="S1405" s="63" t="s">
        <v>513</v>
      </c>
      <c r="T1405" s="63" t="s">
        <v>1524</v>
      </c>
      <c r="U1405" s="64">
        <v>78600</v>
      </c>
      <c r="V1405" s="64">
        <v>86460</v>
      </c>
      <c r="W1405" s="64">
        <v>78600</v>
      </c>
      <c r="X1405" s="64">
        <v>86460</v>
      </c>
      <c r="Y1405" s="64">
        <v>0</v>
      </c>
      <c r="Z1405" s="64">
        <v>0</v>
      </c>
      <c r="AA1405" s="61">
        <v>44774</v>
      </c>
      <c r="AB1405" s="61">
        <v>44774</v>
      </c>
      <c r="AD1405" s="60">
        <v>0</v>
      </c>
      <c r="AG1405" s="60">
        <v>0</v>
      </c>
      <c r="AJ1405" s="60">
        <v>0</v>
      </c>
      <c r="AM1405" s="60" t="s">
        <v>273</v>
      </c>
      <c r="AN1405" s="60" t="s">
        <v>4127</v>
      </c>
      <c r="AQ1405" s="60" t="s">
        <v>4128</v>
      </c>
      <c r="AR1405" s="61">
        <v>44754</v>
      </c>
      <c r="AS1405" s="60">
        <v>6002051170</v>
      </c>
      <c r="AT1405" s="61">
        <v>44754</v>
      </c>
      <c r="AU1405" s="60" t="s">
        <v>3993</v>
      </c>
      <c r="AV1405" s="61">
        <v>44804</v>
      </c>
      <c r="AW1405" s="91">
        <v>44804</v>
      </c>
      <c r="AX1405" s="91">
        <v>44824</v>
      </c>
      <c r="AY1405" s="107">
        <v>78600</v>
      </c>
      <c r="AZ1405" s="107">
        <f>ROUNDDOWN(AY1405+(AY1405*MASTER!$A$2/100),0)</f>
        <v>86460</v>
      </c>
      <c r="BA1405" s="60" t="s">
        <v>314</v>
      </c>
      <c r="BB1405" s="64">
        <v>41000</v>
      </c>
      <c r="BC1405" s="64">
        <v>45100</v>
      </c>
      <c r="BD1405" s="60" t="s">
        <v>3940</v>
      </c>
      <c r="BG1405" s="64">
        <v>0</v>
      </c>
      <c r="BK1405" s="64">
        <v>0</v>
      </c>
      <c r="BS1405" s="64">
        <v>0</v>
      </c>
      <c r="BV1405" s="65">
        <v>86460</v>
      </c>
      <c r="BW1405" s="65">
        <v>45100</v>
      </c>
      <c r="BX1405" s="65">
        <v>44749</v>
      </c>
      <c r="BY1405" s="65">
        <v>41360</v>
      </c>
      <c r="BZ1405" s="81">
        <v>47.837150127226465</v>
      </c>
    </row>
    <row r="1406" spans="1:78" x14ac:dyDescent="0.15">
      <c r="A1406" s="60">
        <v>1</v>
      </c>
      <c r="B1406" s="61">
        <v>44771</v>
      </c>
      <c r="C1406" s="61">
        <v>44804</v>
      </c>
      <c r="D1406" s="61">
        <v>44806</v>
      </c>
      <c r="F1406" s="61" t="s">
        <v>309</v>
      </c>
      <c r="G1406" s="61">
        <v>44795</v>
      </c>
      <c r="H1406" s="61" t="s">
        <v>309</v>
      </c>
      <c r="I1406" s="60" t="s">
        <v>2495</v>
      </c>
      <c r="J1406" s="60">
        <v>2</v>
      </c>
      <c r="L1406" s="60">
        <v>0</v>
      </c>
      <c r="M1406" s="61">
        <v>44749</v>
      </c>
      <c r="O1406" s="62" t="s">
        <v>331</v>
      </c>
      <c r="P1406" s="60" t="s">
        <v>26</v>
      </c>
      <c r="Q1406" s="62" t="s">
        <v>200</v>
      </c>
      <c r="R1406" s="62" t="s">
        <v>4145</v>
      </c>
      <c r="S1406" s="63" t="s">
        <v>1882</v>
      </c>
      <c r="T1406" s="63" t="s">
        <v>1524</v>
      </c>
      <c r="U1406" s="64">
        <v>78600</v>
      </c>
      <c r="V1406" s="64">
        <v>86460</v>
      </c>
      <c r="W1406" s="64">
        <v>78600</v>
      </c>
      <c r="X1406" s="64">
        <v>86460</v>
      </c>
      <c r="Y1406" s="64">
        <v>0</v>
      </c>
      <c r="Z1406" s="64">
        <v>0</v>
      </c>
      <c r="AA1406" s="61">
        <v>44794</v>
      </c>
      <c r="AB1406" s="61">
        <v>44794</v>
      </c>
      <c r="AD1406" s="60">
        <v>0</v>
      </c>
      <c r="AG1406" s="60">
        <v>0</v>
      </c>
      <c r="AJ1406" s="60">
        <v>0</v>
      </c>
      <c r="AM1406" s="60" t="s">
        <v>273</v>
      </c>
      <c r="AN1406" s="60" t="s">
        <v>4127</v>
      </c>
      <c r="AQ1406" s="60" t="s">
        <v>4128</v>
      </c>
      <c r="AR1406" s="61">
        <v>44754</v>
      </c>
      <c r="AS1406" s="60">
        <v>6002051170</v>
      </c>
      <c r="AT1406" s="61">
        <v>44754</v>
      </c>
      <c r="AU1406" s="60" t="s">
        <v>3993</v>
      </c>
      <c r="AV1406" s="61">
        <v>44804</v>
      </c>
      <c r="AW1406" s="91">
        <v>44804</v>
      </c>
      <c r="AX1406" s="91">
        <v>44824</v>
      </c>
      <c r="AY1406" s="107">
        <v>78600</v>
      </c>
      <c r="AZ1406" s="107">
        <f>ROUNDDOWN(AY1406+(AY1406*MASTER!$A$2/100),0)</f>
        <v>86460</v>
      </c>
      <c r="BA1406" s="60" t="s">
        <v>613</v>
      </c>
      <c r="BB1406" s="64">
        <v>26000</v>
      </c>
      <c r="BC1406" s="64">
        <v>28600</v>
      </c>
      <c r="BD1406" s="60" t="s">
        <v>3940</v>
      </c>
      <c r="BG1406" s="64">
        <v>0</v>
      </c>
      <c r="BK1406" s="64">
        <v>0</v>
      </c>
      <c r="BS1406" s="64">
        <v>0</v>
      </c>
      <c r="BV1406" s="65">
        <v>86460</v>
      </c>
      <c r="BW1406" s="65">
        <v>28600</v>
      </c>
      <c r="BX1406" s="65">
        <v>44749</v>
      </c>
      <c r="BY1406" s="65">
        <v>57860</v>
      </c>
      <c r="BZ1406" s="81">
        <v>66.921119592875328</v>
      </c>
    </row>
    <row r="1407" spans="1:78" x14ac:dyDescent="0.15">
      <c r="A1407" s="60">
        <v>1</v>
      </c>
      <c r="B1407" s="61">
        <v>44771</v>
      </c>
      <c r="C1407" s="61">
        <v>44804</v>
      </c>
      <c r="D1407" s="61">
        <v>44806</v>
      </c>
      <c r="F1407" s="61" t="s">
        <v>309</v>
      </c>
      <c r="G1407" s="61">
        <v>44792</v>
      </c>
      <c r="H1407" s="61" t="s">
        <v>309</v>
      </c>
      <c r="I1407" s="60" t="s">
        <v>2495</v>
      </c>
      <c r="J1407" s="60">
        <v>2</v>
      </c>
      <c r="L1407" s="60">
        <v>0</v>
      </c>
      <c r="M1407" s="61">
        <v>44749</v>
      </c>
      <c r="O1407" s="62" t="s">
        <v>331</v>
      </c>
      <c r="P1407" s="60" t="s">
        <v>26</v>
      </c>
      <c r="Q1407" s="62" t="s">
        <v>200</v>
      </c>
      <c r="R1407" s="62" t="s">
        <v>4146</v>
      </c>
      <c r="S1407" s="63" t="s">
        <v>2943</v>
      </c>
      <c r="T1407" s="63" t="s">
        <v>1524</v>
      </c>
      <c r="U1407" s="64">
        <v>78600</v>
      </c>
      <c r="V1407" s="64">
        <v>86460</v>
      </c>
      <c r="W1407" s="64">
        <v>78600</v>
      </c>
      <c r="X1407" s="64">
        <v>86460</v>
      </c>
      <c r="Y1407" s="64">
        <v>0</v>
      </c>
      <c r="Z1407" s="64">
        <v>0</v>
      </c>
      <c r="AA1407" s="61">
        <v>44792</v>
      </c>
      <c r="AB1407" s="61">
        <v>44792</v>
      </c>
      <c r="AD1407" s="60">
        <v>0</v>
      </c>
      <c r="AG1407" s="60">
        <v>0</v>
      </c>
      <c r="AJ1407" s="60">
        <v>0</v>
      </c>
      <c r="AM1407" s="60" t="s">
        <v>273</v>
      </c>
      <c r="AN1407" s="60" t="s">
        <v>4127</v>
      </c>
      <c r="AQ1407" s="60" t="s">
        <v>4128</v>
      </c>
      <c r="AR1407" s="61">
        <v>44754</v>
      </c>
      <c r="AS1407" s="60">
        <v>6002051170</v>
      </c>
      <c r="AT1407" s="61">
        <v>44754</v>
      </c>
      <c r="AU1407" s="60" t="s">
        <v>3993</v>
      </c>
      <c r="AV1407" s="61">
        <v>44804</v>
      </c>
      <c r="AW1407" s="91">
        <v>44804</v>
      </c>
      <c r="AX1407" s="91">
        <v>44824</v>
      </c>
      <c r="AY1407" s="107">
        <v>78600</v>
      </c>
      <c r="AZ1407" s="107">
        <f>ROUNDDOWN(AY1407+(AY1407*MASTER!$A$2/100),0)</f>
        <v>86460</v>
      </c>
      <c r="BA1407" s="60" t="s">
        <v>613</v>
      </c>
      <c r="BB1407" s="64">
        <v>26000</v>
      </c>
      <c r="BC1407" s="64">
        <v>28600</v>
      </c>
      <c r="BD1407" s="60" t="s">
        <v>3940</v>
      </c>
      <c r="BG1407" s="64">
        <v>0</v>
      </c>
      <c r="BK1407" s="64">
        <v>0</v>
      </c>
      <c r="BS1407" s="64">
        <v>0</v>
      </c>
      <c r="BV1407" s="65">
        <v>86460</v>
      </c>
      <c r="BW1407" s="65">
        <v>28600</v>
      </c>
      <c r="BX1407" s="65">
        <v>44749</v>
      </c>
      <c r="BY1407" s="65">
        <v>57860</v>
      </c>
      <c r="BZ1407" s="81">
        <v>66.921119592875328</v>
      </c>
    </row>
    <row r="1408" spans="1:78" x14ac:dyDescent="0.15">
      <c r="A1408" s="60">
        <v>1</v>
      </c>
      <c r="B1408" s="61">
        <v>44771</v>
      </c>
      <c r="C1408" s="61">
        <v>44804</v>
      </c>
      <c r="D1408" s="61">
        <v>44806</v>
      </c>
      <c r="F1408" s="61" t="s">
        <v>309</v>
      </c>
      <c r="G1408" s="61">
        <v>44792</v>
      </c>
      <c r="H1408" s="61" t="s">
        <v>309</v>
      </c>
      <c r="I1408" s="60" t="s">
        <v>511</v>
      </c>
      <c r="J1408" s="60">
        <v>2</v>
      </c>
      <c r="L1408" s="60">
        <v>0</v>
      </c>
      <c r="M1408" s="61">
        <v>44749</v>
      </c>
      <c r="O1408" s="62" t="s">
        <v>331</v>
      </c>
      <c r="P1408" s="60" t="s">
        <v>26</v>
      </c>
      <c r="Q1408" s="62" t="s">
        <v>200</v>
      </c>
      <c r="R1408" s="62" t="s">
        <v>4147</v>
      </c>
      <c r="S1408" s="63" t="s">
        <v>484</v>
      </c>
      <c r="T1408" s="63" t="s">
        <v>1524</v>
      </c>
      <c r="U1408" s="64">
        <v>78600</v>
      </c>
      <c r="V1408" s="64">
        <v>86460</v>
      </c>
      <c r="W1408" s="64">
        <v>78600</v>
      </c>
      <c r="X1408" s="64">
        <v>86460</v>
      </c>
      <c r="Y1408" s="64">
        <v>0</v>
      </c>
      <c r="Z1408" s="64">
        <v>0</v>
      </c>
      <c r="AA1408" s="61">
        <v>44792</v>
      </c>
      <c r="AB1408" s="61">
        <v>44792</v>
      </c>
      <c r="AD1408" s="60">
        <v>0</v>
      </c>
      <c r="AG1408" s="60">
        <v>0</v>
      </c>
      <c r="AJ1408" s="60">
        <v>0</v>
      </c>
      <c r="AM1408" s="60" t="s">
        <v>273</v>
      </c>
      <c r="AN1408" s="60" t="s">
        <v>4127</v>
      </c>
      <c r="AQ1408" s="60" t="s">
        <v>4128</v>
      </c>
      <c r="AR1408" s="61">
        <v>44754</v>
      </c>
      <c r="AS1408" s="60">
        <v>6002051170</v>
      </c>
      <c r="AT1408" s="61">
        <v>44754</v>
      </c>
      <c r="AU1408" s="60" t="s">
        <v>3993</v>
      </c>
      <c r="AV1408" s="61">
        <v>44804</v>
      </c>
      <c r="AW1408" s="91">
        <v>44804</v>
      </c>
      <c r="AX1408" s="91">
        <v>44824</v>
      </c>
      <c r="AY1408" s="107">
        <v>78600</v>
      </c>
      <c r="AZ1408" s="107">
        <f>ROUNDDOWN(AY1408+(AY1408*MASTER!$A$2/100),0)</f>
        <v>86460</v>
      </c>
      <c r="BA1408" s="60" t="s">
        <v>613</v>
      </c>
      <c r="BB1408" s="64">
        <v>23000</v>
      </c>
      <c r="BC1408" s="64">
        <v>25300</v>
      </c>
      <c r="BD1408" s="60" t="s">
        <v>3940</v>
      </c>
      <c r="BG1408" s="64">
        <v>0</v>
      </c>
      <c r="BK1408" s="64">
        <v>0</v>
      </c>
      <c r="BS1408" s="64">
        <v>0</v>
      </c>
      <c r="BV1408" s="65">
        <v>86460</v>
      </c>
      <c r="BW1408" s="65">
        <v>25300</v>
      </c>
      <c r="BX1408" s="65">
        <v>44749</v>
      </c>
      <c r="BY1408" s="65">
        <v>61160</v>
      </c>
      <c r="BZ1408" s="81">
        <v>70.737913486005084</v>
      </c>
    </row>
    <row r="1409" spans="1:78" x14ac:dyDescent="0.15">
      <c r="A1409" s="60">
        <v>1</v>
      </c>
      <c r="B1409" s="61">
        <v>44771</v>
      </c>
      <c r="C1409" s="61">
        <v>44804</v>
      </c>
      <c r="D1409" s="61">
        <v>44806</v>
      </c>
      <c r="F1409" s="61" t="s">
        <v>309</v>
      </c>
      <c r="G1409" s="61">
        <v>44795</v>
      </c>
      <c r="H1409" s="61" t="s">
        <v>309</v>
      </c>
      <c r="I1409" s="60" t="s">
        <v>2495</v>
      </c>
      <c r="J1409" s="60">
        <v>2</v>
      </c>
      <c r="L1409" s="60">
        <v>0</v>
      </c>
      <c r="M1409" s="61">
        <v>44749</v>
      </c>
      <c r="O1409" s="62" t="s">
        <v>331</v>
      </c>
      <c r="P1409" s="60" t="s">
        <v>26</v>
      </c>
      <c r="Q1409" s="62" t="s">
        <v>200</v>
      </c>
      <c r="R1409" s="62" t="s">
        <v>4148</v>
      </c>
      <c r="S1409" s="63" t="s">
        <v>3660</v>
      </c>
      <c r="T1409" s="63" t="s">
        <v>1524</v>
      </c>
      <c r="U1409" s="64">
        <v>78600</v>
      </c>
      <c r="V1409" s="64">
        <v>86460</v>
      </c>
      <c r="W1409" s="64">
        <v>78600</v>
      </c>
      <c r="X1409" s="64">
        <v>86460</v>
      </c>
      <c r="Y1409" s="64">
        <v>0</v>
      </c>
      <c r="Z1409" s="64">
        <v>0</v>
      </c>
      <c r="AA1409" s="61">
        <v>44795</v>
      </c>
      <c r="AB1409" s="61">
        <v>44795</v>
      </c>
      <c r="AD1409" s="60">
        <v>0</v>
      </c>
      <c r="AG1409" s="60">
        <v>0</v>
      </c>
      <c r="AJ1409" s="60">
        <v>0</v>
      </c>
      <c r="AM1409" s="60" t="s">
        <v>273</v>
      </c>
      <c r="AN1409" s="60" t="s">
        <v>4127</v>
      </c>
      <c r="AQ1409" s="60" t="s">
        <v>4128</v>
      </c>
      <c r="AR1409" s="61">
        <v>44754</v>
      </c>
      <c r="AS1409" s="60">
        <v>6002051170</v>
      </c>
      <c r="AT1409" s="61">
        <v>44754</v>
      </c>
      <c r="AU1409" s="60" t="s">
        <v>3993</v>
      </c>
      <c r="AV1409" s="61">
        <v>44804</v>
      </c>
      <c r="AW1409" s="91">
        <v>44804</v>
      </c>
      <c r="AX1409" s="91">
        <v>44824</v>
      </c>
      <c r="AY1409" s="107">
        <v>78600</v>
      </c>
      <c r="AZ1409" s="107">
        <f>ROUNDDOWN(AY1409+(AY1409*MASTER!$A$2/100),0)</f>
        <v>86460</v>
      </c>
      <c r="BA1409" s="60" t="s">
        <v>613</v>
      </c>
      <c r="BB1409" s="64">
        <v>27000</v>
      </c>
      <c r="BC1409" s="64">
        <v>29700</v>
      </c>
      <c r="BD1409" s="60" t="s">
        <v>3940</v>
      </c>
      <c r="BG1409" s="64">
        <v>0</v>
      </c>
      <c r="BK1409" s="64">
        <v>0</v>
      </c>
      <c r="BS1409" s="64">
        <v>0</v>
      </c>
      <c r="BV1409" s="65">
        <v>86460</v>
      </c>
      <c r="BW1409" s="65">
        <v>29700</v>
      </c>
      <c r="BX1409" s="65">
        <v>44749</v>
      </c>
      <c r="BY1409" s="65">
        <v>56760</v>
      </c>
      <c r="BZ1409" s="81">
        <v>65.648854961832058</v>
      </c>
    </row>
    <row r="1410" spans="1:78" x14ac:dyDescent="0.15">
      <c r="A1410" s="60">
        <v>1</v>
      </c>
      <c r="B1410" s="61">
        <v>44771</v>
      </c>
      <c r="C1410" s="61">
        <v>44804</v>
      </c>
      <c r="D1410" s="61">
        <v>44806</v>
      </c>
      <c r="F1410" s="61" t="s">
        <v>309</v>
      </c>
      <c r="G1410" s="61">
        <v>44799</v>
      </c>
      <c r="H1410" s="61" t="s">
        <v>309</v>
      </c>
      <c r="I1410" s="60" t="s">
        <v>2495</v>
      </c>
      <c r="J1410" s="60">
        <v>2</v>
      </c>
      <c r="L1410" s="60">
        <v>0</v>
      </c>
      <c r="M1410" s="61">
        <v>44749</v>
      </c>
      <c r="O1410" s="62" t="s">
        <v>331</v>
      </c>
      <c r="P1410" s="60" t="s">
        <v>26</v>
      </c>
      <c r="Q1410" s="62" t="s">
        <v>200</v>
      </c>
      <c r="R1410" s="62" t="s">
        <v>4149</v>
      </c>
      <c r="S1410" s="63" t="s">
        <v>786</v>
      </c>
      <c r="T1410" s="63" t="s">
        <v>1524</v>
      </c>
      <c r="U1410" s="64">
        <v>78600</v>
      </c>
      <c r="V1410" s="64">
        <v>86460</v>
      </c>
      <c r="W1410" s="64">
        <v>78600</v>
      </c>
      <c r="X1410" s="64">
        <v>86460</v>
      </c>
      <c r="Y1410" s="64">
        <v>0</v>
      </c>
      <c r="Z1410" s="64">
        <v>0</v>
      </c>
      <c r="AA1410" s="61">
        <v>44798</v>
      </c>
      <c r="AB1410" s="61">
        <v>44798</v>
      </c>
      <c r="AD1410" s="60">
        <v>0</v>
      </c>
      <c r="AG1410" s="60">
        <v>0</v>
      </c>
      <c r="AJ1410" s="60">
        <v>0</v>
      </c>
      <c r="AM1410" s="60" t="s">
        <v>273</v>
      </c>
      <c r="AN1410" s="60" t="s">
        <v>4127</v>
      </c>
      <c r="AQ1410" s="60" t="s">
        <v>4128</v>
      </c>
      <c r="AR1410" s="61">
        <v>44754</v>
      </c>
      <c r="AS1410" s="60">
        <v>6002051170</v>
      </c>
      <c r="AT1410" s="61">
        <v>44754</v>
      </c>
      <c r="AU1410" s="60" t="s">
        <v>3993</v>
      </c>
      <c r="AV1410" s="61">
        <v>44804</v>
      </c>
      <c r="AW1410" s="91">
        <v>44804</v>
      </c>
      <c r="AX1410" s="91">
        <v>44824</v>
      </c>
      <c r="AY1410" s="107">
        <v>78600</v>
      </c>
      <c r="AZ1410" s="107">
        <f>ROUNDDOWN(AY1410+(AY1410*MASTER!$A$2/100),0)</f>
        <v>86460</v>
      </c>
      <c r="BA1410" s="60" t="s">
        <v>613</v>
      </c>
      <c r="BB1410" s="64">
        <v>26000</v>
      </c>
      <c r="BC1410" s="64">
        <v>28600</v>
      </c>
      <c r="BD1410" s="60" t="s">
        <v>3940</v>
      </c>
      <c r="BG1410" s="64">
        <v>0</v>
      </c>
      <c r="BK1410" s="64">
        <v>0</v>
      </c>
      <c r="BS1410" s="64">
        <v>0</v>
      </c>
      <c r="BV1410" s="65">
        <v>86460</v>
      </c>
      <c r="BW1410" s="65">
        <v>28600</v>
      </c>
      <c r="BX1410" s="65">
        <v>44749</v>
      </c>
      <c r="BY1410" s="65">
        <v>57860</v>
      </c>
      <c r="BZ1410" s="81">
        <v>66.921119592875328</v>
      </c>
    </row>
    <row r="1411" spans="1:78" x14ac:dyDescent="0.15">
      <c r="A1411" s="60">
        <v>1</v>
      </c>
      <c r="B1411" s="61">
        <v>44771</v>
      </c>
      <c r="C1411" s="61">
        <v>44804</v>
      </c>
      <c r="D1411" s="61">
        <v>44806</v>
      </c>
      <c r="F1411" s="61" t="s">
        <v>309</v>
      </c>
      <c r="G1411" s="61">
        <v>44795</v>
      </c>
      <c r="H1411" s="61" t="s">
        <v>309</v>
      </c>
      <c r="I1411" s="60" t="s">
        <v>2495</v>
      </c>
      <c r="J1411" s="60">
        <v>2</v>
      </c>
      <c r="L1411" s="60">
        <v>0</v>
      </c>
      <c r="M1411" s="61">
        <v>44749</v>
      </c>
      <c r="O1411" s="62" t="s">
        <v>331</v>
      </c>
      <c r="P1411" s="60" t="s">
        <v>26</v>
      </c>
      <c r="Q1411" s="62" t="s">
        <v>200</v>
      </c>
      <c r="R1411" s="62" t="s">
        <v>4150</v>
      </c>
      <c r="S1411" s="63" t="s">
        <v>1656</v>
      </c>
      <c r="T1411" s="63" t="s">
        <v>1524</v>
      </c>
      <c r="U1411" s="64">
        <v>78600</v>
      </c>
      <c r="V1411" s="64">
        <v>86460</v>
      </c>
      <c r="W1411" s="64">
        <v>78600</v>
      </c>
      <c r="X1411" s="64">
        <v>86460</v>
      </c>
      <c r="Y1411" s="64">
        <v>0</v>
      </c>
      <c r="Z1411" s="64">
        <v>0</v>
      </c>
      <c r="AA1411" s="61">
        <v>44794</v>
      </c>
      <c r="AB1411" s="61">
        <v>44794</v>
      </c>
      <c r="AD1411" s="60">
        <v>0</v>
      </c>
      <c r="AG1411" s="60">
        <v>0</v>
      </c>
      <c r="AJ1411" s="60">
        <v>0</v>
      </c>
      <c r="AM1411" s="60" t="s">
        <v>273</v>
      </c>
      <c r="AN1411" s="60" t="s">
        <v>4127</v>
      </c>
      <c r="AQ1411" s="60" t="s">
        <v>4128</v>
      </c>
      <c r="AR1411" s="61">
        <v>44754</v>
      </c>
      <c r="AS1411" s="60">
        <v>6002051170</v>
      </c>
      <c r="AT1411" s="61">
        <v>44754</v>
      </c>
      <c r="AU1411" s="60" t="s">
        <v>3993</v>
      </c>
      <c r="AV1411" s="61">
        <v>44804</v>
      </c>
      <c r="AW1411" s="91">
        <v>44804</v>
      </c>
      <c r="AX1411" s="91">
        <v>44824</v>
      </c>
      <c r="AY1411" s="107">
        <v>78600</v>
      </c>
      <c r="AZ1411" s="107">
        <f>ROUNDDOWN(AY1411+(AY1411*MASTER!$A$2/100),0)</f>
        <v>86460</v>
      </c>
      <c r="BA1411" s="60" t="s">
        <v>613</v>
      </c>
      <c r="BB1411" s="64">
        <v>26000</v>
      </c>
      <c r="BC1411" s="64">
        <v>28600</v>
      </c>
      <c r="BD1411" s="60" t="s">
        <v>3940</v>
      </c>
      <c r="BG1411" s="64">
        <v>0</v>
      </c>
      <c r="BK1411" s="64">
        <v>0</v>
      </c>
      <c r="BS1411" s="64">
        <v>0</v>
      </c>
      <c r="BV1411" s="65">
        <v>86460</v>
      </c>
      <c r="BW1411" s="65">
        <v>28600</v>
      </c>
      <c r="BX1411" s="65">
        <v>44749</v>
      </c>
      <c r="BY1411" s="65">
        <v>57860</v>
      </c>
      <c r="BZ1411" s="81">
        <v>66.921119592875328</v>
      </c>
    </row>
    <row r="1412" spans="1:78" x14ac:dyDescent="0.15">
      <c r="A1412" s="60">
        <v>1</v>
      </c>
      <c r="B1412" s="61">
        <v>44771</v>
      </c>
      <c r="C1412" s="61">
        <v>44804</v>
      </c>
      <c r="D1412" s="61">
        <v>44806</v>
      </c>
      <c r="F1412" s="61" t="s">
        <v>309</v>
      </c>
      <c r="G1412" s="61">
        <v>44796</v>
      </c>
      <c r="H1412" s="61" t="s">
        <v>309</v>
      </c>
      <c r="I1412" s="60" t="s">
        <v>2495</v>
      </c>
      <c r="J1412" s="60">
        <v>2</v>
      </c>
      <c r="L1412" s="60">
        <v>0</v>
      </c>
      <c r="M1412" s="61">
        <v>44749</v>
      </c>
      <c r="O1412" s="62" t="s">
        <v>331</v>
      </c>
      <c r="P1412" s="60" t="s">
        <v>26</v>
      </c>
      <c r="Q1412" s="62" t="s">
        <v>200</v>
      </c>
      <c r="R1412" s="62" t="s">
        <v>4151</v>
      </c>
      <c r="S1412" s="63" t="s">
        <v>1113</v>
      </c>
      <c r="T1412" s="63" t="s">
        <v>1524</v>
      </c>
      <c r="U1412" s="64">
        <v>78600</v>
      </c>
      <c r="V1412" s="64">
        <v>86460</v>
      </c>
      <c r="W1412" s="64">
        <v>78600</v>
      </c>
      <c r="X1412" s="64">
        <v>86460</v>
      </c>
      <c r="Y1412" s="64">
        <v>0</v>
      </c>
      <c r="Z1412" s="64">
        <v>0</v>
      </c>
      <c r="AA1412" s="61">
        <v>44796</v>
      </c>
      <c r="AB1412" s="61">
        <v>44796</v>
      </c>
      <c r="AD1412" s="60">
        <v>0</v>
      </c>
      <c r="AG1412" s="60">
        <v>0</v>
      </c>
      <c r="AJ1412" s="60">
        <v>0</v>
      </c>
      <c r="AM1412" s="60" t="s">
        <v>273</v>
      </c>
      <c r="AN1412" s="60" t="s">
        <v>4127</v>
      </c>
      <c r="AQ1412" s="60" t="s">
        <v>4128</v>
      </c>
      <c r="AR1412" s="61">
        <v>44754</v>
      </c>
      <c r="AS1412" s="60">
        <v>6002051170</v>
      </c>
      <c r="AT1412" s="61">
        <v>44754</v>
      </c>
      <c r="AU1412" s="60" t="s">
        <v>3993</v>
      </c>
      <c r="AV1412" s="61">
        <v>44804</v>
      </c>
      <c r="AW1412" s="91">
        <v>44804</v>
      </c>
      <c r="AX1412" s="91">
        <v>44824</v>
      </c>
      <c r="AY1412" s="107">
        <v>78600</v>
      </c>
      <c r="AZ1412" s="107">
        <f>ROUNDDOWN(AY1412+(AY1412*MASTER!$A$2/100),0)</f>
        <v>86460</v>
      </c>
      <c r="BA1412" s="60" t="s">
        <v>613</v>
      </c>
      <c r="BB1412" s="64">
        <v>27000</v>
      </c>
      <c r="BC1412" s="64">
        <v>29700</v>
      </c>
      <c r="BD1412" s="60" t="s">
        <v>3940</v>
      </c>
      <c r="BG1412" s="64">
        <v>0</v>
      </c>
      <c r="BK1412" s="64">
        <v>0</v>
      </c>
      <c r="BS1412" s="64">
        <v>0</v>
      </c>
      <c r="BV1412" s="65">
        <v>86460</v>
      </c>
      <c r="BW1412" s="65">
        <v>29700</v>
      </c>
      <c r="BX1412" s="65">
        <v>44749</v>
      </c>
      <c r="BY1412" s="65">
        <v>56760</v>
      </c>
      <c r="BZ1412" s="81">
        <v>65.648854961832058</v>
      </c>
    </row>
    <row r="1413" spans="1:78" x14ac:dyDescent="0.15">
      <c r="A1413" s="60">
        <v>1</v>
      </c>
      <c r="B1413" s="61">
        <v>44771</v>
      </c>
      <c r="C1413" s="61">
        <v>44804</v>
      </c>
      <c r="D1413" s="61">
        <v>44806</v>
      </c>
      <c r="F1413" s="61" t="s">
        <v>309</v>
      </c>
      <c r="G1413" s="61">
        <v>44796</v>
      </c>
      <c r="H1413" s="61" t="s">
        <v>309</v>
      </c>
      <c r="I1413" s="60" t="s">
        <v>2495</v>
      </c>
      <c r="J1413" s="60">
        <v>2</v>
      </c>
      <c r="L1413" s="60">
        <v>0</v>
      </c>
      <c r="M1413" s="61">
        <v>44749</v>
      </c>
      <c r="O1413" s="62" t="s">
        <v>331</v>
      </c>
      <c r="P1413" s="60" t="s">
        <v>26</v>
      </c>
      <c r="Q1413" s="62" t="s">
        <v>200</v>
      </c>
      <c r="R1413" s="62" t="s">
        <v>4152</v>
      </c>
      <c r="S1413" s="63" t="s">
        <v>794</v>
      </c>
      <c r="T1413" s="63" t="s">
        <v>1524</v>
      </c>
      <c r="U1413" s="64">
        <v>78600</v>
      </c>
      <c r="V1413" s="64">
        <v>86460</v>
      </c>
      <c r="W1413" s="64">
        <v>78600</v>
      </c>
      <c r="X1413" s="64">
        <v>86460</v>
      </c>
      <c r="Y1413" s="64">
        <v>0</v>
      </c>
      <c r="Z1413" s="64">
        <v>0</v>
      </c>
      <c r="AA1413" s="61">
        <v>44796</v>
      </c>
      <c r="AB1413" s="61">
        <v>44796</v>
      </c>
      <c r="AD1413" s="60">
        <v>0</v>
      </c>
      <c r="AG1413" s="60">
        <v>0</v>
      </c>
      <c r="AJ1413" s="60">
        <v>0</v>
      </c>
      <c r="AM1413" s="60" t="s">
        <v>273</v>
      </c>
      <c r="AN1413" s="60" t="s">
        <v>4127</v>
      </c>
      <c r="AQ1413" s="60" t="s">
        <v>4128</v>
      </c>
      <c r="AR1413" s="61">
        <v>44754</v>
      </c>
      <c r="AS1413" s="60">
        <v>6002051177</v>
      </c>
      <c r="AT1413" s="61">
        <v>44754</v>
      </c>
      <c r="AU1413" s="60" t="s">
        <v>3994</v>
      </c>
      <c r="AV1413" s="61">
        <v>44804</v>
      </c>
      <c r="AW1413" s="91">
        <v>44804</v>
      </c>
      <c r="AX1413" s="91">
        <v>44824</v>
      </c>
      <c r="AY1413" s="107">
        <v>78600</v>
      </c>
      <c r="AZ1413" s="107">
        <f>ROUNDDOWN(AY1413+(AY1413*MASTER!$A$2/100),0)</f>
        <v>86460</v>
      </c>
      <c r="BA1413" s="60" t="s">
        <v>613</v>
      </c>
      <c r="BB1413" s="64">
        <v>31000</v>
      </c>
      <c r="BC1413" s="64">
        <v>34100</v>
      </c>
      <c r="BD1413" s="60" t="s">
        <v>3940</v>
      </c>
      <c r="BG1413" s="64">
        <v>0</v>
      </c>
      <c r="BK1413" s="64">
        <v>0</v>
      </c>
      <c r="BS1413" s="64">
        <v>0</v>
      </c>
      <c r="BV1413" s="65">
        <v>86460</v>
      </c>
      <c r="BW1413" s="65">
        <v>34100</v>
      </c>
      <c r="BX1413" s="65">
        <v>44749</v>
      </c>
      <c r="BY1413" s="65">
        <v>52360</v>
      </c>
      <c r="BZ1413" s="81">
        <v>60.559796437659031</v>
      </c>
    </row>
    <row r="1414" spans="1:78" x14ac:dyDescent="0.15">
      <c r="A1414" s="60">
        <v>1</v>
      </c>
      <c r="B1414" s="61">
        <v>44771</v>
      </c>
      <c r="C1414" s="61">
        <v>44804</v>
      </c>
      <c r="D1414" s="61">
        <v>44806</v>
      </c>
      <c r="F1414" s="61" t="s">
        <v>309</v>
      </c>
      <c r="G1414" s="61">
        <v>44802</v>
      </c>
      <c r="H1414" s="61" t="s">
        <v>309</v>
      </c>
      <c r="I1414" s="60" t="s">
        <v>2495</v>
      </c>
      <c r="J1414" s="60">
        <v>2</v>
      </c>
      <c r="L1414" s="60">
        <v>0</v>
      </c>
      <c r="M1414" s="61">
        <v>44749</v>
      </c>
      <c r="O1414" s="62" t="s">
        <v>331</v>
      </c>
      <c r="P1414" s="60" t="s">
        <v>26</v>
      </c>
      <c r="Q1414" s="62" t="s">
        <v>200</v>
      </c>
      <c r="R1414" s="62" t="s">
        <v>4153</v>
      </c>
      <c r="S1414" s="63" t="s">
        <v>2055</v>
      </c>
      <c r="T1414" s="63" t="s">
        <v>1524</v>
      </c>
      <c r="U1414" s="64">
        <v>78600</v>
      </c>
      <c r="V1414" s="64">
        <v>86460</v>
      </c>
      <c r="W1414" s="64">
        <v>78600</v>
      </c>
      <c r="X1414" s="64">
        <v>86460</v>
      </c>
      <c r="Y1414" s="64">
        <v>0</v>
      </c>
      <c r="Z1414" s="64">
        <v>0</v>
      </c>
      <c r="AA1414" s="61">
        <v>44800</v>
      </c>
      <c r="AB1414" s="61">
        <v>44800</v>
      </c>
      <c r="AD1414" s="60">
        <v>0</v>
      </c>
      <c r="AG1414" s="60">
        <v>0</v>
      </c>
      <c r="AJ1414" s="60">
        <v>0</v>
      </c>
      <c r="AM1414" s="60" t="s">
        <v>273</v>
      </c>
      <c r="AN1414" s="60" t="s">
        <v>4127</v>
      </c>
      <c r="AQ1414" s="60" t="s">
        <v>4128</v>
      </c>
      <c r="AR1414" s="61">
        <v>44754</v>
      </c>
      <c r="AS1414" s="60">
        <v>6002051177</v>
      </c>
      <c r="AT1414" s="61">
        <v>44754</v>
      </c>
      <c r="AU1414" s="60" t="s">
        <v>3994</v>
      </c>
      <c r="AV1414" s="61">
        <v>44804</v>
      </c>
      <c r="AW1414" s="91">
        <v>44804</v>
      </c>
      <c r="AX1414" s="91">
        <v>44824</v>
      </c>
      <c r="AY1414" s="107">
        <v>78600</v>
      </c>
      <c r="AZ1414" s="107">
        <f>ROUNDDOWN(AY1414+(AY1414*MASTER!$A$2/100),0)</f>
        <v>86460</v>
      </c>
      <c r="BA1414" s="60" t="s">
        <v>613</v>
      </c>
      <c r="BB1414" s="64">
        <v>21000</v>
      </c>
      <c r="BC1414" s="64">
        <v>23100</v>
      </c>
      <c r="BD1414" s="60" t="s">
        <v>3940</v>
      </c>
      <c r="BG1414" s="64">
        <v>0</v>
      </c>
      <c r="BK1414" s="64">
        <v>0</v>
      </c>
      <c r="BS1414" s="64">
        <v>0</v>
      </c>
      <c r="BV1414" s="65">
        <v>86460</v>
      </c>
      <c r="BW1414" s="65">
        <v>23100</v>
      </c>
      <c r="BX1414" s="65">
        <v>44749</v>
      </c>
      <c r="BY1414" s="65">
        <v>63360</v>
      </c>
      <c r="BZ1414" s="81">
        <v>73.282442748091597</v>
      </c>
    </row>
    <row r="1415" spans="1:78" x14ac:dyDescent="0.15">
      <c r="A1415" s="60">
        <v>2</v>
      </c>
      <c r="B1415" s="61">
        <v>44771</v>
      </c>
      <c r="C1415" s="61">
        <v>44804</v>
      </c>
      <c r="D1415" s="61">
        <v>44806</v>
      </c>
      <c r="F1415" s="61" t="s">
        <v>309</v>
      </c>
      <c r="G1415" s="61">
        <v>44775</v>
      </c>
      <c r="H1415" s="61" t="s">
        <v>309</v>
      </c>
      <c r="I1415" s="60" t="s">
        <v>511</v>
      </c>
      <c r="J1415" s="60">
        <v>2</v>
      </c>
      <c r="L1415" s="60">
        <v>0</v>
      </c>
      <c r="M1415" s="61">
        <v>44749</v>
      </c>
      <c r="O1415" s="62" t="s">
        <v>331</v>
      </c>
      <c r="P1415" s="60" t="s">
        <v>26</v>
      </c>
      <c r="Q1415" s="62" t="s">
        <v>200</v>
      </c>
      <c r="R1415" s="62" t="s">
        <v>4154</v>
      </c>
      <c r="S1415" s="63" t="s">
        <v>348</v>
      </c>
      <c r="T1415" s="63" t="s">
        <v>1524</v>
      </c>
      <c r="U1415" s="64">
        <v>78600</v>
      </c>
      <c r="V1415" s="64">
        <v>86460</v>
      </c>
      <c r="W1415" s="64">
        <v>78600</v>
      </c>
      <c r="X1415" s="64">
        <v>86460</v>
      </c>
      <c r="Y1415" s="64">
        <v>0</v>
      </c>
      <c r="Z1415" s="64">
        <v>0</v>
      </c>
      <c r="AA1415" s="61">
        <v>44774</v>
      </c>
      <c r="AB1415" s="61">
        <v>44774</v>
      </c>
      <c r="AD1415" s="60">
        <v>0</v>
      </c>
      <c r="AG1415" s="60">
        <v>0</v>
      </c>
      <c r="AJ1415" s="60">
        <v>0</v>
      </c>
      <c r="AM1415" s="60" t="s">
        <v>273</v>
      </c>
      <c r="AN1415" s="60" t="s">
        <v>4127</v>
      </c>
      <c r="AQ1415" s="60" t="s">
        <v>4128</v>
      </c>
      <c r="AR1415" s="61">
        <v>44754</v>
      </c>
      <c r="AS1415" s="60">
        <v>6002051177</v>
      </c>
      <c r="AT1415" s="61">
        <v>44754</v>
      </c>
      <c r="AU1415" s="60" t="s">
        <v>3994</v>
      </c>
      <c r="AV1415" s="61">
        <v>44804</v>
      </c>
      <c r="AW1415" s="91">
        <v>44804</v>
      </c>
      <c r="AX1415" s="91">
        <v>44824</v>
      </c>
      <c r="AY1415" s="107">
        <v>78600</v>
      </c>
      <c r="AZ1415" s="107">
        <f>ROUNDDOWN(AY1415+(AY1415*MASTER!$A$2/100),0)</f>
        <v>86460</v>
      </c>
      <c r="BA1415" s="60" t="s">
        <v>613</v>
      </c>
      <c r="BB1415" s="64">
        <v>21000</v>
      </c>
      <c r="BC1415" s="64">
        <v>23100</v>
      </c>
      <c r="BD1415" s="60" t="s">
        <v>3940</v>
      </c>
      <c r="BG1415" s="64">
        <v>0</v>
      </c>
      <c r="BK1415" s="64">
        <v>0</v>
      </c>
      <c r="BS1415" s="64">
        <v>0</v>
      </c>
      <c r="BV1415" s="65">
        <v>86460</v>
      </c>
      <c r="BW1415" s="65">
        <v>23100</v>
      </c>
      <c r="BX1415" s="65">
        <v>44749</v>
      </c>
      <c r="BY1415" s="65">
        <v>63360</v>
      </c>
      <c r="BZ1415" s="81">
        <v>73.282442748091597</v>
      </c>
    </row>
    <row r="1416" spans="1:78" x14ac:dyDescent="0.15">
      <c r="A1416" s="60">
        <v>1</v>
      </c>
      <c r="B1416" s="61">
        <v>44771</v>
      </c>
      <c r="C1416" s="61">
        <v>44804</v>
      </c>
      <c r="D1416" s="61">
        <v>44806</v>
      </c>
      <c r="F1416" s="61" t="s">
        <v>309</v>
      </c>
      <c r="G1416" s="61">
        <v>44802</v>
      </c>
      <c r="H1416" s="61" t="s">
        <v>309</v>
      </c>
      <c r="I1416" s="60" t="s">
        <v>2495</v>
      </c>
      <c r="J1416" s="60">
        <v>2</v>
      </c>
      <c r="L1416" s="60">
        <v>0</v>
      </c>
      <c r="M1416" s="61">
        <v>44749</v>
      </c>
      <c r="O1416" s="62" t="s">
        <v>331</v>
      </c>
      <c r="P1416" s="60" t="s">
        <v>26</v>
      </c>
      <c r="Q1416" s="62" t="s">
        <v>200</v>
      </c>
      <c r="R1416" s="62" t="s">
        <v>4155</v>
      </c>
      <c r="S1416" s="63" t="s">
        <v>717</v>
      </c>
      <c r="T1416" s="63" t="s">
        <v>1524</v>
      </c>
      <c r="U1416" s="64">
        <v>78600</v>
      </c>
      <c r="V1416" s="64">
        <v>86460</v>
      </c>
      <c r="W1416" s="64">
        <v>78600</v>
      </c>
      <c r="X1416" s="64">
        <v>86460</v>
      </c>
      <c r="Y1416" s="64">
        <v>0</v>
      </c>
      <c r="Z1416" s="64">
        <v>0</v>
      </c>
      <c r="AA1416" s="61">
        <v>44800</v>
      </c>
      <c r="AB1416" s="61">
        <v>44800</v>
      </c>
      <c r="AD1416" s="60">
        <v>0</v>
      </c>
      <c r="AG1416" s="60">
        <v>0</v>
      </c>
      <c r="AJ1416" s="60">
        <v>0</v>
      </c>
      <c r="AM1416" s="60" t="s">
        <v>273</v>
      </c>
      <c r="AN1416" s="60" t="s">
        <v>4127</v>
      </c>
      <c r="AQ1416" s="60" t="s">
        <v>4128</v>
      </c>
      <c r="AR1416" s="61">
        <v>44754</v>
      </c>
      <c r="AS1416" s="60">
        <v>6002051177</v>
      </c>
      <c r="AT1416" s="61">
        <v>44754</v>
      </c>
      <c r="AU1416" s="60" t="s">
        <v>3994</v>
      </c>
      <c r="AV1416" s="61">
        <v>44804</v>
      </c>
      <c r="AW1416" s="91">
        <v>44804</v>
      </c>
      <c r="AX1416" s="91">
        <v>44824</v>
      </c>
      <c r="AY1416" s="107">
        <v>78600</v>
      </c>
      <c r="AZ1416" s="107">
        <f>ROUNDDOWN(AY1416+(AY1416*MASTER!$A$2/100),0)</f>
        <v>86460</v>
      </c>
      <c r="BA1416" s="60" t="s">
        <v>613</v>
      </c>
      <c r="BB1416" s="64">
        <v>21000</v>
      </c>
      <c r="BC1416" s="64">
        <v>23100</v>
      </c>
      <c r="BD1416" s="60" t="s">
        <v>3940</v>
      </c>
      <c r="BG1416" s="64">
        <v>0</v>
      </c>
      <c r="BK1416" s="64">
        <v>0</v>
      </c>
      <c r="BS1416" s="64">
        <v>0</v>
      </c>
      <c r="BV1416" s="65">
        <v>86460</v>
      </c>
      <c r="BW1416" s="65">
        <v>23100</v>
      </c>
      <c r="BX1416" s="65">
        <v>44749</v>
      </c>
      <c r="BY1416" s="65">
        <v>63360</v>
      </c>
      <c r="BZ1416" s="81">
        <v>73.282442748091597</v>
      </c>
    </row>
    <row r="1417" spans="1:78" x14ac:dyDescent="0.15">
      <c r="A1417" s="60">
        <v>2</v>
      </c>
      <c r="B1417" s="61">
        <v>44771</v>
      </c>
      <c r="C1417" s="61">
        <v>44804</v>
      </c>
      <c r="D1417" s="61">
        <v>44783</v>
      </c>
      <c r="F1417" s="61" t="s">
        <v>309</v>
      </c>
      <c r="G1417" s="61">
        <v>44775</v>
      </c>
      <c r="H1417" s="61" t="s">
        <v>309</v>
      </c>
      <c r="I1417" s="60" t="s">
        <v>4276</v>
      </c>
      <c r="J1417" s="60">
        <v>2</v>
      </c>
      <c r="L1417" s="60">
        <v>0</v>
      </c>
      <c r="M1417" s="61">
        <v>44749</v>
      </c>
      <c r="O1417" s="62" t="s">
        <v>331</v>
      </c>
      <c r="P1417" s="60" t="s">
        <v>26</v>
      </c>
      <c r="Q1417" s="62" t="s">
        <v>200</v>
      </c>
      <c r="R1417" s="62" t="s">
        <v>4156</v>
      </c>
      <c r="S1417" s="63" t="s">
        <v>732</v>
      </c>
      <c r="T1417" s="63" t="s">
        <v>1524</v>
      </c>
      <c r="U1417" s="64">
        <v>78600</v>
      </c>
      <c r="V1417" s="64">
        <v>86460</v>
      </c>
      <c r="W1417" s="64">
        <v>78600</v>
      </c>
      <c r="X1417" s="64">
        <v>86460</v>
      </c>
      <c r="Y1417" s="64">
        <v>0</v>
      </c>
      <c r="Z1417" s="64">
        <v>0</v>
      </c>
      <c r="AA1417" s="61">
        <v>44774</v>
      </c>
      <c r="AB1417" s="61">
        <v>44774</v>
      </c>
      <c r="AD1417" s="60">
        <v>0</v>
      </c>
      <c r="AG1417" s="60">
        <v>0</v>
      </c>
      <c r="AJ1417" s="60">
        <v>0</v>
      </c>
      <c r="AM1417" s="60" t="s">
        <v>273</v>
      </c>
      <c r="AN1417" s="60" t="s">
        <v>4127</v>
      </c>
      <c r="AQ1417" s="60" t="s">
        <v>4128</v>
      </c>
      <c r="AR1417" s="61">
        <v>44754</v>
      </c>
      <c r="AS1417" s="60">
        <v>6002051177</v>
      </c>
      <c r="AT1417" s="61">
        <v>44754</v>
      </c>
      <c r="AU1417" s="60" t="s">
        <v>3994</v>
      </c>
      <c r="AV1417" s="61">
        <v>44804</v>
      </c>
      <c r="AW1417" s="91">
        <v>44804</v>
      </c>
      <c r="AX1417" s="91">
        <v>44824</v>
      </c>
      <c r="AY1417" s="107">
        <v>78600</v>
      </c>
      <c r="AZ1417" s="107">
        <f>ROUNDDOWN(AY1417+(AY1417*MASTER!$A$2/100),0)</f>
        <v>86460</v>
      </c>
      <c r="BA1417" s="60" t="s">
        <v>107</v>
      </c>
      <c r="BC1417" s="64">
        <v>0</v>
      </c>
      <c r="BG1417" s="64">
        <v>0</v>
      </c>
      <c r="BK1417" s="64">
        <v>0</v>
      </c>
      <c r="BS1417" s="64">
        <v>0</v>
      </c>
      <c r="BV1417" s="65">
        <v>86460</v>
      </c>
      <c r="BW1417" s="65">
        <v>0</v>
      </c>
      <c r="BX1417" s="65">
        <v>44749</v>
      </c>
      <c r="BY1417" s="65">
        <v>86460</v>
      </c>
      <c r="BZ1417" s="81">
        <v>100</v>
      </c>
    </row>
    <row r="1418" spans="1:78" x14ac:dyDescent="0.15">
      <c r="A1418" s="60">
        <v>2</v>
      </c>
      <c r="B1418" s="61">
        <v>44771</v>
      </c>
      <c r="C1418" s="61">
        <v>44804</v>
      </c>
      <c r="D1418" s="61">
        <v>44783</v>
      </c>
      <c r="F1418" s="61" t="s">
        <v>309</v>
      </c>
      <c r="G1418" s="61">
        <v>44776</v>
      </c>
      <c r="H1418" s="61" t="s">
        <v>309</v>
      </c>
      <c r="I1418" s="60" t="s">
        <v>4277</v>
      </c>
      <c r="J1418" s="60">
        <v>2</v>
      </c>
      <c r="L1418" s="60">
        <v>0</v>
      </c>
      <c r="M1418" s="61">
        <v>44749</v>
      </c>
      <c r="O1418" s="62" t="s">
        <v>331</v>
      </c>
      <c r="P1418" s="60" t="s">
        <v>26</v>
      </c>
      <c r="Q1418" s="62" t="s">
        <v>200</v>
      </c>
      <c r="R1418" s="62" t="s">
        <v>4157</v>
      </c>
      <c r="S1418" s="63" t="s">
        <v>1510</v>
      </c>
      <c r="T1418" s="63" t="s">
        <v>1524</v>
      </c>
      <c r="U1418" s="64">
        <v>78600</v>
      </c>
      <c r="V1418" s="64">
        <v>86460</v>
      </c>
      <c r="W1418" s="64">
        <v>78600</v>
      </c>
      <c r="X1418" s="64">
        <v>86460</v>
      </c>
      <c r="Y1418" s="64">
        <v>0</v>
      </c>
      <c r="Z1418" s="64">
        <v>0</v>
      </c>
      <c r="AA1418" s="61">
        <v>44776</v>
      </c>
      <c r="AB1418" s="61">
        <v>44776</v>
      </c>
      <c r="AD1418" s="60">
        <v>0</v>
      </c>
      <c r="AG1418" s="60">
        <v>0</v>
      </c>
      <c r="AJ1418" s="60">
        <v>0</v>
      </c>
      <c r="AM1418" s="60" t="s">
        <v>273</v>
      </c>
      <c r="AN1418" s="60" t="s">
        <v>4127</v>
      </c>
      <c r="AQ1418" s="60" t="s">
        <v>4128</v>
      </c>
      <c r="AR1418" s="61">
        <v>44754</v>
      </c>
      <c r="AS1418" s="60">
        <v>6002051177</v>
      </c>
      <c r="AT1418" s="61">
        <v>44754</v>
      </c>
      <c r="AU1418" s="60" t="s">
        <v>3994</v>
      </c>
      <c r="AV1418" s="61">
        <v>44804</v>
      </c>
      <c r="AW1418" s="91">
        <v>44804</v>
      </c>
      <c r="AX1418" s="91">
        <v>44824</v>
      </c>
      <c r="AY1418" s="107">
        <v>78600</v>
      </c>
      <c r="AZ1418" s="107">
        <f>ROUNDDOWN(AY1418+(AY1418*MASTER!$A$2/100),0)</f>
        <v>86460</v>
      </c>
      <c r="BA1418" s="60" t="s">
        <v>765</v>
      </c>
      <c r="BC1418" s="64">
        <v>0</v>
      </c>
      <c r="BG1418" s="64">
        <v>0</v>
      </c>
      <c r="BK1418" s="64">
        <v>0</v>
      </c>
      <c r="BS1418" s="64">
        <v>0</v>
      </c>
      <c r="BV1418" s="65">
        <v>86460</v>
      </c>
      <c r="BW1418" s="65">
        <v>0</v>
      </c>
      <c r="BX1418" s="65">
        <v>44749</v>
      </c>
      <c r="BY1418" s="65">
        <v>86460</v>
      </c>
      <c r="BZ1418" s="81">
        <v>100</v>
      </c>
    </row>
    <row r="1419" spans="1:78" x14ac:dyDescent="0.15">
      <c r="A1419" s="60">
        <v>2</v>
      </c>
      <c r="B1419" s="61">
        <v>44771</v>
      </c>
      <c r="C1419" s="61">
        <v>44804</v>
      </c>
      <c r="D1419" s="61">
        <v>44783</v>
      </c>
      <c r="F1419" s="61" t="s">
        <v>309</v>
      </c>
      <c r="G1419" s="61">
        <v>44776</v>
      </c>
      <c r="H1419" s="61" t="s">
        <v>309</v>
      </c>
      <c r="I1419" s="60" t="s">
        <v>4276</v>
      </c>
      <c r="J1419" s="60">
        <v>2</v>
      </c>
      <c r="L1419" s="60">
        <v>0</v>
      </c>
      <c r="M1419" s="61">
        <v>44749</v>
      </c>
      <c r="O1419" s="62" t="s">
        <v>331</v>
      </c>
      <c r="P1419" s="60" t="s">
        <v>26</v>
      </c>
      <c r="Q1419" s="62" t="s">
        <v>200</v>
      </c>
      <c r="R1419" s="62" t="s">
        <v>4158</v>
      </c>
      <c r="S1419" s="63" t="s">
        <v>3934</v>
      </c>
      <c r="T1419" s="63" t="s">
        <v>1524</v>
      </c>
      <c r="U1419" s="64">
        <v>78600</v>
      </c>
      <c r="V1419" s="64">
        <v>86460</v>
      </c>
      <c r="W1419" s="64">
        <v>78600</v>
      </c>
      <c r="X1419" s="64">
        <v>86460</v>
      </c>
      <c r="Y1419" s="64">
        <v>0</v>
      </c>
      <c r="Z1419" s="64">
        <v>0</v>
      </c>
      <c r="AA1419" s="61">
        <v>44776</v>
      </c>
      <c r="AB1419" s="61">
        <v>44776</v>
      </c>
      <c r="AD1419" s="60">
        <v>0</v>
      </c>
      <c r="AG1419" s="60">
        <v>0</v>
      </c>
      <c r="AJ1419" s="60">
        <v>0</v>
      </c>
      <c r="AM1419" s="60" t="s">
        <v>273</v>
      </c>
      <c r="AN1419" s="60" t="s">
        <v>4127</v>
      </c>
      <c r="AQ1419" s="60" t="s">
        <v>4128</v>
      </c>
      <c r="AR1419" s="61">
        <v>44754</v>
      </c>
      <c r="AS1419" s="60">
        <v>6002051177</v>
      </c>
      <c r="AT1419" s="61">
        <v>44754</v>
      </c>
      <c r="AU1419" s="60" t="s">
        <v>3994</v>
      </c>
      <c r="AV1419" s="61">
        <v>44804</v>
      </c>
      <c r="AW1419" s="91">
        <v>44804</v>
      </c>
      <c r="AX1419" s="91">
        <v>44824</v>
      </c>
      <c r="AY1419" s="107">
        <v>78600</v>
      </c>
      <c r="AZ1419" s="107">
        <f>ROUNDDOWN(AY1419+(AY1419*MASTER!$A$2/100),0)</f>
        <v>86460</v>
      </c>
      <c r="BA1419" s="60" t="s">
        <v>107</v>
      </c>
      <c r="BC1419" s="64">
        <v>0</v>
      </c>
      <c r="BG1419" s="64">
        <v>0</v>
      </c>
      <c r="BK1419" s="64">
        <v>0</v>
      </c>
      <c r="BS1419" s="64">
        <v>0</v>
      </c>
      <c r="BV1419" s="65">
        <v>86460</v>
      </c>
      <c r="BW1419" s="65">
        <v>0</v>
      </c>
      <c r="BX1419" s="65">
        <v>44749</v>
      </c>
      <c r="BY1419" s="65">
        <v>86460</v>
      </c>
      <c r="BZ1419" s="81">
        <v>100</v>
      </c>
    </row>
    <row r="1420" spans="1:78" x14ac:dyDescent="0.15">
      <c r="A1420" s="60">
        <v>2</v>
      </c>
      <c r="B1420" s="61">
        <v>44771</v>
      </c>
      <c r="C1420" s="61">
        <v>44804</v>
      </c>
      <c r="D1420" s="61">
        <v>44783</v>
      </c>
      <c r="F1420" s="61" t="s">
        <v>309</v>
      </c>
      <c r="G1420" s="61">
        <v>44777</v>
      </c>
      <c r="H1420" s="61" t="s">
        <v>309</v>
      </c>
      <c r="I1420" s="60" t="s">
        <v>4277</v>
      </c>
      <c r="J1420" s="60">
        <v>2</v>
      </c>
      <c r="L1420" s="60">
        <v>0</v>
      </c>
      <c r="M1420" s="61">
        <v>44749</v>
      </c>
      <c r="O1420" s="62" t="s">
        <v>331</v>
      </c>
      <c r="P1420" s="60" t="s">
        <v>26</v>
      </c>
      <c r="Q1420" s="62" t="s">
        <v>200</v>
      </c>
      <c r="R1420" s="62" t="s">
        <v>4159</v>
      </c>
      <c r="S1420" s="63" t="s">
        <v>3935</v>
      </c>
      <c r="T1420" s="63" t="s">
        <v>1524</v>
      </c>
      <c r="U1420" s="64">
        <v>78600</v>
      </c>
      <c r="V1420" s="64">
        <v>86460</v>
      </c>
      <c r="W1420" s="64">
        <v>78600</v>
      </c>
      <c r="X1420" s="64">
        <v>86460</v>
      </c>
      <c r="Y1420" s="64">
        <v>0</v>
      </c>
      <c r="Z1420" s="64">
        <v>0</v>
      </c>
      <c r="AA1420" s="61">
        <v>44777</v>
      </c>
      <c r="AB1420" s="61">
        <v>44777</v>
      </c>
      <c r="AD1420" s="60">
        <v>0</v>
      </c>
      <c r="AG1420" s="60">
        <v>0</v>
      </c>
      <c r="AJ1420" s="60">
        <v>0</v>
      </c>
      <c r="AM1420" s="60" t="s">
        <v>273</v>
      </c>
      <c r="AN1420" s="60" t="s">
        <v>4127</v>
      </c>
      <c r="AQ1420" s="60" t="s">
        <v>4128</v>
      </c>
      <c r="AR1420" s="61">
        <v>44754</v>
      </c>
      <c r="AS1420" s="60">
        <v>6002051177</v>
      </c>
      <c r="AT1420" s="61">
        <v>44754</v>
      </c>
      <c r="AU1420" s="60" t="s">
        <v>3994</v>
      </c>
      <c r="AV1420" s="61">
        <v>44804</v>
      </c>
      <c r="AW1420" s="91">
        <v>44804</v>
      </c>
      <c r="AX1420" s="91">
        <v>44824</v>
      </c>
      <c r="AY1420" s="107">
        <v>78600</v>
      </c>
      <c r="AZ1420" s="107">
        <f>ROUNDDOWN(AY1420+(AY1420*MASTER!$A$2/100),0)</f>
        <v>86460</v>
      </c>
      <c r="BA1420" s="60" t="s">
        <v>765</v>
      </c>
      <c r="BC1420" s="64">
        <v>0</v>
      </c>
      <c r="BG1420" s="64">
        <v>0</v>
      </c>
      <c r="BK1420" s="64">
        <v>0</v>
      </c>
      <c r="BS1420" s="64">
        <v>0</v>
      </c>
      <c r="BV1420" s="65">
        <v>86460</v>
      </c>
      <c r="BW1420" s="65">
        <v>0</v>
      </c>
      <c r="BX1420" s="65">
        <v>44749</v>
      </c>
      <c r="BY1420" s="65">
        <v>86460</v>
      </c>
      <c r="BZ1420" s="81">
        <v>100</v>
      </c>
    </row>
    <row r="1421" spans="1:78" x14ac:dyDescent="0.15">
      <c r="A1421" s="60">
        <v>2</v>
      </c>
      <c r="B1421" s="61">
        <v>44771</v>
      </c>
      <c r="C1421" s="61">
        <v>44804</v>
      </c>
      <c r="D1421" s="61">
        <v>44783</v>
      </c>
      <c r="F1421" s="61" t="s">
        <v>309</v>
      </c>
      <c r="G1421" s="61">
        <v>44775</v>
      </c>
      <c r="H1421" s="61" t="s">
        <v>309</v>
      </c>
      <c r="I1421" s="60" t="s">
        <v>4277</v>
      </c>
      <c r="J1421" s="60">
        <v>2</v>
      </c>
      <c r="L1421" s="60">
        <v>0</v>
      </c>
      <c r="M1421" s="61">
        <v>44749</v>
      </c>
      <c r="O1421" s="62" t="s">
        <v>331</v>
      </c>
      <c r="P1421" s="60" t="s">
        <v>26</v>
      </c>
      <c r="Q1421" s="62" t="s">
        <v>200</v>
      </c>
      <c r="R1421" s="62" t="s">
        <v>4160</v>
      </c>
      <c r="S1421" s="63" t="s">
        <v>3936</v>
      </c>
      <c r="T1421" s="63" t="s">
        <v>1524</v>
      </c>
      <c r="U1421" s="64">
        <v>78600</v>
      </c>
      <c r="V1421" s="64">
        <v>86460</v>
      </c>
      <c r="W1421" s="64">
        <v>78600</v>
      </c>
      <c r="X1421" s="64">
        <v>86460</v>
      </c>
      <c r="Y1421" s="64">
        <v>0</v>
      </c>
      <c r="Z1421" s="64">
        <v>0</v>
      </c>
      <c r="AA1421" s="61">
        <v>44774</v>
      </c>
      <c r="AB1421" s="61">
        <v>44774</v>
      </c>
      <c r="AD1421" s="60">
        <v>0</v>
      </c>
      <c r="AG1421" s="60">
        <v>0</v>
      </c>
      <c r="AJ1421" s="60">
        <v>0</v>
      </c>
      <c r="AM1421" s="60" t="s">
        <v>273</v>
      </c>
      <c r="AN1421" s="60" t="s">
        <v>4127</v>
      </c>
      <c r="AQ1421" s="60" t="s">
        <v>4128</v>
      </c>
      <c r="AR1421" s="61">
        <v>44754</v>
      </c>
      <c r="AS1421" s="60">
        <v>6002051177</v>
      </c>
      <c r="AT1421" s="61">
        <v>44754</v>
      </c>
      <c r="AU1421" s="60" t="s">
        <v>3994</v>
      </c>
      <c r="AV1421" s="61">
        <v>44804</v>
      </c>
      <c r="AW1421" s="91">
        <v>44804</v>
      </c>
      <c r="AX1421" s="91">
        <v>44824</v>
      </c>
      <c r="AY1421" s="107">
        <v>78600</v>
      </c>
      <c r="AZ1421" s="107">
        <f>ROUNDDOWN(AY1421+(AY1421*MASTER!$A$2/100),0)</f>
        <v>86460</v>
      </c>
      <c r="BA1421" s="60" t="s">
        <v>765</v>
      </c>
      <c r="BC1421" s="64">
        <v>0</v>
      </c>
      <c r="BG1421" s="64">
        <v>0</v>
      </c>
      <c r="BK1421" s="64">
        <v>0</v>
      </c>
      <c r="BS1421" s="64">
        <v>0</v>
      </c>
      <c r="BV1421" s="65">
        <v>86460</v>
      </c>
      <c r="BW1421" s="65">
        <v>0</v>
      </c>
      <c r="BX1421" s="65">
        <v>44749</v>
      </c>
      <c r="BY1421" s="65">
        <v>86460</v>
      </c>
      <c r="BZ1421" s="81">
        <v>100</v>
      </c>
    </row>
    <row r="1422" spans="1:78" x14ac:dyDescent="0.15">
      <c r="A1422" s="60">
        <v>1</v>
      </c>
      <c r="B1422" s="61">
        <v>44771</v>
      </c>
      <c r="C1422" s="61">
        <v>44804</v>
      </c>
      <c r="D1422" s="61">
        <v>44809</v>
      </c>
      <c r="F1422" s="61" t="s">
        <v>309</v>
      </c>
      <c r="G1422" s="61">
        <v>44790</v>
      </c>
      <c r="H1422" s="61" t="s">
        <v>309</v>
      </c>
      <c r="I1422" s="60" t="s">
        <v>4276</v>
      </c>
      <c r="J1422" s="60">
        <v>2</v>
      </c>
      <c r="L1422" s="60">
        <v>0</v>
      </c>
      <c r="M1422" s="61">
        <v>44749</v>
      </c>
      <c r="O1422" s="62" t="s">
        <v>331</v>
      </c>
      <c r="P1422" s="60" t="s">
        <v>26</v>
      </c>
      <c r="Q1422" s="62" t="s">
        <v>200</v>
      </c>
      <c r="R1422" s="62" t="s">
        <v>4161</v>
      </c>
      <c r="S1422" s="63" t="s">
        <v>1255</v>
      </c>
      <c r="T1422" s="63" t="s">
        <v>1524</v>
      </c>
      <c r="U1422" s="64">
        <v>78600</v>
      </c>
      <c r="V1422" s="64">
        <v>86460</v>
      </c>
      <c r="W1422" s="64">
        <v>78600</v>
      </c>
      <c r="X1422" s="64">
        <v>86460</v>
      </c>
      <c r="Y1422" s="64">
        <v>0</v>
      </c>
      <c r="Z1422" s="64">
        <v>0</v>
      </c>
      <c r="AA1422" s="61">
        <v>44790</v>
      </c>
      <c r="AB1422" s="61">
        <v>44790</v>
      </c>
      <c r="AD1422" s="60">
        <v>0</v>
      </c>
      <c r="AG1422" s="60">
        <v>0</v>
      </c>
      <c r="AJ1422" s="60">
        <v>0</v>
      </c>
      <c r="AM1422" s="60" t="s">
        <v>273</v>
      </c>
      <c r="AN1422" s="60" t="s">
        <v>4127</v>
      </c>
      <c r="AQ1422" s="60" t="s">
        <v>4128</v>
      </c>
      <c r="AR1422" s="61">
        <v>44754</v>
      </c>
      <c r="AS1422" s="60">
        <v>6002051177</v>
      </c>
      <c r="AT1422" s="61">
        <v>44754</v>
      </c>
      <c r="AU1422" s="60" t="s">
        <v>3994</v>
      </c>
      <c r="AV1422" s="61">
        <v>44804</v>
      </c>
      <c r="AW1422" s="91">
        <v>44804</v>
      </c>
      <c r="AX1422" s="91">
        <v>44824</v>
      </c>
      <c r="AY1422" s="107">
        <v>78600</v>
      </c>
      <c r="AZ1422" s="107">
        <f>ROUNDDOWN(AY1422+(AY1422*MASTER!$A$2/100),0)</f>
        <v>86460</v>
      </c>
      <c r="BA1422" s="60" t="s">
        <v>317</v>
      </c>
      <c r="BB1422" s="64">
        <v>29000</v>
      </c>
      <c r="BC1422" s="64">
        <v>31900</v>
      </c>
      <c r="BD1422" s="60" t="s">
        <v>3940</v>
      </c>
      <c r="BG1422" s="64">
        <v>0</v>
      </c>
      <c r="BK1422" s="64">
        <v>0</v>
      </c>
      <c r="BS1422" s="64">
        <v>0</v>
      </c>
      <c r="BV1422" s="65">
        <v>86460</v>
      </c>
      <c r="BW1422" s="65">
        <v>31900</v>
      </c>
      <c r="BX1422" s="65">
        <v>44749</v>
      </c>
      <c r="BY1422" s="65">
        <v>54560</v>
      </c>
      <c r="BZ1422" s="81">
        <v>63.104325699745544</v>
      </c>
    </row>
    <row r="1423" spans="1:78" x14ac:dyDescent="0.15">
      <c r="A1423" s="60">
        <v>1</v>
      </c>
      <c r="B1423" s="61">
        <v>44771</v>
      </c>
      <c r="C1423" s="61">
        <v>44804</v>
      </c>
      <c r="D1423" s="61">
        <v>44809</v>
      </c>
      <c r="F1423" s="61" t="s">
        <v>309</v>
      </c>
      <c r="G1423" s="61">
        <v>44790</v>
      </c>
      <c r="H1423" s="61" t="s">
        <v>309</v>
      </c>
      <c r="I1423" s="60" t="s">
        <v>4277</v>
      </c>
      <c r="J1423" s="60">
        <v>2</v>
      </c>
      <c r="L1423" s="60">
        <v>0</v>
      </c>
      <c r="M1423" s="61">
        <v>44749</v>
      </c>
      <c r="O1423" s="62" t="s">
        <v>331</v>
      </c>
      <c r="P1423" s="60" t="s">
        <v>26</v>
      </c>
      <c r="Q1423" s="62" t="s">
        <v>200</v>
      </c>
      <c r="R1423" s="62" t="s">
        <v>4162</v>
      </c>
      <c r="S1423" s="63" t="s">
        <v>2659</v>
      </c>
      <c r="T1423" s="63" t="s">
        <v>1524</v>
      </c>
      <c r="U1423" s="64">
        <v>78600</v>
      </c>
      <c r="V1423" s="64">
        <v>86460</v>
      </c>
      <c r="W1423" s="64">
        <v>78600</v>
      </c>
      <c r="X1423" s="64">
        <v>86460</v>
      </c>
      <c r="Y1423" s="64">
        <v>0</v>
      </c>
      <c r="Z1423" s="64">
        <v>0</v>
      </c>
      <c r="AA1423" s="61">
        <v>44790</v>
      </c>
      <c r="AB1423" s="61">
        <v>44790</v>
      </c>
      <c r="AD1423" s="60">
        <v>0</v>
      </c>
      <c r="AG1423" s="60">
        <v>0</v>
      </c>
      <c r="AJ1423" s="60">
        <v>0</v>
      </c>
      <c r="AM1423" s="60" t="s">
        <v>273</v>
      </c>
      <c r="AN1423" s="60" t="s">
        <v>4127</v>
      </c>
      <c r="AQ1423" s="60" t="s">
        <v>4128</v>
      </c>
      <c r="AR1423" s="61">
        <v>44754</v>
      </c>
      <c r="AS1423" s="60">
        <v>6002051177</v>
      </c>
      <c r="AT1423" s="61">
        <v>44754</v>
      </c>
      <c r="AU1423" s="60" t="s">
        <v>3994</v>
      </c>
      <c r="AV1423" s="61">
        <v>44804</v>
      </c>
      <c r="AW1423" s="91">
        <v>44804</v>
      </c>
      <c r="AX1423" s="91">
        <v>44824</v>
      </c>
      <c r="AY1423" s="107">
        <v>78600</v>
      </c>
      <c r="AZ1423" s="107">
        <f>ROUNDDOWN(AY1423+(AY1423*MASTER!$A$2/100),0)</f>
        <v>86460</v>
      </c>
      <c r="BA1423" s="60" t="s">
        <v>317</v>
      </c>
      <c r="BB1423" s="64">
        <v>30000</v>
      </c>
      <c r="BC1423" s="64">
        <v>33000</v>
      </c>
      <c r="BD1423" s="60" t="s">
        <v>3940</v>
      </c>
      <c r="BG1423" s="64">
        <v>0</v>
      </c>
      <c r="BK1423" s="64">
        <v>0</v>
      </c>
      <c r="BS1423" s="64">
        <v>0</v>
      </c>
      <c r="BV1423" s="65">
        <v>86460</v>
      </c>
      <c r="BW1423" s="65">
        <v>33000</v>
      </c>
      <c r="BX1423" s="65">
        <v>44749</v>
      </c>
      <c r="BY1423" s="65">
        <v>53460</v>
      </c>
      <c r="BZ1423" s="81">
        <v>61.832061068702295</v>
      </c>
    </row>
    <row r="1424" spans="1:78" x14ac:dyDescent="0.15">
      <c r="A1424" s="60">
        <v>1</v>
      </c>
      <c r="B1424" s="61">
        <v>44771</v>
      </c>
      <c r="C1424" s="61">
        <v>44804</v>
      </c>
      <c r="D1424" s="61">
        <v>44809</v>
      </c>
      <c r="F1424" s="61" t="s">
        <v>309</v>
      </c>
      <c r="G1424" s="61">
        <v>44790</v>
      </c>
      <c r="H1424" s="61" t="s">
        <v>309</v>
      </c>
      <c r="I1424" s="60" t="s">
        <v>4276</v>
      </c>
      <c r="J1424" s="60">
        <v>2</v>
      </c>
      <c r="L1424" s="60">
        <v>0</v>
      </c>
      <c r="M1424" s="61">
        <v>44749</v>
      </c>
      <c r="O1424" s="62" t="s">
        <v>331</v>
      </c>
      <c r="P1424" s="60" t="s">
        <v>26</v>
      </c>
      <c r="Q1424" s="62" t="s">
        <v>200</v>
      </c>
      <c r="R1424" s="62" t="s">
        <v>4163</v>
      </c>
      <c r="S1424" s="63" t="s">
        <v>3937</v>
      </c>
      <c r="T1424" s="63" t="s">
        <v>1524</v>
      </c>
      <c r="U1424" s="64">
        <v>78600</v>
      </c>
      <c r="V1424" s="64">
        <v>86460</v>
      </c>
      <c r="W1424" s="64">
        <v>78600</v>
      </c>
      <c r="X1424" s="64">
        <v>86460</v>
      </c>
      <c r="Y1424" s="64">
        <v>0</v>
      </c>
      <c r="Z1424" s="64">
        <v>0</v>
      </c>
      <c r="AA1424" s="61">
        <v>44790</v>
      </c>
      <c r="AB1424" s="61">
        <v>44790</v>
      </c>
      <c r="AD1424" s="60">
        <v>0</v>
      </c>
      <c r="AG1424" s="60">
        <v>0</v>
      </c>
      <c r="AJ1424" s="60">
        <v>0</v>
      </c>
      <c r="AM1424" s="60" t="s">
        <v>273</v>
      </c>
      <c r="AN1424" s="60" t="s">
        <v>4127</v>
      </c>
      <c r="AQ1424" s="60" t="s">
        <v>4128</v>
      </c>
      <c r="AR1424" s="61">
        <v>44754</v>
      </c>
      <c r="AS1424" s="60">
        <v>6002051177</v>
      </c>
      <c r="AT1424" s="61">
        <v>44754</v>
      </c>
      <c r="AU1424" s="60" t="s">
        <v>3994</v>
      </c>
      <c r="AV1424" s="61">
        <v>44804</v>
      </c>
      <c r="AW1424" s="91">
        <v>44804</v>
      </c>
      <c r="AX1424" s="91">
        <v>44824</v>
      </c>
      <c r="AY1424" s="107">
        <v>78600</v>
      </c>
      <c r="AZ1424" s="107">
        <f>ROUNDDOWN(AY1424+(AY1424*MASTER!$A$2/100),0)</f>
        <v>86460</v>
      </c>
      <c r="BA1424" s="60" t="s">
        <v>317</v>
      </c>
      <c r="BB1424" s="64">
        <v>30000</v>
      </c>
      <c r="BC1424" s="64">
        <v>33000</v>
      </c>
      <c r="BD1424" s="60" t="s">
        <v>3940</v>
      </c>
      <c r="BG1424" s="64">
        <v>0</v>
      </c>
      <c r="BK1424" s="64">
        <v>0</v>
      </c>
      <c r="BS1424" s="64">
        <v>0</v>
      </c>
      <c r="BV1424" s="65">
        <v>86460</v>
      </c>
      <c r="BW1424" s="65">
        <v>33000</v>
      </c>
      <c r="BX1424" s="65">
        <v>44749</v>
      </c>
      <c r="BY1424" s="65">
        <v>53460</v>
      </c>
      <c r="BZ1424" s="81">
        <v>61.832061068702295</v>
      </c>
    </row>
    <row r="1425" spans="1:82" x14ac:dyDescent="0.15">
      <c r="A1425" s="60">
        <v>1</v>
      </c>
      <c r="B1425" s="61">
        <v>44771</v>
      </c>
      <c r="C1425" s="61">
        <v>44804</v>
      </c>
      <c r="D1425" s="61">
        <v>44809</v>
      </c>
      <c r="F1425" s="61" t="s">
        <v>309</v>
      </c>
      <c r="G1425" s="61">
        <v>44790</v>
      </c>
      <c r="H1425" s="61" t="s">
        <v>309</v>
      </c>
      <c r="I1425" s="60" t="s">
        <v>4276</v>
      </c>
      <c r="J1425" s="60">
        <v>2</v>
      </c>
      <c r="L1425" s="60">
        <v>0</v>
      </c>
      <c r="M1425" s="61">
        <v>44749</v>
      </c>
      <c r="O1425" s="62" t="s">
        <v>331</v>
      </c>
      <c r="P1425" s="60" t="s">
        <v>26</v>
      </c>
      <c r="Q1425" s="62" t="s">
        <v>200</v>
      </c>
      <c r="R1425" s="62" t="s">
        <v>4164</v>
      </c>
      <c r="S1425" s="63" t="s">
        <v>988</v>
      </c>
      <c r="T1425" s="63" t="s">
        <v>1524</v>
      </c>
      <c r="U1425" s="64">
        <v>78600</v>
      </c>
      <c r="V1425" s="64">
        <v>86460</v>
      </c>
      <c r="W1425" s="64">
        <v>78600</v>
      </c>
      <c r="X1425" s="64">
        <v>86460</v>
      </c>
      <c r="Y1425" s="64">
        <v>0</v>
      </c>
      <c r="Z1425" s="64">
        <v>0</v>
      </c>
      <c r="AA1425" s="61">
        <v>44790</v>
      </c>
      <c r="AB1425" s="61">
        <v>44790</v>
      </c>
      <c r="AD1425" s="60">
        <v>0</v>
      </c>
      <c r="AG1425" s="60">
        <v>0</v>
      </c>
      <c r="AJ1425" s="60">
        <v>0</v>
      </c>
      <c r="AM1425" s="60" t="s">
        <v>273</v>
      </c>
      <c r="AN1425" s="60" t="s">
        <v>4127</v>
      </c>
      <c r="AQ1425" s="60" t="s">
        <v>4128</v>
      </c>
      <c r="AR1425" s="61">
        <v>44754</v>
      </c>
      <c r="AS1425" s="60">
        <v>6002051177</v>
      </c>
      <c r="AT1425" s="61">
        <v>44754</v>
      </c>
      <c r="AU1425" s="60" t="s">
        <v>3994</v>
      </c>
      <c r="AV1425" s="61">
        <v>44804</v>
      </c>
      <c r="AW1425" s="91">
        <v>44804</v>
      </c>
      <c r="AX1425" s="91">
        <v>44824</v>
      </c>
      <c r="AY1425" s="107">
        <v>78600</v>
      </c>
      <c r="AZ1425" s="107">
        <f>ROUNDDOWN(AY1425+(AY1425*MASTER!$A$2/100),0)</f>
        <v>86460</v>
      </c>
      <c r="BA1425" s="60" t="s">
        <v>317</v>
      </c>
      <c r="BB1425" s="64">
        <v>29000</v>
      </c>
      <c r="BC1425" s="64">
        <v>31900</v>
      </c>
      <c r="BD1425" s="60" t="s">
        <v>3940</v>
      </c>
      <c r="BG1425" s="64">
        <v>0</v>
      </c>
      <c r="BK1425" s="64">
        <v>0</v>
      </c>
      <c r="BS1425" s="64">
        <v>0</v>
      </c>
      <c r="BV1425" s="65">
        <v>86460</v>
      </c>
      <c r="BW1425" s="65">
        <v>31900</v>
      </c>
      <c r="BX1425" s="65">
        <v>44749</v>
      </c>
      <c r="BY1425" s="65">
        <v>54560</v>
      </c>
      <c r="BZ1425" s="81">
        <v>63.104325699745544</v>
      </c>
    </row>
    <row r="1426" spans="1:82" x14ac:dyDescent="0.15">
      <c r="A1426" s="60">
        <v>2</v>
      </c>
      <c r="B1426" s="61">
        <v>44771</v>
      </c>
      <c r="C1426" s="61">
        <v>44804</v>
      </c>
      <c r="D1426" s="61">
        <v>44809</v>
      </c>
      <c r="F1426" s="61" t="s">
        <v>309</v>
      </c>
      <c r="G1426" s="61">
        <v>44792</v>
      </c>
      <c r="H1426" s="61" t="s">
        <v>309</v>
      </c>
      <c r="I1426" s="60" t="s">
        <v>4277</v>
      </c>
      <c r="J1426" s="60">
        <v>2</v>
      </c>
      <c r="L1426" s="60">
        <v>0</v>
      </c>
      <c r="M1426" s="61">
        <v>44749</v>
      </c>
      <c r="O1426" s="62" t="s">
        <v>331</v>
      </c>
      <c r="P1426" s="60" t="s">
        <v>26</v>
      </c>
      <c r="Q1426" s="62" t="s">
        <v>200</v>
      </c>
      <c r="R1426" s="62" t="s">
        <v>4165</v>
      </c>
      <c r="S1426" s="63" t="s">
        <v>984</v>
      </c>
      <c r="T1426" s="63" t="s">
        <v>1524</v>
      </c>
      <c r="U1426" s="64">
        <v>78600</v>
      </c>
      <c r="V1426" s="64">
        <v>86460</v>
      </c>
      <c r="W1426" s="64">
        <v>78600</v>
      </c>
      <c r="X1426" s="64">
        <v>86460</v>
      </c>
      <c r="Y1426" s="64">
        <v>0</v>
      </c>
      <c r="Z1426" s="64">
        <v>0</v>
      </c>
      <c r="AA1426" s="61">
        <v>44791</v>
      </c>
      <c r="AB1426" s="61">
        <v>44791</v>
      </c>
      <c r="AD1426" s="60">
        <v>0</v>
      </c>
      <c r="AG1426" s="60">
        <v>0</v>
      </c>
      <c r="AJ1426" s="60">
        <v>0</v>
      </c>
      <c r="AM1426" s="60" t="s">
        <v>273</v>
      </c>
      <c r="AN1426" s="60" t="s">
        <v>4127</v>
      </c>
      <c r="AQ1426" s="60" t="s">
        <v>4128</v>
      </c>
      <c r="AR1426" s="61">
        <v>44754</v>
      </c>
      <c r="AS1426" s="60">
        <v>6002051177</v>
      </c>
      <c r="AT1426" s="61">
        <v>44754</v>
      </c>
      <c r="AU1426" s="60" t="s">
        <v>3994</v>
      </c>
      <c r="AV1426" s="61">
        <v>44804</v>
      </c>
      <c r="AW1426" s="91">
        <v>44804</v>
      </c>
      <c r="AX1426" s="91">
        <v>44824</v>
      </c>
      <c r="AY1426" s="107">
        <v>78600</v>
      </c>
      <c r="AZ1426" s="107">
        <f>ROUNDDOWN(AY1426+(AY1426*MASTER!$A$2/100),0)</f>
        <v>86460</v>
      </c>
      <c r="BA1426" s="60" t="s">
        <v>317</v>
      </c>
      <c r="BB1426" s="64">
        <v>29000</v>
      </c>
      <c r="BC1426" s="64">
        <v>31900</v>
      </c>
      <c r="BD1426" s="60" t="s">
        <v>3940</v>
      </c>
      <c r="BG1426" s="64">
        <v>0</v>
      </c>
      <c r="BK1426" s="64">
        <v>0</v>
      </c>
      <c r="BS1426" s="64">
        <v>0</v>
      </c>
      <c r="BV1426" s="65">
        <v>86460</v>
      </c>
      <c r="BW1426" s="65">
        <v>31900</v>
      </c>
      <c r="BX1426" s="65">
        <v>44749</v>
      </c>
      <c r="BY1426" s="65">
        <v>54560</v>
      </c>
      <c r="BZ1426" s="81">
        <v>63.104325699745544</v>
      </c>
    </row>
    <row r="1427" spans="1:82" x14ac:dyDescent="0.15">
      <c r="A1427" s="60">
        <v>1</v>
      </c>
      <c r="B1427" s="61">
        <v>44771</v>
      </c>
      <c r="C1427" s="61">
        <v>44804</v>
      </c>
      <c r="D1427" s="61">
        <v>44809</v>
      </c>
      <c r="F1427" s="61" t="s">
        <v>309</v>
      </c>
      <c r="G1427" s="61">
        <v>44791</v>
      </c>
      <c r="H1427" s="61" t="s">
        <v>309</v>
      </c>
      <c r="I1427" s="60" t="s">
        <v>4277</v>
      </c>
      <c r="J1427" s="60">
        <v>2</v>
      </c>
      <c r="L1427" s="60">
        <v>0</v>
      </c>
      <c r="M1427" s="61">
        <v>44749</v>
      </c>
      <c r="O1427" s="62" t="s">
        <v>331</v>
      </c>
      <c r="P1427" s="60" t="s">
        <v>26</v>
      </c>
      <c r="Q1427" s="62" t="s">
        <v>200</v>
      </c>
      <c r="R1427" s="62" t="s">
        <v>4166</v>
      </c>
      <c r="S1427" s="63" t="s">
        <v>982</v>
      </c>
      <c r="T1427" s="63" t="s">
        <v>1524</v>
      </c>
      <c r="U1427" s="64">
        <v>78600</v>
      </c>
      <c r="V1427" s="64">
        <v>86460</v>
      </c>
      <c r="W1427" s="64">
        <v>78600</v>
      </c>
      <c r="X1427" s="64">
        <v>86460</v>
      </c>
      <c r="Y1427" s="64">
        <v>0</v>
      </c>
      <c r="Z1427" s="64">
        <v>0</v>
      </c>
      <c r="AA1427" s="61">
        <v>44791</v>
      </c>
      <c r="AB1427" s="61">
        <v>44791</v>
      </c>
      <c r="AD1427" s="60">
        <v>0</v>
      </c>
      <c r="AG1427" s="60">
        <v>0</v>
      </c>
      <c r="AJ1427" s="60">
        <v>0</v>
      </c>
      <c r="AM1427" s="60" t="s">
        <v>273</v>
      </c>
      <c r="AN1427" s="60" t="s">
        <v>4127</v>
      </c>
      <c r="AQ1427" s="60" t="s">
        <v>4128</v>
      </c>
      <c r="AR1427" s="61">
        <v>44754</v>
      </c>
      <c r="AS1427" s="60">
        <v>6002051177</v>
      </c>
      <c r="AT1427" s="61">
        <v>44754</v>
      </c>
      <c r="AU1427" s="60" t="s">
        <v>3994</v>
      </c>
      <c r="AV1427" s="61">
        <v>44804</v>
      </c>
      <c r="AW1427" s="91">
        <v>44804</v>
      </c>
      <c r="AX1427" s="91">
        <v>44824</v>
      </c>
      <c r="AY1427" s="107">
        <v>78600</v>
      </c>
      <c r="AZ1427" s="107">
        <f>ROUNDDOWN(AY1427+(AY1427*MASTER!$A$2/100),0)</f>
        <v>86460</v>
      </c>
      <c r="BA1427" s="60" t="s">
        <v>317</v>
      </c>
      <c r="BB1427" s="64">
        <v>29000</v>
      </c>
      <c r="BC1427" s="64">
        <v>31900</v>
      </c>
      <c r="BD1427" s="60" t="s">
        <v>3940</v>
      </c>
      <c r="BG1427" s="64">
        <v>0</v>
      </c>
      <c r="BK1427" s="64">
        <v>0</v>
      </c>
      <c r="BS1427" s="64">
        <v>0</v>
      </c>
      <c r="BV1427" s="65">
        <v>86460</v>
      </c>
      <c r="BW1427" s="65">
        <v>31900</v>
      </c>
      <c r="BX1427" s="65">
        <v>44749</v>
      </c>
      <c r="BY1427" s="65">
        <v>54560</v>
      </c>
      <c r="BZ1427" s="81">
        <v>63.104325699745544</v>
      </c>
    </row>
    <row r="1428" spans="1:82" x14ac:dyDescent="0.15">
      <c r="A1428" s="60">
        <v>1</v>
      </c>
      <c r="B1428" s="61">
        <v>44771</v>
      </c>
      <c r="C1428" s="61">
        <v>44804</v>
      </c>
      <c r="D1428" s="61">
        <v>44809</v>
      </c>
      <c r="F1428" s="61" t="s">
        <v>309</v>
      </c>
      <c r="G1428" s="61">
        <v>44791</v>
      </c>
      <c r="H1428" s="61" t="s">
        <v>309</v>
      </c>
      <c r="I1428" s="60" t="s">
        <v>4276</v>
      </c>
      <c r="J1428" s="60">
        <v>2</v>
      </c>
      <c r="L1428" s="60">
        <v>0</v>
      </c>
      <c r="M1428" s="61">
        <v>44749</v>
      </c>
      <c r="O1428" s="62" t="s">
        <v>331</v>
      </c>
      <c r="P1428" s="60" t="s">
        <v>26</v>
      </c>
      <c r="Q1428" s="62" t="s">
        <v>200</v>
      </c>
      <c r="R1428" s="62" t="s">
        <v>4167</v>
      </c>
      <c r="S1428" s="63" t="s">
        <v>3938</v>
      </c>
      <c r="T1428" s="63" t="s">
        <v>1524</v>
      </c>
      <c r="U1428" s="64">
        <v>78600</v>
      </c>
      <c r="V1428" s="64">
        <v>86460</v>
      </c>
      <c r="W1428" s="64">
        <v>78600</v>
      </c>
      <c r="X1428" s="64">
        <v>86460</v>
      </c>
      <c r="Y1428" s="64">
        <v>0</v>
      </c>
      <c r="Z1428" s="64">
        <v>0</v>
      </c>
      <c r="AA1428" s="61">
        <v>44791</v>
      </c>
      <c r="AB1428" s="61">
        <v>44791</v>
      </c>
      <c r="AD1428" s="60">
        <v>0</v>
      </c>
      <c r="AG1428" s="60">
        <v>0</v>
      </c>
      <c r="AJ1428" s="60">
        <v>0</v>
      </c>
      <c r="AM1428" s="60" t="s">
        <v>273</v>
      </c>
      <c r="AN1428" s="60" t="s">
        <v>4127</v>
      </c>
      <c r="AQ1428" s="60" t="s">
        <v>4128</v>
      </c>
      <c r="AR1428" s="61">
        <v>44754</v>
      </c>
      <c r="AS1428" s="60">
        <v>6002051177</v>
      </c>
      <c r="AT1428" s="61">
        <v>44754</v>
      </c>
      <c r="AU1428" s="60" t="s">
        <v>3994</v>
      </c>
      <c r="AV1428" s="61">
        <v>44804</v>
      </c>
      <c r="AW1428" s="91">
        <v>44804</v>
      </c>
      <c r="AX1428" s="91">
        <v>44824</v>
      </c>
      <c r="AY1428" s="107">
        <v>78600</v>
      </c>
      <c r="AZ1428" s="107">
        <f>ROUNDDOWN(AY1428+(AY1428*MASTER!$A$2/100),0)</f>
        <v>86460</v>
      </c>
      <c r="BA1428" s="60" t="s">
        <v>317</v>
      </c>
      <c r="BB1428" s="64">
        <v>29000</v>
      </c>
      <c r="BC1428" s="64">
        <v>31900</v>
      </c>
      <c r="BD1428" s="60" t="s">
        <v>3940</v>
      </c>
      <c r="BG1428" s="64">
        <v>0</v>
      </c>
      <c r="BK1428" s="64">
        <v>0</v>
      </c>
      <c r="BS1428" s="64">
        <v>0</v>
      </c>
      <c r="BV1428" s="65">
        <v>86460</v>
      </c>
      <c r="BW1428" s="65">
        <v>31900</v>
      </c>
      <c r="BX1428" s="65">
        <v>44749</v>
      </c>
      <c r="BY1428" s="65">
        <v>54560</v>
      </c>
      <c r="BZ1428" s="81">
        <v>63.104325699745544</v>
      </c>
    </row>
    <row r="1429" spans="1:82" x14ac:dyDescent="0.15">
      <c r="A1429" s="60">
        <v>1</v>
      </c>
      <c r="B1429" s="61">
        <v>44771</v>
      </c>
      <c r="C1429" s="61">
        <v>44804</v>
      </c>
      <c r="D1429" s="61">
        <v>44809</v>
      </c>
      <c r="F1429" s="61" t="s">
        <v>309</v>
      </c>
      <c r="G1429" s="61">
        <v>44791</v>
      </c>
      <c r="H1429" s="61" t="s">
        <v>309</v>
      </c>
      <c r="I1429" s="60" t="s">
        <v>4277</v>
      </c>
      <c r="J1429" s="60">
        <v>2</v>
      </c>
      <c r="L1429" s="60">
        <v>0</v>
      </c>
      <c r="M1429" s="61">
        <v>44749</v>
      </c>
      <c r="O1429" s="62" t="s">
        <v>331</v>
      </c>
      <c r="P1429" s="60" t="s">
        <v>26</v>
      </c>
      <c r="Q1429" s="62" t="s">
        <v>200</v>
      </c>
      <c r="R1429" s="62" t="s">
        <v>4168</v>
      </c>
      <c r="S1429" s="63" t="s">
        <v>454</v>
      </c>
      <c r="T1429" s="63" t="s">
        <v>1524</v>
      </c>
      <c r="U1429" s="64">
        <v>78600</v>
      </c>
      <c r="V1429" s="64">
        <v>86460</v>
      </c>
      <c r="W1429" s="64">
        <v>78600</v>
      </c>
      <c r="X1429" s="64">
        <v>86460</v>
      </c>
      <c r="Y1429" s="64">
        <v>0</v>
      </c>
      <c r="Z1429" s="64">
        <v>0</v>
      </c>
      <c r="AA1429" s="61">
        <v>44791</v>
      </c>
      <c r="AB1429" s="61">
        <v>44791</v>
      </c>
      <c r="AD1429" s="60">
        <v>0</v>
      </c>
      <c r="AG1429" s="60">
        <v>0</v>
      </c>
      <c r="AJ1429" s="60">
        <v>0</v>
      </c>
      <c r="AM1429" s="60" t="s">
        <v>273</v>
      </c>
      <c r="AN1429" s="60" t="s">
        <v>4127</v>
      </c>
      <c r="AQ1429" s="60" t="s">
        <v>4128</v>
      </c>
      <c r="AR1429" s="61">
        <v>44754</v>
      </c>
      <c r="AS1429" s="60">
        <v>6002051177</v>
      </c>
      <c r="AT1429" s="61">
        <v>44754</v>
      </c>
      <c r="AU1429" s="60" t="s">
        <v>3994</v>
      </c>
      <c r="AV1429" s="61">
        <v>44804</v>
      </c>
      <c r="AW1429" s="91">
        <v>44804</v>
      </c>
      <c r="AX1429" s="91">
        <v>44824</v>
      </c>
      <c r="AY1429" s="107">
        <v>78600</v>
      </c>
      <c r="AZ1429" s="107">
        <f>ROUNDDOWN(AY1429+(AY1429*MASTER!$A$2/100),0)</f>
        <v>86460</v>
      </c>
      <c r="BA1429" s="60" t="s">
        <v>317</v>
      </c>
      <c r="BB1429" s="64">
        <v>30000</v>
      </c>
      <c r="BC1429" s="64">
        <v>33000</v>
      </c>
      <c r="BD1429" s="60" t="s">
        <v>3940</v>
      </c>
      <c r="BG1429" s="64">
        <v>0</v>
      </c>
      <c r="BK1429" s="64">
        <v>0</v>
      </c>
      <c r="BS1429" s="64">
        <v>0</v>
      </c>
      <c r="BV1429" s="65">
        <v>86460</v>
      </c>
      <c r="BW1429" s="65">
        <v>33000</v>
      </c>
      <c r="BX1429" s="65">
        <v>44749</v>
      </c>
      <c r="BY1429" s="65">
        <v>53460</v>
      </c>
      <c r="BZ1429" s="81">
        <v>61.832061068702295</v>
      </c>
    </row>
    <row r="1430" spans="1:82" x14ac:dyDescent="0.15">
      <c r="A1430" s="60">
        <v>2</v>
      </c>
      <c r="B1430" s="61">
        <v>44771</v>
      </c>
      <c r="C1430" s="61">
        <v>44804</v>
      </c>
      <c r="D1430" s="61">
        <v>44809</v>
      </c>
      <c r="F1430" s="61" t="s">
        <v>309</v>
      </c>
      <c r="G1430" s="61">
        <v>44792</v>
      </c>
      <c r="H1430" s="61" t="s">
        <v>309</v>
      </c>
      <c r="I1430" s="60" t="s">
        <v>4277</v>
      </c>
      <c r="J1430" s="60">
        <v>2</v>
      </c>
      <c r="L1430" s="60">
        <v>0</v>
      </c>
      <c r="M1430" s="61">
        <v>44749</v>
      </c>
      <c r="O1430" s="62" t="s">
        <v>331</v>
      </c>
      <c r="P1430" s="60" t="s">
        <v>26</v>
      </c>
      <c r="Q1430" s="62" t="s">
        <v>200</v>
      </c>
      <c r="R1430" s="62" t="s">
        <v>4169</v>
      </c>
      <c r="S1430" s="63" t="s">
        <v>3939</v>
      </c>
      <c r="T1430" s="63" t="s">
        <v>1524</v>
      </c>
      <c r="U1430" s="64">
        <v>78600</v>
      </c>
      <c r="V1430" s="64">
        <v>86460</v>
      </c>
      <c r="W1430" s="64">
        <v>78600</v>
      </c>
      <c r="X1430" s="64">
        <v>86460</v>
      </c>
      <c r="Y1430" s="64">
        <v>0</v>
      </c>
      <c r="Z1430" s="64">
        <v>0</v>
      </c>
      <c r="AA1430" s="61">
        <v>44792</v>
      </c>
      <c r="AB1430" s="61">
        <v>44792</v>
      </c>
      <c r="AD1430" s="60">
        <v>0</v>
      </c>
      <c r="AG1430" s="60">
        <v>0</v>
      </c>
      <c r="AJ1430" s="60">
        <v>0</v>
      </c>
      <c r="AM1430" s="60" t="s">
        <v>273</v>
      </c>
      <c r="AN1430" s="60" t="s">
        <v>4127</v>
      </c>
      <c r="AQ1430" s="60" t="s">
        <v>4128</v>
      </c>
      <c r="AR1430" s="61">
        <v>44754</v>
      </c>
      <c r="AS1430" s="60">
        <v>6002051177</v>
      </c>
      <c r="AT1430" s="61">
        <v>44754</v>
      </c>
      <c r="AU1430" s="60" t="s">
        <v>3994</v>
      </c>
      <c r="AV1430" s="61">
        <v>44804</v>
      </c>
      <c r="AW1430" s="91">
        <v>44804</v>
      </c>
      <c r="AX1430" s="91">
        <v>44824</v>
      </c>
      <c r="AY1430" s="107">
        <v>78600</v>
      </c>
      <c r="AZ1430" s="107">
        <f>ROUNDDOWN(AY1430+(AY1430*MASTER!$A$2/100),0)</f>
        <v>86460</v>
      </c>
      <c r="BA1430" s="60" t="s">
        <v>317</v>
      </c>
      <c r="BB1430" s="64">
        <v>44000</v>
      </c>
      <c r="BC1430" s="64">
        <v>48400</v>
      </c>
      <c r="BD1430" s="60" t="s">
        <v>3940</v>
      </c>
      <c r="BG1430" s="64">
        <v>0</v>
      </c>
      <c r="BK1430" s="64">
        <v>0</v>
      </c>
      <c r="BS1430" s="64">
        <v>0</v>
      </c>
      <c r="BV1430" s="65">
        <v>86460</v>
      </c>
      <c r="BW1430" s="65">
        <v>48400</v>
      </c>
      <c r="BX1430" s="65">
        <v>44749</v>
      </c>
      <c r="BY1430" s="65">
        <v>38060</v>
      </c>
      <c r="BZ1430" s="81">
        <v>44.020356234096688</v>
      </c>
    </row>
    <row r="1431" spans="1:82" x14ac:dyDescent="0.15">
      <c r="A1431" s="60">
        <v>2</v>
      </c>
      <c r="B1431" s="61">
        <v>44771</v>
      </c>
      <c r="C1431" s="61">
        <v>44804</v>
      </c>
      <c r="D1431" s="61">
        <v>44809</v>
      </c>
      <c r="F1431" s="61" t="s">
        <v>309</v>
      </c>
      <c r="G1431" s="61">
        <v>44792</v>
      </c>
      <c r="H1431" s="61" t="s">
        <v>309</v>
      </c>
      <c r="I1431" s="60" t="s">
        <v>4277</v>
      </c>
      <c r="J1431" s="60">
        <v>2</v>
      </c>
      <c r="L1431" s="60">
        <v>0</v>
      </c>
      <c r="M1431" s="61">
        <v>44749</v>
      </c>
      <c r="O1431" s="62" t="s">
        <v>331</v>
      </c>
      <c r="P1431" s="60" t="s">
        <v>26</v>
      </c>
      <c r="Q1431" s="62" t="s">
        <v>200</v>
      </c>
      <c r="R1431" s="62" t="s">
        <v>4170</v>
      </c>
      <c r="S1431" s="63" t="s">
        <v>338</v>
      </c>
      <c r="T1431" s="63" t="s">
        <v>1524</v>
      </c>
      <c r="U1431" s="64">
        <v>78600</v>
      </c>
      <c r="V1431" s="64">
        <v>86460</v>
      </c>
      <c r="W1431" s="64">
        <v>78600</v>
      </c>
      <c r="X1431" s="64">
        <v>86460</v>
      </c>
      <c r="Y1431" s="64">
        <v>0</v>
      </c>
      <c r="Z1431" s="64">
        <v>0</v>
      </c>
      <c r="AA1431" s="61">
        <v>44792</v>
      </c>
      <c r="AB1431" s="61">
        <v>44792</v>
      </c>
      <c r="AD1431" s="60">
        <v>0</v>
      </c>
      <c r="AG1431" s="60">
        <v>0</v>
      </c>
      <c r="AJ1431" s="60">
        <v>0</v>
      </c>
      <c r="AM1431" s="60" t="s">
        <v>273</v>
      </c>
      <c r="AN1431" s="60" t="s">
        <v>4127</v>
      </c>
      <c r="AQ1431" s="60" t="s">
        <v>4128</v>
      </c>
      <c r="AR1431" s="61">
        <v>44754</v>
      </c>
      <c r="AS1431" s="60">
        <v>6002051177</v>
      </c>
      <c r="AT1431" s="61">
        <v>44754</v>
      </c>
      <c r="AU1431" s="60" t="s">
        <v>3994</v>
      </c>
      <c r="AV1431" s="61">
        <v>44804</v>
      </c>
      <c r="AW1431" s="91">
        <v>44804</v>
      </c>
      <c r="AX1431" s="91">
        <v>44824</v>
      </c>
      <c r="AY1431" s="107">
        <v>78600</v>
      </c>
      <c r="AZ1431" s="107">
        <f>ROUNDDOWN(AY1431+(AY1431*MASTER!$A$2/100),0)</f>
        <v>86460</v>
      </c>
      <c r="BA1431" s="60" t="s">
        <v>317</v>
      </c>
      <c r="BB1431" s="64">
        <v>40000</v>
      </c>
      <c r="BC1431" s="64">
        <v>44000</v>
      </c>
      <c r="BD1431" s="60" t="s">
        <v>3940</v>
      </c>
      <c r="BG1431" s="64">
        <v>0</v>
      </c>
      <c r="BK1431" s="64">
        <v>0</v>
      </c>
      <c r="BS1431" s="64">
        <v>0</v>
      </c>
      <c r="BV1431" s="65">
        <v>86460</v>
      </c>
      <c r="BW1431" s="65">
        <v>44000</v>
      </c>
      <c r="BX1431" s="65">
        <v>44749</v>
      </c>
      <c r="BY1431" s="65">
        <v>42460</v>
      </c>
      <c r="BZ1431" s="81">
        <v>49.109414758269722</v>
      </c>
    </row>
    <row r="1432" spans="1:82" x14ac:dyDescent="0.15">
      <c r="A1432" s="60">
        <v>2</v>
      </c>
      <c r="B1432" s="61">
        <v>44771</v>
      </c>
      <c r="C1432" s="61">
        <v>44804</v>
      </c>
      <c r="D1432" s="61">
        <v>44809</v>
      </c>
      <c r="F1432" s="61" t="s">
        <v>309</v>
      </c>
      <c r="G1432" s="61">
        <v>44792</v>
      </c>
      <c r="H1432" s="61" t="s">
        <v>309</v>
      </c>
      <c r="I1432" s="60" t="s">
        <v>4276</v>
      </c>
      <c r="J1432" s="60">
        <v>2</v>
      </c>
      <c r="L1432" s="60">
        <v>0</v>
      </c>
      <c r="M1432" s="61">
        <v>44749</v>
      </c>
      <c r="O1432" s="62" t="s">
        <v>331</v>
      </c>
      <c r="P1432" s="60" t="s">
        <v>26</v>
      </c>
      <c r="Q1432" s="62" t="s">
        <v>200</v>
      </c>
      <c r="R1432" s="62" t="s">
        <v>4171</v>
      </c>
      <c r="S1432" s="63" t="s">
        <v>1326</v>
      </c>
      <c r="T1432" s="63" t="s">
        <v>1524</v>
      </c>
      <c r="U1432" s="64">
        <v>78600</v>
      </c>
      <c r="V1432" s="64">
        <v>86460</v>
      </c>
      <c r="W1432" s="64">
        <v>78600</v>
      </c>
      <c r="X1432" s="64">
        <v>86460</v>
      </c>
      <c r="Y1432" s="64">
        <v>0</v>
      </c>
      <c r="Z1432" s="64">
        <v>0</v>
      </c>
      <c r="AA1432" s="61">
        <v>44792</v>
      </c>
      <c r="AB1432" s="61">
        <v>44792</v>
      </c>
      <c r="AD1432" s="60">
        <v>0</v>
      </c>
      <c r="AG1432" s="60">
        <v>0</v>
      </c>
      <c r="AJ1432" s="60">
        <v>0</v>
      </c>
      <c r="AM1432" s="60" t="s">
        <v>273</v>
      </c>
      <c r="AN1432" s="60" t="s">
        <v>4127</v>
      </c>
      <c r="AQ1432" s="60" t="s">
        <v>4128</v>
      </c>
      <c r="AR1432" s="61">
        <v>44754</v>
      </c>
      <c r="AS1432" s="60">
        <v>6002051177</v>
      </c>
      <c r="AT1432" s="61">
        <v>44754</v>
      </c>
      <c r="AU1432" s="60" t="s">
        <v>3994</v>
      </c>
      <c r="AV1432" s="61">
        <v>44804</v>
      </c>
      <c r="AW1432" s="91">
        <v>44804</v>
      </c>
      <c r="AX1432" s="91">
        <v>44824</v>
      </c>
      <c r="AY1432" s="107">
        <v>78600</v>
      </c>
      <c r="AZ1432" s="107">
        <f>ROUNDDOWN(AY1432+(AY1432*MASTER!$A$2/100),0)</f>
        <v>86460</v>
      </c>
      <c r="BA1432" s="60" t="s">
        <v>317</v>
      </c>
      <c r="BB1432" s="64">
        <v>41000</v>
      </c>
      <c r="BC1432" s="64">
        <v>45100</v>
      </c>
      <c r="BD1432" s="60" t="s">
        <v>3940</v>
      </c>
      <c r="BG1432" s="64">
        <v>0</v>
      </c>
      <c r="BK1432" s="64">
        <v>0</v>
      </c>
      <c r="BS1432" s="64">
        <v>0</v>
      </c>
      <c r="BV1432" s="65">
        <v>86460</v>
      </c>
      <c r="BW1432" s="65">
        <v>45100</v>
      </c>
      <c r="BX1432" s="65">
        <v>44749</v>
      </c>
      <c r="BY1432" s="65">
        <v>41360</v>
      </c>
      <c r="BZ1432" s="81">
        <v>47.837150127226465</v>
      </c>
    </row>
    <row r="1433" spans="1:82" x14ac:dyDescent="0.15">
      <c r="A1433" s="60">
        <v>1</v>
      </c>
      <c r="C1433" s="61" t="s">
        <v>309</v>
      </c>
      <c r="F1433" s="61" t="s">
        <v>309</v>
      </c>
      <c r="H1433" s="61" t="s">
        <v>309</v>
      </c>
      <c r="J1433" s="60">
        <v>4</v>
      </c>
      <c r="L1433" s="60">
        <v>0</v>
      </c>
      <c r="M1433" s="61">
        <v>44749</v>
      </c>
      <c r="O1433" s="62" t="s">
        <v>331</v>
      </c>
      <c r="P1433" s="60" t="s">
        <v>263</v>
      </c>
      <c r="Q1433" s="62" t="s">
        <v>200</v>
      </c>
      <c r="R1433" s="62" t="s">
        <v>3943</v>
      </c>
      <c r="S1433" s="63" t="s">
        <v>326</v>
      </c>
      <c r="T1433" s="63" t="s">
        <v>3941</v>
      </c>
      <c r="U1433" s="64">
        <v>0</v>
      </c>
      <c r="V1433" s="64">
        <v>0</v>
      </c>
      <c r="W1433" s="64">
        <v>0</v>
      </c>
      <c r="X1433" s="64">
        <v>0</v>
      </c>
      <c r="Y1433" s="64">
        <v>0</v>
      </c>
      <c r="Z1433" s="64">
        <v>0</v>
      </c>
      <c r="AD1433" s="60">
        <v>0</v>
      </c>
      <c r="AG1433" s="60">
        <v>0</v>
      </c>
      <c r="AJ1433" s="60">
        <v>0</v>
      </c>
      <c r="AY1433" s="99">
        <f>ROUNDDOWN((0.96*U1433),0)</f>
        <v>0</v>
      </c>
      <c r="AZ1433" s="99">
        <f>ROUNDDOWN(AY1433+(AY1433*MASTER!$A$2/100),0)</f>
        <v>0</v>
      </c>
      <c r="BC1433" s="64">
        <v>0</v>
      </c>
      <c r="BG1433" s="64">
        <v>0</v>
      </c>
      <c r="BK1433" s="64">
        <v>0</v>
      </c>
      <c r="BS1433" s="64">
        <v>0</v>
      </c>
      <c r="BV1433" s="65">
        <v>0</v>
      </c>
      <c r="BW1433" s="65">
        <v>0</v>
      </c>
      <c r="BX1433" s="65">
        <v>44749</v>
      </c>
      <c r="BY1433" s="65">
        <v>0</v>
      </c>
      <c r="BZ1433" s="81" t="s">
        <v>309</v>
      </c>
      <c r="CD1433" s="63" t="s">
        <v>3942</v>
      </c>
    </row>
    <row r="1434" spans="1:82" x14ac:dyDescent="0.15">
      <c r="A1434" s="60">
        <v>2</v>
      </c>
      <c r="B1434" s="61">
        <v>44775</v>
      </c>
      <c r="C1434" s="61">
        <v>44784</v>
      </c>
      <c r="D1434" s="61" t="s">
        <v>764</v>
      </c>
      <c r="E1434" s="61">
        <v>44790</v>
      </c>
      <c r="F1434" s="61">
        <v>44791</v>
      </c>
      <c r="G1434" s="61">
        <v>44790</v>
      </c>
      <c r="H1434" s="61">
        <v>44787</v>
      </c>
      <c r="I1434" s="60" t="s">
        <v>511</v>
      </c>
      <c r="J1434" s="60">
        <v>1</v>
      </c>
      <c r="L1434" s="60">
        <v>0</v>
      </c>
      <c r="M1434" s="61">
        <v>44750</v>
      </c>
      <c r="O1434" s="62" t="s">
        <v>331</v>
      </c>
      <c r="P1434" s="60" t="s">
        <v>26</v>
      </c>
      <c r="Q1434" s="62" t="s">
        <v>200</v>
      </c>
      <c r="R1434" s="62" t="s">
        <v>4057</v>
      </c>
      <c r="S1434" s="63" t="s">
        <v>1860</v>
      </c>
      <c r="T1434" s="63" t="s">
        <v>2455</v>
      </c>
      <c r="U1434" s="64">
        <v>23900</v>
      </c>
      <c r="V1434" s="64">
        <v>26290</v>
      </c>
      <c r="W1434" s="64">
        <v>14700</v>
      </c>
      <c r="X1434" s="64">
        <v>16170</v>
      </c>
      <c r="Y1434" s="64">
        <v>9200</v>
      </c>
      <c r="Z1434" s="64">
        <v>10120</v>
      </c>
      <c r="AA1434" s="61">
        <v>44783</v>
      </c>
      <c r="AB1434" s="61">
        <v>44784</v>
      </c>
      <c r="AC1434" s="61">
        <v>44784</v>
      </c>
      <c r="AD1434" s="60">
        <v>0</v>
      </c>
      <c r="AG1434" s="60">
        <v>0</v>
      </c>
      <c r="AJ1434" s="60">
        <v>0</v>
      </c>
      <c r="AM1434" s="60" t="s">
        <v>273</v>
      </c>
      <c r="AN1434" s="60" t="s">
        <v>4058</v>
      </c>
      <c r="AQ1434" s="60" t="s">
        <v>4274</v>
      </c>
      <c r="AR1434" s="61">
        <v>44763</v>
      </c>
      <c r="AS1434" s="60">
        <v>6002054182</v>
      </c>
      <c r="AT1434" s="61">
        <v>44763</v>
      </c>
      <c r="AU1434" s="60" t="s">
        <v>4067</v>
      </c>
      <c r="AV1434" s="61">
        <v>44784</v>
      </c>
      <c r="AW1434" s="91">
        <v>44804</v>
      </c>
      <c r="AX1434" s="91">
        <v>44824</v>
      </c>
      <c r="AY1434" s="99">
        <v>22944</v>
      </c>
      <c r="AZ1434" s="99">
        <f>ROUNDDOWN(AY1434+(AY1434*MASTER!$A$2/100),0)</f>
        <v>25238</v>
      </c>
      <c r="BA1434" s="60" t="s">
        <v>765</v>
      </c>
      <c r="BC1434" s="64">
        <v>0</v>
      </c>
      <c r="BG1434" s="64">
        <v>0</v>
      </c>
      <c r="BI1434" s="60" t="s">
        <v>267</v>
      </c>
      <c r="BJ1434" s="64">
        <v>5980</v>
      </c>
      <c r="BK1434" s="64">
        <v>6578</v>
      </c>
      <c r="BL1434" s="60" t="s">
        <v>4069</v>
      </c>
      <c r="BS1434" s="64">
        <v>0</v>
      </c>
      <c r="BV1434" s="65">
        <v>16170</v>
      </c>
      <c r="BW1434" s="65">
        <v>6578</v>
      </c>
      <c r="BX1434" s="65">
        <v>44750</v>
      </c>
      <c r="BY1434" s="65">
        <v>9592</v>
      </c>
      <c r="BZ1434" s="81">
        <v>59.319727891156461</v>
      </c>
    </row>
    <row r="1435" spans="1:82" x14ac:dyDescent="0.15">
      <c r="A1435" s="60">
        <v>2</v>
      </c>
      <c r="B1435" s="61">
        <v>44774</v>
      </c>
      <c r="C1435" s="61">
        <v>44782</v>
      </c>
      <c r="D1435" s="61">
        <v>44816</v>
      </c>
      <c r="E1435" s="61">
        <v>44785</v>
      </c>
      <c r="F1435" s="61">
        <v>44789</v>
      </c>
      <c r="G1435" s="61">
        <v>44783</v>
      </c>
      <c r="H1435" s="61">
        <v>44785</v>
      </c>
      <c r="I1435" s="60" t="s">
        <v>511</v>
      </c>
      <c r="J1435" s="60">
        <v>1</v>
      </c>
      <c r="L1435" s="60">
        <v>0</v>
      </c>
      <c r="M1435" s="61">
        <v>44750</v>
      </c>
      <c r="O1435" s="62" t="s">
        <v>331</v>
      </c>
      <c r="P1435" s="60" t="s">
        <v>26</v>
      </c>
      <c r="Q1435" s="62" t="s">
        <v>200</v>
      </c>
      <c r="R1435" s="62" t="s">
        <v>4237</v>
      </c>
      <c r="S1435" s="63" t="s">
        <v>647</v>
      </c>
      <c r="T1435" s="63" t="s">
        <v>667</v>
      </c>
      <c r="U1435" s="64">
        <v>59200</v>
      </c>
      <c r="V1435" s="64">
        <v>65120</v>
      </c>
      <c r="W1435" s="64">
        <v>47000</v>
      </c>
      <c r="X1435" s="64">
        <v>51700</v>
      </c>
      <c r="Y1435" s="64">
        <v>12200</v>
      </c>
      <c r="Z1435" s="64">
        <v>13420</v>
      </c>
      <c r="AA1435" s="61">
        <v>44781</v>
      </c>
      <c r="AB1435" s="61">
        <v>44782</v>
      </c>
      <c r="AC1435" s="61">
        <v>44782</v>
      </c>
      <c r="AD1435" s="60">
        <v>0</v>
      </c>
      <c r="AG1435" s="60">
        <v>0</v>
      </c>
      <c r="AJ1435" s="60">
        <v>0</v>
      </c>
      <c r="AM1435" s="60" t="s">
        <v>273</v>
      </c>
      <c r="AN1435" s="60" t="s">
        <v>4238</v>
      </c>
      <c r="AQ1435" s="60" t="s">
        <v>4052</v>
      </c>
      <c r="AR1435" s="61">
        <v>44763</v>
      </c>
      <c r="AS1435" s="60">
        <v>6002054419</v>
      </c>
      <c r="AT1435" s="61">
        <v>44764</v>
      </c>
      <c r="AU1435" s="60" t="s">
        <v>4084</v>
      </c>
      <c r="AV1435" s="61">
        <v>44782</v>
      </c>
      <c r="AW1435" s="91">
        <v>44804</v>
      </c>
      <c r="AX1435" s="91">
        <v>44824</v>
      </c>
      <c r="AY1435" s="99">
        <v>56832</v>
      </c>
      <c r="AZ1435" s="99">
        <f>ROUNDDOWN(AY1435+(AY1435*MASTER!$A$2/100),0)</f>
        <v>62515</v>
      </c>
      <c r="BA1435" s="60" t="s">
        <v>319</v>
      </c>
      <c r="BB1435" s="64">
        <v>21000</v>
      </c>
      <c r="BC1435" s="64">
        <v>23100</v>
      </c>
      <c r="BD1435" s="60" t="s">
        <v>3940</v>
      </c>
      <c r="BG1435" s="64">
        <v>0</v>
      </c>
      <c r="BI1435" s="60" t="s">
        <v>748</v>
      </c>
      <c r="BJ1435" s="64">
        <v>7930</v>
      </c>
      <c r="BK1435" s="64">
        <v>8723</v>
      </c>
      <c r="BL1435" s="60" t="s">
        <v>3940</v>
      </c>
      <c r="BS1435" s="64">
        <v>0</v>
      </c>
      <c r="BV1435" s="65">
        <v>51700</v>
      </c>
      <c r="BW1435" s="65">
        <v>31823</v>
      </c>
      <c r="BX1435" s="65">
        <v>44750</v>
      </c>
      <c r="BY1435" s="65">
        <v>19877</v>
      </c>
      <c r="BZ1435" s="81">
        <v>38.446808510638299</v>
      </c>
    </row>
    <row r="1436" spans="1:82" x14ac:dyDescent="0.15">
      <c r="A1436" s="60">
        <v>2</v>
      </c>
      <c r="B1436" s="61">
        <v>44774</v>
      </c>
      <c r="C1436" s="61">
        <v>44778</v>
      </c>
      <c r="D1436" s="61">
        <v>44806</v>
      </c>
      <c r="E1436" s="61">
        <v>44785</v>
      </c>
      <c r="F1436" s="61">
        <v>44785</v>
      </c>
      <c r="G1436" s="61">
        <v>44778</v>
      </c>
      <c r="H1436" s="61">
        <v>44781</v>
      </c>
      <c r="I1436" s="60" t="s">
        <v>511</v>
      </c>
      <c r="J1436" s="60">
        <v>1</v>
      </c>
      <c r="L1436" s="60">
        <v>0</v>
      </c>
      <c r="M1436" s="61">
        <v>44750</v>
      </c>
      <c r="O1436" s="62" t="s">
        <v>331</v>
      </c>
      <c r="P1436" s="60" t="s">
        <v>26</v>
      </c>
      <c r="Q1436" s="62" t="s">
        <v>200</v>
      </c>
      <c r="R1436" s="62" t="s">
        <v>4213</v>
      </c>
      <c r="S1436" s="63" t="s">
        <v>1049</v>
      </c>
      <c r="T1436" s="63" t="s">
        <v>4214</v>
      </c>
      <c r="U1436" s="64">
        <v>192700</v>
      </c>
      <c r="V1436" s="64">
        <v>211970</v>
      </c>
      <c r="W1436" s="64">
        <v>94000</v>
      </c>
      <c r="X1436" s="64">
        <v>103400</v>
      </c>
      <c r="Y1436" s="64">
        <v>98700</v>
      </c>
      <c r="Z1436" s="64">
        <v>108570</v>
      </c>
      <c r="AA1436" s="61">
        <v>44776</v>
      </c>
      <c r="AB1436" s="61">
        <v>44778</v>
      </c>
      <c r="AC1436" s="61">
        <v>44778</v>
      </c>
      <c r="AD1436" s="60">
        <v>0</v>
      </c>
      <c r="AG1436" s="60">
        <v>0</v>
      </c>
      <c r="AJ1436" s="60">
        <v>0</v>
      </c>
      <c r="AM1436" s="60" t="s">
        <v>273</v>
      </c>
      <c r="AN1436" s="60" t="s">
        <v>4215</v>
      </c>
      <c r="AQ1436" s="60" t="s">
        <v>4053</v>
      </c>
      <c r="AR1436" s="61">
        <v>44763</v>
      </c>
      <c r="AS1436" s="60">
        <v>6002054419</v>
      </c>
      <c r="AT1436" s="61">
        <v>44764</v>
      </c>
      <c r="AU1436" s="60" t="s">
        <v>4084</v>
      </c>
      <c r="AV1436" s="61">
        <v>44778</v>
      </c>
      <c r="AW1436" s="91">
        <v>44804</v>
      </c>
      <c r="AX1436" s="91">
        <v>44824</v>
      </c>
      <c r="AY1436" s="99">
        <v>184992</v>
      </c>
      <c r="AZ1436" s="99">
        <f>ROUNDDOWN(AY1436+(AY1436*MASTER!$A$2/100),0)</f>
        <v>203491</v>
      </c>
      <c r="BA1436" s="60" t="s">
        <v>780</v>
      </c>
      <c r="BB1436" s="64">
        <v>42000</v>
      </c>
      <c r="BC1436" s="64">
        <v>46200</v>
      </c>
      <c r="BD1436" s="60" t="s">
        <v>3940</v>
      </c>
      <c r="BG1436" s="64">
        <v>0</v>
      </c>
      <c r="BI1436" s="60" t="s">
        <v>748</v>
      </c>
      <c r="BJ1436" s="64">
        <v>64155</v>
      </c>
      <c r="BK1436" s="64">
        <v>70570.5</v>
      </c>
      <c r="BL1436" s="60" t="s">
        <v>3940</v>
      </c>
      <c r="BS1436" s="64">
        <v>0</v>
      </c>
      <c r="BV1436" s="65">
        <v>103400</v>
      </c>
      <c r="BW1436" s="65">
        <v>116770.5</v>
      </c>
      <c r="BX1436" s="65">
        <v>44750</v>
      </c>
      <c r="BY1436" s="65">
        <v>-13370.5</v>
      </c>
      <c r="BZ1436" s="81">
        <v>-12.930851063829788</v>
      </c>
    </row>
    <row r="1437" spans="1:82" x14ac:dyDescent="0.15">
      <c r="A1437" s="60">
        <v>2</v>
      </c>
      <c r="B1437" s="61">
        <v>44775</v>
      </c>
      <c r="C1437" s="61">
        <v>44778</v>
      </c>
      <c r="D1437" s="61">
        <v>44806</v>
      </c>
      <c r="E1437" s="61">
        <v>44785</v>
      </c>
      <c r="F1437" s="61">
        <v>44785</v>
      </c>
      <c r="G1437" s="61">
        <v>44778</v>
      </c>
      <c r="H1437" s="61">
        <v>44781</v>
      </c>
      <c r="I1437" s="60" t="s">
        <v>511</v>
      </c>
      <c r="J1437" s="60">
        <v>1</v>
      </c>
      <c r="L1437" s="60">
        <v>0</v>
      </c>
      <c r="M1437" s="61">
        <v>44750</v>
      </c>
      <c r="O1437" s="62" t="s">
        <v>331</v>
      </c>
      <c r="P1437" s="60" t="s">
        <v>26</v>
      </c>
      <c r="Q1437" s="62" t="s">
        <v>200</v>
      </c>
      <c r="R1437" s="62" t="s">
        <v>4260</v>
      </c>
      <c r="S1437" s="63" t="s">
        <v>1154</v>
      </c>
      <c r="T1437" s="63" t="s">
        <v>4261</v>
      </c>
      <c r="U1437" s="64">
        <v>235500</v>
      </c>
      <c r="V1437" s="64">
        <v>259050</v>
      </c>
      <c r="W1437" s="64">
        <v>118000</v>
      </c>
      <c r="X1437" s="64">
        <v>129800</v>
      </c>
      <c r="Y1437" s="64">
        <v>117500</v>
      </c>
      <c r="Z1437" s="64">
        <v>129250</v>
      </c>
      <c r="AA1437" s="61">
        <v>44776</v>
      </c>
      <c r="AB1437" s="61">
        <v>44778</v>
      </c>
      <c r="AC1437" s="61">
        <v>44778</v>
      </c>
      <c r="AD1437" s="60">
        <v>0</v>
      </c>
      <c r="AG1437" s="60">
        <v>0</v>
      </c>
      <c r="AJ1437" s="60">
        <v>0</v>
      </c>
      <c r="AM1437" s="60" t="s">
        <v>273</v>
      </c>
      <c r="AN1437" s="60" t="s">
        <v>4262</v>
      </c>
      <c r="AQ1437" s="60" t="s">
        <v>4112</v>
      </c>
      <c r="AR1437" s="61">
        <v>44770</v>
      </c>
      <c r="AS1437" s="60">
        <v>6002056788</v>
      </c>
      <c r="AT1437" s="61">
        <v>44774</v>
      </c>
      <c r="AU1437" s="60" t="s">
        <v>4205</v>
      </c>
      <c r="AV1437" s="61">
        <v>44778</v>
      </c>
      <c r="AW1437" s="91">
        <v>44804</v>
      </c>
      <c r="AX1437" s="91">
        <v>44824</v>
      </c>
      <c r="AY1437" s="99">
        <v>226080</v>
      </c>
      <c r="AZ1437" s="99">
        <f>ROUNDDOWN(AY1437+(AY1437*MASTER!$A$2/100),0)</f>
        <v>248688</v>
      </c>
      <c r="BA1437" s="60" t="s">
        <v>780</v>
      </c>
      <c r="BB1437" s="64">
        <v>42000</v>
      </c>
      <c r="BC1437" s="64">
        <v>46200</v>
      </c>
      <c r="BD1437" s="60" t="s">
        <v>3940</v>
      </c>
      <c r="BG1437" s="64">
        <v>0</v>
      </c>
      <c r="BI1437" s="60" t="s">
        <v>748</v>
      </c>
      <c r="BJ1437" s="64">
        <v>76375</v>
      </c>
      <c r="BK1437" s="64">
        <v>84012.5</v>
      </c>
      <c r="BL1437" s="60" t="s">
        <v>3940</v>
      </c>
      <c r="BS1437" s="64">
        <v>0</v>
      </c>
      <c r="BV1437" s="65">
        <v>129800</v>
      </c>
      <c r="BW1437" s="65">
        <v>130212.5</v>
      </c>
      <c r="BX1437" s="65">
        <v>44750</v>
      </c>
      <c r="BY1437" s="65">
        <v>-412.5</v>
      </c>
      <c r="BZ1437" s="81">
        <v>-0.31779661016949157</v>
      </c>
    </row>
    <row r="1438" spans="1:82" x14ac:dyDescent="0.15">
      <c r="A1438" s="60">
        <v>2</v>
      </c>
      <c r="B1438" s="61">
        <v>44774</v>
      </c>
      <c r="C1438" s="61">
        <v>44778</v>
      </c>
      <c r="D1438" s="61">
        <v>44806</v>
      </c>
      <c r="E1438" s="61">
        <v>44785</v>
      </c>
      <c r="F1438" s="61">
        <v>44785</v>
      </c>
      <c r="G1438" s="61">
        <v>44778</v>
      </c>
      <c r="H1438" s="61">
        <v>44781</v>
      </c>
      <c r="I1438" s="60" t="s">
        <v>511</v>
      </c>
      <c r="J1438" s="60">
        <v>1</v>
      </c>
      <c r="L1438" s="60">
        <v>0</v>
      </c>
      <c r="M1438" s="61">
        <v>44750</v>
      </c>
      <c r="O1438" s="62" t="s">
        <v>331</v>
      </c>
      <c r="P1438" s="60" t="s">
        <v>26</v>
      </c>
      <c r="Q1438" s="62" t="s">
        <v>200</v>
      </c>
      <c r="R1438" s="62" t="s">
        <v>3947</v>
      </c>
      <c r="S1438" s="63" t="s">
        <v>557</v>
      </c>
      <c r="T1438" s="63" t="s">
        <v>3948</v>
      </c>
      <c r="U1438" s="64">
        <v>186500</v>
      </c>
      <c r="V1438" s="64">
        <v>205150</v>
      </c>
      <c r="W1438" s="64">
        <v>94000</v>
      </c>
      <c r="X1438" s="64">
        <v>103400</v>
      </c>
      <c r="Y1438" s="64">
        <v>92500</v>
      </c>
      <c r="Z1438" s="64">
        <v>101750</v>
      </c>
      <c r="AA1438" s="61">
        <v>44776</v>
      </c>
      <c r="AB1438" s="61">
        <v>44778</v>
      </c>
      <c r="AC1438" s="61">
        <v>44778</v>
      </c>
      <c r="AD1438" s="60">
        <v>0</v>
      </c>
      <c r="AG1438" s="60">
        <v>0</v>
      </c>
      <c r="AJ1438" s="60">
        <v>0</v>
      </c>
      <c r="AM1438" s="60" t="s">
        <v>273</v>
      </c>
      <c r="AN1438" s="60" t="s">
        <v>3949</v>
      </c>
      <c r="AQ1438" s="60" t="s">
        <v>4212</v>
      </c>
      <c r="AR1438" s="61">
        <v>44763</v>
      </c>
      <c r="AS1438" s="60">
        <v>6002054182</v>
      </c>
      <c r="AT1438" s="61">
        <v>44763</v>
      </c>
      <c r="AU1438" s="60" t="s">
        <v>4067</v>
      </c>
      <c r="AV1438" s="61">
        <v>44778</v>
      </c>
      <c r="AW1438" s="91">
        <v>44804</v>
      </c>
      <c r="AX1438" s="91">
        <v>44824</v>
      </c>
      <c r="AY1438" s="99">
        <v>179040</v>
      </c>
      <c r="AZ1438" s="99">
        <f>ROUNDDOWN(AY1438+(AY1438*MASTER!$A$2/100),0)</f>
        <v>196944</v>
      </c>
      <c r="BA1438" s="60" t="s">
        <v>780</v>
      </c>
      <c r="BB1438" s="64">
        <v>23000</v>
      </c>
      <c r="BC1438" s="64">
        <v>25300</v>
      </c>
      <c r="BD1438" s="60" t="s">
        <v>3940</v>
      </c>
      <c r="BG1438" s="64">
        <v>0</v>
      </c>
      <c r="BI1438" s="60" t="s">
        <v>748</v>
      </c>
      <c r="BJ1438" s="64">
        <v>60125</v>
      </c>
      <c r="BK1438" s="64">
        <v>66137.5</v>
      </c>
      <c r="BL1438" s="60" t="s">
        <v>3940</v>
      </c>
      <c r="BS1438" s="64">
        <v>0</v>
      </c>
      <c r="BV1438" s="65">
        <v>103400</v>
      </c>
      <c r="BW1438" s="65">
        <v>91437.5</v>
      </c>
      <c r="BX1438" s="65">
        <v>44750</v>
      </c>
      <c r="BY1438" s="65">
        <v>11962.5</v>
      </c>
      <c r="BZ1438" s="81">
        <v>11.569148936170212</v>
      </c>
    </row>
    <row r="1439" spans="1:82" x14ac:dyDescent="0.15">
      <c r="A1439" s="60">
        <v>2</v>
      </c>
      <c r="B1439" s="61">
        <v>44762</v>
      </c>
      <c r="C1439" s="61">
        <v>44762</v>
      </c>
      <c r="D1439" s="61">
        <v>44783</v>
      </c>
      <c r="F1439" s="61" t="s">
        <v>309</v>
      </c>
      <c r="G1439" s="61">
        <v>44754</v>
      </c>
      <c r="H1439" s="61" t="s">
        <v>309</v>
      </c>
      <c r="I1439" s="60" t="s">
        <v>4010</v>
      </c>
      <c r="J1439" s="60">
        <v>1</v>
      </c>
      <c r="L1439" s="60">
        <v>0</v>
      </c>
      <c r="M1439" s="61">
        <v>44750</v>
      </c>
      <c r="O1439" s="62" t="s">
        <v>331</v>
      </c>
      <c r="P1439" s="60" t="s">
        <v>6</v>
      </c>
      <c r="Q1439" s="62" t="s">
        <v>200</v>
      </c>
      <c r="R1439" s="62" t="s">
        <v>4009</v>
      </c>
      <c r="S1439" s="63" t="s">
        <v>1273</v>
      </c>
      <c r="T1439" s="63" t="s">
        <v>1523</v>
      </c>
      <c r="U1439" s="64">
        <v>239000</v>
      </c>
      <c r="V1439" s="64">
        <v>262900</v>
      </c>
      <c r="W1439" s="64">
        <v>174000</v>
      </c>
      <c r="X1439" s="64">
        <v>191400</v>
      </c>
      <c r="Y1439" s="64">
        <v>65000</v>
      </c>
      <c r="Z1439" s="64">
        <v>71500</v>
      </c>
      <c r="AA1439" s="61">
        <v>44750</v>
      </c>
      <c r="AB1439" s="61">
        <v>44751</v>
      </c>
      <c r="AD1439" s="60">
        <v>0</v>
      </c>
      <c r="AG1439" s="60">
        <v>0</v>
      </c>
      <c r="AJ1439" s="60">
        <v>0</v>
      </c>
      <c r="AN1439" s="60" t="s">
        <v>309</v>
      </c>
      <c r="AQ1439" s="60" t="s">
        <v>4022</v>
      </c>
      <c r="AR1439" s="61">
        <v>44757</v>
      </c>
      <c r="AS1439" s="60">
        <v>6002052729</v>
      </c>
      <c r="AT1439" s="61">
        <v>44761</v>
      </c>
      <c r="AU1439" s="60" t="s">
        <v>4029</v>
      </c>
      <c r="AV1439" s="61">
        <v>44762</v>
      </c>
      <c r="AW1439" s="91">
        <v>44773</v>
      </c>
      <c r="AX1439" s="91">
        <v>44793</v>
      </c>
      <c r="AY1439" s="107">
        <v>239000</v>
      </c>
      <c r="AZ1439" s="107">
        <f>ROUNDDOWN(AY1439+(AY1439*MASTER!$A$2/100),0)</f>
        <v>262900</v>
      </c>
      <c r="BA1439" s="60" t="s">
        <v>318</v>
      </c>
      <c r="BB1439" s="64">
        <v>51000</v>
      </c>
      <c r="BC1439" s="64">
        <v>56100</v>
      </c>
      <c r="BD1439" s="60" t="s">
        <v>3800</v>
      </c>
      <c r="BG1439" s="64">
        <v>0</v>
      </c>
      <c r="BI1439" s="60" t="s">
        <v>748</v>
      </c>
      <c r="BJ1439" s="64">
        <v>42250</v>
      </c>
      <c r="BK1439" s="64">
        <v>46475</v>
      </c>
      <c r="BL1439" s="60" t="s">
        <v>3800</v>
      </c>
      <c r="BS1439" s="64">
        <v>0</v>
      </c>
      <c r="BV1439" s="65">
        <v>191400</v>
      </c>
      <c r="BW1439" s="65">
        <v>102575</v>
      </c>
      <c r="BX1439" s="65">
        <v>44750</v>
      </c>
      <c r="BY1439" s="65">
        <v>88825</v>
      </c>
      <c r="BZ1439" s="81">
        <v>46.40804597701149</v>
      </c>
    </row>
    <row r="1440" spans="1:82" x14ac:dyDescent="0.15">
      <c r="A1440" s="60">
        <v>2</v>
      </c>
      <c r="B1440" s="61">
        <v>44762</v>
      </c>
      <c r="C1440" s="61">
        <v>44762</v>
      </c>
      <c r="D1440" s="61">
        <v>44756</v>
      </c>
      <c r="E1440" s="61">
        <v>44756</v>
      </c>
      <c r="F1440" s="61" t="s">
        <v>309</v>
      </c>
      <c r="G1440" s="61">
        <v>44756</v>
      </c>
      <c r="H1440" s="61" t="s">
        <v>309</v>
      </c>
      <c r="I1440" s="60" t="s">
        <v>766</v>
      </c>
      <c r="J1440" s="60">
        <v>2</v>
      </c>
      <c r="L1440" s="60">
        <v>0</v>
      </c>
      <c r="M1440" s="61">
        <v>44750</v>
      </c>
      <c r="O1440" s="62" t="s">
        <v>331</v>
      </c>
      <c r="P1440" s="60" t="s">
        <v>6</v>
      </c>
      <c r="Q1440" s="62" t="s">
        <v>200</v>
      </c>
      <c r="R1440" s="62" t="s">
        <v>3952</v>
      </c>
      <c r="S1440" s="63" t="s">
        <v>2357</v>
      </c>
      <c r="T1440" s="63" t="s">
        <v>364</v>
      </c>
      <c r="U1440" s="64">
        <v>51000</v>
      </c>
      <c r="V1440" s="64">
        <v>56100</v>
      </c>
      <c r="W1440" s="64">
        <v>51000</v>
      </c>
      <c r="X1440" s="64">
        <v>56100</v>
      </c>
      <c r="Y1440" s="64">
        <v>0</v>
      </c>
      <c r="Z1440" s="64">
        <v>0</v>
      </c>
      <c r="AA1440" s="61">
        <v>44755</v>
      </c>
      <c r="AB1440" s="61">
        <v>44755</v>
      </c>
      <c r="AD1440" s="60">
        <v>0</v>
      </c>
      <c r="AG1440" s="60">
        <v>0</v>
      </c>
      <c r="AJ1440" s="60">
        <v>0</v>
      </c>
      <c r="AN1440" s="60" t="s">
        <v>309</v>
      </c>
      <c r="AQ1440" s="60" t="s">
        <v>4016</v>
      </c>
      <c r="AR1440" s="61">
        <v>44756</v>
      </c>
      <c r="AS1440" s="60">
        <v>6002052314</v>
      </c>
      <c r="AT1440" s="61">
        <v>44757</v>
      </c>
      <c r="AU1440" s="60" t="s">
        <v>4028</v>
      </c>
      <c r="AV1440" s="61">
        <v>44762</v>
      </c>
      <c r="AW1440" s="91">
        <v>44773</v>
      </c>
      <c r="AX1440" s="91">
        <v>44793</v>
      </c>
      <c r="AY1440" s="99">
        <v>48960</v>
      </c>
      <c r="AZ1440" s="99">
        <f>ROUNDDOWN(AY1440+(AY1440*MASTER!$A$2/100),0)</f>
        <v>53856</v>
      </c>
      <c r="BA1440" s="60" t="s">
        <v>14</v>
      </c>
      <c r="BB1440" s="64">
        <v>33500</v>
      </c>
      <c r="BC1440" s="64">
        <v>36850</v>
      </c>
      <c r="BD1440" s="60" t="s">
        <v>3800</v>
      </c>
      <c r="BG1440" s="64">
        <v>0</v>
      </c>
      <c r="BK1440" s="64">
        <v>0</v>
      </c>
      <c r="BS1440" s="64">
        <v>0</v>
      </c>
      <c r="BV1440" s="65">
        <v>56100</v>
      </c>
      <c r="BW1440" s="65">
        <v>36850</v>
      </c>
      <c r="BX1440" s="65">
        <v>44750</v>
      </c>
      <c r="BY1440" s="65">
        <v>19250</v>
      </c>
      <c r="BZ1440" s="81">
        <v>34.313725490196077</v>
      </c>
    </row>
    <row r="1441" spans="1:89" x14ac:dyDescent="0.15">
      <c r="A1441" s="60">
        <v>1</v>
      </c>
      <c r="B1441" s="61">
        <v>44753</v>
      </c>
      <c r="C1441" s="61">
        <v>44762</v>
      </c>
      <c r="F1441" s="61" t="s">
        <v>309</v>
      </c>
      <c r="H1441" s="61" t="s">
        <v>309</v>
      </c>
      <c r="J1441" s="60">
        <v>2</v>
      </c>
      <c r="L1441" s="60">
        <v>0</v>
      </c>
      <c r="M1441" s="61">
        <v>44750</v>
      </c>
      <c r="O1441" s="62" t="s">
        <v>331</v>
      </c>
      <c r="P1441" s="60" t="s">
        <v>77</v>
      </c>
      <c r="Q1441" s="62" t="s">
        <v>200</v>
      </c>
      <c r="R1441" s="62" t="s">
        <v>3950</v>
      </c>
      <c r="S1441" s="63" t="s">
        <v>489</v>
      </c>
      <c r="T1441" s="63" t="s">
        <v>490</v>
      </c>
      <c r="U1441" s="64">
        <v>9880</v>
      </c>
      <c r="V1441" s="64">
        <v>10868</v>
      </c>
      <c r="W1441" s="64">
        <v>9880</v>
      </c>
      <c r="X1441" s="64">
        <v>10868</v>
      </c>
      <c r="Z1441" s="64">
        <v>0</v>
      </c>
      <c r="AD1441" s="60">
        <v>0</v>
      </c>
      <c r="AG1441" s="60">
        <v>0</v>
      </c>
      <c r="AJ1441" s="60">
        <v>0</v>
      </c>
      <c r="AQ1441" s="60" t="s">
        <v>3951</v>
      </c>
      <c r="AR1441" s="61">
        <v>44750</v>
      </c>
      <c r="AS1441" s="60">
        <v>6002050233</v>
      </c>
      <c r="AT1441" s="61">
        <v>44750</v>
      </c>
      <c r="AU1441" s="60" t="s">
        <v>3962</v>
      </c>
      <c r="AV1441" s="61">
        <v>44762</v>
      </c>
      <c r="AW1441" s="91">
        <v>44773</v>
      </c>
      <c r="AX1441" s="91">
        <v>44793</v>
      </c>
      <c r="AY1441" s="107">
        <v>9880</v>
      </c>
      <c r="AZ1441" s="107">
        <v>10868</v>
      </c>
      <c r="BC1441" s="64">
        <v>0</v>
      </c>
      <c r="BG1441" s="64">
        <v>0</v>
      </c>
      <c r="BK1441" s="64">
        <v>0</v>
      </c>
      <c r="BS1441" s="64">
        <v>0</v>
      </c>
      <c r="BV1441" s="65">
        <v>10868</v>
      </c>
      <c r="BW1441" s="65">
        <v>0</v>
      </c>
      <c r="BX1441" s="65">
        <v>44750</v>
      </c>
      <c r="BY1441" s="65">
        <v>10868</v>
      </c>
      <c r="BZ1441" s="81">
        <v>100</v>
      </c>
    </row>
    <row r="1442" spans="1:89" x14ac:dyDescent="0.15">
      <c r="A1442" s="60">
        <v>1</v>
      </c>
      <c r="B1442" s="61">
        <v>44756</v>
      </c>
      <c r="C1442" s="61">
        <v>44761</v>
      </c>
      <c r="F1442" s="61" t="s">
        <v>309</v>
      </c>
      <c r="H1442" s="61" t="s">
        <v>309</v>
      </c>
      <c r="J1442" s="60">
        <v>2</v>
      </c>
      <c r="L1442" s="60">
        <v>0</v>
      </c>
      <c r="M1442" s="61">
        <v>44750</v>
      </c>
      <c r="O1442" s="62" t="s">
        <v>331</v>
      </c>
      <c r="P1442" s="60" t="s">
        <v>26</v>
      </c>
      <c r="Q1442" s="62" t="s">
        <v>200</v>
      </c>
      <c r="R1442" s="62" t="s">
        <v>3954</v>
      </c>
      <c r="S1442" s="63" t="s">
        <v>801</v>
      </c>
      <c r="T1442" s="63" t="s">
        <v>3953</v>
      </c>
      <c r="U1442" s="64">
        <v>84000</v>
      </c>
      <c r="V1442" s="64">
        <v>92400</v>
      </c>
      <c r="W1442" s="64">
        <v>84000</v>
      </c>
      <c r="X1442" s="64">
        <v>92400</v>
      </c>
      <c r="Y1442" s="64">
        <v>0</v>
      </c>
      <c r="Z1442" s="64">
        <v>0</v>
      </c>
      <c r="AA1442" s="61">
        <v>44755</v>
      </c>
      <c r="AB1442" s="61">
        <v>44756</v>
      </c>
      <c r="AD1442" s="60">
        <v>0</v>
      </c>
      <c r="AG1442" s="60">
        <v>0</v>
      </c>
      <c r="AJ1442" s="60">
        <v>0</v>
      </c>
      <c r="AQ1442" s="60" t="s">
        <v>3929</v>
      </c>
      <c r="AR1442" s="61">
        <v>44754</v>
      </c>
      <c r="AS1442" s="60">
        <v>6002051177</v>
      </c>
      <c r="AT1442" s="61">
        <v>44754</v>
      </c>
      <c r="AU1442" s="60" t="s">
        <v>3994</v>
      </c>
      <c r="AV1442" s="61">
        <v>44761</v>
      </c>
      <c r="AW1442" s="91">
        <v>44773</v>
      </c>
      <c r="AX1442" s="91">
        <v>44793</v>
      </c>
      <c r="AY1442" s="107">
        <v>84000</v>
      </c>
      <c r="AZ1442" s="107">
        <f>ROUNDDOWN(AY1442+(AY1442*MASTER!$A$2/100),0)</f>
        <v>92400</v>
      </c>
      <c r="BC1442" s="64">
        <v>0</v>
      </c>
      <c r="BG1442" s="64">
        <v>0</v>
      </c>
      <c r="BK1442" s="64">
        <v>0</v>
      </c>
      <c r="BS1442" s="64">
        <v>0</v>
      </c>
      <c r="BV1442" s="65">
        <v>92400</v>
      </c>
      <c r="BW1442" s="65">
        <v>0</v>
      </c>
      <c r="BX1442" s="65">
        <v>44750</v>
      </c>
      <c r="BY1442" s="65">
        <v>92400</v>
      </c>
      <c r="BZ1442" s="81">
        <v>100</v>
      </c>
    </row>
    <row r="1443" spans="1:89" x14ac:dyDescent="0.15">
      <c r="A1443" s="60">
        <v>1</v>
      </c>
      <c r="B1443" s="61">
        <v>44756</v>
      </c>
      <c r="C1443" s="61">
        <v>44761</v>
      </c>
      <c r="F1443" s="61" t="s">
        <v>309</v>
      </c>
      <c r="H1443" s="61" t="s">
        <v>309</v>
      </c>
      <c r="J1443" s="60">
        <v>2</v>
      </c>
      <c r="L1443" s="60">
        <v>0</v>
      </c>
      <c r="M1443" s="61">
        <v>44750</v>
      </c>
      <c r="O1443" s="62" t="s">
        <v>331</v>
      </c>
      <c r="P1443" s="60" t="s">
        <v>26</v>
      </c>
      <c r="Q1443" s="62" t="s">
        <v>200</v>
      </c>
      <c r="R1443" s="62" t="s">
        <v>3956</v>
      </c>
      <c r="S1443" s="63" t="s">
        <v>540</v>
      </c>
      <c r="T1443" s="63" t="s">
        <v>3955</v>
      </c>
      <c r="U1443" s="64">
        <v>35000</v>
      </c>
      <c r="V1443" s="64">
        <v>38500</v>
      </c>
      <c r="W1443" s="64">
        <v>35000</v>
      </c>
      <c r="X1443" s="64">
        <v>38500</v>
      </c>
      <c r="Y1443" s="64">
        <v>0</v>
      </c>
      <c r="Z1443" s="64">
        <v>0</v>
      </c>
      <c r="AA1443" s="61">
        <v>44756</v>
      </c>
      <c r="AD1443" s="60">
        <v>0</v>
      </c>
      <c r="AG1443" s="60">
        <v>0</v>
      </c>
      <c r="AJ1443" s="60">
        <v>0</v>
      </c>
      <c r="AQ1443" s="60" t="s">
        <v>3450</v>
      </c>
      <c r="AR1443" s="61">
        <v>44754</v>
      </c>
      <c r="AS1443" s="60">
        <v>6002051157</v>
      </c>
      <c r="AT1443" s="61">
        <v>44754</v>
      </c>
      <c r="AU1443" s="60" t="s">
        <v>4013</v>
      </c>
      <c r="AV1443" s="61">
        <v>44761</v>
      </c>
      <c r="AW1443" s="91">
        <v>44773</v>
      </c>
      <c r="AX1443" s="91">
        <v>44793</v>
      </c>
      <c r="AY1443" s="107">
        <v>35000</v>
      </c>
      <c r="AZ1443" s="107">
        <f>ROUNDDOWN(AY1443+(AY1443*MASTER!$A$2/100),0)</f>
        <v>38500</v>
      </c>
      <c r="BC1443" s="64">
        <v>0</v>
      </c>
      <c r="BG1443" s="64">
        <v>0</v>
      </c>
      <c r="BK1443" s="64">
        <v>0</v>
      </c>
      <c r="BS1443" s="64">
        <v>0</v>
      </c>
      <c r="BV1443" s="65">
        <v>38500</v>
      </c>
      <c r="BW1443" s="65">
        <v>0</v>
      </c>
      <c r="BX1443" s="65">
        <v>44750</v>
      </c>
      <c r="BY1443" s="65">
        <v>38500</v>
      </c>
      <c r="BZ1443" s="81">
        <v>100</v>
      </c>
    </row>
    <row r="1444" spans="1:89" x14ac:dyDescent="0.15">
      <c r="A1444" s="60">
        <v>2</v>
      </c>
      <c r="B1444" s="61">
        <v>44774</v>
      </c>
      <c r="C1444" s="61">
        <v>44781</v>
      </c>
      <c r="D1444" s="61" t="s">
        <v>764</v>
      </c>
      <c r="E1444" s="61">
        <v>44785</v>
      </c>
      <c r="F1444" s="61">
        <v>44788</v>
      </c>
      <c r="G1444" s="61">
        <v>44782</v>
      </c>
      <c r="H1444" s="61">
        <v>44784</v>
      </c>
      <c r="I1444" s="60" t="s">
        <v>511</v>
      </c>
      <c r="J1444" s="60">
        <v>1</v>
      </c>
      <c r="L1444" s="60">
        <v>0</v>
      </c>
      <c r="M1444" s="61">
        <v>44754</v>
      </c>
      <c r="O1444" s="62" t="s">
        <v>331</v>
      </c>
      <c r="P1444" s="60" t="s">
        <v>26</v>
      </c>
      <c r="Q1444" s="62" t="s">
        <v>200</v>
      </c>
      <c r="R1444" s="62" t="s">
        <v>4235</v>
      </c>
      <c r="S1444" s="63" t="s">
        <v>361</v>
      </c>
      <c r="T1444" s="63" t="s">
        <v>502</v>
      </c>
      <c r="U1444" s="64">
        <v>23900</v>
      </c>
      <c r="V1444" s="64">
        <v>26290</v>
      </c>
      <c r="W1444" s="64">
        <v>14700</v>
      </c>
      <c r="X1444" s="64">
        <v>16170</v>
      </c>
      <c r="Y1444" s="64">
        <v>9200</v>
      </c>
      <c r="Z1444" s="64">
        <v>10120</v>
      </c>
      <c r="AA1444" s="61">
        <v>44780</v>
      </c>
      <c r="AB1444" s="61">
        <v>44781</v>
      </c>
      <c r="AC1444" s="61">
        <v>44781</v>
      </c>
      <c r="AD1444" s="60">
        <v>0</v>
      </c>
      <c r="AG1444" s="60">
        <v>0</v>
      </c>
      <c r="AJ1444" s="60">
        <v>0</v>
      </c>
      <c r="AM1444" s="60" t="s">
        <v>273</v>
      </c>
      <c r="AN1444" s="60" t="s">
        <v>4236</v>
      </c>
      <c r="AQ1444" s="60" t="s">
        <v>4049</v>
      </c>
      <c r="AR1444" s="61">
        <v>44763</v>
      </c>
      <c r="AS1444" s="60">
        <v>6002054419</v>
      </c>
      <c r="AT1444" s="61">
        <v>44764</v>
      </c>
      <c r="AU1444" s="60" t="s">
        <v>4084</v>
      </c>
      <c r="AV1444" s="61">
        <v>44781</v>
      </c>
      <c r="AW1444" s="91">
        <v>44804</v>
      </c>
      <c r="AX1444" s="91">
        <v>44824</v>
      </c>
      <c r="AY1444" s="99">
        <v>22944</v>
      </c>
      <c r="AZ1444" s="99">
        <f>ROUNDDOWN(AY1444+(AY1444*MASTER!$A$2/100),0)</f>
        <v>25238</v>
      </c>
      <c r="BA1444" s="60" t="s">
        <v>765</v>
      </c>
      <c r="BC1444" s="64">
        <v>0</v>
      </c>
      <c r="BG1444" s="64">
        <v>0</v>
      </c>
      <c r="BI1444" s="60" t="s">
        <v>267</v>
      </c>
      <c r="BJ1444" s="64">
        <v>5980</v>
      </c>
      <c r="BK1444" s="64">
        <v>6578</v>
      </c>
      <c r="BL1444" s="60" t="s">
        <v>4069</v>
      </c>
      <c r="BS1444" s="64">
        <v>0</v>
      </c>
      <c r="BV1444" s="65">
        <v>16170</v>
      </c>
      <c r="BW1444" s="65">
        <v>6578</v>
      </c>
      <c r="BX1444" s="65">
        <v>44754</v>
      </c>
      <c r="BY1444" s="65">
        <v>9592</v>
      </c>
      <c r="BZ1444" s="81">
        <v>59.319727891156461</v>
      </c>
    </row>
    <row r="1445" spans="1:89" x14ac:dyDescent="0.15">
      <c r="A1445" s="60">
        <v>2</v>
      </c>
      <c r="B1445" s="61">
        <v>44790</v>
      </c>
      <c r="C1445" s="61">
        <v>44799</v>
      </c>
      <c r="D1445" s="61">
        <v>44816</v>
      </c>
      <c r="E1445" s="61">
        <v>44796</v>
      </c>
      <c r="F1445" s="61">
        <v>44803</v>
      </c>
      <c r="G1445" s="61">
        <v>44796</v>
      </c>
      <c r="H1445" s="61">
        <v>44799</v>
      </c>
      <c r="I1445" s="60" t="s">
        <v>511</v>
      </c>
      <c r="J1445" s="60">
        <v>1</v>
      </c>
      <c r="L1445" s="60">
        <v>0</v>
      </c>
      <c r="M1445" s="61">
        <v>44754</v>
      </c>
      <c r="O1445" s="62" t="s">
        <v>331</v>
      </c>
      <c r="P1445" s="60" t="s">
        <v>26</v>
      </c>
      <c r="Q1445" s="62" t="s">
        <v>200</v>
      </c>
      <c r="R1445" s="62" t="s">
        <v>4393</v>
      </c>
      <c r="S1445" s="63" t="s">
        <v>1526</v>
      </c>
      <c r="T1445" s="63" t="s">
        <v>783</v>
      </c>
      <c r="U1445" s="64">
        <v>56000</v>
      </c>
      <c r="V1445" s="64">
        <v>61600</v>
      </c>
      <c r="W1445" s="64">
        <v>47000</v>
      </c>
      <c r="X1445" s="64">
        <v>51700</v>
      </c>
      <c r="Y1445" s="64">
        <v>9000</v>
      </c>
      <c r="Z1445" s="64">
        <v>9900</v>
      </c>
      <c r="AA1445" s="61">
        <v>44794</v>
      </c>
      <c r="AB1445" s="61">
        <v>44796</v>
      </c>
      <c r="AC1445" s="61">
        <v>44796</v>
      </c>
      <c r="AD1445" s="60">
        <v>0</v>
      </c>
      <c r="AG1445" s="60">
        <v>0</v>
      </c>
      <c r="AJ1445" s="60">
        <v>0</v>
      </c>
      <c r="AM1445" s="60" t="s">
        <v>273</v>
      </c>
      <c r="AN1445" s="60" t="s">
        <v>4394</v>
      </c>
      <c r="AQ1445" s="60" t="s">
        <v>4327</v>
      </c>
      <c r="AR1445" s="61">
        <v>44783</v>
      </c>
      <c r="AS1445" s="60">
        <v>6002061406</v>
      </c>
      <c r="AT1445" s="61">
        <v>44783</v>
      </c>
      <c r="AU1445" s="60" t="s">
        <v>4336</v>
      </c>
      <c r="AV1445" s="61">
        <v>44799</v>
      </c>
      <c r="AW1445" s="91">
        <v>44804</v>
      </c>
      <c r="AX1445" s="91">
        <v>44824</v>
      </c>
      <c r="AY1445" s="99">
        <v>53760</v>
      </c>
      <c r="AZ1445" s="99">
        <f>ROUNDDOWN(AY1445+(AY1445*MASTER!$A$2/100),0)</f>
        <v>59136</v>
      </c>
      <c r="BA1445" s="60" t="s">
        <v>765</v>
      </c>
      <c r="BC1445" s="64">
        <v>0</v>
      </c>
      <c r="BG1445" s="64">
        <v>0</v>
      </c>
      <c r="BI1445" s="60" t="s">
        <v>748</v>
      </c>
      <c r="BJ1445" s="64">
        <v>5850</v>
      </c>
      <c r="BK1445" s="64">
        <v>6435</v>
      </c>
      <c r="BL1445" s="60" t="s">
        <v>3940</v>
      </c>
      <c r="BS1445" s="64">
        <v>0</v>
      </c>
      <c r="BV1445" s="65">
        <v>51700</v>
      </c>
      <c r="BW1445" s="65">
        <v>6435</v>
      </c>
      <c r="BX1445" s="65">
        <v>44754</v>
      </c>
      <c r="BY1445" s="65">
        <v>45265</v>
      </c>
      <c r="BZ1445" s="81">
        <v>87.553191489361708</v>
      </c>
    </row>
    <row r="1446" spans="1:89" x14ac:dyDescent="0.15">
      <c r="A1446" s="60">
        <v>1</v>
      </c>
      <c r="B1446" s="61">
        <v>44774</v>
      </c>
      <c r="C1446" s="61">
        <v>44781</v>
      </c>
      <c r="D1446" s="61">
        <v>44809</v>
      </c>
      <c r="F1446" s="61">
        <v>44788</v>
      </c>
      <c r="G1446" s="61">
        <v>44783</v>
      </c>
      <c r="H1446" s="61">
        <v>44784</v>
      </c>
      <c r="I1446" s="60" t="s">
        <v>774</v>
      </c>
      <c r="J1446" s="60">
        <v>1</v>
      </c>
      <c r="L1446" s="60">
        <v>0</v>
      </c>
      <c r="M1446" s="61">
        <v>44754</v>
      </c>
      <c r="O1446" s="62" t="s">
        <v>331</v>
      </c>
      <c r="P1446" s="60" t="s">
        <v>26</v>
      </c>
      <c r="Q1446" s="62" t="s">
        <v>200</v>
      </c>
      <c r="R1446" s="62" t="s">
        <v>4070</v>
      </c>
      <c r="S1446" s="63" t="s">
        <v>1026</v>
      </c>
      <c r="T1446" s="63" t="s">
        <v>4071</v>
      </c>
      <c r="U1446" s="64">
        <v>209700</v>
      </c>
      <c r="V1446" s="64">
        <v>230670</v>
      </c>
      <c r="W1446" s="64">
        <v>86000</v>
      </c>
      <c r="X1446" s="64">
        <v>94600</v>
      </c>
      <c r="Y1446" s="64">
        <v>123700</v>
      </c>
      <c r="Z1446" s="64">
        <v>136070</v>
      </c>
      <c r="AA1446" s="61">
        <v>44780</v>
      </c>
      <c r="AB1446" s="61">
        <v>44781</v>
      </c>
      <c r="AC1446" s="61">
        <v>44781</v>
      </c>
      <c r="AD1446" s="60">
        <v>0</v>
      </c>
      <c r="AG1446" s="60">
        <v>0</v>
      </c>
      <c r="AJ1446" s="60">
        <v>0</v>
      </c>
      <c r="AM1446" s="60" t="s">
        <v>273</v>
      </c>
      <c r="AN1446" s="60" t="s">
        <v>4072</v>
      </c>
      <c r="AQ1446" s="60" t="s">
        <v>4107</v>
      </c>
      <c r="AR1446" s="61">
        <v>44764</v>
      </c>
      <c r="AS1446" s="60">
        <v>6002054855</v>
      </c>
      <c r="AT1446" s="61">
        <v>44764</v>
      </c>
      <c r="AU1446" s="60" t="s">
        <v>4085</v>
      </c>
      <c r="AV1446" s="61">
        <v>44781</v>
      </c>
      <c r="AW1446" s="91">
        <v>44804</v>
      </c>
      <c r="AX1446" s="91">
        <v>44824</v>
      </c>
      <c r="AY1446" s="99">
        <v>201312</v>
      </c>
      <c r="AZ1446" s="99">
        <f>ROUNDDOWN(AY1446+(AY1446*MASTER!$A$2/100),0)</f>
        <v>221443</v>
      </c>
      <c r="BA1446" s="60" t="s">
        <v>317</v>
      </c>
      <c r="BB1446" s="64">
        <v>34000</v>
      </c>
      <c r="BC1446" s="64">
        <v>37400</v>
      </c>
      <c r="BD1446" s="60" t="s">
        <v>3940</v>
      </c>
      <c r="BG1446" s="64">
        <v>0</v>
      </c>
      <c r="BI1446" s="60" t="s">
        <v>748</v>
      </c>
      <c r="BJ1446" s="64">
        <v>80405</v>
      </c>
      <c r="BK1446" s="64">
        <v>88445.5</v>
      </c>
      <c r="BL1446" s="60" t="s">
        <v>3940</v>
      </c>
      <c r="BS1446" s="64">
        <v>0</v>
      </c>
      <c r="BV1446" s="65">
        <v>94600</v>
      </c>
      <c r="BW1446" s="65">
        <v>125845.5</v>
      </c>
      <c r="BX1446" s="65">
        <v>44754</v>
      </c>
      <c r="BY1446" s="65">
        <v>-31245.5</v>
      </c>
      <c r="BZ1446" s="81">
        <v>-33.029069767441861</v>
      </c>
    </row>
    <row r="1447" spans="1:89" x14ac:dyDescent="0.15">
      <c r="A1447" s="60">
        <v>1</v>
      </c>
      <c r="B1447" s="61">
        <v>44775</v>
      </c>
      <c r="C1447" s="61">
        <v>44781</v>
      </c>
      <c r="D1447" s="61">
        <v>44809</v>
      </c>
      <c r="F1447" s="61">
        <v>44788</v>
      </c>
      <c r="G1447" s="61">
        <v>44783</v>
      </c>
      <c r="H1447" s="61">
        <v>44784</v>
      </c>
      <c r="I1447" s="60" t="s">
        <v>774</v>
      </c>
      <c r="J1447" s="60">
        <v>1</v>
      </c>
      <c r="L1447" s="60">
        <v>0</v>
      </c>
      <c r="M1447" s="61">
        <v>44754</v>
      </c>
      <c r="O1447" s="62" t="s">
        <v>331</v>
      </c>
      <c r="P1447" s="60" t="s">
        <v>26</v>
      </c>
      <c r="Q1447" s="62" t="s">
        <v>200</v>
      </c>
      <c r="R1447" s="62" t="s">
        <v>4105</v>
      </c>
      <c r="S1447" s="63" t="s">
        <v>409</v>
      </c>
      <c r="T1447" s="63" t="s">
        <v>1336</v>
      </c>
      <c r="U1447" s="64">
        <v>195500</v>
      </c>
      <c r="V1447" s="64">
        <v>215050</v>
      </c>
      <c r="W1447" s="64">
        <v>78000</v>
      </c>
      <c r="X1447" s="64">
        <v>85800</v>
      </c>
      <c r="Y1447" s="64">
        <v>117500</v>
      </c>
      <c r="Z1447" s="64">
        <v>129250</v>
      </c>
      <c r="AA1447" s="61">
        <v>44780</v>
      </c>
      <c r="AB1447" s="61">
        <v>44781</v>
      </c>
      <c r="AC1447" s="61">
        <v>44781</v>
      </c>
      <c r="AD1447" s="60">
        <v>0</v>
      </c>
      <c r="AG1447" s="60">
        <v>0</v>
      </c>
      <c r="AJ1447" s="60">
        <v>0</v>
      </c>
      <c r="AM1447" s="60" t="s">
        <v>273</v>
      </c>
      <c r="AN1447" s="60" t="s">
        <v>4106</v>
      </c>
      <c r="AQ1447" s="60" t="s">
        <v>4114</v>
      </c>
      <c r="AR1447" s="61">
        <v>44770</v>
      </c>
      <c r="AS1447" s="60">
        <v>6002056788</v>
      </c>
      <c r="AT1447" s="61">
        <v>44774</v>
      </c>
      <c r="AU1447" s="60" t="s">
        <v>4205</v>
      </c>
      <c r="AV1447" s="61">
        <v>44781</v>
      </c>
      <c r="AW1447" s="91">
        <v>44804</v>
      </c>
      <c r="AX1447" s="91">
        <v>44824</v>
      </c>
      <c r="AY1447" s="99">
        <v>187680</v>
      </c>
      <c r="AZ1447" s="99">
        <f>ROUNDDOWN(AY1447+(AY1447*MASTER!$A$2/100),0)</f>
        <v>206448</v>
      </c>
      <c r="BA1447" s="60" t="s">
        <v>317</v>
      </c>
      <c r="BB1447" s="64">
        <v>32000</v>
      </c>
      <c r="BC1447" s="64">
        <v>35200</v>
      </c>
      <c r="BD1447" s="60" t="s">
        <v>4069</v>
      </c>
      <c r="BG1447" s="64">
        <v>0</v>
      </c>
      <c r="BI1447" s="60" t="s">
        <v>748</v>
      </c>
      <c r="BJ1447" s="64">
        <v>76375</v>
      </c>
      <c r="BK1447" s="64">
        <v>84012.5</v>
      </c>
      <c r="BL1447" s="60" t="s">
        <v>3940</v>
      </c>
      <c r="BS1447" s="64">
        <v>0</v>
      </c>
      <c r="BV1447" s="65">
        <v>85800</v>
      </c>
      <c r="BW1447" s="65">
        <v>119212.5</v>
      </c>
      <c r="BX1447" s="65">
        <v>44754</v>
      </c>
      <c r="BY1447" s="65">
        <v>-33412.5</v>
      </c>
      <c r="BZ1447" s="81">
        <v>-38.942307692307693</v>
      </c>
    </row>
    <row r="1448" spans="1:89" x14ac:dyDescent="0.15">
      <c r="A1448" s="60">
        <v>1</v>
      </c>
      <c r="B1448" s="61">
        <v>44775</v>
      </c>
      <c r="C1448" s="61">
        <v>44784</v>
      </c>
      <c r="D1448" s="61">
        <v>44809</v>
      </c>
      <c r="F1448" s="61">
        <v>44789</v>
      </c>
      <c r="G1448" s="61">
        <v>44783</v>
      </c>
      <c r="H1448" s="61">
        <v>44785</v>
      </c>
      <c r="I1448" s="60" t="s">
        <v>1630</v>
      </c>
      <c r="J1448" s="60">
        <v>1</v>
      </c>
      <c r="L1448" s="60">
        <v>0</v>
      </c>
      <c r="M1448" s="61">
        <v>44754</v>
      </c>
      <c r="O1448" s="62" t="s">
        <v>331</v>
      </c>
      <c r="P1448" s="60" t="s">
        <v>26</v>
      </c>
      <c r="Q1448" s="62" t="s">
        <v>200</v>
      </c>
      <c r="R1448" s="62" t="s">
        <v>4073</v>
      </c>
      <c r="S1448" s="63" t="s">
        <v>1019</v>
      </c>
      <c r="T1448" s="63" t="s">
        <v>2571</v>
      </c>
      <c r="U1448" s="64">
        <v>145500</v>
      </c>
      <c r="V1448" s="64">
        <v>160050</v>
      </c>
      <c r="W1448" s="64">
        <v>78000</v>
      </c>
      <c r="X1448" s="64">
        <v>85800</v>
      </c>
      <c r="Y1448" s="64">
        <v>67500</v>
      </c>
      <c r="Z1448" s="64">
        <v>74250</v>
      </c>
      <c r="AA1448" s="61">
        <v>44781</v>
      </c>
      <c r="AB1448" s="61">
        <v>44782</v>
      </c>
      <c r="AC1448" s="61">
        <v>44782</v>
      </c>
      <c r="AD1448" s="60">
        <v>0</v>
      </c>
      <c r="AG1448" s="60">
        <v>0</v>
      </c>
      <c r="AJ1448" s="60">
        <v>0</v>
      </c>
      <c r="AM1448" s="60" t="s">
        <v>273</v>
      </c>
      <c r="AN1448" s="60" t="s">
        <v>4074</v>
      </c>
      <c r="AQ1448" s="60" t="s">
        <v>4275</v>
      </c>
      <c r="AR1448" s="61">
        <v>44764</v>
      </c>
      <c r="AS1448" s="60">
        <v>6002054855</v>
      </c>
      <c r="AT1448" s="61">
        <v>44764</v>
      </c>
      <c r="AU1448" s="60" t="s">
        <v>4085</v>
      </c>
      <c r="AV1448" s="61">
        <v>44784</v>
      </c>
      <c r="AW1448" s="91">
        <v>44804</v>
      </c>
      <c r="AX1448" s="91">
        <v>44824</v>
      </c>
      <c r="AY1448" s="99">
        <v>139680</v>
      </c>
      <c r="AZ1448" s="99">
        <f>ROUNDDOWN(AY1448+(AY1448*MASTER!$A$2/100),0)</f>
        <v>153648</v>
      </c>
      <c r="BA1448" s="60" t="s">
        <v>317</v>
      </c>
      <c r="BB1448" s="64">
        <v>35000</v>
      </c>
      <c r="BC1448" s="64">
        <v>38500</v>
      </c>
      <c r="BD1448" s="60" t="s">
        <v>3940</v>
      </c>
      <c r="BG1448" s="64">
        <v>0</v>
      </c>
      <c r="BI1448" s="60" t="s">
        <v>748</v>
      </c>
      <c r="BJ1448" s="64">
        <v>43875</v>
      </c>
      <c r="BK1448" s="64">
        <v>48262.5</v>
      </c>
      <c r="BL1448" s="60" t="s">
        <v>3940</v>
      </c>
      <c r="BS1448" s="64">
        <v>0</v>
      </c>
      <c r="BV1448" s="65">
        <v>85800</v>
      </c>
      <c r="BW1448" s="65">
        <v>86762.5</v>
      </c>
      <c r="BX1448" s="65">
        <v>44754</v>
      </c>
      <c r="BY1448" s="65">
        <v>-962.5</v>
      </c>
      <c r="BZ1448" s="81">
        <v>-1.1217948717948718</v>
      </c>
    </row>
    <row r="1449" spans="1:89" x14ac:dyDescent="0.15">
      <c r="A1449" s="60">
        <v>2</v>
      </c>
      <c r="B1449" s="61">
        <v>44790</v>
      </c>
      <c r="C1449" s="61">
        <v>44799</v>
      </c>
      <c r="D1449" s="61">
        <v>44806</v>
      </c>
      <c r="E1449" s="61">
        <v>44803</v>
      </c>
      <c r="F1449" s="61" t="s">
        <v>309</v>
      </c>
      <c r="G1449" s="61">
        <v>44799</v>
      </c>
      <c r="H1449" s="61" t="s">
        <v>309</v>
      </c>
      <c r="I1449" s="60" t="s">
        <v>511</v>
      </c>
      <c r="J1449" s="60">
        <v>1</v>
      </c>
      <c r="L1449" s="60">
        <v>0</v>
      </c>
      <c r="M1449" s="61">
        <v>44754</v>
      </c>
      <c r="O1449" s="62" t="s">
        <v>331</v>
      </c>
      <c r="P1449" s="60" t="s">
        <v>26</v>
      </c>
      <c r="Q1449" s="62" t="s">
        <v>200</v>
      </c>
      <c r="R1449" s="62" t="s">
        <v>4195</v>
      </c>
      <c r="S1449" s="63" t="s">
        <v>801</v>
      </c>
      <c r="T1449" s="63" t="s">
        <v>621</v>
      </c>
      <c r="U1449" s="64">
        <v>50000</v>
      </c>
      <c r="V1449" s="64">
        <v>55000</v>
      </c>
      <c r="W1449" s="64">
        <v>47000</v>
      </c>
      <c r="X1449" s="64">
        <v>51700</v>
      </c>
      <c r="Y1449" s="64">
        <v>3000</v>
      </c>
      <c r="Z1449" s="64">
        <v>3300</v>
      </c>
      <c r="AA1449" s="61">
        <v>44798</v>
      </c>
      <c r="AB1449" s="61">
        <v>44799</v>
      </c>
      <c r="AD1449" s="60">
        <v>0</v>
      </c>
      <c r="AG1449" s="60">
        <v>0</v>
      </c>
      <c r="AJ1449" s="60">
        <v>0</v>
      </c>
      <c r="AM1449" s="60" t="s">
        <v>273</v>
      </c>
      <c r="AN1449" s="60" t="s">
        <v>4196</v>
      </c>
      <c r="AQ1449" s="60" t="s">
        <v>4405</v>
      </c>
      <c r="AR1449" s="61">
        <v>44774</v>
      </c>
      <c r="AS1449" s="60">
        <v>6002057691</v>
      </c>
      <c r="AT1449" s="61">
        <v>44774</v>
      </c>
      <c r="AU1449" s="60" t="s">
        <v>4206</v>
      </c>
      <c r="AV1449" s="61">
        <v>44799</v>
      </c>
      <c r="AW1449" s="91">
        <v>44804</v>
      </c>
      <c r="AX1449" s="91">
        <v>44824</v>
      </c>
      <c r="AY1449" s="99">
        <v>48000</v>
      </c>
      <c r="AZ1449" s="99">
        <f>ROUNDDOWN(AY1449+(AY1449*MASTER!$A$2/100),0)</f>
        <v>52800</v>
      </c>
      <c r="BA1449" s="60" t="s">
        <v>613</v>
      </c>
      <c r="BB1449" s="64">
        <v>26000</v>
      </c>
      <c r="BC1449" s="64">
        <v>28600</v>
      </c>
      <c r="BD1449" s="60" t="s">
        <v>3940</v>
      </c>
      <c r="BG1449" s="64">
        <v>0</v>
      </c>
      <c r="BI1449" s="60" t="s">
        <v>748</v>
      </c>
      <c r="BJ1449" s="64">
        <v>1950</v>
      </c>
      <c r="BK1449" s="64">
        <v>2145</v>
      </c>
      <c r="BL1449" s="60" t="s">
        <v>3940</v>
      </c>
      <c r="BS1449" s="64">
        <v>0</v>
      </c>
      <c r="BV1449" s="65">
        <v>51700</v>
      </c>
      <c r="BW1449" s="65">
        <v>30745</v>
      </c>
      <c r="BX1449" s="65">
        <v>44754</v>
      </c>
      <c r="BY1449" s="65">
        <v>20955</v>
      </c>
      <c r="BZ1449" s="81">
        <v>40.531914893617021</v>
      </c>
    </row>
    <row r="1450" spans="1:89" x14ac:dyDescent="0.15">
      <c r="A1450" s="60">
        <v>1</v>
      </c>
      <c r="B1450" s="61">
        <v>44762</v>
      </c>
      <c r="C1450" s="61">
        <v>44774</v>
      </c>
      <c r="F1450" s="61" t="s">
        <v>309</v>
      </c>
      <c r="H1450" s="61" t="s">
        <v>309</v>
      </c>
      <c r="J1450" s="60">
        <v>2</v>
      </c>
      <c r="L1450" s="60">
        <v>0</v>
      </c>
      <c r="M1450" s="61">
        <v>44754</v>
      </c>
      <c r="O1450" s="62" t="s">
        <v>331</v>
      </c>
      <c r="P1450" s="60" t="s">
        <v>77</v>
      </c>
      <c r="Q1450" s="62" t="s">
        <v>200</v>
      </c>
      <c r="R1450" s="62" t="s">
        <v>3988</v>
      </c>
      <c r="S1450" s="63" t="s">
        <v>489</v>
      </c>
      <c r="T1450" s="63" t="s">
        <v>490</v>
      </c>
      <c r="U1450" s="64">
        <v>29640</v>
      </c>
      <c r="V1450" s="64">
        <v>32604</v>
      </c>
      <c r="W1450" s="64">
        <v>29640</v>
      </c>
      <c r="X1450" s="64">
        <v>32604</v>
      </c>
      <c r="Y1450" s="64">
        <v>0</v>
      </c>
      <c r="Z1450" s="64">
        <v>0</v>
      </c>
      <c r="AD1450" s="60">
        <v>0</v>
      </c>
      <c r="AG1450" s="60">
        <v>0</v>
      </c>
      <c r="AJ1450" s="60">
        <v>0</v>
      </c>
      <c r="AQ1450" s="60" t="s">
        <v>3989</v>
      </c>
      <c r="AR1450" s="61">
        <v>44754</v>
      </c>
      <c r="AS1450" s="60">
        <v>6002051161</v>
      </c>
      <c r="AT1450" s="61">
        <v>44754</v>
      </c>
      <c r="AU1450" s="60" t="s">
        <v>3992</v>
      </c>
      <c r="AV1450" s="61">
        <v>44774</v>
      </c>
      <c r="AW1450" s="91">
        <v>44773</v>
      </c>
      <c r="AX1450" s="91">
        <v>44793</v>
      </c>
      <c r="AY1450" s="107">
        <v>29640</v>
      </c>
      <c r="AZ1450" s="107">
        <v>32604</v>
      </c>
      <c r="BC1450" s="64">
        <v>0</v>
      </c>
      <c r="BG1450" s="64">
        <v>0</v>
      </c>
      <c r="BK1450" s="64">
        <v>0</v>
      </c>
      <c r="BS1450" s="64">
        <v>0</v>
      </c>
      <c r="BV1450" s="65">
        <v>32604</v>
      </c>
      <c r="BW1450" s="65">
        <v>0</v>
      </c>
      <c r="BX1450" s="65">
        <v>44754</v>
      </c>
      <c r="BY1450" s="65">
        <v>32604</v>
      </c>
      <c r="BZ1450" s="81">
        <v>100</v>
      </c>
    </row>
    <row r="1451" spans="1:89" s="152" customFormat="1" x14ac:dyDescent="0.15">
      <c r="A1451" s="142">
        <v>3</v>
      </c>
      <c r="B1451" s="143"/>
      <c r="C1451" s="143" t="s">
        <v>309</v>
      </c>
      <c r="D1451" s="143"/>
      <c r="E1451" s="143"/>
      <c r="F1451" s="143" t="s">
        <v>309</v>
      </c>
      <c r="G1451" s="143"/>
      <c r="H1451" s="143" t="s">
        <v>309</v>
      </c>
      <c r="I1451" s="142"/>
      <c r="J1451" s="142">
        <v>2</v>
      </c>
      <c r="K1451" s="143"/>
      <c r="L1451" s="142">
        <v>0</v>
      </c>
      <c r="M1451" s="143">
        <v>44754</v>
      </c>
      <c r="N1451" s="143"/>
      <c r="O1451" s="144" t="s">
        <v>331</v>
      </c>
      <c r="P1451" s="142" t="s">
        <v>77</v>
      </c>
      <c r="Q1451" s="144" t="s">
        <v>200</v>
      </c>
      <c r="R1451" s="144" t="s">
        <v>3990</v>
      </c>
      <c r="S1451" s="145" t="s">
        <v>489</v>
      </c>
      <c r="T1451" s="145" t="s">
        <v>490</v>
      </c>
      <c r="U1451" s="146">
        <v>11960</v>
      </c>
      <c r="V1451" s="146">
        <v>13156</v>
      </c>
      <c r="W1451" s="146">
        <v>11960</v>
      </c>
      <c r="X1451" s="146">
        <v>13156</v>
      </c>
      <c r="Y1451" s="146">
        <v>0</v>
      </c>
      <c r="Z1451" s="146">
        <v>0</v>
      </c>
      <c r="AA1451" s="143"/>
      <c r="AB1451" s="143"/>
      <c r="AC1451" s="143"/>
      <c r="AD1451" s="142">
        <v>0</v>
      </c>
      <c r="AE1451" s="142"/>
      <c r="AF1451" s="142"/>
      <c r="AG1451" s="142">
        <v>0</v>
      </c>
      <c r="AH1451" s="142"/>
      <c r="AI1451" s="142"/>
      <c r="AJ1451" s="142">
        <v>0</v>
      </c>
      <c r="AK1451" s="142"/>
      <c r="AL1451" s="142"/>
      <c r="AM1451" s="142"/>
      <c r="AN1451" s="142"/>
      <c r="AO1451" s="143"/>
      <c r="AP1451" s="142"/>
      <c r="AQ1451" s="142"/>
      <c r="AR1451" s="143"/>
      <c r="AS1451" s="142"/>
      <c r="AT1451" s="143"/>
      <c r="AU1451" s="142"/>
      <c r="AV1451" s="143"/>
      <c r="AW1451" s="147"/>
      <c r="AX1451" s="147"/>
      <c r="AY1451" s="148">
        <v>11481</v>
      </c>
      <c r="AZ1451" s="148">
        <f>ROUNDDOWN(AY1451+(AY1451*MASTER!$A$2/100),0)</f>
        <v>12629</v>
      </c>
      <c r="BA1451" s="142"/>
      <c r="BB1451" s="146"/>
      <c r="BC1451" s="146">
        <v>0</v>
      </c>
      <c r="BD1451" s="142"/>
      <c r="BE1451" s="142"/>
      <c r="BF1451" s="146"/>
      <c r="BG1451" s="146">
        <v>0</v>
      </c>
      <c r="BH1451" s="142"/>
      <c r="BI1451" s="142"/>
      <c r="BJ1451" s="146"/>
      <c r="BK1451" s="146">
        <v>0</v>
      </c>
      <c r="BL1451" s="142"/>
      <c r="BM1451" s="146"/>
      <c r="BN1451" s="146"/>
      <c r="BO1451" s="146"/>
      <c r="BP1451" s="146"/>
      <c r="BQ1451" s="146"/>
      <c r="BR1451" s="146"/>
      <c r="BS1451" s="146">
        <v>0</v>
      </c>
      <c r="BT1451" s="149"/>
      <c r="BU1451" s="149"/>
      <c r="BV1451" s="150">
        <v>13156</v>
      </c>
      <c r="BW1451" s="150">
        <v>0</v>
      </c>
      <c r="BX1451" s="150">
        <v>44754</v>
      </c>
      <c r="BY1451" s="150">
        <v>13156</v>
      </c>
      <c r="BZ1451" s="151">
        <v>100</v>
      </c>
      <c r="CA1451" s="142"/>
      <c r="CB1451" s="142"/>
      <c r="CC1451" s="142"/>
      <c r="CD1451" s="145" t="s">
        <v>4008</v>
      </c>
      <c r="CE1451" s="143"/>
      <c r="CF1451" s="143"/>
      <c r="CG1451" s="143"/>
      <c r="CH1451" s="143"/>
      <c r="CI1451" s="143"/>
      <c r="CJ1451" s="143"/>
      <c r="CK1451" s="146"/>
    </row>
    <row r="1452" spans="1:89" x14ac:dyDescent="0.15">
      <c r="A1452" s="60">
        <v>2</v>
      </c>
      <c r="B1452" s="61">
        <v>44774</v>
      </c>
      <c r="C1452" s="61">
        <v>44778</v>
      </c>
      <c r="D1452" s="61">
        <v>44816</v>
      </c>
      <c r="E1452" s="61">
        <v>44785</v>
      </c>
      <c r="F1452" s="61">
        <v>44785</v>
      </c>
      <c r="G1452" s="61">
        <v>44782</v>
      </c>
      <c r="H1452" s="61">
        <v>44781</v>
      </c>
      <c r="I1452" s="60" t="s">
        <v>511</v>
      </c>
      <c r="J1452" s="60">
        <v>1</v>
      </c>
      <c r="L1452" s="60">
        <v>0</v>
      </c>
      <c r="M1452" s="61">
        <v>44755</v>
      </c>
      <c r="O1452" s="62" t="s">
        <v>331</v>
      </c>
      <c r="P1452" s="60" t="s">
        <v>26</v>
      </c>
      <c r="Q1452" s="62" t="s">
        <v>200</v>
      </c>
      <c r="R1452" s="62" t="s">
        <v>3991</v>
      </c>
      <c r="S1452" s="63" t="s">
        <v>482</v>
      </c>
      <c r="T1452" s="63" t="s">
        <v>621</v>
      </c>
      <c r="U1452" s="64">
        <v>50000</v>
      </c>
      <c r="V1452" s="64">
        <v>55000</v>
      </c>
      <c r="W1452" s="64">
        <v>47000</v>
      </c>
      <c r="X1452" s="64">
        <v>51700</v>
      </c>
      <c r="Y1452" s="64">
        <v>3000</v>
      </c>
      <c r="Z1452" s="64">
        <v>3300</v>
      </c>
      <c r="AA1452" s="61">
        <v>44777</v>
      </c>
      <c r="AB1452" s="61">
        <v>44778</v>
      </c>
      <c r="AC1452" s="61">
        <v>44778</v>
      </c>
      <c r="AD1452" s="60">
        <v>0</v>
      </c>
      <c r="AG1452" s="60">
        <v>0</v>
      </c>
      <c r="AJ1452" s="60">
        <v>0</v>
      </c>
      <c r="AM1452" s="60" t="s">
        <v>273</v>
      </c>
      <c r="AN1452" s="60" t="s">
        <v>4096</v>
      </c>
      <c r="AQ1452" s="60" t="s">
        <v>4048</v>
      </c>
      <c r="AR1452" s="61">
        <v>44763</v>
      </c>
      <c r="AS1452" s="60">
        <v>6002054419</v>
      </c>
      <c r="AT1452" s="61">
        <v>44764</v>
      </c>
      <c r="AU1452" s="60" t="s">
        <v>4084</v>
      </c>
      <c r="AV1452" s="61">
        <v>44778</v>
      </c>
      <c r="AW1452" s="91">
        <v>44804</v>
      </c>
      <c r="AX1452" s="91">
        <v>44824</v>
      </c>
      <c r="AY1452" s="99">
        <v>48000</v>
      </c>
      <c r="AZ1452" s="99">
        <f>ROUNDDOWN(AY1452+(AY1452*MASTER!$A$2/100),0)</f>
        <v>52800</v>
      </c>
      <c r="BA1452" s="60" t="s">
        <v>314</v>
      </c>
      <c r="BB1452" s="64">
        <v>28000</v>
      </c>
      <c r="BC1452" s="64">
        <v>30800</v>
      </c>
      <c r="BD1452" s="60" t="s">
        <v>3940</v>
      </c>
      <c r="BG1452" s="64">
        <v>0</v>
      </c>
      <c r="BI1452" s="60" t="s">
        <v>748</v>
      </c>
      <c r="BJ1452" s="64">
        <v>1950</v>
      </c>
      <c r="BK1452" s="64">
        <v>2145</v>
      </c>
      <c r="BL1452" s="60" t="s">
        <v>3940</v>
      </c>
      <c r="BS1452" s="64">
        <v>0</v>
      </c>
      <c r="BV1452" s="65">
        <v>51700</v>
      </c>
      <c r="BW1452" s="65">
        <v>32945</v>
      </c>
      <c r="BX1452" s="65">
        <v>44755</v>
      </c>
      <c r="BY1452" s="65">
        <v>18755</v>
      </c>
      <c r="BZ1452" s="81">
        <v>36.276595744680847</v>
      </c>
    </row>
    <row r="1453" spans="1:89" x14ac:dyDescent="0.15">
      <c r="A1453" s="60">
        <v>2</v>
      </c>
      <c r="B1453" s="61">
        <v>44775</v>
      </c>
      <c r="C1453" s="61">
        <v>44783</v>
      </c>
      <c r="D1453" s="61" t="s">
        <v>764</v>
      </c>
      <c r="E1453" s="61">
        <v>44785</v>
      </c>
      <c r="F1453" s="61">
        <v>44790</v>
      </c>
      <c r="G1453" s="61">
        <v>44784</v>
      </c>
      <c r="H1453" s="61">
        <v>44786</v>
      </c>
      <c r="I1453" s="60" t="s">
        <v>774</v>
      </c>
      <c r="J1453" s="60">
        <v>1</v>
      </c>
      <c r="L1453" s="60">
        <v>0</v>
      </c>
      <c r="M1453" s="61">
        <v>44755</v>
      </c>
      <c r="O1453" s="62" t="s">
        <v>331</v>
      </c>
      <c r="P1453" s="60" t="s">
        <v>26</v>
      </c>
      <c r="Q1453" s="62" t="s">
        <v>200</v>
      </c>
      <c r="R1453" s="62" t="s">
        <v>4007</v>
      </c>
      <c r="S1453" s="63" t="s">
        <v>702</v>
      </c>
      <c r="T1453" s="63" t="s">
        <v>2420</v>
      </c>
      <c r="U1453" s="64">
        <v>23900</v>
      </c>
      <c r="V1453" s="64">
        <v>26290</v>
      </c>
      <c r="W1453" s="64">
        <v>14700</v>
      </c>
      <c r="X1453" s="64">
        <v>16170</v>
      </c>
      <c r="Y1453" s="64">
        <v>9200</v>
      </c>
      <c r="Z1453" s="64">
        <v>10120</v>
      </c>
      <c r="AA1453" s="61">
        <v>44781</v>
      </c>
      <c r="AB1453" s="61">
        <v>44783</v>
      </c>
      <c r="AC1453" s="61">
        <v>44783</v>
      </c>
      <c r="AD1453" s="60">
        <v>0</v>
      </c>
      <c r="AG1453" s="60">
        <v>0</v>
      </c>
      <c r="AJ1453" s="60">
        <v>0</v>
      </c>
      <c r="AM1453" s="60" t="s">
        <v>273</v>
      </c>
      <c r="AN1453" s="60" t="s">
        <v>4263</v>
      </c>
      <c r="AQ1453" s="60" t="s">
        <v>4115</v>
      </c>
      <c r="AR1453" s="61">
        <v>44770</v>
      </c>
      <c r="AS1453" s="60">
        <v>6002056788</v>
      </c>
      <c r="AT1453" s="61">
        <v>44774</v>
      </c>
      <c r="AU1453" s="60" t="s">
        <v>4205</v>
      </c>
      <c r="AV1453" s="61">
        <v>44783</v>
      </c>
      <c r="AW1453" s="91">
        <v>44804</v>
      </c>
      <c r="AX1453" s="91">
        <v>44824</v>
      </c>
      <c r="AY1453" s="99">
        <v>22944</v>
      </c>
      <c r="AZ1453" s="99">
        <f>ROUNDDOWN(AY1453+(AY1453*MASTER!$A$2/100),0)</f>
        <v>25238</v>
      </c>
      <c r="BA1453" s="60" t="s">
        <v>765</v>
      </c>
      <c r="BC1453" s="64">
        <v>0</v>
      </c>
      <c r="BG1453" s="64">
        <v>0</v>
      </c>
      <c r="BI1453" s="60" t="s">
        <v>267</v>
      </c>
      <c r="BJ1453" s="64">
        <v>5980</v>
      </c>
      <c r="BK1453" s="64">
        <v>6578</v>
      </c>
      <c r="BL1453" s="60" t="s">
        <v>4069</v>
      </c>
      <c r="BS1453" s="64">
        <v>0</v>
      </c>
      <c r="BV1453" s="65">
        <v>16170</v>
      </c>
      <c r="BW1453" s="65">
        <v>6578</v>
      </c>
      <c r="BX1453" s="65">
        <v>44755</v>
      </c>
      <c r="BY1453" s="65">
        <v>9592</v>
      </c>
      <c r="BZ1453" s="81">
        <v>59.319727891156461</v>
      </c>
    </row>
    <row r="1454" spans="1:89" x14ac:dyDescent="0.15">
      <c r="A1454" s="60">
        <v>1</v>
      </c>
      <c r="B1454" s="61">
        <v>44790</v>
      </c>
      <c r="C1454" s="61">
        <v>44795</v>
      </c>
      <c r="D1454" s="61">
        <v>44809</v>
      </c>
      <c r="F1454" s="61">
        <v>44802</v>
      </c>
      <c r="G1454" s="61">
        <v>44795</v>
      </c>
      <c r="H1454" s="61">
        <v>44798</v>
      </c>
      <c r="I1454" s="60" t="s">
        <v>4705</v>
      </c>
      <c r="J1454" s="60">
        <v>1</v>
      </c>
      <c r="L1454" s="60">
        <v>0</v>
      </c>
      <c r="M1454" s="61">
        <v>44756</v>
      </c>
      <c r="O1454" s="62" t="s">
        <v>331</v>
      </c>
      <c r="P1454" s="60" t="s">
        <v>26</v>
      </c>
      <c r="Q1454" s="62" t="s">
        <v>200</v>
      </c>
      <c r="R1454" s="62" t="s">
        <v>4354</v>
      </c>
      <c r="S1454" s="63" t="s">
        <v>1129</v>
      </c>
      <c r="T1454" s="63" t="s">
        <v>2895</v>
      </c>
      <c r="U1454" s="64">
        <v>50000</v>
      </c>
      <c r="V1454" s="64">
        <v>55000</v>
      </c>
      <c r="W1454" s="64">
        <v>47000</v>
      </c>
      <c r="X1454" s="64">
        <v>51700</v>
      </c>
      <c r="Y1454" s="64">
        <v>3000</v>
      </c>
      <c r="Z1454" s="64">
        <v>3300</v>
      </c>
      <c r="AA1454" s="61">
        <v>44794</v>
      </c>
      <c r="AB1454" s="61">
        <v>44795</v>
      </c>
      <c r="AC1454" s="61">
        <v>44795</v>
      </c>
      <c r="AD1454" s="60">
        <v>0</v>
      </c>
      <c r="AG1454" s="60">
        <v>0</v>
      </c>
      <c r="AJ1454" s="60">
        <v>0</v>
      </c>
      <c r="AM1454" s="60" t="s">
        <v>273</v>
      </c>
      <c r="AN1454" s="60" t="s">
        <v>4355</v>
      </c>
      <c r="AQ1454" s="60" t="s">
        <v>4311</v>
      </c>
      <c r="AR1454" s="61">
        <v>44782</v>
      </c>
      <c r="AS1454" s="60">
        <v>6002060926</v>
      </c>
      <c r="AT1454" s="61">
        <v>44782</v>
      </c>
      <c r="AU1454" s="60" t="s">
        <v>4319</v>
      </c>
      <c r="AV1454" s="61">
        <v>44795</v>
      </c>
      <c r="AW1454" s="91">
        <v>44804</v>
      </c>
      <c r="AX1454" s="91">
        <v>44824</v>
      </c>
      <c r="AY1454" s="99">
        <v>48000</v>
      </c>
      <c r="AZ1454" s="99">
        <f>ROUNDDOWN(AY1454+(AY1454*MASTER!$A$2/100),0)</f>
        <v>52800</v>
      </c>
      <c r="BA1454" s="60" t="s">
        <v>317</v>
      </c>
      <c r="BB1454" s="64">
        <v>24000</v>
      </c>
      <c r="BC1454" s="64">
        <v>26400</v>
      </c>
      <c r="BD1454" s="60" t="s">
        <v>3940</v>
      </c>
      <c r="BG1454" s="64">
        <v>0</v>
      </c>
      <c r="BI1454" s="60" t="s">
        <v>748</v>
      </c>
      <c r="BJ1454" s="64">
        <v>1950</v>
      </c>
      <c r="BK1454" s="64">
        <v>2145</v>
      </c>
      <c r="BL1454" s="60" t="s">
        <v>3940</v>
      </c>
      <c r="BS1454" s="64">
        <v>0</v>
      </c>
      <c r="BV1454" s="65">
        <v>51700</v>
      </c>
      <c r="BW1454" s="65">
        <v>28545</v>
      </c>
      <c r="BX1454" s="65">
        <v>44756</v>
      </c>
      <c r="BY1454" s="65">
        <v>23155</v>
      </c>
      <c r="BZ1454" s="81">
        <v>44.787234042553195</v>
      </c>
    </row>
    <row r="1455" spans="1:89" x14ac:dyDescent="0.15">
      <c r="A1455" s="60">
        <v>2</v>
      </c>
      <c r="B1455" s="61">
        <v>44768</v>
      </c>
      <c r="C1455" s="61">
        <v>44770</v>
      </c>
      <c r="D1455" s="61">
        <v>44767</v>
      </c>
      <c r="E1455" s="61">
        <v>44767</v>
      </c>
      <c r="F1455" s="61" t="s">
        <v>309</v>
      </c>
      <c r="G1455" s="61">
        <v>44767</v>
      </c>
      <c r="H1455" s="61" t="s">
        <v>309</v>
      </c>
      <c r="I1455" s="60" t="s">
        <v>494</v>
      </c>
      <c r="J1455" s="60">
        <v>2</v>
      </c>
      <c r="L1455" s="60">
        <v>0</v>
      </c>
      <c r="M1455" s="61">
        <v>44757</v>
      </c>
      <c r="O1455" s="62" t="s">
        <v>331</v>
      </c>
      <c r="P1455" s="60" t="s">
        <v>6</v>
      </c>
      <c r="Q1455" s="62" t="s">
        <v>200</v>
      </c>
      <c r="R1455" s="62" t="s">
        <v>4092</v>
      </c>
      <c r="S1455" s="63" t="s">
        <v>3939</v>
      </c>
      <c r="T1455" s="63" t="s">
        <v>364</v>
      </c>
      <c r="U1455" s="64">
        <v>51000</v>
      </c>
      <c r="V1455" s="64">
        <v>56100</v>
      </c>
      <c r="W1455" s="64">
        <v>51000</v>
      </c>
      <c r="X1455" s="64">
        <v>56100</v>
      </c>
      <c r="Z1455" s="64">
        <v>0</v>
      </c>
      <c r="AA1455" s="61">
        <v>44764</v>
      </c>
      <c r="AB1455" s="61">
        <v>44764</v>
      </c>
      <c r="AD1455" s="60">
        <v>0</v>
      </c>
      <c r="AG1455" s="60">
        <v>0</v>
      </c>
      <c r="AJ1455" s="60">
        <v>0</v>
      </c>
      <c r="AN1455" s="60" t="s">
        <v>309</v>
      </c>
      <c r="AQ1455" s="60" t="s">
        <v>4083</v>
      </c>
      <c r="AR1455" s="61">
        <v>44765</v>
      </c>
      <c r="AS1455" s="60">
        <v>6002055128</v>
      </c>
      <c r="AT1455" s="61">
        <v>44767</v>
      </c>
      <c r="AU1455" s="60" t="s">
        <v>4086</v>
      </c>
      <c r="AV1455" s="61">
        <v>44770</v>
      </c>
      <c r="AW1455" s="91">
        <v>44773</v>
      </c>
      <c r="AX1455" s="91">
        <v>44793</v>
      </c>
      <c r="AY1455" s="99">
        <v>48960</v>
      </c>
      <c r="AZ1455" s="99">
        <f>ROUNDDOWN(AY1455+(AY1455*MASTER!$A$2/100),0)</f>
        <v>53856</v>
      </c>
      <c r="BA1455" s="60" t="s">
        <v>317</v>
      </c>
      <c r="BB1455" s="64">
        <v>36000</v>
      </c>
      <c r="BC1455" s="64">
        <v>39600</v>
      </c>
      <c r="BD1455" s="60" t="s">
        <v>3800</v>
      </c>
      <c r="BG1455" s="64">
        <v>0</v>
      </c>
      <c r="BK1455" s="64">
        <v>0</v>
      </c>
      <c r="BS1455" s="64">
        <v>0</v>
      </c>
      <c r="BV1455" s="65">
        <v>56100</v>
      </c>
      <c r="BW1455" s="65">
        <v>39600</v>
      </c>
      <c r="BX1455" s="65">
        <v>44757</v>
      </c>
      <c r="BY1455" s="65">
        <v>16500</v>
      </c>
      <c r="BZ1455" s="81">
        <v>29.411764705882355</v>
      </c>
    </row>
    <row r="1456" spans="1:89" x14ac:dyDescent="0.15">
      <c r="A1456" s="60">
        <v>2</v>
      </c>
      <c r="B1456" s="61">
        <v>44768</v>
      </c>
      <c r="C1456" s="61">
        <v>44768</v>
      </c>
      <c r="D1456" s="61">
        <v>44763</v>
      </c>
      <c r="E1456" s="61">
        <v>44763</v>
      </c>
      <c r="F1456" s="61" t="s">
        <v>309</v>
      </c>
      <c r="G1456" s="61">
        <v>44763</v>
      </c>
      <c r="H1456" s="61" t="s">
        <v>309</v>
      </c>
      <c r="I1456" s="60" t="s">
        <v>766</v>
      </c>
      <c r="J1456" s="60">
        <v>2</v>
      </c>
      <c r="L1456" s="60">
        <v>0</v>
      </c>
      <c r="M1456" s="61">
        <v>44761</v>
      </c>
      <c r="O1456" s="62" t="s">
        <v>331</v>
      </c>
      <c r="P1456" s="60" t="s">
        <v>6</v>
      </c>
      <c r="Q1456" s="62" t="s">
        <v>200</v>
      </c>
      <c r="R1456" s="62" t="s">
        <v>4039</v>
      </c>
      <c r="S1456" s="63" t="s">
        <v>2744</v>
      </c>
      <c r="T1456" s="63" t="s">
        <v>364</v>
      </c>
      <c r="U1456" s="64">
        <v>51000</v>
      </c>
      <c r="V1456" s="64">
        <v>56100</v>
      </c>
      <c r="W1456" s="64">
        <v>51000</v>
      </c>
      <c r="X1456" s="64">
        <v>56100</v>
      </c>
      <c r="Z1456" s="64">
        <v>0</v>
      </c>
      <c r="AA1456" s="61">
        <v>44762</v>
      </c>
      <c r="AB1456" s="61">
        <v>44762</v>
      </c>
      <c r="AD1456" s="60">
        <v>0</v>
      </c>
      <c r="AG1456" s="60">
        <v>0</v>
      </c>
      <c r="AJ1456" s="60">
        <v>0</v>
      </c>
      <c r="AN1456" s="60" t="s">
        <v>309</v>
      </c>
      <c r="AQ1456" s="60" t="s">
        <v>4076</v>
      </c>
      <c r="AR1456" s="61">
        <v>44765</v>
      </c>
      <c r="AS1456" s="60">
        <v>6002055128</v>
      </c>
      <c r="AT1456" s="61">
        <v>44767</v>
      </c>
      <c r="AU1456" s="60" t="s">
        <v>4086</v>
      </c>
      <c r="AV1456" s="61">
        <v>44768</v>
      </c>
      <c r="AW1456" s="91">
        <v>44773</v>
      </c>
      <c r="AX1456" s="91">
        <v>44793</v>
      </c>
      <c r="AY1456" s="99">
        <v>48960</v>
      </c>
      <c r="AZ1456" s="99">
        <f>ROUNDDOWN(AY1456+(AY1456*MASTER!$A$2/100),0)</f>
        <v>53856</v>
      </c>
      <c r="BA1456" s="60" t="s">
        <v>317</v>
      </c>
      <c r="BB1456" s="64">
        <v>21000</v>
      </c>
      <c r="BC1456" s="64">
        <v>23100</v>
      </c>
      <c r="BD1456" s="60" t="s">
        <v>3800</v>
      </c>
      <c r="BG1456" s="64">
        <v>0</v>
      </c>
      <c r="BK1456" s="64">
        <v>0</v>
      </c>
      <c r="BS1456" s="64">
        <v>0</v>
      </c>
      <c r="BV1456" s="65">
        <v>56100</v>
      </c>
      <c r="BW1456" s="65">
        <v>23100</v>
      </c>
      <c r="BX1456" s="65">
        <v>44761</v>
      </c>
      <c r="BY1456" s="65">
        <v>33000</v>
      </c>
      <c r="BZ1456" s="81">
        <v>58.82352941176471</v>
      </c>
    </row>
    <row r="1457" spans="1:82" x14ac:dyDescent="0.15">
      <c r="A1457" s="60">
        <v>2</v>
      </c>
      <c r="B1457" s="61">
        <v>44768</v>
      </c>
      <c r="C1457" s="61">
        <v>44768</v>
      </c>
      <c r="D1457" s="61">
        <v>44761</v>
      </c>
      <c r="E1457" s="61">
        <v>44761</v>
      </c>
      <c r="F1457" s="61" t="s">
        <v>309</v>
      </c>
      <c r="G1457" s="61">
        <v>44761</v>
      </c>
      <c r="H1457" s="61" t="s">
        <v>309</v>
      </c>
      <c r="I1457" s="60" t="s">
        <v>766</v>
      </c>
      <c r="J1457" s="60">
        <v>2</v>
      </c>
      <c r="L1457" s="60">
        <v>0</v>
      </c>
      <c r="M1457" s="61">
        <v>44761</v>
      </c>
      <c r="O1457" s="62" t="s">
        <v>331</v>
      </c>
      <c r="P1457" s="60" t="s">
        <v>6</v>
      </c>
      <c r="Q1457" s="62" t="s">
        <v>200</v>
      </c>
      <c r="R1457" s="62" t="s">
        <v>4040</v>
      </c>
      <c r="S1457" s="63" t="s">
        <v>1063</v>
      </c>
      <c r="T1457" s="63" t="s">
        <v>364</v>
      </c>
      <c r="U1457" s="64">
        <v>35000</v>
      </c>
      <c r="V1457" s="64">
        <v>38500</v>
      </c>
      <c r="W1457" s="64">
        <v>35000</v>
      </c>
      <c r="X1457" s="64">
        <v>38500</v>
      </c>
      <c r="Z1457" s="64">
        <v>0</v>
      </c>
      <c r="AA1457" s="61">
        <v>44760</v>
      </c>
      <c r="AB1457" s="61">
        <v>44760</v>
      </c>
      <c r="AD1457" s="60">
        <v>0</v>
      </c>
      <c r="AG1457" s="60">
        <v>0</v>
      </c>
      <c r="AJ1457" s="60">
        <v>0</v>
      </c>
      <c r="AN1457" s="60" t="s">
        <v>309</v>
      </c>
      <c r="AQ1457" s="60" t="s">
        <v>4077</v>
      </c>
      <c r="AR1457" s="61">
        <v>44765</v>
      </c>
      <c r="AS1457" s="60">
        <v>6002055128</v>
      </c>
      <c r="AT1457" s="61">
        <v>44767</v>
      </c>
      <c r="AU1457" s="60" t="s">
        <v>4086</v>
      </c>
      <c r="AV1457" s="61">
        <v>44768</v>
      </c>
      <c r="AW1457" s="91">
        <v>44773</v>
      </c>
      <c r="AX1457" s="91">
        <v>44793</v>
      </c>
      <c r="AY1457" s="99">
        <v>33600</v>
      </c>
      <c r="AZ1457" s="99">
        <f>ROUNDDOWN(AY1457+(AY1457*MASTER!$A$2/100),0)</f>
        <v>36960</v>
      </c>
      <c r="BA1457" s="60" t="s">
        <v>318</v>
      </c>
      <c r="BB1457" s="64">
        <v>22000</v>
      </c>
      <c r="BC1457" s="64">
        <v>24200</v>
      </c>
      <c r="BD1457" s="60" t="s">
        <v>3800</v>
      </c>
      <c r="BG1457" s="64">
        <v>0</v>
      </c>
      <c r="BK1457" s="64">
        <v>0</v>
      </c>
      <c r="BS1457" s="64">
        <v>0</v>
      </c>
      <c r="BV1457" s="65">
        <v>38500</v>
      </c>
      <c r="BW1457" s="65">
        <v>24200</v>
      </c>
      <c r="BX1457" s="65">
        <v>44761</v>
      </c>
      <c r="BY1457" s="65">
        <v>14300</v>
      </c>
      <c r="BZ1457" s="81">
        <v>37.142857142857146</v>
      </c>
    </row>
    <row r="1458" spans="1:82" x14ac:dyDescent="0.15">
      <c r="A1458" s="60">
        <v>1</v>
      </c>
      <c r="B1458" s="61">
        <v>44768</v>
      </c>
      <c r="C1458" s="61">
        <v>44768</v>
      </c>
      <c r="F1458" s="61" t="s">
        <v>309</v>
      </c>
      <c r="G1458" s="61">
        <v>44767</v>
      </c>
      <c r="H1458" s="61" t="s">
        <v>309</v>
      </c>
      <c r="J1458" s="60">
        <v>2</v>
      </c>
      <c r="L1458" s="60">
        <v>0</v>
      </c>
      <c r="M1458" s="61">
        <v>44761</v>
      </c>
      <c r="O1458" s="62" t="s">
        <v>331</v>
      </c>
      <c r="P1458" s="60" t="s">
        <v>6</v>
      </c>
      <c r="Q1458" s="62" t="s">
        <v>200</v>
      </c>
      <c r="R1458" s="62" t="s">
        <v>4108</v>
      </c>
      <c r="S1458" s="63" t="s">
        <v>962</v>
      </c>
      <c r="T1458" s="63" t="s">
        <v>364</v>
      </c>
      <c r="U1458" s="64">
        <v>51000</v>
      </c>
      <c r="V1458" s="64">
        <v>56100</v>
      </c>
      <c r="W1458" s="64">
        <v>51000</v>
      </c>
      <c r="X1458" s="64">
        <v>56100</v>
      </c>
      <c r="Z1458" s="64">
        <v>0</v>
      </c>
      <c r="AD1458" s="60">
        <v>0</v>
      </c>
      <c r="AG1458" s="60">
        <v>0</v>
      </c>
      <c r="AJ1458" s="60">
        <v>0</v>
      </c>
      <c r="AN1458" s="60" t="s">
        <v>309</v>
      </c>
      <c r="AQ1458" s="60" t="s">
        <v>4079</v>
      </c>
      <c r="AR1458" s="61">
        <v>44765</v>
      </c>
      <c r="AS1458" s="60">
        <v>6002055128</v>
      </c>
      <c r="AT1458" s="61">
        <v>44767</v>
      </c>
      <c r="AU1458" s="60" t="s">
        <v>4086</v>
      </c>
      <c r="AV1458" s="61">
        <v>44768</v>
      </c>
      <c r="AW1458" s="91">
        <v>44773</v>
      </c>
      <c r="AX1458" s="91">
        <v>44793</v>
      </c>
      <c r="AY1458" s="99">
        <v>48960</v>
      </c>
      <c r="AZ1458" s="99">
        <f>ROUNDDOWN(AY1458+(AY1458*MASTER!$A$2/100),0)</f>
        <v>53856</v>
      </c>
      <c r="BC1458" s="64">
        <v>0</v>
      </c>
      <c r="BG1458" s="64">
        <v>0</v>
      </c>
      <c r="BK1458" s="64">
        <v>0</v>
      </c>
      <c r="BS1458" s="64">
        <v>0</v>
      </c>
      <c r="BV1458" s="65">
        <v>56100</v>
      </c>
      <c r="BW1458" s="65">
        <v>0</v>
      </c>
      <c r="BX1458" s="65">
        <v>44761</v>
      </c>
      <c r="BY1458" s="65">
        <v>56100</v>
      </c>
      <c r="BZ1458" s="81">
        <v>100</v>
      </c>
    </row>
    <row r="1459" spans="1:82" x14ac:dyDescent="0.15">
      <c r="A1459" s="60">
        <v>1</v>
      </c>
      <c r="B1459" s="61">
        <v>44792</v>
      </c>
      <c r="C1459" s="61">
        <v>44834</v>
      </c>
      <c r="F1459" s="61" t="s">
        <v>309</v>
      </c>
      <c r="H1459" s="61" t="s">
        <v>309</v>
      </c>
      <c r="J1459" s="60">
        <v>3</v>
      </c>
      <c r="L1459" s="60">
        <v>0</v>
      </c>
      <c r="M1459" s="61">
        <v>44761</v>
      </c>
      <c r="O1459" s="62" t="s">
        <v>331</v>
      </c>
      <c r="P1459" s="60" t="s">
        <v>6</v>
      </c>
      <c r="Q1459" s="62" t="s">
        <v>200</v>
      </c>
      <c r="R1459" s="62" t="s">
        <v>4408</v>
      </c>
      <c r="S1459" s="63" t="s">
        <v>1233</v>
      </c>
      <c r="T1459" s="63" t="s">
        <v>463</v>
      </c>
      <c r="U1459" s="64">
        <v>9000</v>
      </c>
      <c r="V1459" s="64">
        <v>9900</v>
      </c>
      <c r="X1459" s="64">
        <v>0</v>
      </c>
      <c r="Y1459" s="64">
        <v>9000</v>
      </c>
      <c r="Z1459" s="64">
        <v>9900</v>
      </c>
      <c r="AD1459" s="60">
        <v>0</v>
      </c>
      <c r="AG1459" s="60">
        <v>0</v>
      </c>
      <c r="AJ1459" s="60">
        <v>0</v>
      </c>
      <c r="AN1459" s="60" t="s">
        <v>309</v>
      </c>
      <c r="AQ1459" s="60" t="s">
        <v>4080</v>
      </c>
      <c r="AR1459" s="61">
        <v>44765</v>
      </c>
      <c r="AS1459" s="60">
        <v>6002055128</v>
      </c>
      <c r="AT1459" s="61">
        <v>44767</v>
      </c>
      <c r="AU1459" s="60" t="s">
        <v>4086</v>
      </c>
      <c r="AV1459" s="61">
        <v>44834</v>
      </c>
      <c r="AW1459" s="91">
        <v>44834</v>
      </c>
      <c r="AX1459" s="91">
        <v>44854</v>
      </c>
      <c r="AY1459" s="99">
        <v>8640</v>
      </c>
      <c r="AZ1459" s="99">
        <f>ROUNDDOWN(AY1459+(AY1459*MASTER!$A$2/100),0)</f>
        <v>9504</v>
      </c>
      <c r="BC1459" s="64">
        <v>0</v>
      </c>
      <c r="BG1459" s="64">
        <v>0</v>
      </c>
      <c r="BK1459" s="64">
        <v>0</v>
      </c>
      <c r="BS1459" s="64">
        <v>0</v>
      </c>
      <c r="BV1459" s="65">
        <v>0</v>
      </c>
      <c r="BW1459" s="65">
        <v>0</v>
      </c>
      <c r="BX1459" s="65">
        <v>44761</v>
      </c>
      <c r="BY1459" s="65">
        <v>0</v>
      </c>
      <c r="BZ1459" s="81" t="s">
        <v>309</v>
      </c>
    </row>
    <row r="1460" spans="1:82" x14ac:dyDescent="0.15">
      <c r="A1460" s="60">
        <v>2</v>
      </c>
      <c r="B1460" s="61">
        <v>44790</v>
      </c>
      <c r="C1460" s="61">
        <v>44797</v>
      </c>
      <c r="D1460" s="61">
        <v>44816</v>
      </c>
      <c r="E1460" s="61">
        <v>44798</v>
      </c>
      <c r="F1460" s="61">
        <v>44804</v>
      </c>
      <c r="G1460" s="61">
        <v>44796</v>
      </c>
      <c r="H1460" s="61">
        <v>44800</v>
      </c>
      <c r="I1460" s="60" t="s">
        <v>511</v>
      </c>
      <c r="J1460" s="60">
        <v>1</v>
      </c>
      <c r="K1460" s="61">
        <v>44771</v>
      </c>
      <c r="L1460" s="60" t="s">
        <v>529</v>
      </c>
      <c r="M1460" s="61">
        <v>44761</v>
      </c>
      <c r="O1460" s="62" t="s">
        <v>331</v>
      </c>
      <c r="P1460" s="60" t="s">
        <v>26</v>
      </c>
      <c r="Q1460" s="62" t="s">
        <v>200</v>
      </c>
      <c r="R1460" s="62" t="s">
        <v>4120</v>
      </c>
      <c r="S1460" s="63" t="s">
        <v>4119</v>
      </c>
      <c r="T1460" s="63" t="s">
        <v>442</v>
      </c>
      <c r="U1460" s="64">
        <v>111500</v>
      </c>
      <c r="V1460" s="64">
        <v>122650</v>
      </c>
      <c r="W1460" s="64">
        <v>99500</v>
      </c>
      <c r="X1460" s="64">
        <v>109450</v>
      </c>
      <c r="Y1460" s="64">
        <v>12000</v>
      </c>
      <c r="Z1460" s="64">
        <v>13200</v>
      </c>
      <c r="AA1460" s="61">
        <v>44795</v>
      </c>
      <c r="AB1460" s="61">
        <v>44797</v>
      </c>
      <c r="AC1460" s="61">
        <v>44797</v>
      </c>
      <c r="AD1460" s="60">
        <v>0</v>
      </c>
      <c r="AG1460" s="60">
        <v>0</v>
      </c>
      <c r="AJ1460" s="60">
        <v>0</v>
      </c>
      <c r="AM1460" s="60" t="s">
        <v>273</v>
      </c>
      <c r="AN1460" s="60" t="s">
        <v>4121</v>
      </c>
      <c r="AQ1460" s="60" t="s">
        <v>4309</v>
      </c>
      <c r="AR1460" s="61">
        <v>44782</v>
      </c>
      <c r="AS1460" s="60">
        <v>6002060926</v>
      </c>
      <c r="AT1460" s="61">
        <v>44782</v>
      </c>
      <c r="AU1460" s="60" t="s">
        <v>4319</v>
      </c>
      <c r="AV1460" s="61">
        <v>44797</v>
      </c>
      <c r="AW1460" s="91">
        <v>44804</v>
      </c>
      <c r="AX1460" s="91">
        <v>44824</v>
      </c>
      <c r="AY1460" s="99">
        <v>107040</v>
      </c>
      <c r="AZ1460" s="99">
        <f>ROUNDDOWN(AY1460+(AY1460*MASTER!$A$2/100),0)</f>
        <v>117744</v>
      </c>
      <c r="BA1460" s="60" t="s">
        <v>314</v>
      </c>
      <c r="BB1460" s="64">
        <v>41000</v>
      </c>
      <c r="BC1460" s="64">
        <v>45100</v>
      </c>
      <c r="BD1460" s="60" t="s">
        <v>3940</v>
      </c>
      <c r="BG1460" s="64">
        <v>0</v>
      </c>
      <c r="BI1460" s="60" t="s">
        <v>748</v>
      </c>
      <c r="BJ1460" s="64">
        <v>7800</v>
      </c>
      <c r="BK1460" s="64">
        <v>8580</v>
      </c>
      <c r="BL1460" s="60" t="s">
        <v>3940</v>
      </c>
      <c r="BS1460" s="64">
        <v>0</v>
      </c>
      <c r="BV1460" s="65">
        <v>109450</v>
      </c>
      <c r="BW1460" s="65">
        <v>53680</v>
      </c>
      <c r="BX1460" s="65">
        <v>0</v>
      </c>
      <c r="BY1460" s="65">
        <v>44771</v>
      </c>
      <c r="BZ1460" s="81">
        <v>50.954773869346738</v>
      </c>
    </row>
    <row r="1461" spans="1:82" x14ac:dyDescent="0.15">
      <c r="A1461" s="60">
        <v>2</v>
      </c>
      <c r="B1461" s="61">
        <v>44826</v>
      </c>
      <c r="C1461" s="61">
        <v>44834</v>
      </c>
      <c r="E1461" s="61">
        <v>44828</v>
      </c>
      <c r="F1461" s="61" t="s">
        <v>309</v>
      </c>
      <c r="G1461" s="61">
        <v>44825</v>
      </c>
      <c r="H1461" s="61" t="s">
        <v>309</v>
      </c>
      <c r="I1461" s="60" t="s">
        <v>511</v>
      </c>
      <c r="J1461" s="60">
        <v>1</v>
      </c>
      <c r="L1461" s="60">
        <v>0</v>
      </c>
      <c r="M1461" s="61">
        <v>44761</v>
      </c>
      <c r="O1461" s="62" t="s">
        <v>331</v>
      </c>
      <c r="P1461" s="60" t="s">
        <v>26</v>
      </c>
      <c r="Q1461" s="62" t="s">
        <v>200</v>
      </c>
      <c r="R1461" s="62" t="s">
        <v>4907</v>
      </c>
      <c r="S1461" s="63" t="s">
        <v>3996</v>
      </c>
      <c r="T1461" s="63" t="s">
        <v>442</v>
      </c>
      <c r="U1461" s="64">
        <v>143500</v>
      </c>
      <c r="V1461" s="64">
        <v>157850</v>
      </c>
      <c r="W1461" s="64">
        <v>131500</v>
      </c>
      <c r="X1461" s="64">
        <v>144650</v>
      </c>
      <c r="Y1461" s="64">
        <v>12000</v>
      </c>
      <c r="Z1461" s="64">
        <v>13200</v>
      </c>
      <c r="AA1461" s="61">
        <v>44815</v>
      </c>
      <c r="AB1461" s="61">
        <v>44820</v>
      </c>
      <c r="AD1461" s="60">
        <v>0</v>
      </c>
      <c r="AG1461" s="60">
        <v>0</v>
      </c>
      <c r="AJ1461" s="60">
        <v>0</v>
      </c>
      <c r="AM1461" s="60" t="s">
        <v>273</v>
      </c>
      <c r="AN1461" s="60" t="s">
        <v>4908</v>
      </c>
      <c r="AQ1461" s="60" t="s">
        <v>4666</v>
      </c>
      <c r="AR1461" s="61">
        <v>44805</v>
      </c>
      <c r="AS1461" s="60">
        <v>6002067843</v>
      </c>
      <c r="AT1461" s="61">
        <v>44806</v>
      </c>
      <c r="AU1461" s="60" t="s">
        <v>4683</v>
      </c>
      <c r="AV1461" s="61">
        <v>44834</v>
      </c>
      <c r="AW1461" s="91">
        <v>44834</v>
      </c>
      <c r="AX1461" s="91">
        <v>44854</v>
      </c>
      <c r="AY1461" s="99">
        <v>137760</v>
      </c>
      <c r="AZ1461" s="99">
        <f>ROUNDDOWN(AY1461+(AY1461*MASTER!$A$2/100),0)</f>
        <v>151536</v>
      </c>
      <c r="BA1461" s="60" t="s">
        <v>318</v>
      </c>
      <c r="BB1461" s="64">
        <v>51000</v>
      </c>
      <c r="BC1461" s="64">
        <v>56100</v>
      </c>
      <c r="BD1461" s="60" t="s">
        <v>4182</v>
      </c>
      <c r="BG1461" s="64">
        <v>0</v>
      </c>
      <c r="BK1461" s="64">
        <v>0</v>
      </c>
      <c r="BS1461" s="64">
        <v>0</v>
      </c>
      <c r="BV1461" s="65">
        <v>144650</v>
      </c>
      <c r="BW1461" s="65">
        <v>56100</v>
      </c>
      <c r="BX1461" s="65">
        <v>44761</v>
      </c>
      <c r="BY1461" s="65">
        <v>88550</v>
      </c>
      <c r="BZ1461" s="81">
        <v>61.216730038022817</v>
      </c>
    </row>
    <row r="1462" spans="1:82" x14ac:dyDescent="0.15">
      <c r="A1462" s="60">
        <v>2</v>
      </c>
      <c r="B1462" s="61">
        <v>44775</v>
      </c>
      <c r="C1462" s="61">
        <v>44778</v>
      </c>
      <c r="D1462" s="61">
        <v>44780</v>
      </c>
      <c r="F1462" s="61">
        <v>44786</v>
      </c>
      <c r="G1462" s="61">
        <v>44783</v>
      </c>
      <c r="H1462" s="61">
        <v>44782</v>
      </c>
      <c r="I1462" s="60" t="s">
        <v>774</v>
      </c>
      <c r="J1462" s="60">
        <v>2</v>
      </c>
      <c r="L1462" s="60">
        <v>0</v>
      </c>
      <c r="M1462" s="61">
        <v>44762</v>
      </c>
      <c r="O1462" s="62" t="s">
        <v>331</v>
      </c>
      <c r="P1462" s="60" t="s">
        <v>26</v>
      </c>
      <c r="Q1462" s="62" t="s">
        <v>200</v>
      </c>
      <c r="R1462" s="62" t="s">
        <v>4264</v>
      </c>
      <c r="S1462" s="63" t="s">
        <v>1062</v>
      </c>
      <c r="T1462" s="63" t="s">
        <v>908</v>
      </c>
      <c r="U1462" s="64">
        <v>620000</v>
      </c>
      <c r="V1462" s="64">
        <v>682000</v>
      </c>
      <c r="W1462" s="64">
        <v>620000</v>
      </c>
      <c r="X1462" s="64">
        <v>682000</v>
      </c>
      <c r="Z1462" s="64">
        <v>0</v>
      </c>
      <c r="AA1462" s="61">
        <v>44771</v>
      </c>
      <c r="AB1462" s="61">
        <v>44779</v>
      </c>
      <c r="AC1462" s="61">
        <v>44779</v>
      </c>
      <c r="AD1462" s="60">
        <v>0</v>
      </c>
      <c r="AG1462" s="60">
        <v>0</v>
      </c>
      <c r="AJ1462" s="60">
        <v>0</v>
      </c>
      <c r="AM1462" s="60" t="s">
        <v>273</v>
      </c>
      <c r="AN1462" s="60" t="s">
        <v>4265</v>
      </c>
      <c r="AQ1462" s="60" t="s">
        <v>4113</v>
      </c>
      <c r="AR1462" s="61">
        <v>44770</v>
      </c>
      <c r="AS1462" s="60">
        <v>6002056788</v>
      </c>
      <c r="AT1462" s="61">
        <v>44774</v>
      </c>
      <c r="AU1462" s="60" t="s">
        <v>4205</v>
      </c>
      <c r="AV1462" s="61">
        <v>44778</v>
      </c>
      <c r="AW1462" s="91">
        <v>44804</v>
      </c>
      <c r="AX1462" s="91">
        <v>44824</v>
      </c>
      <c r="AY1462" s="99">
        <v>595200</v>
      </c>
      <c r="AZ1462" s="99">
        <f>ROUNDDOWN(AY1462+(AY1462*MASTER!$A$2/100),0)</f>
        <v>654720</v>
      </c>
      <c r="BA1462" s="60" t="s">
        <v>318</v>
      </c>
      <c r="BB1462" s="64">
        <v>184000</v>
      </c>
      <c r="BC1462" s="64">
        <v>202400</v>
      </c>
      <c r="BD1462" s="60" t="s">
        <v>3940</v>
      </c>
      <c r="BG1462" s="64">
        <v>0</v>
      </c>
      <c r="BK1462" s="64">
        <v>0</v>
      </c>
      <c r="BS1462" s="64">
        <v>0</v>
      </c>
      <c r="BV1462" s="65">
        <v>682000</v>
      </c>
      <c r="BW1462" s="65">
        <v>202400</v>
      </c>
      <c r="BX1462" s="65">
        <v>44762</v>
      </c>
      <c r="BY1462" s="65">
        <v>479600</v>
      </c>
      <c r="BZ1462" s="81">
        <v>70.322580645161295</v>
      </c>
    </row>
    <row r="1463" spans="1:82" x14ac:dyDescent="0.15">
      <c r="A1463" s="60">
        <v>1</v>
      </c>
      <c r="B1463" s="61">
        <v>44768</v>
      </c>
      <c r="C1463" s="61">
        <v>44768</v>
      </c>
      <c r="F1463" s="61" t="s">
        <v>309</v>
      </c>
      <c r="G1463" s="61">
        <v>44767</v>
      </c>
      <c r="H1463" s="61" t="s">
        <v>309</v>
      </c>
      <c r="J1463" s="60">
        <v>2</v>
      </c>
      <c r="L1463" s="60">
        <v>0</v>
      </c>
      <c r="M1463" s="61">
        <v>44762</v>
      </c>
      <c r="O1463" s="62" t="s">
        <v>331</v>
      </c>
      <c r="P1463" s="60" t="s">
        <v>6</v>
      </c>
      <c r="Q1463" s="62" t="s">
        <v>200</v>
      </c>
      <c r="R1463" s="62" t="s">
        <v>4091</v>
      </c>
      <c r="S1463" s="63" t="s">
        <v>1070</v>
      </c>
      <c r="T1463" s="63" t="s">
        <v>364</v>
      </c>
      <c r="U1463" s="64">
        <v>35000</v>
      </c>
      <c r="V1463" s="64">
        <v>38500</v>
      </c>
      <c r="W1463" s="64">
        <v>35000</v>
      </c>
      <c r="X1463" s="64">
        <v>38500</v>
      </c>
      <c r="Z1463" s="64">
        <v>0</v>
      </c>
      <c r="AA1463" s="61">
        <v>44764</v>
      </c>
      <c r="AB1463" s="61">
        <v>44764</v>
      </c>
      <c r="AD1463" s="60">
        <v>0</v>
      </c>
      <c r="AG1463" s="60">
        <v>0</v>
      </c>
      <c r="AJ1463" s="60">
        <v>0</v>
      </c>
      <c r="AN1463" s="60" t="s">
        <v>309</v>
      </c>
      <c r="AQ1463" s="60" t="s">
        <v>4078</v>
      </c>
      <c r="AR1463" s="61">
        <v>44765</v>
      </c>
      <c r="AS1463" s="60">
        <v>6002055128</v>
      </c>
      <c r="AT1463" s="61">
        <v>44767</v>
      </c>
      <c r="AU1463" s="60" t="s">
        <v>4086</v>
      </c>
      <c r="AV1463" s="61">
        <v>44768</v>
      </c>
      <c r="AW1463" s="91">
        <v>44773</v>
      </c>
      <c r="AX1463" s="91">
        <v>44793</v>
      </c>
      <c r="AY1463" s="99">
        <v>33600</v>
      </c>
      <c r="AZ1463" s="99">
        <f>ROUNDDOWN(AY1463+(AY1463*MASTER!$A$2/100),0)</f>
        <v>36960</v>
      </c>
      <c r="BA1463" s="60" t="s">
        <v>582</v>
      </c>
      <c r="BB1463" s="64">
        <v>35000</v>
      </c>
      <c r="BC1463" s="64">
        <v>38500</v>
      </c>
      <c r="BD1463" s="60" t="s">
        <v>3800</v>
      </c>
      <c r="BG1463" s="64">
        <v>0</v>
      </c>
      <c r="BK1463" s="64">
        <v>0</v>
      </c>
      <c r="BS1463" s="64">
        <v>0</v>
      </c>
      <c r="BV1463" s="65">
        <v>38500</v>
      </c>
      <c r="BW1463" s="65">
        <v>38500</v>
      </c>
      <c r="BX1463" s="65">
        <v>44762</v>
      </c>
      <c r="BY1463" s="65">
        <v>0</v>
      </c>
      <c r="BZ1463" s="81">
        <v>0</v>
      </c>
    </row>
    <row r="1464" spans="1:82" x14ac:dyDescent="0.15">
      <c r="A1464" s="60">
        <v>2</v>
      </c>
      <c r="B1464" s="61">
        <v>44768</v>
      </c>
      <c r="C1464" s="61">
        <v>44769</v>
      </c>
      <c r="D1464" s="61">
        <v>44780</v>
      </c>
      <c r="F1464" s="61" t="s">
        <v>309</v>
      </c>
      <c r="H1464" s="61" t="s">
        <v>309</v>
      </c>
      <c r="I1464" s="60" t="s">
        <v>1630</v>
      </c>
      <c r="J1464" s="60">
        <v>2</v>
      </c>
      <c r="L1464" s="60">
        <v>0</v>
      </c>
      <c r="M1464" s="61">
        <v>44762</v>
      </c>
      <c r="O1464" s="62" t="s">
        <v>331</v>
      </c>
      <c r="P1464" s="60" t="s">
        <v>77</v>
      </c>
      <c r="Q1464" s="62" t="s">
        <v>200</v>
      </c>
      <c r="R1464" s="62" t="s">
        <v>4036</v>
      </c>
      <c r="S1464" s="63" t="s">
        <v>1109</v>
      </c>
      <c r="T1464" s="63" t="s">
        <v>4037</v>
      </c>
      <c r="U1464" s="64">
        <v>65000</v>
      </c>
      <c r="V1464" s="64">
        <v>71500</v>
      </c>
      <c r="W1464" s="64">
        <v>65000</v>
      </c>
      <c r="X1464" s="64">
        <v>71500</v>
      </c>
      <c r="Y1464" s="64">
        <v>0</v>
      </c>
      <c r="Z1464" s="64">
        <v>0</v>
      </c>
      <c r="AA1464" s="61">
        <v>44768</v>
      </c>
      <c r="AB1464" s="61">
        <v>44769</v>
      </c>
      <c r="AD1464" s="60">
        <v>0</v>
      </c>
      <c r="AG1464" s="60">
        <v>0</v>
      </c>
      <c r="AJ1464" s="60">
        <v>0</v>
      </c>
      <c r="AQ1464" s="60" t="s">
        <v>4081</v>
      </c>
      <c r="AR1464" s="61">
        <v>44765</v>
      </c>
      <c r="AS1464" s="60">
        <v>6002055128</v>
      </c>
      <c r="AT1464" s="61">
        <v>44767</v>
      </c>
      <c r="AU1464" s="60" t="s">
        <v>4086</v>
      </c>
      <c r="AV1464" s="61">
        <v>44769</v>
      </c>
      <c r="AW1464" s="91">
        <v>44773</v>
      </c>
      <c r="AX1464" s="91">
        <v>44793</v>
      </c>
      <c r="AY1464" s="107">
        <v>65000</v>
      </c>
      <c r="AZ1464" s="107">
        <f>ROUNDDOWN(AY1464+(AY1464*MASTER!$A$2/100),0)</f>
        <v>71500</v>
      </c>
      <c r="BA1464" s="60" t="s">
        <v>107</v>
      </c>
      <c r="BC1464" s="64">
        <v>0</v>
      </c>
      <c r="BG1464" s="64">
        <v>0</v>
      </c>
      <c r="BK1464" s="64">
        <v>0</v>
      </c>
      <c r="BS1464" s="64">
        <v>0</v>
      </c>
      <c r="BV1464" s="65">
        <v>71500</v>
      </c>
      <c r="BW1464" s="65">
        <v>0</v>
      </c>
      <c r="BX1464" s="65">
        <v>44762</v>
      </c>
      <c r="BY1464" s="65">
        <v>71500</v>
      </c>
      <c r="BZ1464" s="81">
        <v>100</v>
      </c>
    </row>
    <row r="1465" spans="1:82" x14ac:dyDescent="0.15">
      <c r="A1465" s="60">
        <v>2</v>
      </c>
      <c r="B1465" s="61">
        <v>44768</v>
      </c>
      <c r="C1465" s="61">
        <v>44770</v>
      </c>
      <c r="D1465" s="61">
        <v>44780</v>
      </c>
      <c r="F1465" s="61" t="s">
        <v>309</v>
      </c>
      <c r="H1465" s="61" t="s">
        <v>309</v>
      </c>
      <c r="I1465" s="60" t="s">
        <v>1630</v>
      </c>
      <c r="J1465" s="60">
        <v>2</v>
      </c>
      <c r="L1465" s="60">
        <v>0</v>
      </c>
      <c r="M1465" s="61">
        <v>44762</v>
      </c>
      <c r="O1465" s="62" t="s">
        <v>331</v>
      </c>
      <c r="P1465" s="60" t="s">
        <v>77</v>
      </c>
      <c r="Q1465" s="62" t="s">
        <v>200</v>
      </c>
      <c r="R1465" s="62" t="s">
        <v>4038</v>
      </c>
      <c r="S1465" s="63" t="s">
        <v>497</v>
      </c>
      <c r="T1465" s="63" t="s">
        <v>4037</v>
      </c>
      <c r="U1465" s="64">
        <v>65000</v>
      </c>
      <c r="V1465" s="64">
        <v>71500</v>
      </c>
      <c r="W1465" s="64">
        <v>65000</v>
      </c>
      <c r="X1465" s="64">
        <v>71500</v>
      </c>
      <c r="Y1465" s="64">
        <v>0</v>
      </c>
      <c r="Z1465" s="64">
        <v>0</v>
      </c>
      <c r="AA1465" s="61">
        <v>44769</v>
      </c>
      <c r="AB1465" s="61">
        <v>44770</v>
      </c>
      <c r="AD1465" s="60">
        <v>0</v>
      </c>
      <c r="AG1465" s="60">
        <v>0</v>
      </c>
      <c r="AJ1465" s="60">
        <v>0</v>
      </c>
      <c r="AQ1465" s="60" t="s">
        <v>4082</v>
      </c>
      <c r="AR1465" s="61">
        <v>44765</v>
      </c>
      <c r="AS1465" s="60">
        <v>6002055128</v>
      </c>
      <c r="AT1465" s="61">
        <v>44767</v>
      </c>
      <c r="AU1465" s="60" t="s">
        <v>4086</v>
      </c>
      <c r="AV1465" s="61">
        <v>44770</v>
      </c>
      <c r="AW1465" s="91">
        <v>44773</v>
      </c>
      <c r="AX1465" s="91">
        <v>44793</v>
      </c>
      <c r="AY1465" s="107">
        <v>65000</v>
      </c>
      <c r="AZ1465" s="107">
        <f>ROUNDDOWN(AY1465+(AY1465*MASTER!$A$2/100),0)</f>
        <v>71500</v>
      </c>
      <c r="BA1465" s="60" t="s">
        <v>107</v>
      </c>
      <c r="BC1465" s="64">
        <v>0</v>
      </c>
      <c r="BG1465" s="64">
        <v>0</v>
      </c>
      <c r="BK1465" s="64">
        <v>0</v>
      </c>
      <c r="BS1465" s="64">
        <v>0</v>
      </c>
      <c r="BV1465" s="65">
        <v>71500</v>
      </c>
      <c r="BW1465" s="65">
        <v>0</v>
      </c>
      <c r="BX1465" s="65">
        <v>44762</v>
      </c>
      <c r="BY1465" s="65">
        <v>71500</v>
      </c>
      <c r="BZ1465" s="81">
        <v>100</v>
      </c>
    </row>
    <row r="1466" spans="1:82" x14ac:dyDescent="0.15">
      <c r="A1466" s="60">
        <v>2</v>
      </c>
      <c r="B1466" s="61">
        <v>44775</v>
      </c>
      <c r="C1466" s="61">
        <v>44778</v>
      </c>
      <c r="D1466" s="61">
        <v>44767</v>
      </c>
      <c r="E1466" s="61">
        <v>44767</v>
      </c>
      <c r="F1466" s="61" t="s">
        <v>309</v>
      </c>
      <c r="G1466" s="61">
        <v>44767</v>
      </c>
      <c r="H1466" s="61" t="s">
        <v>309</v>
      </c>
      <c r="I1466" s="60" t="s">
        <v>766</v>
      </c>
      <c r="J1466" s="60">
        <v>2</v>
      </c>
      <c r="L1466" s="60">
        <v>0</v>
      </c>
      <c r="M1466" s="61">
        <v>44762</v>
      </c>
      <c r="O1466" s="62" t="s">
        <v>331</v>
      </c>
      <c r="P1466" s="60" t="s">
        <v>6</v>
      </c>
      <c r="Q1466" s="62" t="s">
        <v>200</v>
      </c>
      <c r="R1466" s="62" t="s">
        <v>4090</v>
      </c>
      <c r="S1466" s="63" t="s">
        <v>1584</v>
      </c>
      <c r="T1466" s="63" t="s">
        <v>364</v>
      </c>
      <c r="U1466" s="64">
        <v>35000</v>
      </c>
      <c r="V1466" s="64">
        <v>38500</v>
      </c>
      <c r="W1466" s="64">
        <v>35000</v>
      </c>
      <c r="X1466" s="64">
        <v>38500</v>
      </c>
      <c r="Y1466" s="64">
        <v>0</v>
      </c>
      <c r="Z1466" s="64">
        <v>0</v>
      </c>
      <c r="AA1466" s="61">
        <v>44760</v>
      </c>
      <c r="AB1466" s="61">
        <v>44760</v>
      </c>
      <c r="AD1466" s="60">
        <v>0</v>
      </c>
      <c r="AG1466" s="60">
        <v>0</v>
      </c>
      <c r="AJ1466" s="60">
        <v>0</v>
      </c>
      <c r="AN1466" s="60" t="s">
        <v>309</v>
      </c>
      <c r="AQ1466" s="60" t="s">
        <v>4200</v>
      </c>
      <c r="AR1466" s="61">
        <v>44774</v>
      </c>
      <c r="AS1466" s="60">
        <v>6002057691</v>
      </c>
      <c r="AT1466" s="61">
        <v>44774</v>
      </c>
      <c r="AU1466" s="60" t="s">
        <v>4206</v>
      </c>
      <c r="AV1466" s="61">
        <v>44778</v>
      </c>
      <c r="AW1466" s="91">
        <v>44804</v>
      </c>
      <c r="AX1466" s="91">
        <v>44824</v>
      </c>
      <c r="AY1466" s="99">
        <v>33600</v>
      </c>
      <c r="AZ1466" s="99">
        <f>ROUNDDOWN(AY1466+(AY1466*MASTER!$A$2/100),0)</f>
        <v>36960</v>
      </c>
      <c r="BA1466" s="60" t="s">
        <v>318</v>
      </c>
      <c r="BB1466" s="64">
        <v>30000</v>
      </c>
      <c r="BC1466" s="64">
        <v>33000</v>
      </c>
      <c r="BD1466" s="60" t="s">
        <v>3800</v>
      </c>
      <c r="BG1466" s="64">
        <v>0</v>
      </c>
      <c r="BK1466" s="64">
        <v>0</v>
      </c>
      <c r="BS1466" s="64">
        <v>0</v>
      </c>
      <c r="BV1466" s="65">
        <v>38500</v>
      </c>
      <c r="BW1466" s="65">
        <v>33000</v>
      </c>
      <c r="BX1466" s="65">
        <v>44762</v>
      </c>
      <c r="BY1466" s="65">
        <v>5500</v>
      </c>
      <c r="BZ1466" s="81">
        <v>14.285714285714285</v>
      </c>
    </row>
    <row r="1467" spans="1:82" x14ac:dyDescent="0.15">
      <c r="A1467" s="60">
        <v>1</v>
      </c>
      <c r="B1467" s="61">
        <v>44768</v>
      </c>
      <c r="C1467" s="61">
        <v>44774</v>
      </c>
      <c r="F1467" s="61" t="s">
        <v>309</v>
      </c>
      <c r="H1467" s="61" t="s">
        <v>309</v>
      </c>
      <c r="J1467" s="60">
        <v>2</v>
      </c>
      <c r="L1467" s="60">
        <v>0</v>
      </c>
      <c r="M1467" s="61">
        <v>44763</v>
      </c>
      <c r="O1467" s="62" t="s">
        <v>331</v>
      </c>
      <c r="P1467" s="60" t="s">
        <v>6</v>
      </c>
      <c r="Q1467" s="62" t="s">
        <v>200</v>
      </c>
      <c r="R1467" s="62" t="s">
        <v>4059</v>
      </c>
      <c r="S1467" s="63" t="s">
        <v>489</v>
      </c>
      <c r="T1467" s="63" t="s">
        <v>490</v>
      </c>
      <c r="U1467" s="64">
        <v>11960</v>
      </c>
      <c r="V1467" s="64">
        <v>13156</v>
      </c>
      <c r="W1467" s="64">
        <v>11960</v>
      </c>
      <c r="X1467" s="64">
        <v>13156</v>
      </c>
      <c r="Y1467" s="64">
        <v>0</v>
      </c>
      <c r="Z1467" s="64">
        <v>0</v>
      </c>
      <c r="AD1467" s="60">
        <v>0</v>
      </c>
      <c r="AG1467" s="60">
        <v>0</v>
      </c>
      <c r="AJ1467" s="60">
        <v>0</v>
      </c>
      <c r="AQ1467" s="60" t="s">
        <v>4122</v>
      </c>
      <c r="AR1467" s="61">
        <v>44763</v>
      </c>
      <c r="AS1467" s="60">
        <v>6002054182</v>
      </c>
      <c r="AT1467" s="61">
        <v>44763</v>
      </c>
      <c r="AU1467" s="60" t="s">
        <v>4067</v>
      </c>
      <c r="AV1467" s="61">
        <v>44774</v>
      </c>
      <c r="AW1467" s="91">
        <v>44773</v>
      </c>
      <c r="AX1467" s="91">
        <v>44793</v>
      </c>
      <c r="AY1467" s="107">
        <v>11960</v>
      </c>
      <c r="AZ1467" s="107">
        <f>ROUNDDOWN(AY1467+(AY1467*MASTER!$A$2/100),0)</f>
        <v>13156</v>
      </c>
      <c r="BC1467" s="64">
        <v>0</v>
      </c>
      <c r="BG1467" s="64">
        <v>0</v>
      </c>
      <c r="BK1467" s="64">
        <v>0</v>
      </c>
      <c r="BS1467" s="64">
        <v>0</v>
      </c>
      <c r="BV1467" s="65">
        <v>13156</v>
      </c>
      <c r="BW1467" s="65">
        <v>0</v>
      </c>
      <c r="BX1467" s="65">
        <v>44763</v>
      </c>
      <c r="BY1467" s="65">
        <v>13156</v>
      </c>
      <c r="BZ1467" s="81">
        <v>100</v>
      </c>
      <c r="CD1467" s="63" t="s">
        <v>4060</v>
      </c>
    </row>
    <row r="1468" spans="1:82" x14ac:dyDescent="0.15">
      <c r="A1468" s="60">
        <v>2</v>
      </c>
      <c r="C1468" s="61" t="s">
        <v>309</v>
      </c>
      <c r="F1468" s="61" t="s">
        <v>309</v>
      </c>
      <c r="H1468" s="61" t="s">
        <v>309</v>
      </c>
      <c r="J1468" s="60">
        <v>4</v>
      </c>
      <c r="L1468" s="60">
        <v>0</v>
      </c>
      <c r="M1468" s="61">
        <v>44764</v>
      </c>
      <c r="O1468" s="62" t="s">
        <v>331</v>
      </c>
      <c r="P1468" s="60" t="s">
        <v>263</v>
      </c>
      <c r="Q1468" s="62" t="s">
        <v>200</v>
      </c>
      <c r="R1468" s="62" t="s">
        <v>4061</v>
      </c>
      <c r="S1468" s="63" t="s">
        <v>354</v>
      </c>
      <c r="T1468" s="63" t="s">
        <v>4062</v>
      </c>
      <c r="U1468" s="64">
        <v>0</v>
      </c>
      <c r="V1468" s="64">
        <v>0</v>
      </c>
      <c r="W1468" s="64">
        <v>0</v>
      </c>
      <c r="X1468" s="64">
        <v>0</v>
      </c>
      <c r="Y1468" s="64">
        <v>0</v>
      </c>
      <c r="Z1468" s="64">
        <v>0</v>
      </c>
      <c r="AA1468" s="61">
        <v>44743</v>
      </c>
      <c r="AB1468" s="61">
        <v>44773</v>
      </c>
      <c r="AD1468" s="60">
        <v>0</v>
      </c>
      <c r="AG1468" s="60">
        <v>0</v>
      </c>
      <c r="AJ1468" s="60">
        <v>0</v>
      </c>
      <c r="AN1468" s="60" t="s">
        <v>309</v>
      </c>
      <c r="AY1468" s="99">
        <v>0</v>
      </c>
      <c r="AZ1468" s="99">
        <f>ROUNDDOWN(AY1468+(AY1468*MASTER!$A$2/100),0)</f>
        <v>0</v>
      </c>
      <c r="BA1468" s="60" t="s">
        <v>14</v>
      </c>
      <c r="BB1468" s="64">
        <v>501360</v>
      </c>
      <c r="BC1468" s="64">
        <v>551496</v>
      </c>
      <c r="BD1468" s="60" t="s">
        <v>3885</v>
      </c>
      <c r="BG1468" s="64">
        <v>0</v>
      </c>
      <c r="BK1468" s="64">
        <v>0</v>
      </c>
      <c r="BS1468" s="64">
        <v>0</v>
      </c>
      <c r="BV1468" s="65">
        <v>0</v>
      </c>
      <c r="BW1468" s="65">
        <v>551496</v>
      </c>
      <c r="BX1468" s="65">
        <v>44764</v>
      </c>
      <c r="BY1468" s="65">
        <v>-551496</v>
      </c>
      <c r="BZ1468" s="81" t="s">
        <v>309</v>
      </c>
    </row>
    <row r="1469" spans="1:82" x14ac:dyDescent="0.15">
      <c r="A1469" s="60">
        <v>2</v>
      </c>
      <c r="C1469" s="61" t="s">
        <v>309</v>
      </c>
      <c r="F1469" s="61" t="s">
        <v>309</v>
      </c>
      <c r="H1469" s="61" t="s">
        <v>309</v>
      </c>
      <c r="J1469" s="60">
        <v>4</v>
      </c>
      <c r="L1469" s="60">
        <v>0</v>
      </c>
      <c r="M1469" s="61">
        <v>44764</v>
      </c>
      <c r="O1469" s="62" t="s">
        <v>331</v>
      </c>
      <c r="P1469" s="60" t="s">
        <v>77</v>
      </c>
      <c r="Q1469" s="62" t="s">
        <v>200</v>
      </c>
      <c r="R1469" s="62" t="s">
        <v>4063</v>
      </c>
      <c r="S1469" s="63" t="s">
        <v>354</v>
      </c>
      <c r="T1469" s="63" t="s">
        <v>4064</v>
      </c>
      <c r="U1469" s="64">
        <v>0</v>
      </c>
      <c r="V1469" s="64">
        <v>0</v>
      </c>
      <c r="W1469" s="64">
        <v>0</v>
      </c>
      <c r="X1469" s="64">
        <v>0</v>
      </c>
      <c r="Y1469" s="64">
        <v>0</v>
      </c>
      <c r="Z1469" s="64">
        <v>0</v>
      </c>
      <c r="AA1469" s="61">
        <v>44743</v>
      </c>
      <c r="AB1469" s="61">
        <v>44773</v>
      </c>
      <c r="AD1469" s="60">
        <v>0</v>
      </c>
      <c r="AG1469" s="60">
        <v>0</v>
      </c>
      <c r="AJ1469" s="60">
        <v>0</v>
      </c>
      <c r="AN1469" s="60" t="s">
        <v>309</v>
      </c>
      <c r="AY1469" s="99">
        <f>ROUNDDOWN((0.96*U1469),0)</f>
        <v>0</v>
      </c>
      <c r="AZ1469" s="99">
        <f>ROUNDDOWN(AY1469+(AY1469*MASTER!$A$2/100),0)</f>
        <v>0</v>
      </c>
      <c r="BA1469" s="60" t="s">
        <v>1463</v>
      </c>
      <c r="BC1469" s="64">
        <v>0</v>
      </c>
      <c r="BG1469" s="64">
        <v>0</v>
      </c>
      <c r="BK1469" s="64">
        <v>0</v>
      </c>
      <c r="BS1469" s="64">
        <v>0</v>
      </c>
      <c r="BV1469" s="65">
        <v>0</v>
      </c>
      <c r="BW1469" s="65">
        <v>0</v>
      </c>
      <c r="BX1469" s="65">
        <v>44764</v>
      </c>
      <c r="BY1469" s="65">
        <v>0</v>
      </c>
      <c r="BZ1469" s="81" t="s">
        <v>309</v>
      </c>
    </row>
    <row r="1470" spans="1:82" x14ac:dyDescent="0.15">
      <c r="A1470" s="60">
        <v>2</v>
      </c>
      <c r="C1470" s="61" t="s">
        <v>309</v>
      </c>
      <c r="F1470" s="61" t="s">
        <v>309</v>
      </c>
      <c r="H1470" s="61" t="s">
        <v>309</v>
      </c>
      <c r="J1470" s="60">
        <v>4</v>
      </c>
      <c r="L1470" s="60">
        <v>0</v>
      </c>
      <c r="M1470" s="61">
        <v>44764</v>
      </c>
      <c r="O1470" s="62" t="s">
        <v>331</v>
      </c>
      <c r="P1470" s="60" t="s">
        <v>77</v>
      </c>
      <c r="Q1470" s="62" t="s">
        <v>200</v>
      </c>
      <c r="R1470" s="62" t="s">
        <v>4302</v>
      </c>
      <c r="S1470" s="63" t="s">
        <v>354</v>
      </c>
      <c r="T1470" s="63" t="s">
        <v>4303</v>
      </c>
      <c r="U1470" s="64">
        <v>0</v>
      </c>
      <c r="V1470" s="64">
        <v>0</v>
      </c>
      <c r="W1470" s="64">
        <v>0</v>
      </c>
      <c r="X1470" s="64">
        <v>0</v>
      </c>
      <c r="Y1470" s="64">
        <v>0</v>
      </c>
      <c r="Z1470" s="64">
        <v>0</v>
      </c>
      <c r="AA1470" s="61">
        <v>44743</v>
      </c>
      <c r="AB1470" s="61">
        <v>44773</v>
      </c>
      <c r="AD1470" s="60">
        <v>0</v>
      </c>
      <c r="AG1470" s="60">
        <v>0</v>
      </c>
      <c r="AJ1470" s="60">
        <v>0</v>
      </c>
      <c r="AN1470" s="60" t="s">
        <v>309</v>
      </c>
      <c r="AY1470" s="99">
        <v>0</v>
      </c>
      <c r="AZ1470" s="99">
        <f>ROUNDDOWN(AY1470+(AY1470*MASTER!$A$2/100),0)</f>
        <v>0</v>
      </c>
      <c r="BA1470" s="60" t="s">
        <v>272</v>
      </c>
      <c r="BB1470" s="64">
        <v>413432</v>
      </c>
      <c r="BC1470" s="64">
        <v>454775.2</v>
      </c>
      <c r="BD1470" s="60" t="s">
        <v>3800</v>
      </c>
      <c r="BG1470" s="64">
        <v>0</v>
      </c>
      <c r="BK1470" s="64">
        <v>0</v>
      </c>
      <c r="BS1470" s="64">
        <v>0</v>
      </c>
      <c r="BV1470" s="65">
        <v>0</v>
      </c>
      <c r="BW1470" s="65">
        <v>454775.2</v>
      </c>
      <c r="BX1470" s="65">
        <v>44764</v>
      </c>
      <c r="BY1470" s="65">
        <v>-454775.2</v>
      </c>
      <c r="BZ1470" s="81" t="s">
        <v>309</v>
      </c>
    </row>
    <row r="1471" spans="1:82" x14ac:dyDescent="0.15">
      <c r="A1471" s="60">
        <v>2</v>
      </c>
      <c r="C1471" s="61" t="s">
        <v>309</v>
      </c>
      <c r="F1471" s="61" t="s">
        <v>309</v>
      </c>
      <c r="H1471" s="61" t="s">
        <v>309</v>
      </c>
      <c r="J1471" s="60">
        <v>4</v>
      </c>
      <c r="L1471" s="60">
        <v>0</v>
      </c>
      <c r="M1471" s="61">
        <v>44764</v>
      </c>
      <c r="O1471" s="62" t="s">
        <v>331</v>
      </c>
      <c r="P1471" s="60" t="s">
        <v>263</v>
      </c>
      <c r="Q1471" s="62" t="s">
        <v>200</v>
      </c>
      <c r="R1471" s="62" t="s">
        <v>4065</v>
      </c>
      <c r="S1471" s="63" t="s">
        <v>354</v>
      </c>
      <c r="T1471" s="63" t="s">
        <v>4066</v>
      </c>
      <c r="U1471" s="64">
        <v>0</v>
      </c>
      <c r="V1471" s="64">
        <v>0</v>
      </c>
      <c r="W1471" s="64">
        <v>0</v>
      </c>
      <c r="X1471" s="64">
        <v>0</v>
      </c>
      <c r="Y1471" s="64">
        <v>0</v>
      </c>
      <c r="Z1471" s="64">
        <v>0</v>
      </c>
      <c r="AA1471" s="61">
        <v>44743</v>
      </c>
      <c r="AB1471" s="61">
        <v>44773</v>
      </c>
      <c r="AD1471" s="60">
        <v>0</v>
      </c>
      <c r="AG1471" s="60">
        <v>0</v>
      </c>
      <c r="AJ1471" s="60">
        <v>0</v>
      </c>
      <c r="AN1471" s="60" t="s">
        <v>309</v>
      </c>
      <c r="AY1471" s="99">
        <v>0</v>
      </c>
      <c r="AZ1471" s="99">
        <f>ROUNDDOWN(AY1471+(AY1471*MASTER!$A$2/100),0)</f>
        <v>0</v>
      </c>
      <c r="BA1471" s="60" t="s">
        <v>318</v>
      </c>
      <c r="BB1471" s="64">
        <v>14000</v>
      </c>
      <c r="BC1471" s="64">
        <v>15400</v>
      </c>
      <c r="BD1471" s="60" t="s">
        <v>3800</v>
      </c>
      <c r="BG1471" s="64">
        <v>0</v>
      </c>
      <c r="BK1471" s="64">
        <v>0</v>
      </c>
      <c r="BS1471" s="64">
        <v>0</v>
      </c>
      <c r="BV1471" s="65">
        <v>0</v>
      </c>
      <c r="BW1471" s="65">
        <v>15400</v>
      </c>
      <c r="BX1471" s="65">
        <v>44764</v>
      </c>
      <c r="BY1471" s="65">
        <v>-15400</v>
      </c>
      <c r="BZ1471" s="81" t="s">
        <v>309</v>
      </c>
    </row>
    <row r="1472" spans="1:82" x14ac:dyDescent="0.15">
      <c r="A1472" s="60">
        <v>2</v>
      </c>
      <c r="B1472" s="61">
        <v>44774</v>
      </c>
      <c r="C1472" s="61">
        <v>44778</v>
      </c>
      <c r="D1472" s="61">
        <v>44809</v>
      </c>
      <c r="E1472" s="61">
        <v>44776</v>
      </c>
      <c r="F1472" s="61">
        <v>44783</v>
      </c>
      <c r="G1472" s="61">
        <v>44776</v>
      </c>
      <c r="H1472" s="61">
        <v>44779</v>
      </c>
      <c r="I1472" s="60" t="s">
        <v>511</v>
      </c>
      <c r="J1472" s="60">
        <v>1</v>
      </c>
      <c r="L1472" s="60">
        <v>0</v>
      </c>
      <c r="M1472" s="61">
        <v>44764</v>
      </c>
      <c r="O1472" s="62" t="s">
        <v>331</v>
      </c>
      <c r="P1472" s="60" t="s">
        <v>26</v>
      </c>
      <c r="Q1472" s="62" t="s">
        <v>200</v>
      </c>
      <c r="R1472" s="62" t="s">
        <v>4068</v>
      </c>
      <c r="S1472" s="63" t="s">
        <v>1129</v>
      </c>
      <c r="T1472" s="63" t="s">
        <v>340</v>
      </c>
      <c r="U1472" s="64">
        <v>84000</v>
      </c>
      <c r="V1472" s="64">
        <v>92400</v>
      </c>
      <c r="W1472" s="64">
        <v>68000</v>
      </c>
      <c r="X1472" s="64">
        <v>74800</v>
      </c>
      <c r="Y1472" s="64">
        <v>16000</v>
      </c>
      <c r="Z1472" s="64">
        <v>17600</v>
      </c>
      <c r="AA1472" s="61">
        <v>44775</v>
      </c>
      <c r="AB1472" s="61">
        <v>44776</v>
      </c>
      <c r="AC1472" s="61">
        <v>44776</v>
      </c>
      <c r="AD1472" s="60">
        <v>0</v>
      </c>
      <c r="AG1472" s="60">
        <v>0</v>
      </c>
      <c r="AJ1472" s="60">
        <v>0</v>
      </c>
      <c r="AQ1472" s="60" t="s">
        <v>4266</v>
      </c>
      <c r="AR1472" s="61">
        <v>44774</v>
      </c>
      <c r="AS1472" s="60">
        <v>6002057691</v>
      </c>
      <c r="AT1472" s="61">
        <v>44774</v>
      </c>
      <c r="AU1472" s="60" t="s">
        <v>4206</v>
      </c>
      <c r="AV1472" s="61">
        <v>44778</v>
      </c>
      <c r="AW1472" s="91">
        <v>44804</v>
      </c>
      <c r="AX1472" s="91">
        <v>44824</v>
      </c>
      <c r="AY1472" s="99">
        <v>80640</v>
      </c>
      <c r="AZ1472" s="99">
        <f>ROUNDDOWN(AY1472+(AY1472*MASTER!$A$2/100),0)</f>
        <v>88704</v>
      </c>
      <c r="BA1472" s="60" t="s">
        <v>317</v>
      </c>
      <c r="BB1472" s="64">
        <v>24000</v>
      </c>
      <c r="BC1472" s="64">
        <v>26400</v>
      </c>
      <c r="BD1472" s="60" t="s">
        <v>3940</v>
      </c>
      <c r="BG1472" s="64">
        <v>0</v>
      </c>
      <c r="BK1472" s="64">
        <v>0</v>
      </c>
      <c r="BS1472" s="64">
        <v>0</v>
      </c>
      <c r="BV1472" s="65">
        <v>74800</v>
      </c>
      <c r="BW1472" s="65">
        <v>26400</v>
      </c>
      <c r="BX1472" s="65">
        <v>44764</v>
      </c>
      <c r="BY1472" s="65">
        <v>48400</v>
      </c>
      <c r="BZ1472" s="81">
        <v>64.705882352941174</v>
      </c>
    </row>
    <row r="1473" spans="1:89" x14ac:dyDescent="0.15">
      <c r="A1473" s="60">
        <v>2</v>
      </c>
      <c r="B1473" s="61">
        <v>44775</v>
      </c>
      <c r="C1473" s="61">
        <v>44778</v>
      </c>
      <c r="D1473" s="61">
        <v>44771</v>
      </c>
      <c r="E1473" s="61">
        <v>44771</v>
      </c>
      <c r="F1473" s="61" t="s">
        <v>309</v>
      </c>
      <c r="G1473" s="61">
        <v>44771</v>
      </c>
      <c r="H1473" s="61" t="s">
        <v>309</v>
      </c>
      <c r="I1473" s="60" t="s">
        <v>766</v>
      </c>
      <c r="J1473" s="60">
        <v>2</v>
      </c>
      <c r="L1473" s="60">
        <v>0</v>
      </c>
      <c r="M1473" s="61">
        <v>44767</v>
      </c>
      <c r="O1473" s="62" t="s">
        <v>331</v>
      </c>
      <c r="P1473" s="60" t="s">
        <v>6</v>
      </c>
      <c r="Q1473" s="62" t="s">
        <v>200</v>
      </c>
      <c r="R1473" s="62" t="s">
        <v>4175</v>
      </c>
      <c r="S1473" s="63" t="s">
        <v>457</v>
      </c>
      <c r="T1473" s="63" t="s">
        <v>364</v>
      </c>
      <c r="U1473" s="64">
        <v>51000</v>
      </c>
      <c r="V1473" s="64">
        <v>56100</v>
      </c>
      <c r="W1473" s="64">
        <v>51000</v>
      </c>
      <c r="X1473" s="64">
        <v>56100</v>
      </c>
      <c r="Y1473" s="64">
        <v>0</v>
      </c>
      <c r="Z1473" s="64">
        <v>0</v>
      </c>
      <c r="AA1473" s="61">
        <v>44771</v>
      </c>
      <c r="AB1473" s="61">
        <v>44771</v>
      </c>
      <c r="AD1473" s="60">
        <v>0</v>
      </c>
      <c r="AG1473" s="60">
        <v>0</v>
      </c>
      <c r="AJ1473" s="60">
        <v>0</v>
      </c>
      <c r="AN1473" s="60" t="s">
        <v>309</v>
      </c>
      <c r="AQ1473" s="60" t="s">
        <v>4207</v>
      </c>
      <c r="AR1473" s="61">
        <v>44774</v>
      </c>
      <c r="AS1473" s="60">
        <v>6002057691</v>
      </c>
      <c r="AT1473" s="61">
        <v>44774</v>
      </c>
      <c r="AU1473" s="60" t="s">
        <v>4206</v>
      </c>
      <c r="AV1473" s="61">
        <v>44778</v>
      </c>
      <c r="AW1473" s="91">
        <v>44804</v>
      </c>
      <c r="AX1473" s="91">
        <v>44824</v>
      </c>
      <c r="AY1473" s="99">
        <v>48960</v>
      </c>
      <c r="AZ1473" s="99">
        <f>ROUNDDOWN(AY1473+(AY1473*MASTER!$A$2/100),0)</f>
        <v>53856</v>
      </c>
      <c r="BA1473" s="60" t="s">
        <v>317</v>
      </c>
      <c r="BB1473" s="64">
        <v>22000</v>
      </c>
      <c r="BC1473" s="64">
        <v>24200</v>
      </c>
      <c r="BD1473" s="60" t="s">
        <v>3800</v>
      </c>
      <c r="BG1473" s="64">
        <v>0</v>
      </c>
      <c r="BK1473" s="64">
        <v>0</v>
      </c>
      <c r="BS1473" s="64">
        <v>0</v>
      </c>
      <c r="BV1473" s="65">
        <v>56100</v>
      </c>
      <c r="BW1473" s="65">
        <v>24200</v>
      </c>
      <c r="BX1473" s="65">
        <v>44767</v>
      </c>
      <c r="BY1473" s="65">
        <v>31900</v>
      </c>
      <c r="BZ1473" s="81">
        <v>56.862745098039213</v>
      </c>
    </row>
    <row r="1474" spans="1:89" s="152" customFormat="1" x14ac:dyDescent="0.15">
      <c r="A1474" s="142">
        <v>3</v>
      </c>
      <c r="B1474" s="143"/>
      <c r="C1474" s="143" t="s">
        <v>309</v>
      </c>
      <c r="D1474" s="143"/>
      <c r="E1474" s="143"/>
      <c r="F1474" s="143" t="s">
        <v>309</v>
      </c>
      <c r="G1474" s="143"/>
      <c r="H1474" s="143" t="s">
        <v>309</v>
      </c>
      <c r="I1474" s="142"/>
      <c r="J1474" s="142">
        <v>2</v>
      </c>
      <c r="K1474" s="143"/>
      <c r="L1474" s="142">
        <v>0</v>
      </c>
      <c r="M1474" s="143">
        <v>44767</v>
      </c>
      <c r="N1474" s="143"/>
      <c r="O1474" s="144" t="s">
        <v>331</v>
      </c>
      <c r="P1474" s="142" t="s">
        <v>26</v>
      </c>
      <c r="Q1474" s="144" t="s">
        <v>200</v>
      </c>
      <c r="R1474" s="144" t="s">
        <v>5158</v>
      </c>
      <c r="S1474" s="145" t="s">
        <v>3939</v>
      </c>
      <c r="T1474" s="145" t="s">
        <v>4341</v>
      </c>
      <c r="U1474" s="146">
        <v>100500</v>
      </c>
      <c r="V1474" s="146">
        <v>110550</v>
      </c>
      <c r="W1474" s="146">
        <v>100500</v>
      </c>
      <c r="X1474" s="146">
        <v>110550</v>
      </c>
      <c r="Y1474" s="146">
        <v>0</v>
      </c>
      <c r="Z1474" s="146">
        <v>0</v>
      </c>
      <c r="AA1474" s="143"/>
      <c r="AB1474" s="143"/>
      <c r="AC1474" s="143"/>
      <c r="AD1474" s="142">
        <v>0</v>
      </c>
      <c r="AE1474" s="142"/>
      <c r="AF1474" s="142"/>
      <c r="AG1474" s="142">
        <v>0</v>
      </c>
      <c r="AH1474" s="142"/>
      <c r="AI1474" s="142"/>
      <c r="AJ1474" s="142">
        <v>0</v>
      </c>
      <c r="AK1474" s="142"/>
      <c r="AL1474" s="142"/>
      <c r="AM1474" s="142"/>
      <c r="AN1474" s="142" t="s">
        <v>309</v>
      </c>
      <c r="AO1474" s="143"/>
      <c r="AP1474" s="142"/>
      <c r="AQ1474" s="142"/>
      <c r="AR1474" s="143"/>
      <c r="AS1474" s="142"/>
      <c r="AT1474" s="143"/>
      <c r="AU1474" s="142"/>
      <c r="AV1474" s="143"/>
      <c r="AW1474" s="147"/>
      <c r="AX1474" s="147"/>
      <c r="AY1474" s="148">
        <v>96480</v>
      </c>
      <c r="AZ1474" s="148">
        <f>ROUNDDOWN(AY1474+(AY1474*MASTER!$A$2/100),0)</f>
        <v>106128</v>
      </c>
      <c r="BA1474" s="142"/>
      <c r="BB1474" s="146"/>
      <c r="BC1474" s="146">
        <v>0</v>
      </c>
      <c r="BD1474" s="142"/>
      <c r="BE1474" s="142"/>
      <c r="BF1474" s="146"/>
      <c r="BG1474" s="146">
        <v>0</v>
      </c>
      <c r="BH1474" s="142"/>
      <c r="BI1474" s="142"/>
      <c r="BJ1474" s="146"/>
      <c r="BK1474" s="146">
        <v>0</v>
      </c>
      <c r="BL1474" s="142"/>
      <c r="BM1474" s="146"/>
      <c r="BN1474" s="146"/>
      <c r="BO1474" s="146"/>
      <c r="BP1474" s="146"/>
      <c r="BQ1474" s="146"/>
      <c r="BR1474" s="146"/>
      <c r="BS1474" s="146">
        <v>0</v>
      </c>
      <c r="BT1474" s="149"/>
      <c r="BU1474" s="149"/>
      <c r="BV1474" s="150">
        <v>110550</v>
      </c>
      <c r="BW1474" s="150">
        <v>0</v>
      </c>
      <c r="BX1474" s="150">
        <v>44767</v>
      </c>
      <c r="BY1474" s="150">
        <v>110550</v>
      </c>
      <c r="BZ1474" s="151">
        <v>100</v>
      </c>
      <c r="CA1474" s="142"/>
      <c r="CB1474" s="142"/>
      <c r="CC1474" s="142"/>
      <c r="CD1474" s="145" t="s">
        <v>5159</v>
      </c>
      <c r="CE1474" s="143"/>
      <c r="CF1474" s="143"/>
      <c r="CG1474" s="143"/>
      <c r="CH1474" s="143"/>
      <c r="CI1474" s="143"/>
      <c r="CJ1474" s="143"/>
      <c r="CK1474" s="146"/>
    </row>
    <row r="1475" spans="1:89" x14ac:dyDescent="0.15">
      <c r="A1475" s="60">
        <v>2</v>
      </c>
      <c r="B1475" s="61">
        <v>44813</v>
      </c>
      <c r="C1475" s="61">
        <v>44816</v>
      </c>
      <c r="E1475" s="61">
        <v>44817</v>
      </c>
      <c r="F1475" s="61" t="s">
        <v>309</v>
      </c>
      <c r="G1475" s="61">
        <v>44816</v>
      </c>
      <c r="H1475" s="61" t="s">
        <v>309</v>
      </c>
      <c r="I1475" s="60" t="s">
        <v>511</v>
      </c>
      <c r="J1475" s="60">
        <v>1</v>
      </c>
      <c r="L1475" s="60">
        <v>0</v>
      </c>
      <c r="M1475" s="61">
        <v>44767</v>
      </c>
      <c r="O1475" s="62" t="s">
        <v>331</v>
      </c>
      <c r="P1475" s="60" t="s">
        <v>26</v>
      </c>
      <c r="Q1475" s="62" t="s">
        <v>200</v>
      </c>
      <c r="R1475" s="62" t="s">
        <v>4778</v>
      </c>
      <c r="S1475" s="63" t="s">
        <v>788</v>
      </c>
      <c r="T1475" s="63" t="s">
        <v>3778</v>
      </c>
      <c r="U1475" s="64">
        <v>50000</v>
      </c>
      <c r="V1475" s="64">
        <v>55000</v>
      </c>
      <c r="W1475" s="64">
        <v>47000</v>
      </c>
      <c r="X1475" s="64">
        <v>51700</v>
      </c>
      <c r="Y1475" s="64">
        <v>3000</v>
      </c>
      <c r="Z1475" s="64">
        <v>3300</v>
      </c>
      <c r="AA1475" s="61">
        <v>44815</v>
      </c>
      <c r="AB1475" s="61">
        <v>44816</v>
      </c>
      <c r="AD1475" s="60">
        <v>0</v>
      </c>
      <c r="AG1475" s="60">
        <v>0</v>
      </c>
      <c r="AJ1475" s="60">
        <v>0</v>
      </c>
      <c r="AM1475" s="60" t="s">
        <v>273</v>
      </c>
      <c r="AN1475" s="60" t="s">
        <v>4779</v>
      </c>
      <c r="AQ1475" s="60" t="s">
        <v>4416</v>
      </c>
      <c r="AR1475" s="61">
        <v>44796</v>
      </c>
      <c r="AS1475" s="60">
        <v>6002064701</v>
      </c>
      <c r="AT1475" s="61">
        <v>44797</v>
      </c>
      <c r="AU1475" s="60" t="s">
        <v>4426</v>
      </c>
      <c r="AV1475" s="61">
        <v>44816</v>
      </c>
      <c r="AW1475" s="91">
        <v>44834</v>
      </c>
      <c r="AX1475" s="91">
        <v>44854</v>
      </c>
      <c r="AY1475" s="99">
        <v>48000</v>
      </c>
      <c r="AZ1475" s="99">
        <f>ROUNDDOWN(AY1475+(AY1475*MASTER!$A$2/100),0)</f>
        <v>52800</v>
      </c>
      <c r="BA1475" s="60" t="s">
        <v>314</v>
      </c>
      <c r="BB1475" s="64">
        <v>31000</v>
      </c>
      <c r="BC1475" s="64">
        <v>34100</v>
      </c>
      <c r="BD1475" s="60" t="s">
        <v>4182</v>
      </c>
      <c r="BG1475" s="64">
        <v>0</v>
      </c>
      <c r="BK1475" s="64">
        <v>0</v>
      </c>
      <c r="BS1475" s="64">
        <v>0</v>
      </c>
      <c r="BV1475" s="65">
        <v>51700</v>
      </c>
      <c r="BW1475" s="65">
        <v>34100</v>
      </c>
      <c r="BX1475" s="65">
        <v>44767</v>
      </c>
      <c r="BY1475" s="65">
        <v>17600</v>
      </c>
      <c r="BZ1475" s="81">
        <v>34.042553191489361</v>
      </c>
    </row>
    <row r="1476" spans="1:89" x14ac:dyDescent="0.15">
      <c r="A1476" s="60">
        <v>1</v>
      </c>
      <c r="B1476" s="61">
        <v>44792</v>
      </c>
      <c r="C1476" s="61">
        <v>44834</v>
      </c>
      <c r="F1476" s="61" t="s">
        <v>309</v>
      </c>
      <c r="H1476" s="61" t="s">
        <v>309</v>
      </c>
      <c r="J1476" s="60">
        <v>3</v>
      </c>
      <c r="L1476" s="60">
        <v>0</v>
      </c>
      <c r="M1476" s="61">
        <v>44767</v>
      </c>
      <c r="O1476" s="62" t="s">
        <v>331</v>
      </c>
      <c r="P1476" s="60" t="s">
        <v>6</v>
      </c>
      <c r="Q1476" s="62" t="s">
        <v>200</v>
      </c>
      <c r="R1476" s="62" t="s">
        <v>4198</v>
      </c>
      <c r="S1476" s="63" t="s">
        <v>658</v>
      </c>
      <c r="T1476" s="63" t="s">
        <v>463</v>
      </c>
      <c r="U1476" s="64">
        <v>9000</v>
      </c>
      <c r="V1476" s="64">
        <v>9900</v>
      </c>
      <c r="W1476" s="64">
        <v>0</v>
      </c>
      <c r="X1476" s="64">
        <v>0</v>
      </c>
      <c r="Y1476" s="64">
        <v>9000</v>
      </c>
      <c r="Z1476" s="64">
        <v>9900</v>
      </c>
      <c r="AD1476" s="60">
        <v>0</v>
      </c>
      <c r="AG1476" s="60">
        <v>0</v>
      </c>
      <c r="AJ1476" s="60">
        <v>0</v>
      </c>
      <c r="AN1476" s="60" t="s">
        <v>309</v>
      </c>
      <c r="AQ1476" s="60" t="s">
        <v>4407</v>
      </c>
      <c r="AR1476" s="61">
        <v>44774</v>
      </c>
      <c r="AS1476" s="60">
        <v>6002057691</v>
      </c>
      <c r="AT1476" s="61">
        <v>44774</v>
      </c>
      <c r="AU1476" s="60" t="s">
        <v>4206</v>
      </c>
      <c r="AV1476" s="61">
        <v>44834</v>
      </c>
      <c r="AW1476" s="91">
        <v>44834</v>
      </c>
      <c r="AX1476" s="91">
        <v>44854</v>
      </c>
      <c r="AY1476" s="99">
        <v>8640</v>
      </c>
      <c r="AZ1476" s="99">
        <f>ROUNDDOWN(AY1476+(AY1476*MASTER!$A$2/100),0)</f>
        <v>9504</v>
      </c>
      <c r="BC1476" s="64">
        <v>0</v>
      </c>
      <c r="BG1476" s="64">
        <v>0</v>
      </c>
      <c r="BK1476" s="64">
        <v>0</v>
      </c>
      <c r="BS1476" s="64">
        <v>0</v>
      </c>
      <c r="BV1476" s="65">
        <v>0</v>
      </c>
      <c r="BW1476" s="65">
        <v>0</v>
      </c>
      <c r="BX1476" s="65">
        <v>44767</v>
      </c>
      <c r="BY1476" s="65">
        <v>0</v>
      </c>
      <c r="BZ1476" s="81" t="s">
        <v>309</v>
      </c>
    </row>
    <row r="1477" spans="1:89" x14ac:dyDescent="0.15">
      <c r="A1477" s="60">
        <v>2</v>
      </c>
      <c r="B1477" s="61">
        <v>44775</v>
      </c>
      <c r="C1477" s="61">
        <v>44778</v>
      </c>
      <c r="D1477" s="61">
        <v>44783</v>
      </c>
      <c r="E1477" s="61">
        <v>44776</v>
      </c>
      <c r="F1477" s="61" t="s">
        <v>309</v>
      </c>
      <c r="G1477" s="61">
        <v>44774</v>
      </c>
      <c r="H1477" s="61" t="s">
        <v>309</v>
      </c>
      <c r="I1477" s="60" t="s">
        <v>511</v>
      </c>
      <c r="J1477" s="60">
        <v>1</v>
      </c>
      <c r="L1477" s="60">
        <v>0</v>
      </c>
      <c r="M1477" s="61">
        <v>44768</v>
      </c>
      <c r="O1477" s="62" t="s">
        <v>331</v>
      </c>
      <c r="P1477" s="60" t="s">
        <v>6</v>
      </c>
      <c r="Q1477" s="62" t="s">
        <v>200</v>
      </c>
      <c r="R1477" s="62" t="s">
        <v>4209</v>
      </c>
      <c r="S1477" s="63" t="s">
        <v>1918</v>
      </c>
      <c r="T1477" s="63" t="s">
        <v>1523</v>
      </c>
      <c r="U1477" s="64">
        <v>239000</v>
      </c>
      <c r="V1477" s="64">
        <v>262900</v>
      </c>
      <c r="W1477" s="64">
        <v>174000</v>
      </c>
      <c r="X1477" s="64">
        <v>191400</v>
      </c>
      <c r="Y1477" s="64">
        <v>65000</v>
      </c>
      <c r="Z1477" s="64">
        <v>71500</v>
      </c>
      <c r="AA1477" s="61">
        <v>44770</v>
      </c>
      <c r="AB1477" s="61">
        <v>44771</v>
      </c>
      <c r="AD1477" s="60">
        <v>0</v>
      </c>
      <c r="AG1477" s="60">
        <v>0</v>
      </c>
      <c r="AJ1477" s="60">
        <v>0</v>
      </c>
      <c r="AN1477" s="60" t="s">
        <v>309</v>
      </c>
      <c r="AQ1477" s="60" t="s">
        <v>4110</v>
      </c>
      <c r="AR1477" s="61">
        <v>44770</v>
      </c>
      <c r="AS1477" s="60">
        <v>6002056788</v>
      </c>
      <c r="AT1477" s="61">
        <v>44774</v>
      </c>
      <c r="AU1477" s="60" t="s">
        <v>4205</v>
      </c>
      <c r="AV1477" s="61">
        <v>44778</v>
      </c>
      <c r="AW1477" s="91">
        <v>44804</v>
      </c>
      <c r="AX1477" s="91">
        <v>44824</v>
      </c>
      <c r="AY1477" s="107">
        <v>239000</v>
      </c>
      <c r="AZ1477" s="107">
        <v>262900</v>
      </c>
      <c r="BA1477" s="60" t="s">
        <v>317</v>
      </c>
      <c r="BB1477" s="64">
        <v>34000</v>
      </c>
      <c r="BC1477" s="64">
        <v>37400</v>
      </c>
      <c r="BD1477" s="60" t="s">
        <v>3800</v>
      </c>
      <c r="BG1477" s="64">
        <v>0</v>
      </c>
      <c r="BI1477" s="60" t="s">
        <v>748</v>
      </c>
      <c r="BJ1477" s="64">
        <v>42250</v>
      </c>
      <c r="BK1477" s="64">
        <v>46475</v>
      </c>
      <c r="BL1477" s="60" t="s">
        <v>3800</v>
      </c>
      <c r="BS1477" s="64">
        <v>0</v>
      </c>
      <c r="BV1477" s="65">
        <v>191400</v>
      </c>
      <c r="BW1477" s="65">
        <v>83875</v>
      </c>
      <c r="BX1477" s="65">
        <v>44768</v>
      </c>
      <c r="BY1477" s="65">
        <v>107525</v>
      </c>
      <c r="BZ1477" s="81">
        <v>56.178160919540232</v>
      </c>
    </row>
    <row r="1478" spans="1:89" x14ac:dyDescent="0.15">
      <c r="A1478" s="60">
        <v>2</v>
      </c>
      <c r="B1478" s="61">
        <v>44775</v>
      </c>
      <c r="C1478" s="61">
        <v>44778</v>
      </c>
      <c r="D1478" s="61">
        <v>44771</v>
      </c>
      <c r="E1478" s="61">
        <v>44771</v>
      </c>
      <c r="F1478" s="61" t="s">
        <v>309</v>
      </c>
      <c r="G1478" s="61">
        <v>44771</v>
      </c>
      <c r="H1478" s="61" t="s">
        <v>309</v>
      </c>
      <c r="I1478" s="60" t="s">
        <v>2495</v>
      </c>
      <c r="J1478" s="60">
        <v>2</v>
      </c>
      <c r="L1478" s="60">
        <v>0</v>
      </c>
      <c r="M1478" s="61">
        <v>44768</v>
      </c>
      <c r="O1478" s="62" t="s">
        <v>331</v>
      </c>
      <c r="P1478" s="60" t="s">
        <v>6</v>
      </c>
      <c r="Q1478" s="62" t="s">
        <v>200</v>
      </c>
      <c r="R1478" s="62" t="s">
        <v>4176</v>
      </c>
      <c r="S1478" s="63" t="s">
        <v>1526</v>
      </c>
      <c r="T1478" s="63" t="s">
        <v>364</v>
      </c>
      <c r="U1478" s="64">
        <v>35000</v>
      </c>
      <c r="V1478" s="64">
        <v>38500</v>
      </c>
      <c r="W1478" s="64">
        <v>35000</v>
      </c>
      <c r="X1478" s="64">
        <v>38500</v>
      </c>
      <c r="Y1478" s="64">
        <v>0</v>
      </c>
      <c r="Z1478" s="64">
        <v>0</v>
      </c>
      <c r="AA1478" s="61">
        <v>44770</v>
      </c>
      <c r="AB1478" s="61">
        <v>44770</v>
      </c>
      <c r="AD1478" s="60">
        <v>0</v>
      </c>
      <c r="AG1478" s="60">
        <v>0</v>
      </c>
      <c r="AJ1478" s="60">
        <v>0</v>
      </c>
      <c r="AN1478" s="60" t="s">
        <v>309</v>
      </c>
      <c r="AQ1478" s="60" t="s">
        <v>4197</v>
      </c>
      <c r="AR1478" s="61">
        <v>44774</v>
      </c>
      <c r="AS1478" s="60">
        <v>6002057691</v>
      </c>
      <c r="AT1478" s="61">
        <v>44774</v>
      </c>
      <c r="AU1478" s="60" t="s">
        <v>4206</v>
      </c>
      <c r="AV1478" s="61">
        <v>44778</v>
      </c>
      <c r="AW1478" s="91">
        <v>44804</v>
      </c>
      <c r="AX1478" s="91">
        <v>44824</v>
      </c>
      <c r="AY1478" s="99">
        <v>33600</v>
      </c>
      <c r="AZ1478" s="99">
        <f>ROUNDDOWN(AY1478+(AY1478*MASTER!$A$2/100),0)</f>
        <v>36960</v>
      </c>
      <c r="BA1478" s="60" t="s">
        <v>314</v>
      </c>
      <c r="BB1478" s="64">
        <v>23000</v>
      </c>
      <c r="BC1478" s="64">
        <v>25300</v>
      </c>
      <c r="BD1478" s="60" t="s">
        <v>3800</v>
      </c>
      <c r="BG1478" s="64">
        <v>0</v>
      </c>
      <c r="BK1478" s="64">
        <v>0</v>
      </c>
      <c r="BS1478" s="64">
        <v>0</v>
      </c>
      <c r="BV1478" s="65">
        <v>38500</v>
      </c>
      <c r="BW1478" s="65">
        <v>25300</v>
      </c>
      <c r="BX1478" s="65">
        <v>44768</v>
      </c>
      <c r="BY1478" s="65">
        <v>13200</v>
      </c>
      <c r="BZ1478" s="81">
        <v>34.285714285714285</v>
      </c>
    </row>
    <row r="1479" spans="1:89" x14ac:dyDescent="0.15">
      <c r="A1479" s="60">
        <v>2</v>
      </c>
      <c r="B1479" s="61">
        <v>44775</v>
      </c>
      <c r="C1479" s="61">
        <v>44782</v>
      </c>
      <c r="D1479" s="61">
        <v>44806</v>
      </c>
      <c r="F1479" s="61" t="s">
        <v>309</v>
      </c>
      <c r="H1479" s="61" t="s">
        <v>309</v>
      </c>
      <c r="I1479" s="60" t="s">
        <v>774</v>
      </c>
      <c r="J1479" s="60">
        <v>2</v>
      </c>
      <c r="L1479" s="60">
        <v>0</v>
      </c>
      <c r="M1479" s="61">
        <v>44768</v>
      </c>
      <c r="O1479" s="62" t="s">
        <v>331</v>
      </c>
      <c r="P1479" s="60" t="s">
        <v>77</v>
      </c>
      <c r="Q1479" s="62" t="s">
        <v>200</v>
      </c>
      <c r="R1479" s="62" t="s">
        <v>4199</v>
      </c>
      <c r="S1479" s="63" t="s">
        <v>550</v>
      </c>
      <c r="T1479" s="63" t="s">
        <v>1283</v>
      </c>
      <c r="U1479" s="64">
        <v>219500</v>
      </c>
      <c r="V1479" s="64">
        <v>241450</v>
      </c>
      <c r="W1479" s="64">
        <v>219500</v>
      </c>
      <c r="X1479" s="64">
        <v>241450</v>
      </c>
      <c r="Y1479" s="64">
        <v>0</v>
      </c>
      <c r="Z1479" s="64">
        <v>0</v>
      </c>
      <c r="AA1479" s="61">
        <v>44781</v>
      </c>
      <c r="AB1479" s="61">
        <v>44782</v>
      </c>
      <c r="AD1479" s="60">
        <v>0</v>
      </c>
      <c r="AG1479" s="60">
        <v>0</v>
      </c>
      <c r="AJ1479" s="60">
        <v>0</v>
      </c>
      <c r="AN1479" s="60" t="s">
        <v>309</v>
      </c>
      <c r="AQ1479" s="60" t="s">
        <v>4203</v>
      </c>
      <c r="AR1479" s="61">
        <v>44774</v>
      </c>
      <c r="AS1479" s="60">
        <v>6002057691</v>
      </c>
      <c r="AT1479" s="61">
        <v>44774</v>
      </c>
      <c r="AU1479" s="60" t="s">
        <v>4206</v>
      </c>
      <c r="AV1479" s="61">
        <v>44782</v>
      </c>
      <c r="AW1479" s="91">
        <v>44804</v>
      </c>
      <c r="AX1479" s="91">
        <v>44824</v>
      </c>
      <c r="AY1479" s="99">
        <v>210720</v>
      </c>
      <c r="AZ1479" s="99">
        <f>ROUNDDOWN(AY1479+(AY1479*MASTER!$A$2/100),0)</f>
        <v>231792</v>
      </c>
      <c r="BA1479" s="60" t="s">
        <v>321</v>
      </c>
      <c r="BB1479" s="64">
        <v>242200</v>
      </c>
      <c r="BC1479" s="64">
        <v>266420</v>
      </c>
      <c r="BD1479" s="60" t="s">
        <v>3940</v>
      </c>
      <c r="BG1479" s="64">
        <v>0</v>
      </c>
      <c r="BK1479" s="64">
        <v>0</v>
      </c>
      <c r="BS1479" s="64">
        <v>0</v>
      </c>
      <c r="BV1479" s="65">
        <v>241450</v>
      </c>
      <c r="BW1479" s="65">
        <v>266420</v>
      </c>
      <c r="BX1479" s="65">
        <v>44768</v>
      </c>
      <c r="BY1479" s="65">
        <v>-24970</v>
      </c>
      <c r="BZ1479" s="81">
        <v>-10.341685649202734</v>
      </c>
    </row>
    <row r="1480" spans="1:89" x14ac:dyDescent="0.15">
      <c r="A1480" s="60">
        <v>2</v>
      </c>
      <c r="B1480" s="61">
        <v>44783</v>
      </c>
      <c r="C1480" s="61">
        <v>44783</v>
      </c>
      <c r="D1480" s="61">
        <v>44776</v>
      </c>
      <c r="E1480" s="61">
        <v>44776</v>
      </c>
      <c r="F1480" s="61" t="s">
        <v>309</v>
      </c>
      <c r="G1480" s="61">
        <v>44776</v>
      </c>
      <c r="H1480" s="61" t="s">
        <v>309</v>
      </c>
      <c r="I1480" s="60" t="s">
        <v>766</v>
      </c>
      <c r="J1480" s="60">
        <v>2</v>
      </c>
      <c r="L1480" s="60">
        <v>0</v>
      </c>
      <c r="M1480" s="61">
        <v>44769</v>
      </c>
      <c r="O1480" s="62" t="s">
        <v>331</v>
      </c>
      <c r="P1480" s="60" t="s">
        <v>6</v>
      </c>
      <c r="Q1480" s="62" t="s">
        <v>200</v>
      </c>
      <c r="R1480" s="62" t="s">
        <v>4279</v>
      </c>
      <c r="S1480" s="63" t="s">
        <v>1014</v>
      </c>
      <c r="T1480" s="63" t="s">
        <v>364</v>
      </c>
      <c r="U1480" s="64">
        <v>51000</v>
      </c>
      <c r="V1480" s="64">
        <v>56100</v>
      </c>
      <c r="W1480" s="64">
        <v>51000</v>
      </c>
      <c r="X1480" s="64">
        <v>56100</v>
      </c>
      <c r="Z1480" s="64">
        <v>0</v>
      </c>
      <c r="AA1480" s="61">
        <v>44775</v>
      </c>
      <c r="AB1480" s="61">
        <v>44775</v>
      </c>
      <c r="AD1480" s="60">
        <v>0</v>
      </c>
      <c r="AG1480" s="60">
        <v>0</v>
      </c>
      <c r="AJ1480" s="60">
        <v>0</v>
      </c>
      <c r="AN1480" s="60" t="s">
        <v>309</v>
      </c>
      <c r="AQ1480" s="60" t="s">
        <v>4286</v>
      </c>
      <c r="AR1480" s="61">
        <v>44777</v>
      </c>
      <c r="AS1480" s="60">
        <v>6002059002</v>
      </c>
      <c r="AT1480" s="61">
        <v>44778</v>
      </c>
      <c r="AU1480" s="60" t="s">
        <v>4304</v>
      </c>
      <c r="AV1480" s="61">
        <v>44783</v>
      </c>
      <c r="AW1480" s="91">
        <v>44804</v>
      </c>
      <c r="AX1480" s="91">
        <v>44824</v>
      </c>
      <c r="AY1480" s="99">
        <v>48960</v>
      </c>
      <c r="AZ1480" s="99">
        <f>ROUNDDOWN(AY1480+(AY1480*MASTER!$A$2/100),0)</f>
        <v>53856</v>
      </c>
      <c r="BA1480" s="60" t="s">
        <v>317</v>
      </c>
      <c r="BB1480" s="64">
        <v>31000</v>
      </c>
      <c r="BC1480" s="64">
        <v>34100</v>
      </c>
      <c r="BD1480" s="60" t="s">
        <v>3940</v>
      </c>
      <c r="BG1480" s="64">
        <v>0</v>
      </c>
      <c r="BK1480" s="64">
        <v>0</v>
      </c>
      <c r="BS1480" s="64">
        <v>0</v>
      </c>
      <c r="BV1480" s="65">
        <v>56100</v>
      </c>
      <c r="BW1480" s="65">
        <v>34100</v>
      </c>
      <c r="BX1480" s="65">
        <v>44769</v>
      </c>
      <c r="BY1480" s="65">
        <v>22000</v>
      </c>
      <c r="BZ1480" s="81">
        <v>39.215686274509807</v>
      </c>
    </row>
    <row r="1481" spans="1:89" x14ac:dyDescent="0.15">
      <c r="A1481" s="60">
        <v>2</v>
      </c>
      <c r="B1481" s="61">
        <v>44790</v>
      </c>
      <c r="C1481" s="61">
        <v>44792</v>
      </c>
      <c r="D1481" s="61">
        <v>44811</v>
      </c>
      <c r="E1481" s="61">
        <v>44796</v>
      </c>
      <c r="F1481" s="61">
        <v>44799</v>
      </c>
      <c r="G1481" s="61">
        <v>44792</v>
      </c>
      <c r="H1481" s="61">
        <v>44795</v>
      </c>
      <c r="I1481" s="60" t="s">
        <v>511</v>
      </c>
      <c r="J1481" s="60">
        <v>1</v>
      </c>
      <c r="L1481" s="60">
        <v>0</v>
      </c>
      <c r="M1481" s="61">
        <v>44769</v>
      </c>
      <c r="O1481" s="62" t="s">
        <v>331</v>
      </c>
      <c r="P1481" s="60" t="s">
        <v>26</v>
      </c>
      <c r="Q1481" s="62" t="s">
        <v>200</v>
      </c>
      <c r="R1481" s="62" t="s">
        <v>4395</v>
      </c>
      <c r="S1481" s="63" t="s">
        <v>2177</v>
      </c>
      <c r="T1481" s="63" t="s">
        <v>4396</v>
      </c>
      <c r="U1481" s="64">
        <v>241600</v>
      </c>
      <c r="V1481" s="64">
        <v>265760</v>
      </c>
      <c r="W1481" s="64">
        <v>174100</v>
      </c>
      <c r="X1481" s="64">
        <v>191510</v>
      </c>
      <c r="Y1481" s="64">
        <v>67500</v>
      </c>
      <c r="Z1481" s="64">
        <v>74250</v>
      </c>
      <c r="AA1481" s="61">
        <v>44791</v>
      </c>
      <c r="AB1481" s="61">
        <v>44792</v>
      </c>
      <c r="AC1481" s="61">
        <v>44792</v>
      </c>
      <c r="AD1481" s="60">
        <v>0</v>
      </c>
      <c r="AG1481" s="60">
        <v>0</v>
      </c>
      <c r="AJ1481" s="60">
        <v>0</v>
      </c>
      <c r="AM1481" s="60" t="s">
        <v>273</v>
      </c>
      <c r="AN1481" s="60" t="s">
        <v>4397</v>
      </c>
      <c r="AQ1481" s="60" t="s">
        <v>4294</v>
      </c>
      <c r="AR1481" s="61">
        <v>44778</v>
      </c>
      <c r="AS1481" s="60">
        <v>6002059828</v>
      </c>
      <c r="AT1481" s="61">
        <v>44778</v>
      </c>
      <c r="AU1481" s="60" t="s">
        <v>4305</v>
      </c>
      <c r="AV1481" s="61">
        <v>44792</v>
      </c>
      <c r="AW1481" s="91">
        <v>44804</v>
      </c>
      <c r="AX1481" s="91">
        <v>44824</v>
      </c>
      <c r="AY1481" s="99">
        <v>231936</v>
      </c>
      <c r="AZ1481" s="99">
        <v>255130</v>
      </c>
      <c r="BA1481" s="60" t="s">
        <v>318</v>
      </c>
      <c r="BB1481" s="64">
        <v>44910</v>
      </c>
      <c r="BC1481" s="64">
        <v>49401</v>
      </c>
      <c r="BD1481" s="60" t="s">
        <v>3940</v>
      </c>
      <c r="BG1481" s="64">
        <v>0</v>
      </c>
      <c r="BI1481" s="60" t="s">
        <v>748</v>
      </c>
      <c r="BJ1481" s="64">
        <v>43875</v>
      </c>
      <c r="BK1481" s="64">
        <v>48262.5</v>
      </c>
      <c r="BL1481" s="60" t="s">
        <v>3940</v>
      </c>
      <c r="BS1481" s="64">
        <v>0</v>
      </c>
      <c r="BV1481" s="65">
        <v>191510</v>
      </c>
      <c r="BW1481" s="65">
        <v>97663.5</v>
      </c>
      <c r="BX1481" s="65">
        <v>44769</v>
      </c>
      <c r="BY1481" s="65">
        <v>93846.5</v>
      </c>
      <c r="BZ1481" s="81">
        <v>49.003446295232621</v>
      </c>
    </row>
    <row r="1482" spans="1:89" x14ac:dyDescent="0.15">
      <c r="A1482" s="60">
        <v>1</v>
      </c>
      <c r="B1482" s="61">
        <v>44774</v>
      </c>
      <c r="C1482" s="61">
        <v>44782</v>
      </c>
      <c r="F1482" s="61" t="s">
        <v>309</v>
      </c>
      <c r="H1482" s="61" t="s">
        <v>309</v>
      </c>
      <c r="J1482" s="60">
        <v>2</v>
      </c>
      <c r="L1482" s="60">
        <v>0</v>
      </c>
      <c r="M1482" s="61">
        <v>44769</v>
      </c>
      <c r="O1482" s="62" t="s">
        <v>331</v>
      </c>
      <c r="P1482" s="60" t="s">
        <v>26</v>
      </c>
      <c r="Q1482" s="62" t="s">
        <v>200</v>
      </c>
      <c r="R1482" s="62" t="s">
        <v>4255</v>
      </c>
      <c r="S1482" s="63" t="s">
        <v>577</v>
      </c>
      <c r="T1482" s="63" t="s">
        <v>4109</v>
      </c>
      <c r="U1482" s="64">
        <v>36000</v>
      </c>
      <c r="V1482" s="64">
        <v>39600</v>
      </c>
      <c r="W1482" s="64">
        <v>36000</v>
      </c>
      <c r="X1482" s="64">
        <v>39600</v>
      </c>
      <c r="Z1482" s="64">
        <v>0</v>
      </c>
      <c r="AA1482" s="61">
        <v>44773</v>
      </c>
      <c r="AB1482" s="61">
        <v>44774</v>
      </c>
      <c r="AD1482" s="60">
        <v>0</v>
      </c>
      <c r="AG1482" s="60">
        <v>0</v>
      </c>
      <c r="AJ1482" s="60">
        <v>0</v>
      </c>
      <c r="AN1482" s="60" t="s">
        <v>309</v>
      </c>
      <c r="AQ1482" s="60" t="s">
        <v>4117</v>
      </c>
      <c r="AR1482" s="61">
        <v>44770</v>
      </c>
      <c r="AS1482" s="60">
        <v>6002056788</v>
      </c>
      <c r="AT1482" s="61">
        <v>44774</v>
      </c>
      <c r="AU1482" s="60" t="s">
        <v>4205</v>
      </c>
      <c r="AV1482" s="61">
        <v>44782</v>
      </c>
      <c r="AW1482" s="91">
        <v>44804</v>
      </c>
      <c r="AX1482" s="91">
        <v>44824</v>
      </c>
      <c r="AY1482" s="99">
        <v>34560</v>
      </c>
      <c r="AZ1482" s="99">
        <f>ROUNDDOWN(AY1482+(AY1482*MASTER!$A$2/100),0)</f>
        <v>38016</v>
      </c>
      <c r="BA1482" s="60" t="s">
        <v>107</v>
      </c>
      <c r="BC1482" s="64">
        <v>0</v>
      </c>
      <c r="BG1482" s="64">
        <v>0</v>
      </c>
      <c r="BK1482" s="64">
        <v>0</v>
      </c>
      <c r="BS1482" s="64">
        <v>0</v>
      </c>
      <c r="BV1482" s="65">
        <v>39600</v>
      </c>
      <c r="BW1482" s="65">
        <v>0</v>
      </c>
      <c r="BX1482" s="65">
        <v>44769</v>
      </c>
      <c r="BY1482" s="65">
        <v>39600</v>
      </c>
      <c r="BZ1482" s="81">
        <v>100</v>
      </c>
    </row>
    <row r="1483" spans="1:89" x14ac:dyDescent="0.15">
      <c r="A1483" s="60">
        <v>1</v>
      </c>
      <c r="B1483" s="61">
        <v>44775</v>
      </c>
      <c r="C1483" s="61">
        <v>44783</v>
      </c>
      <c r="D1483" s="61">
        <v>44809</v>
      </c>
      <c r="F1483" s="61">
        <v>44790</v>
      </c>
      <c r="H1483" s="61">
        <v>44786</v>
      </c>
      <c r="I1483" s="60" t="s">
        <v>774</v>
      </c>
      <c r="J1483" s="60">
        <v>2</v>
      </c>
      <c r="L1483" s="60">
        <v>0</v>
      </c>
      <c r="M1483" s="61">
        <v>44769</v>
      </c>
      <c r="O1483" s="62" t="s">
        <v>331</v>
      </c>
      <c r="P1483" s="60" t="s">
        <v>77</v>
      </c>
      <c r="Q1483" s="62" t="s">
        <v>200</v>
      </c>
      <c r="R1483" s="62" t="s">
        <v>4201</v>
      </c>
      <c r="S1483" s="63" t="s">
        <v>439</v>
      </c>
      <c r="T1483" s="63" t="s">
        <v>1737</v>
      </c>
      <c r="U1483" s="64">
        <v>195000</v>
      </c>
      <c r="V1483" s="64">
        <v>214500</v>
      </c>
      <c r="W1483" s="64">
        <v>195000</v>
      </c>
      <c r="X1483" s="64">
        <v>214500</v>
      </c>
      <c r="Y1483" s="64">
        <v>0</v>
      </c>
      <c r="Z1483" s="64">
        <v>0</v>
      </c>
      <c r="AA1483" s="61">
        <v>44780</v>
      </c>
      <c r="AB1483" s="61">
        <v>44783</v>
      </c>
      <c r="AC1483" s="61">
        <v>44783</v>
      </c>
      <c r="AD1483" s="60">
        <v>0</v>
      </c>
      <c r="AG1483" s="60">
        <v>0</v>
      </c>
      <c r="AJ1483" s="60">
        <v>0</v>
      </c>
      <c r="AN1483" s="60" t="s">
        <v>309</v>
      </c>
      <c r="AQ1483" s="60" t="s">
        <v>4202</v>
      </c>
      <c r="AR1483" s="61">
        <v>44774</v>
      </c>
      <c r="AS1483" s="60">
        <v>6002057691</v>
      </c>
      <c r="AT1483" s="61">
        <v>44774</v>
      </c>
      <c r="AU1483" s="60" t="s">
        <v>4206</v>
      </c>
      <c r="AV1483" s="61">
        <v>44783</v>
      </c>
      <c r="AW1483" s="91">
        <v>44804</v>
      </c>
      <c r="AX1483" s="91">
        <v>44824</v>
      </c>
      <c r="AY1483" s="107">
        <v>195000</v>
      </c>
      <c r="AZ1483" s="107">
        <v>214500</v>
      </c>
      <c r="BA1483" s="60" t="s">
        <v>765</v>
      </c>
      <c r="BC1483" s="64">
        <v>0</v>
      </c>
      <c r="BG1483" s="64">
        <v>0</v>
      </c>
      <c r="BK1483" s="64">
        <v>0</v>
      </c>
      <c r="BS1483" s="64">
        <v>0</v>
      </c>
      <c r="BV1483" s="65">
        <v>214500</v>
      </c>
      <c r="BW1483" s="65">
        <v>0</v>
      </c>
      <c r="BX1483" s="65">
        <v>44769</v>
      </c>
      <c r="BY1483" s="65">
        <v>214500</v>
      </c>
      <c r="BZ1483" s="81">
        <v>100</v>
      </c>
    </row>
    <row r="1484" spans="1:89" s="152" customFormat="1" x14ac:dyDescent="0.15">
      <c r="A1484" s="142">
        <v>3</v>
      </c>
      <c r="B1484" s="143"/>
      <c r="C1484" s="143" t="s">
        <v>309</v>
      </c>
      <c r="D1484" s="143"/>
      <c r="E1484" s="143"/>
      <c r="F1484" s="143" t="s">
        <v>309</v>
      </c>
      <c r="G1484" s="143"/>
      <c r="H1484" s="143" t="s">
        <v>309</v>
      </c>
      <c r="I1484" s="142"/>
      <c r="J1484" s="142">
        <v>2</v>
      </c>
      <c r="K1484" s="143"/>
      <c r="L1484" s="142">
        <v>0</v>
      </c>
      <c r="M1484" s="143">
        <v>44769</v>
      </c>
      <c r="N1484" s="143"/>
      <c r="O1484" s="144" t="s">
        <v>331</v>
      </c>
      <c r="P1484" s="142" t="s">
        <v>26</v>
      </c>
      <c r="Q1484" s="144" t="s">
        <v>200</v>
      </c>
      <c r="R1484" s="144" t="s">
        <v>4104</v>
      </c>
      <c r="S1484" s="145" t="s">
        <v>401</v>
      </c>
      <c r="T1484" s="145" t="s">
        <v>656</v>
      </c>
      <c r="U1484" s="146">
        <v>49500</v>
      </c>
      <c r="V1484" s="146">
        <v>54450</v>
      </c>
      <c r="W1484" s="146">
        <v>49500</v>
      </c>
      <c r="X1484" s="146">
        <v>54450</v>
      </c>
      <c r="Y1484" s="146">
        <v>0</v>
      </c>
      <c r="Z1484" s="146">
        <v>0</v>
      </c>
      <c r="AA1484" s="143"/>
      <c r="AB1484" s="143"/>
      <c r="AC1484" s="143"/>
      <c r="AD1484" s="142">
        <v>0</v>
      </c>
      <c r="AE1484" s="142"/>
      <c r="AF1484" s="142"/>
      <c r="AG1484" s="142">
        <v>0</v>
      </c>
      <c r="AH1484" s="142"/>
      <c r="AI1484" s="142"/>
      <c r="AJ1484" s="142">
        <v>0</v>
      </c>
      <c r="AK1484" s="142"/>
      <c r="AL1484" s="142"/>
      <c r="AM1484" s="142"/>
      <c r="AN1484" s="142" t="s">
        <v>309</v>
      </c>
      <c r="AO1484" s="143"/>
      <c r="AP1484" s="142"/>
      <c r="AQ1484" s="142"/>
      <c r="AR1484" s="143"/>
      <c r="AS1484" s="142"/>
      <c r="AT1484" s="143"/>
      <c r="AU1484" s="142"/>
      <c r="AV1484" s="143"/>
      <c r="AW1484" s="147"/>
      <c r="AX1484" s="147"/>
      <c r="AY1484" s="148">
        <v>47520</v>
      </c>
      <c r="AZ1484" s="148">
        <f>ROUNDDOWN(AY1484+(AY1484*MASTER!$A$2/100),0)</f>
        <v>52272</v>
      </c>
      <c r="BA1484" s="142"/>
      <c r="BB1484" s="146"/>
      <c r="BC1484" s="146">
        <v>0</v>
      </c>
      <c r="BD1484" s="142"/>
      <c r="BE1484" s="142"/>
      <c r="BF1484" s="146"/>
      <c r="BG1484" s="146">
        <v>0</v>
      </c>
      <c r="BH1484" s="142"/>
      <c r="BI1484" s="142"/>
      <c r="BJ1484" s="146"/>
      <c r="BK1484" s="146">
        <v>0</v>
      </c>
      <c r="BL1484" s="142"/>
      <c r="BM1484" s="146"/>
      <c r="BN1484" s="146"/>
      <c r="BO1484" s="146"/>
      <c r="BP1484" s="146"/>
      <c r="BQ1484" s="146"/>
      <c r="BR1484" s="146"/>
      <c r="BS1484" s="146">
        <v>0</v>
      </c>
      <c r="BT1484" s="149"/>
      <c r="BU1484" s="149"/>
      <c r="BV1484" s="150">
        <v>54450</v>
      </c>
      <c r="BW1484" s="150">
        <v>0</v>
      </c>
      <c r="BX1484" s="150">
        <v>44769</v>
      </c>
      <c r="BY1484" s="150">
        <v>54450</v>
      </c>
      <c r="BZ1484" s="151">
        <v>100</v>
      </c>
      <c r="CA1484" s="142"/>
      <c r="CB1484" s="142"/>
      <c r="CC1484" s="142"/>
      <c r="CD1484" s="145" t="s">
        <v>5220</v>
      </c>
      <c r="CE1484" s="143"/>
      <c r="CF1484" s="143"/>
      <c r="CG1484" s="143"/>
      <c r="CH1484" s="143"/>
      <c r="CI1484" s="143"/>
      <c r="CJ1484" s="143"/>
      <c r="CK1484" s="146"/>
    </row>
    <row r="1485" spans="1:89" x14ac:dyDescent="0.15">
      <c r="A1485" s="60">
        <v>2</v>
      </c>
      <c r="C1485" s="61">
        <v>44813</v>
      </c>
      <c r="E1485" s="61">
        <v>44817</v>
      </c>
      <c r="F1485" s="61" t="s">
        <v>309</v>
      </c>
      <c r="G1485" s="61">
        <v>44811</v>
      </c>
      <c r="H1485" s="61" t="s">
        <v>309</v>
      </c>
      <c r="I1485" s="60" t="s">
        <v>511</v>
      </c>
      <c r="J1485" s="60">
        <v>1</v>
      </c>
      <c r="L1485" s="60">
        <v>0</v>
      </c>
      <c r="M1485" s="61">
        <v>44771</v>
      </c>
      <c r="O1485" s="62" t="s">
        <v>331</v>
      </c>
      <c r="P1485" s="60" t="s">
        <v>26</v>
      </c>
      <c r="Q1485" s="62" t="s">
        <v>200</v>
      </c>
      <c r="R1485" s="62" t="s">
        <v>4790</v>
      </c>
      <c r="S1485" s="63" t="s">
        <v>4791</v>
      </c>
      <c r="T1485" s="63" t="s">
        <v>442</v>
      </c>
      <c r="U1485" s="64">
        <v>59000</v>
      </c>
      <c r="V1485" s="64">
        <v>64900</v>
      </c>
      <c r="W1485" s="64">
        <v>47000</v>
      </c>
      <c r="X1485" s="64">
        <v>51700</v>
      </c>
      <c r="Y1485" s="64">
        <v>12000</v>
      </c>
      <c r="Z1485" s="64">
        <v>13200</v>
      </c>
      <c r="AA1485" s="61">
        <v>44809</v>
      </c>
      <c r="AB1485" s="61">
        <v>44811</v>
      </c>
      <c r="AD1485" s="60">
        <v>0</v>
      </c>
      <c r="AG1485" s="60">
        <v>0</v>
      </c>
      <c r="AJ1485" s="60">
        <v>0</v>
      </c>
      <c r="AM1485" s="60" t="s">
        <v>273</v>
      </c>
      <c r="AN1485" s="60" t="s">
        <v>4792</v>
      </c>
      <c r="AQ1485" s="60" t="s">
        <v>4325</v>
      </c>
      <c r="AR1485" s="61">
        <v>44783</v>
      </c>
      <c r="AS1485" s="60">
        <v>6002061406</v>
      </c>
      <c r="AT1485" s="61">
        <v>44783</v>
      </c>
      <c r="AU1485" s="60" t="s">
        <v>4336</v>
      </c>
      <c r="AV1485" s="61">
        <v>44813</v>
      </c>
      <c r="AY1485" s="99">
        <v>56640</v>
      </c>
      <c r="AZ1485" s="99">
        <f>ROUNDDOWN(AY1485+(AY1485*MASTER!$A$2/100),0)</f>
        <v>62304</v>
      </c>
      <c r="BA1485" s="60" t="s">
        <v>314</v>
      </c>
      <c r="BB1485" s="64">
        <v>23000</v>
      </c>
      <c r="BC1485" s="64">
        <v>25300</v>
      </c>
      <c r="BD1485" s="60" t="s">
        <v>4182</v>
      </c>
      <c r="BG1485" s="64">
        <v>0</v>
      </c>
      <c r="BK1485" s="64">
        <v>0</v>
      </c>
      <c r="BS1485" s="64">
        <v>0</v>
      </c>
      <c r="BV1485" s="65">
        <v>51700</v>
      </c>
      <c r="BW1485" s="65">
        <v>25300</v>
      </c>
      <c r="BX1485" s="65">
        <v>44771</v>
      </c>
      <c r="BY1485" s="65">
        <v>26400</v>
      </c>
      <c r="BZ1485" s="81">
        <v>51.063829787234042</v>
      </c>
      <c r="CD1485" s="63" t="s">
        <v>4820</v>
      </c>
    </row>
    <row r="1486" spans="1:89" s="152" customFormat="1" x14ac:dyDescent="0.15">
      <c r="A1486" s="142">
        <v>3</v>
      </c>
      <c r="B1486" s="143"/>
      <c r="C1486" s="143" t="s">
        <v>309</v>
      </c>
      <c r="D1486" s="143"/>
      <c r="E1486" s="143"/>
      <c r="F1486" s="143" t="s">
        <v>309</v>
      </c>
      <c r="G1486" s="143"/>
      <c r="H1486" s="143" t="s">
        <v>309</v>
      </c>
      <c r="I1486" s="142"/>
      <c r="J1486" s="142">
        <v>1</v>
      </c>
      <c r="K1486" s="143"/>
      <c r="L1486" s="142">
        <v>0</v>
      </c>
      <c r="M1486" s="143">
        <v>44771</v>
      </c>
      <c r="N1486" s="61"/>
      <c r="O1486" s="144" t="s">
        <v>331</v>
      </c>
      <c r="P1486" s="142" t="s">
        <v>26</v>
      </c>
      <c r="Q1486" s="144" t="s">
        <v>200</v>
      </c>
      <c r="R1486" s="144" t="s">
        <v>4787</v>
      </c>
      <c r="S1486" s="145" t="s">
        <v>4788</v>
      </c>
      <c r="T1486" s="145" t="s">
        <v>442</v>
      </c>
      <c r="U1486" s="146">
        <v>95500</v>
      </c>
      <c r="V1486" s="146">
        <v>105050</v>
      </c>
      <c r="W1486" s="146">
        <v>83500</v>
      </c>
      <c r="X1486" s="146">
        <v>91850</v>
      </c>
      <c r="Y1486" s="146">
        <v>12000</v>
      </c>
      <c r="Z1486" s="146">
        <v>13200</v>
      </c>
      <c r="AA1486" s="143"/>
      <c r="AB1486" s="143"/>
      <c r="AC1486" s="143"/>
      <c r="AD1486" s="142">
        <v>0</v>
      </c>
      <c r="AE1486" s="142"/>
      <c r="AF1486" s="142"/>
      <c r="AG1486" s="142">
        <v>0</v>
      </c>
      <c r="AH1486" s="142"/>
      <c r="AI1486" s="142"/>
      <c r="AJ1486" s="142">
        <v>0</v>
      </c>
      <c r="AK1486" s="142"/>
      <c r="AL1486" s="142"/>
      <c r="AM1486" s="142" t="s">
        <v>273</v>
      </c>
      <c r="AN1486" s="142" t="s">
        <v>4789</v>
      </c>
      <c r="AO1486" s="143"/>
      <c r="AP1486" s="142"/>
      <c r="AQ1486" s="142" t="s">
        <v>4326</v>
      </c>
      <c r="AR1486" s="143">
        <v>44783</v>
      </c>
      <c r="AS1486" s="142">
        <v>6002061406</v>
      </c>
      <c r="AT1486" s="143">
        <v>44783</v>
      </c>
      <c r="AU1486" s="142" t="s">
        <v>4336</v>
      </c>
      <c r="AV1486" s="143"/>
      <c r="AW1486" s="147"/>
      <c r="AX1486" s="147"/>
      <c r="AY1486" s="148">
        <v>0</v>
      </c>
      <c r="AZ1486" s="148">
        <v>0</v>
      </c>
      <c r="BA1486" s="142"/>
      <c r="BB1486" s="146"/>
      <c r="BC1486" s="146">
        <v>0</v>
      </c>
      <c r="BD1486" s="142"/>
      <c r="BE1486" s="142"/>
      <c r="BF1486" s="146"/>
      <c r="BG1486" s="146">
        <v>0</v>
      </c>
      <c r="BH1486" s="142"/>
      <c r="BI1486" s="142"/>
      <c r="BJ1486" s="146"/>
      <c r="BK1486" s="146">
        <v>0</v>
      </c>
      <c r="BL1486" s="142"/>
      <c r="BM1486" s="146"/>
      <c r="BN1486" s="146"/>
      <c r="BO1486" s="146"/>
      <c r="BP1486" s="146"/>
      <c r="BQ1486" s="146"/>
      <c r="BR1486" s="146"/>
      <c r="BS1486" s="146">
        <v>0</v>
      </c>
      <c r="BT1486" s="149"/>
      <c r="BU1486" s="149"/>
      <c r="BV1486" s="150">
        <v>91850</v>
      </c>
      <c r="BW1486" s="150">
        <v>0</v>
      </c>
      <c r="BX1486" s="150">
        <v>44771</v>
      </c>
      <c r="BY1486" s="150">
        <v>91850</v>
      </c>
      <c r="BZ1486" s="151">
        <v>100</v>
      </c>
      <c r="CA1486" s="142"/>
      <c r="CB1486" s="142"/>
      <c r="CC1486" s="142"/>
      <c r="CD1486" s="145" t="s">
        <v>5201</v>
      </c>
      <c r="CE1486" s="143"/>
      <c r="CF1486" s="143"/>
      <c r="CG1486" s="143"/>
      <c r="CH1486" s="143"/>
      <c r="CI1486" s="143"/>
      <c r="CJ1486" s="143"/>
      <c r="CK1486" s="146"/>
    </row>
    <row r="1487" spans="1:89" x14ac:dyDescent="0.15">
      <c r="A1487" s="60">
        <v>1</v>
      </c>
      <c r="C1487" s="61" t="s">
        <v>309</v>
      </c>
      <c r="F1487" s="61" t="s">
        <v>309</v>
      </c>
      <c r="H1487" s="61" t="s">
        <v>309</v>
      </c>
      <c r="J1487" s="60">
        <v>2</v>
      </c>
      <c r="L1487" s="60">
        <v>0</v>
      </c>
      <c r="M1487" s="61">
        <v>44771</v>
      </c>
      <c r="O1487" s="62" t="s">
        <v>331</v>
      </c>
      <c r="P1487" s="60" t="s">
        <v>26</v>
      </c>
      <c r="Q1487" s="62" t="s">
        <v>200</v>
      </c>
      <c r="R1487" s="62" t="s">
        <v>4172</v>
      </c>
      <c r="S1487" s="63" t="s">
        <v>563</v>
      </c>
      <c r="T1487" s="63" t="s">
        <v>656</v>
      </c>
      <c r="U1487" s="64">
        <v>49500</v>
      </c>
      <c r="V1487" s="64">
        <v>54450</v>
      </c>
      <c r="W1487" s="64">
        <v>49500</v>
      </c>
      <c r="X1487" s="64">
        <v>54450</v>
      </c>
      <c r="Z1487" s="64">
        <v>0</v>
      </c>
      <c r="AD1487" s="60">
        <v>0</v>
      </c>
      <c r="AG1487" s="60">
        <v>0</v>
      </c>
      <c r="AJ1487" s="60">
        <v>0</v>
      </c>
      <c r="AN1487" s="60" t="s">
        <v>309</v>
      </c>
      <c r="AQ1487" s="60" t="s">
        <v>4295</v>
      </c>
      <c r="AR1487" s="61">
        <v>44778</v>
      </c>
      <c r="AS1487" s="60">
        <v>6002059828</v>
      </c>
      <c r="AT1487" s="61">
        <v>44778</v>
      </c>
      <c r="AU1487" s="60" t="s">
        <v>4305</v>
      </c>
      <c r="AV1487" s="61">
        <v>44864</v>
      </c>
      <c r="AY1487" s="99">
        <f>ROUNDDOWN((0.96*U1487),0)</f>
        <v>47520</v>
      </c>
      <c r="AZ1487" s="99">
        <f>ROUNDDOWN(AY1487+(AY1487*MASTER!$A$2/100),0)</f>
        <v>52272</v>
      </c>
      <c r="BC1487" s="64">
        <v>0</v>
      </c>
      <c r="BG1487" s="64">
        <v>0</v>
      </c>
      <c r="BK1487" s="64">
        <v>0</v>
      </c>
      <c r="BS1487" s="64">
        <v>0</v>
      </c>
      <c r="BV1487" s="65">
        <v>54450</v>
      </c>
      <c r="BW1487" s="65">
        <v>0</v>
      </c>
      <c r="BX1487" s="65">
        <v>44771</v>
      </c>
      <c r="BY1487" s="65">
        <v>54450</v>
      </c>
      <c r="BZ1487" s="81">
        <v>100</v>
      </c>
    </row>
    <row r="1488" spans="1:89" s="152" customFormat="1" x14ac:dyDescent="0.15">
      <c r="A1488" s="142">
        <v>3</v>
      </c>
      <c r="B1488" s="143"/>
      <c r="C1488" s="143" t="s">
        <v>309</v>
      </c>
      <c r="D1488" s="143"/>
      <c r="E1488" s="143"/>
      <c r="F1488" s="143" t="s">
        <v>309</v>
      </c>
      <c r="G1488" s="143"/>
      <c r="H1488" s="143" t="s">
        <v>309</v>
      </c>
      <c r="I1488" s="142"/>
      <c r="J1488" s="142">
        <v>2</v>
      </c>
      <c r="K1488" s="143"/>
      <c r="L1488" s="142">
        <v>0</v>
      </c>
      <c r="M1488" s="143">
        <v>44771</v>
      </c>
      <c r="N1488" s="143"/>
      <c r="O1488" s="144" t="s">
        <v>331</v>
      </c>
      <c r="P1488" s="142" t="s">
        <v>26</v>
      </c>
      <c r="Q1488" s="144" t="s">
        <v>200</v>
      </c>
      <c r="R1488" s="144" t="s">
        <v>4599</v>
      </c>
      <c r="S1488" s="145" t="s">
        <v>326</v>
      </c>
      <c r="T1488" s="145" t="s">
        <v>4600</v>
      </c>
      <c r="U1488" s="146">
        <v>41000</v>
      </c>
      <c r="V1488" s="146">
        <v>45100</v>
      </c>
      <c r="W1488" s="146">
        <v>41000</v>
      </c>
      <c r="X1488" s="146">
        <v>45100</v>
      </c>
      <c r="Y1488" s="146">
        <v>0</v>
      </c>
      <c r="Z1488" s="146">
        <v>0</v>
      </c>
      <c r="AA1488" s="143">
        <v>44791</v>
      </c>
      <c r="AB1488" s="143"/>
      <c r="AC1488" s="143"/>
      <c r="AD1488" s="142">
        <v>0</v>
      </c>
      <c r="AE1488" s="142"/>
      <c r="AF1488" s="142"/>
      <c r="AG1488" s="142">
        <v>0</v>
      </c>
      <c r="AH1488" s="142"/>
      <c r="AI1488" s="142"/>
      <c r="AJ1488" s="142">
        <v>0</v>
      </c>
      <c r="AK1488" s="142"/>
      <c r="AL1488" s="142"/>
      <c r="AM1488" s="142"/>
      <c r="AN1488" s="142" t="s">
        <v>309</v>
      </c>
      <c r="AO1488" s="143"/>
      <c r="AP1488" s="142"/>
      <c r="AQ1488" s="142"/>
      <c r="AR1488" s="143"/>
      <c r="AS1488" s="142"/>
      <c r="AT1488" s="143"/>
      <c r="AU1488" s="142"/>
      <c r="AV1488" s="143"/>
      <c r="AW1488" s="147"/>
      <c r="AX1488" s="147"/>
      <c r="AY1488" s="154">
        <v>41000</v>
      </c>
      <c r="AZ1488" s="154">
        <v>45100</v>
      </c>
      <c r="BA1488" s="142"/>
      <c r="BB1488" s="146"/>
      <c r="BC1488" s="146">
        <v>0</v>
      </c>
      <c r="BD1488" s="142"/>
      <c r="BE1488" s="142"/>
      <c r="BF1488" s="146"/>
      <c r="BG1488" s="146">
        <v>0</v>
      </c>
      <c r="BH1488" s="142"/>
      <c r="BI1488" s="142"/>
      <c r="BJ1488" s="146"/>
      <c r="BK1488" s="146">
        <v>0</v>
      </c>
      <c r="BL1488" s="142"/>
      <c r="BM1488" s="146"/>
      <c r="BN1488" s="146"/>
      <c r="BO1488" s="146"/>
      <c r="BP1488" s="146"/>
      <c r="BQ1488" s="146"/>
      <c r="BR1488" s="146"/>
      <c r="BS1488" s="146">
        <v>0</v>
      </c>
      <c r="BT1488" s="149"/>
      <c r="BU1488" s="149"/>
      <c r="BV1488" s="150">
        <v>45100</v>
      </c>
      <c r="BW1488" s="150">
        <v>0</v>
      </c>
      <c r="BX1488" s="150">
        <v>44771</v>
      </c>
      <c r="BY1488" s="150">
        <v>45100</v>
      </c>
      <c r="BZ1488" s="151">
        <v>100</v>
      </c>
      <c r="CA1488" s="142"/>
      <c r="CB1488" s="142"/>
      <c r="CC1488" s="142"/>
      <c r="CD1488" s="145" t="s">
        <v>4870</v>
      </c>
      <c r="CE1488" s="143"/>
      <c r="CF1488" s="143"/>
      <c r="CG1488" s="143"/>
      <c r="CH1488" s="143"/>
      <c r="CI1488" s="143"/>
      <c r="CJ1488" s="143"/>
      <c r="CK1488" s="146"/>
    </row>
    <row r="1489" spans="1:78" x14ac:dyDescent="0.15">
      <c r="A1489" s="60">
        <v>1</v>
      </c>
      <c r="C1489" s="61" t="s">
        <v>309</v>
      </c>
      <c r="F1489" s="61" t="s">
        <v>309</v>
      </c>
      <c r="H1489" s="61" t="s">
        <v>309</v>
      </c>
      <c r="J1489" s="60">
        <v>2</v>
      </c>
      <c r="L1489" s="60">
        <v>0</v>
      </c>
      <c r="M1489" s="61">
        <v>44771</v>
      </c>
      <c r="O1489" s="62" t="s">
        <v>335</v>
      </c>
      <c r="P1489" s="60" t="s">
        <v>369</v>
      </c>
      <c r="Q1489" s="62" t="s">
        <v>3794</v>
      </c>
      <c r="R1489" s="62" t="s">
        <v>4173</v>
      </c>
      <c r="S1489" s="63" t="s">
        <v>4174</v>
      </c>
      <c r="T1489" s="63" t="s">
        <v>373</v>
      </c>
      <c r="U1489" s="64">
        <v>51000</v>
      </c>
      <c r="V1489" s="64">
        <v>56100</v>
      </c>
      <c r="W1489" s="64">
        <v>51000</v>
      </c>
      <c r="X1489" s="64">
        <v>56100</v>
      </c>
      <c r="Z1489" s="64">
        <v>0</v>
      </c>
      <c r="AD1489" s="60">
        <v>0</v>
      </c>
      <c r="AG1489" s="60">
        <v>0</v>
      </c>
      <c r="AJ1489" s="60">
        <v>0</v>
      </c>
      <c r="AN1489" s="60" t="s">
        <v>309</v>
      </c>
      <c r="AY1489" s="99">
        <f>ROUNDDOWN((0.96*U1489),0)</f>
        <v>48960</v>
      </c>
      <c r="AZ1489" s="99">
        <f>ROUNDDOWN(AY1489+(AY1489*MASTER!$A$2/100),0)</f>
        <v>53856</v>
      </c>
      <c r="BC1489" s="64">
        <v>0</v>
      </c>
      <c r="BG1489" s="64">
        <v>0</v>
      </c>
      <c r="BK1489" s="64">
        <v>0</v>
      </c>
      <c r="BS1489" s="64">
        <v>0</v>
      </c>
      <c r="BV1489" s="65">
        <v>56100</v>
      </c>
      <c r="BW1489" s="65">
        <v>0</v>
      </c>
      <c r="BX1489" s="65">
        <v>44771</v>
      </c>
      <c r="BY1489" s="65">
        <v>56100</v>
      </c>
      <c r="BZ1489" s="81">
        <v>100</v>
      </c>
    </row>
    <row r="1490" spans="1:78" x14ac:dyDescent="0.15">
      <c r="A1490" s="60">
        <v>1</v>
      </c>
      <c r="B1490" s="61">
        <v>44783</v>
      </c>
      <c r="C1490" s="61">
        <v>44798</v>
      </c>
      <c r="F1490" s="61" t="s">
        <v>309</v>
      </c>
      <c r="H1490" s="61" t="s">
        <v>309</v>
      </c>
      <c r="J1490" s="60">
        <v>2</v>
      </c>
      <c r="L1490" s="60">
        <v>0</v>
      </c>
      <c r="M1490" s="61">
        <v>44774</v>
      </c>
      <c r="O1490" s="62" t="s">
        <v>331</v>
      </c>
      <c r="P1490" s="60" t="s">
        <v>262</v>
      </c>
      <c r="Q1490" s="62" t="s">
        <v>118</v>
      </c>
      <c r="R1490" s="62" t="s">
        <v>4181</v>
      </c>
      <c r="S1490" s="63" t="s">
        <v>326</v>
      </c>
      <c r="T1490" s="63" t="s">
        <v>4177</v>
      </c>
      <c r="U1490" s="64">
        <v>438000</v>
      </c>
      <c r="V1490" s="64">
        <v>481800</v>
      </c>
      <c r="W1490" s="64">
        <v>438000</v>
      </c>
      <c r="X1490" s="64">
        <v>481800</v>
      </c>
      <c r="Y1490" s="64">
        <v>0</v>
      </c>
      <c r="Z1490" s="64">
        <v>0</v>
      </c>
      <c r="AA1490" s="61">
        <v>44774</v>
      </c>
      <c r="AB1490" s="61">
        <v>44804</v>
      </c>
      <c r="AD1490" s="60">
        <v>0</v>
      </c>
      <c r="AG1490" s="60">
        <v>0</v>
      </c>
      <c r="AJ1490" s="60">
        <v>0</v>
      </c>
      <c r="AQ1490" s="60" t="s">
        <v>4288</v>
      </c>
      <c r="AR1490" s="61">
        <v>44777</v>
      </c>
      <c r="AS1490" s="60">
        <v>6002059002</v>
      </c>
      <c r="AT1490" s="61">
        <v>44778</v>
      </c>
      <c r="AU1490" s="60" t="s">
        <v>4304</v>
      </c>
      <c r="AV1490" s="61">
        <v>44798</v>
      </c>
      <c r="AW1490" s="91">
        <v>44804</v>
      </c>
      <c r="AX1490" s="91">
        <v>44824</v>
      </c>
      <c r="AY1490" s="107">
        <v>438000</v>
      </c>
      <c r="AZ1490" s="107">
        <f>ROUNDDOWN(AY1490+(AY1490*MASTER!$A$2/100),0)</f>
        <v>481800</v>
      </c>
      <c r="BC1490" s="64">
        <v>0</v>
      </c>
      <c r="BG1490" s="64">
        <v>0</v>
      </c>
      <c r="BK1490" s="64">
        <v>0</v>
      </c>
      <c r="BS1490" s="64">
        <v>0</v>
      </c>
      <c r="BV1490" s="65">
        <v>481800</v>
      </c>
      <c r="BW1490" s="65">
        <v>0</v>
      </c>
      <c r="BX1490" s="65">
        <v>44774</v>
      </c>
      <c r="BY1490" s="65">
        <v>481800</v>
      </c>
      <c r="BZ1490" s="81">
        <v>100</v>
      </c>
    </row>
    <row r="1491" spans="1:78" x14ac:dyDescent="0.15">
      <c r="A1491" s="60">
        <v>1</v>
      </c>
      <c r="B1491" s="61">
        <v>44783</v>
      </c>
      <c r="C1491" s="61">
        <v>44798</v>
      </c>
      <c r="F1491" s="61" t="s">
        <v>309</v>
      </c>
      <c r="H1491" s="61" t="s">
        <v>309</v>
      </c>
      <c r="J1491" s="60">
        <v>2</v>
      </c>
      <c r="L1491" s="60">
        <v>0</v>
      </c>
      <c r="M1491" s="61">
        <v>44774</v>
      </c>
      <c r="O1491" s="62" t="s">
        <v>331</v>
      </c>
      <c r="P1491" s="60" t="s">
        <v>262</v>
      </c>
      <c r="Q1491" s="62" t="s">
        <v>118</v>
      </c>
      <c r="R1491" s="62" t="s">
        <v>4337</v>
      </c>
      <c r="S1491" s="63" t="s">
        <v>326</v>
      </c>
      <c r="T1491" s="63" t="s">
        <v>4178</v>
      </c>
      <c r="U1491" s="64">
        <v>438000</v>
      </c>
      <c r="V1491" s="64">
        <v>481800</v>
      </c>
      <c r="W1491" s="64">
        <v>438000</v>
      </c>
      <c r="X1491" s="64">
        <v>481800</v>
      </c>
      <c r="Y1491" s="64">
        <v>0</v>
      </c>
      <c r="Z1491" s="64">
        <v>0</v>
      </c>
      <c r="AA1491" s="61">
        <v>44774</v>
      </c>
      <c r="AB1491" s="61">
        <v>44804</v>
      </c>
      <c r="AD1491" s="60">
        <v>0</v>
      </c>
      <c r="AG1491" s="60">
        <v>0</v>
      </c>
      <c r="AJ1491" s="60">
        <v>0</v>
      </c>
      <c r="AQ1491" s="60" t="s">
        <v>4288</v>
      </c>
      <c r="AR1491" s="61">
        <v>44777</v>
      </c>
      <c r="AS1491" s="60">
        <v>6002059002</v>
      </c>
      <c r="AT1491" s="61">
        <v>44778</v>
      </c>
      <c r="AU1491" s="60" t="s">
        <v>4304</v>
      </c>
      <c r="AV1491" s="61">
        <v>44798</v>
      </c>
      <c r="AW1491" s="91">
        <v>44804</v>
      </c>
      <c r="AX1491" s="91">
        <v>44824</v>
      </c>
      <c r="AY1491" s="107">
        <v>438000</v>
      </c>
      <c r="AZ1491" s="107">
        <f>ROUNDDOWN(AY1491+(AY1491*MASTER!$A$2/100),0)</f>
        <v>481800</v>
      </c>
      <c r="BC1491" s="64">
        <v>0</v>
      </c>
      <c r="BG1491" s="64">
        <v>0</v>
      </c>
      <c r="BK1491" s="64">
        <v>0</v>
      </c>
      <c r="BS1491" s="64">
        <v>0</v>
      </c>
      <c r="BV1491" s="65">
        <v>481800</v>
      </c>
      <c r="BW1491" s="65">
        <v>0</v>
      </c>
      <c r="BX1491" s="65">
        <v>44774</v>
      </c>
      <c r="BY1491" s="65">
        <v>481800</v>
      </c>
      <c r="BZ1491" s="81">
        <v>100</v>
      </c>
    </row>
    <row r="1492" spans="1:78" x14ac:dyDescent="0.15">
      <c r="A1492" s="60">
        <v>1</v>
      </c>
      <c r="B1492" s="61">
        <v>44783</v>
      </c>
      <c r="C1492" s="61">
        <v>44798</v>
      </c>
      <c r="F1492" s="61" t="s">
        <v>309</v>
      </c>
      <c r="H1492" s="61" t="s">
        <v>309</v>
      </c>
      <c r="J1492" s="60">
        <v>2</v>
      </c>
      <c r="L1492" s="60">
        <v>0</v>
      </c>
      <c r="M1492" s="61">
        <v>44774</v>
      </c>
      <c r="O1492" s="62" t="s">
        <v>331</v>
      </c>
      <c r="P1492" s="60" t="s">
        <v>262</v>
      </c>
      <c r="Q1492" s="62" t="s">
        <v>118</v>
      </c>
      <c r="R1492" s="62" t="s">
        <v>4338</v>
      </c>
      <c r="S1492" s="63" t="s">
        <v>326</v>
      </c>
      <c r="T1492" s="63" t="s">
        <v>4179</v>
      </c>
      <c r="U1492" s="64">
        <v>262000</v>
      </c>
      <c r="V1492" s="64">
        <v>288200</v>
      </c>
      <c r="W1492" s="64">
        <v>262000</v>
      </c>
      <c r="X1492" s="64">
        <v>288200</v>
      </c>
      <c r="Y1492" s="64">
        <v>0</v>
      </c>
      <c r="Z1492" s="64">
        <v>0</v>
      </c>
      <c r="AA1492" s="61">
        <v>44774</v>
      </c>
      <c r="AB1492" s="61">
        <v>44804</v>
      </c>
      <c r="AD1492" s="60">
        <v>0</v>
      </c>
      <c r="AG1492" s="60">
        <v>0</v>
      </c>
      <c r="AJ1492" s="60">
        <v>0</v>
      </c>
      <c r="AQ1492" s="60" t="s">
        <v>4288</v>
      </c>
      <c r="AR1492" s="61">
        <v>44777</v>
      </c>
      <c r="AS1492" s="60">
        <v>6002059002</v>
      </c>
      <c r="AT1492" s="61">
        <v>44778</v>
      </c>
      <c r="AU1492" s="60" t="s">
        <v>4304</v>
      </c>
      <c r="AV1492" s="61">
        <v>44798</v>
      </c>
      <c r="AW1492" s="91">
        <v>44804</v>
      </c>
      <c r="AX1492" s="91">
        <v>44824</v>
      </c>
      <c r="AY1492" s="107">
        <v>262000</v>
      </c>
      <c r="AZ1492" s="107">
        <f>ROUNDDOWN(AY1492+(AY1492*MASTER!$A$2/100),0)</f>
        <v>288200</v>
      </c>
      <c r="BC1492" s="64">
        <v>0</v>
      </c>
      <c r="BG1492" s="64">
        <v>0</v>
      </c>
      <c r="BK1492" s="64">
        <v>0</v>
      </c>
      <c r="BS1492" s="64">
        <v>0</v>
      </c>
      <c r="BV1492" s="65">
        <v>288200</v>
      </c>
      <c r="BW1492" s="65">
        <v>0</v>
      </c>
      <c r="BX1492" s="65">
        <v>44774</v>
      </c>
      <c r="BY1492" s="65">
        <v>288200</v>
      </c>
      <c r="BZ1492" s="81">
        <v>100</v>
      </c>
    </row>
    <row r="1493" spans="1:78" x14ac:dyDescent="0.15">
      <c r="A1493" s="60">
        <v>1</v>
      </c>
      <c r="B1493" s="61">
        <v>44783</v>
      </c>
      <c r="C1493" s="61">
        <v>44798</v>
      </c>
      <c r="F1493" s="61" t="s">
        <v>309</v>
      </c>
      <c r="H1493" s="61" t="s">
        <v>309</v>
      </c>
      <c r="J1493" s="60">
        <v>2</v>
      </c>
      <c r="L1493" s="60">
        <v>0</v>
      </c>
      <c r="M1493" s="61">
        <v>44774</v>
      </c>
      <c r="O1493" s="62" t="s">
        <v>331</v>
      </c>
      <c r="P1493" s="60" t="s">
        <v>260</v>
      </c>
      <c r="Q1493" s="62" t="s">
        <v>118</v>
      </c>
      <c r="R1493" s="62" t="s">
        <v>4339</v>
      </c>
      <c r="S1493" s="63" t="s">
        <v>417</v>
      </c>
      <c r="T1493" s="63" t="s">
        <v>4180</v>
      </c>
      <c r="U1493" s="64">
        <v>66000</v>
      </c>
      <c r="V1493" s="64">
        <v>72600</v>
      </c>
      <c r="W1493" s="64">
        <v>66000</v>
      </c>
      <c r="X1493" s="64">
        <v>72600</v>
      </c>
      <c r="Y1493" s="64">
        <v>0</v>
      </c>
      <c r="Z1493" s="64">
        <v>0</v>
      </c>
      <c r="AA1493" s="61">
        <v>44774</v>
      </c>
      <c r="AB1493" s="61">
        <v>44804</v>
      </c>
      <c r="AD1493" s="60">
        <v>0</v>
      </c>
      <c r="AG1493" s="60">
        <v>0</v>
      </c>
      <c r="AJ1493" s="60">
        <v>0</v>
      </c>
      <c r="AQ1493" s="60" t="s">
        <v>4287</v>
      </c>
      <c r="AR1493" s="61">
        <v>44777</v>
      </c>
      <c r="AS1493" s="60">
        <v>6002059002</v>
      </c>
      <c r="AT1493" s="61">
        <v>44778</v>
      </c>
      <c r="AU1493" s="60" t="s">
        <v>4304</v>
      </c>
      <c r="AV1493" s="61">
        <v>44798</v>
      </c>
      <c r="AW1493" s="91">
        <v>44804</v>
      </c>
      <c r="AX1493" s="91">
        <v>44824</v>
      </c>
      <c r="AY1493" s="107">
        <v>66000</v>
      </c>
      <c r="AZ1493" s="107">
        <f>ROUNDDOWN(AY1493+(AY1493*MASTER!$A$2/100),0)</f>
        <v>72600</v>
      </c>
      <c r="BC1493" s="64">
        <v>0</v>
      </c>
      <c r="BG1493" s="64">
        <v>0</v>
      </c>
      <c r="BK1493" s="64">
        <v>0</v>
      </c>
      <c r="BS1493" s="64">
        <v>0</v>
      </c>
      <c r="BV1493" s="65">
        <v>72600</v>
      </c>
      <c r="BW1493" s="65">
        <v>0</v>
      </c>
      <c r="BX1493" s="65">
        <v>44774</v>
      </c>
      <c r="BY1493" s="65">
        <v>72600</v>
      </c>
      <c r="BZ1493" s="81">
        <v>100</v>
      </c>
    </row>
    <row r="1494" spans="1:78" x14ac:dyDescent="0.15">
      <c r="A1494" s="60">
        <v>1</v>
      </c>
      <c r="B1494" s="61">
        <v>44803</v>
      </c>
      <c r="C1494" s="61">
        <v>44834</v>
      </c>
      <c r="F1494" s="61" t="s">
        <v>309</v>
      </c>
      <c r="G1494" s="61">
        <v>44810</v>
      </c>
      <c r="H1494" s="61" t="s">
        <v>309</v>
      </c>
      <c r="J1494" s="60">
        <v>2</v>
      </c>
      <c r="L1494" s="60">
        <v>0</v>
      </c>
      <c r="M1494" s="61">
        <v>44774</v>
      </c>
      <c r="O1494" s="62" t="s">
        <v>331</v>
      </c>
      <c r="P1494" s="60" t="s">
        <v>26</v>
      </c>
      <c r="Q1494" s="62" t="s">
        <v>118</v>
      </c>
      <c r="R1494" s="62" t="s">
        <v>4522</v>
      </c>
      <c r="S1494" s="63" t="s">
        <v>1063</v>
      </c>
      <c r="T1494" s="63" t="s">
        <v>1524</v>
      </c>
      <c r="U1494" s="64">
        <v>78600</v>
      </c>
      <c r="V1494" s="64">
        <v>86460</v>
      </c>
      <c r="W1494" s="64">
        <v>78600</v>
      </c>
      <c r="X1494" s="64">
        <v>86460</v>
      </c>
      <c r="Y1494" s="64">
        <v>0</v>
      </c>
      <c r="Z1494" s="64">
        <v>0</v>
      </c>
      <c r="AA1494" s="61">
        <v>44809</v>
      </c>
      <c r="AB1494" s="61">
        <v>44809</v>
      </c>
      <c r="AD1494" s="60">
        <v>0</v>
      </c>
      <c r="AG1494" s="60">
        <v>0</v>
      </c>
      <c r="AJ1494" s="60">
        <v>0</v>
      </c>
      <c r="AQ1494" s="60" t="s">
        <v>4278</v>
      </c>
      <c r="AR1494" s="61">
        <v>44776</v>
      </c>
      <c r="AS1494" s="60">
        <v>6002058493</v>
      </c>
      <c r="AT1494" s="61">
        <v>44776</v>
      </c>
      <c r="AU1494" s="60" t="s">
        <v>4283</v>
      </c>
      <c r="AV1494" s="61">
        <v>44834</v>
      </c>
      <c r="AW1494" s="91">
        <v>44834</v>
      </c>
      <c r="AX1494" s="91">
        <v>44854</v>
      </c>
      <c r="AY1494" s="107">
        <v>78600</v>
      </c>
      <c r="AZ1494" s="107">
        <f>ROUNDDOWN(AY1494+(AY1494*MASTER!$A$2/100),0)</f>
        <v>86460</v>
      </c>
      <c r="BA1494" s="60" t="s">
        <v>318</v>
      </c>
      <c r="BB1494" s="64">
        <v>30000</v>
      </c>
      <c r="BC1494" s="64">
        <v>33000</v>
      </c>
      <c r="BD1494" s="60" t="s">
        <v>4182</v>
      </c>
      <c r="BG1494" s="64">
        <v>0</v>
      </c>
      <c r="BK1494" s="64">
        <v>0</v>
      </c>
      <c r="BS1494" s="64">
        <v>0</v>
      </c>
      <c r="BV1494" s="65">
        <v>86460</v>
      </c>
      <c r="BW1494" s="65">
        <v>33000</v>
      </c>
      <c r="BX1494" s="65">
        <v>44774</v>
      </c>
      <c r="BY1494" s="65">
        <v>53460</v>
      </c>
      <c r="BZ1494" s="81">
        <v>61.832061068702295</v>
      </c>
    </row>
    <row r="1495" spans="1:78" x14ac:dyDescent="0.15">
      <c r="A1495" s="60">
        <v>1</v>
      </c>
      <c r="B1495" s="61">
        <v>44803</v>
      </c>
      <c r="C1495" s="61">
        <v>44834</v>
      </c>
      <c r="F1495" s="61" t="s">
        <v>309</v>
      </c>
      <c r="G1495" s="61">
        <v>44810</v>
      </c>
      <c r="H1495" s="61" t="s">
        <v>309</v>
      </c>
      <c r="J1495" s="60">
        <v>2</v>
      </c>
      <c r="L1495" s="60">
        <v>0</v>
      </c>
      <c r="M1495" s="61">
        <v>44774</v>
      </c>
      <c r="O1495" s="62" t="s">
        <v>331</v>
      </c>
      <c r="P1495" s="60" t="s">
        <v>26</v>
      </c>
      <c r="Q1495" s="62" t="s">
        <v>118</v>
      </c>
      <c r="R1495" s="62" t="s">
        <v>4521</v>
      </c>
      <c r="S1495" s="63" t="s">
        <v>1485</v>
      </c>
      <c r="T1495" s="63" t="s">
        <v>1524</v>
      </c>
      <c r="U1495" s="64">
        <v>78600</v>
      </c>
      <c r="V1495" s="64">
        <v>86460</v>
      </c>
      <c r="W1495" s="64">
        <v>78600</v>
      </c>
      <c r="X1495" s="64">
        <v>86460</v>
      </c>
      <c r="Y1495" s="64">
        <v>0</v>
      </c>
      <c r="Z1495" s="64">
        <v>0</v>
      </c>
      <c r="AA1495" s="61">
        <v>44809</v>
      </c>
      <c r="AB1495" s="61">
        <v>44809</v>
      </c>
      <c r="AD1495" s="60">
        <v>0</v>
      </c>
      <c r="AG1495" s="60">
        <v>0</v>
      </c>
      <c r="AJ1495" s="60">
        <v>0</v>
      </c>
      <c r="AQ1495" s="60" t="s">
        <v>4278</v>
      </c>
      <c r="AR1495" s="61">
        <v>44776</v>
      </c>
      <c r="AS1495" s="60">
        <v>6002058493</v>
      </c>
      <c r="AT1495" s="61">
        <v>44776</v>
      </c>
      <c r="AU1495" s="60" t="s">
        <v>4283</v>
      </c>
      <c r="AV1495" s="61">
        <v>44834</v>
      </c>
      <c r="AW1495" s="91">
        <v>44834</v>
      </c>
      <c r="AX1495" s="91">
        <v>44854</v>
      </c>
      <c r="AY1495" s="107">
        <v>78600</v>
      </c>
      <c r="AZ1495" s="107">
        <f>ROUNDDOWN(AY1495+(AY1495*MASTER!$A$2/100),0)</f>
        <v>86460</v>
      </c>
      <c r="BA1495" s="60" t="s">
        <v>318</v>
      </c>
      <c r="BB1495" s="64">
        <v>31000</v>
      </c>
      <c r="BC1495" s="64">
        <v>34100</v>
      </c>
      <c r="BG1495" s="64">
        <v>0</v>
      </c>
      <c r="BK1495" s="64">
        <v>0</v>
      </c>
      <c r="BS1495" s="64">
        <v>0</v>
      </c>
      <c r="BV1495" s="65">
        <v>86460</v>
      </c>
      <c r="BW1495" s="65">
        <v>34100</v>
      </c>
      <c r="BX1495" s="65">
        <v>44774</v>
      </c>
      <c r="BY1495" s="65">
        <v>52360</v>
      </c>
      <c r="BZ1495" s="81">
        <v>60.559796437659031</v>
      </c>
    </row>
    <row r="1496" spans="1:78" x14ac:dyDescent="0.15">
      <c r="A1496" s="60">
        <v>1</v>
      </c>
      <c r="B1496" s="61">
        <v>44803</v>
      </c>
      <c r="C1496" s="61">
        <v>44834</v>
      </c>
      <c r="F1496" s="61" t="s">
        <v>309</v>
      </c>
      <c r="G1496" s="61">
        <v>44809</v>
      </c>
      <c r="H1496" s="61" t="s">
        <v>309</v>
      </c>
      <c r="J1496" s="60">
        <v>2</v>
      </c>
      <c r="L1496" s="60">
        <v>0</v>
      </c>
      <c r="M1496" s="61">
        <v>44774</v>
      </c>
      <c r="O1496" s="62" t="s">
        <v>331</v>
      </c>
      <c r="P1496" s="60" t="s">
        <v>26</v>
      </c>
      <c r="Q1496" s="62" t="s">
        <v>118</v>
      </c>
      <c r="R1496" s="62" t="s">
        <v>4520</v>
      </c>
      <c r="S1496" s="63" t="s">
        <v>4183</v>
      </c>
      <c r="T1496" s="63" t="s">
        <v>1524</v>
      </c>
      <c r="U1496" s="64">
        <v>78600</v>
      </c>
      <c r="V1496" s="64">
        <v>86460</v>
      </c>
      <c r="W1496" s="64">
        <v>78600</v>
      </c>
      <c r="X1496" s="64">
        <v>86460</v>
      </c>
      <c r="Y1496" s="64">
        <v>0</v>
      </c>
      <c r="Z1496" s="64">
        <v>0</v>
      </c>
      <c r="AA1496" s="61">
        <v>44805</v>
      </c>
      <c r="AB1496" s="61">
        <v>44805</v>
      </c>
      <c r="AD1496" s="60">
        <v>0</v>
      </c>
      <c r="AG1496" s="60">
        <v>0</v>
      </c>
      <c r="AJ1496" s="60">
        <v>0</v>
      </c>
      <c r="AQ1496" s="60" t="s">
        <v>4278</v>
      </c>
      <c r="AR1496" s="61">
        <v>44776</v>
      </c>
      <c r="AS1496" s="60">
        <v>6002058493</v>
      </c>
      <c r="AT1496" s="61">
        <v>44776</v>
      </c>
      <c r="AU1496" s="60" t="s">
        <v>4283</v>
      </c>
      <c r="AV1496" s="61">
        <v>44834</v>
      </c>
      <c r="AW1496" s="91">
        <v>44834</v>
      </c>
      <c r="AX1496" s="91">
        <v>44854</v>
      </c>
      <c r="AY1496" s="107">
        <v>78600</v>
      </c>
      <c r="AZ1496" s="107">
        <f>ROUNDDOWN(AY1496+(AY1496*MASTER!$A$2/100),0)</f>
        <v>86460</v>
      </c>
      <c r="BA1496" s="60" t="s">
        <v>318</v>
      </c>
      <c r="BB1496" s="64">
        <v>33000</v>
      </c>
      <c r="BC1496" s="64">
        <v>36300</v>
      </c>
      <c r="BD1496" s="60" t="s">
        <v>4182</v>
      </c>
      <c r="BG1496" s="64">
        <v>0</v>
      </c>
      <c r="BK1496" s="64">
        <v>0</v>
      </c>
      <c r="BS1496" s="64">
        <v>0</v>
      </c>
      <c r="BV1496" s="65">
        <v>86460</v>
      </c>
      <c r="BW1496" s="65">
        <v>36300</v>
      </c>
      <c r="BX1496" s="65">
        <v>44774</v>
      </c>
      <c r="BY1496" s="65">
        <v>50160</v>
      </c>
      <c r="BZ1496" s="81">
        <v>58.015267175572518</v>
      </c>
    </row>
    <row r="1497" spans="1:78" x14ac:dyDescent="0.15">
      <c r="A1497" s="60">
        <v>1</v>
      </c>
      <c r="B1497" s="61">
        <v>44803</v>
      </c>
      <c r="C1497" s="61">
        <v>44834</v>
      </c>
      <c r="F1497" s="61" t="s">
        <v>309</v>
      </c>
      <c r="G1497" s="61">
        <v>44817</v>
      </c>
      <c r="H1497" s="61" t="s">
        <v>309</v>
      </c>
      <c r="J1497" s="60">
        <v>2</v>
      </c>
      <c r="L1497" s="60">
        <v>0</v>
      </c>
      <c r="M1497" s="61">
        <v>44774</v>
      </c>
      <c r="O1497" s="62" t="s">
        <v>331</v>
      </c>
      <c r="P1497" s="60" t="s">
        <v>26</v>
      </c>
      <c r="Q1497" s="62" t="s">
        <v>118</v>
      </c>
      <c r="R1497" s="62" t="s">
        <v>4519</v>
      </c>
      <c r="S1497" s="63" t="s">
        <v>3583</v>
      </c>
      <c r="T1497" s="63" t="s">
        <v>1524</v>
      </c>
      <c r="U1497" s="64">
        <v>78600</v>
      </c>
      <c r="V1497" s="64">
        <v>86460</v>
      </c>
      <c r="W1497" s="64">
        <v>78600</v>
      </c>
      <c r="X1497" s="64">
        <v>86460</v>
      </c>
      <c r="Y1497" s="64">
        <v>0</v>
      </c>
      <c r="Z1497" s="64">
        <v>0</v>
      </c>
      <c r="AA1497" s="61">
        <v>44815</v>
      </c>
      <c r="AB1497" s="61">
        <v>44815</v>
      </c>
      <c r="AD1497" s="60">
        <v>0</v>
      </c>
      <c r="AG1497" s="60">
        <v>0</v>
      </c>
      <c r="AJ1497" s="60">
        <v>0</v>
      </c>
      <c r="AQ1497" s="60" t="s">
        <v>4278</v>
      </c>
      <c r="AR1497" s="61">
        <v>44776</v>
      </c>
      <c r="AS1497" s="60">
        <v>6002058493</v>
      </c>
      <c r="AT1497" s="61">
        <v>44776</v>
      </c>
      <c r="AU1497" s="60" t="s">
        <v>4283</v>
      </c>
      <c r="AV1497" s="61">
        <v>44834</v>
      </c>
      <c r="AW1497" s="91">
        <v>44834</v>
      </c>
      <c r="AX1497" s="91">
        <v>44854</v>
      </c>
      <c r="AY1497" s="107">
        <v>78600</v>
      </c>
      <c r="AZ1497" s="107">
        <f>ROUNDDOWN(AY1497+(AY1497*MASTER!$A$2/100),0)</f>
        <v>86460</v>
      </c>
      <c r="BA1497" s="60" t="s">
        <v>318</v>
      </c>
      <c r="BB1497" s="64">
        <v>32000</v>
      </c>
      <c r="BC1497" s="64">
        <v>35200</v>
      </c>
      <c r="BD1497" s="60" t="s">
        <v>4182</v>
      </c>
      <c r="BG1497" s="64">
        <v>0</v>
      </c>
      <c r="BK1497" s="64">
        <v>0</v>
      </c>
      <c r="BS1497" s="64">
        <v>0</v>
      </c>
      <c r="BV1497" s="65">
        <v>86460</v>
      </c>
      <c r="BW1497" s="65">
        <v>35200</v>
      </c>
      <c r="BX1497" s="65">
        <v>44774</v>
      </c>
      <c r="BY1497" s="65">
        <v>51260</v>
      </c>
      <c r="BZ1497" s="81">
        <v>59.287531806615782</v>
      </c>
    </row>
    <row r="1498" spans="1:78" x14ac:dyDescent="0.15">
      <c r="A1498" s="60">
        <v>1</v>
      </c>
      <c r="B1498" s="61">
        <v>44803</v>
      </c>
      <c r="C1498" s="61">
        <v>44834</v>
      </c>
      <c r="F1498" s="61" t="s">
        <v>309</v>
      </c>
      <c r="G1498" s="61">
        <v>44817</v>
      </c>
      <c r="H1498" s="61" t="s">
        <v>309</v>
      </c>
      <c r="J1498" s="60">
        <v>2</v>
      </c>
      <c r="L1498" s="60">
        <v>0</v>
      </c>
      <c r="M1498" s="61">
        <v>44774</v>
      </c>
      <c r="O1498" s="62" t="s">
        <v>331</v>
      </c>
      <c r="P1498" s="60" t="s">
        <v>26</v>
      </c>
      <c r="Q1498" s="62" t="s">
        <v>118</v>
      </c>
      <c r="R1498" s="62" t="s">
        <v>4518</v>
      </c>
      <c r="S1498" s="63" t="s">
        <v>3341</v>
      </c>
      <c r="T1498" s="63" t="s">
        <v>1524</v>
      </c>
      <c r="U1498" s="64">
        <v>78600</v>
      </c>
      <c r="V1498" s="64">
        <v>86460</v>
      </c>
      <c r="W1498" s="64">
        <v>78600</v>
      </c>
      <c r="X1498" s="64">
        <v>86460</v>
      </c>
      <c r="Y1498" s="64">
        <v>0</v>
      </c>
      <c r="Z1498" s="64">
        <v>0</v>
      </c>
      <c r="AA1498" s="61">
        <v>44816</v>
      </c>
      <c r="AB1498" s="61">
        <v>44816</v>
      </c>
      <c r="AD1498" s="60">
        <v>0</v>
      </c>
      <c r="AG1498" s="60">
        <v>0</v>
      </c>
      <c r="AJ1498" s="60">
        <v>0</v>
      </c>
      <c r="AQ1498" s="60" t="s">
        <v>4278</v>
      </c>
      <c r="AR1498" s="61">
        <v>44776</v>
      </c>
      <c r="AS1498" s="60">
        <v>6002058493</v>
      </c>
      <c r="AT1498" s="61">
        <v>44776</v>
      </c>
      <c r="AU1498" s="60" t="s">
        <v>4283</v>
      </c>
      <c r="AV1498" s="61">
        <v>44834</v>
      </c>
      <c r="AW1498" s="91">
        <v>44834</v>
      </c>
      <c r="AX1498" s="91">
        <v>44854</v>
      </c>
      <c r="AY1498" s="107">
        <v>78600</v>
      </c>
      <c r="AZ1498" s="107">
        <f>ROUNDDOWN(AY1498+(AY1498*MASTER!$A$2/100),0)</f>
        <v>86460</v>
      </c>
      <c r="BA1498" s="60" t="s">
        <v>318</v>
      </c>
      <c r="BB1498" s="64">
        <v>35000</v>
      </c>
      <c r="BC1498" s="64">
        <v>38500</v>
      </c>
      <c r="BD1498" s="60" t="s">
        <v>4182</v>
      </c>
      <c r="BG1498" s="64">
        <v>0</v>
      </c>
      <c r="BK1498" s="64">
        <v>0</v>
      </c>
      <c r="BS1498" s="64">
        <v>0</v>
      </c>
      <c r="BV1498" s="65">
        <v>86460</v>
      </c>
      <c r="BW1498" s="65">
        <v>38500</v>
      </c>
      <c r="BX1498" s="65">
        <v>44774</v>
      </c>
      <c r="BY1498" s="65">
        <v>47960</v>
      </c>
      <c r="BZ1498" s="81">
        <v>55.470737913486005</v>
      </c>
    </row>
    <row r="1499" spans="1:78" x14ac:dyDescent="0.15">
      <c r="A1499" s="60">
        <v>1</v>
      </c>
      <c r="B1499" s="61">
        <v>44803</v>
      </c>
      <c r="C1499" s="61">
        <v>44834</v>
      </c>
      <c r="F1499" s="61" t="s">
        <v>309</v>
      </c>
      <c r="G1499" s="61">
        <v>44809</v>
      </c>
      <c r="H1499" s="61" t="s">
        <v>309</v>
      </c>
      <c r="J1499" s="60">
        <v>2</v>
      </c>
      <c r="L1499" s="60">
        <v>0</v>
      </c>
      <c r="M1499" s="61">
        <v>44774</v>
      </c>
      <c r="O1499" s="62" t="s">
        <v>331</v>
      </c>
      <c r="P1499" s="60" t="s">
        <v>26</v>
      </c>
      <c r="Q1499" s="62" t="s">
        <v>118</v>
      </c>
      <c r="R1499" s="62" t="s">
        <v>4517</v>
      </c>
      <c r="S1499" s="63" t="s">
        <v>2177</v>
      </c>
      <c r="T1499" s="63" t="s">
        <v>1524</v>
      </c>
      <c r="U1499" s="64">
        <v>78600</v>
      </c>
      <c r="V1499" s="64">
        <v>86460</v>
      </c>
      <c r="W1499" s="64">
        <v>78600</v>
      </c>
      <c r="X1499" s="64">
        <v>86460</v>
      </c>
      <c r="Y1499" s="64">
        <v>0</v>
      </c>
      <c r="Z1499" s="64">
        <v>0</v>
      </c>
      <c r="AA1499" s="61">
        <v>44805</v>
      </c>
      <c r="AB1499" s="61">
        <v>44805</v>
      </c>
      <c r="AD1499" s="60">
        <v>0</v>
      </c>
      <c r="AG1499" s="60">
        <v>0</v>
      </c>
      <c r="AJ1499" s="60">
        <v>0</v>
      </c>
      <c r="AQ1499" s="60" t="s">
        <v>4278</v>
      </c>
      <c r="AR1499" s="61">
        <v>44776</v>
      </c>
      <c r="AS1499" s="60">
        <v>6002058493</v>
      </c>
      <c r="AT1499" s="61">
        <v>44776</v>
      </c>
      <c r="AU1499" s="60" t="s">
        <v>4283</v>
      </c>
      <c r="AV1499" s="61">
        <v>44834</v>
      </c>
      <c r="AW1499" s="91">
        <v>44834</v>
      </c>
      <c r="AX1499" s="91">
        <v>44854</v>
      </c>
      <c r="AY1499" s="107">
        <v>78600</v>
      </c>
      <c r="AZ1499" s="107">
        <f>ROUNDDOWN(AY1499+(AY1499*MASTER!$A$2/100),0)</f>
        <v>86460</v>
      </c>
      <c r="BA1499" s="60" t="s">
        <v>318</v>
      </c>
      <c r="BB1499" s="64">
        <v>34000</v>
      </c>
      <c r="BC1499" s="64">
        <v>37400</v>
      </c>
      <c r="BD1499" s="60" t="s">
        <v>4182</v>
      </c>
      <c r="BG1499" s="64">
        <v>0</v>
      </c>
      <c r="BK1499" s="64">
        <v>0</v>
      </c>
      <c r="BS1499" s="64">
        <v>0</v>
      </c>
      <c r="BV1499" s="65">
        <v>86460</v>
      </c>
      <c r="BW1499" s="65">
        <v>37400</v>
      </c>
      <c r="BX1499" s="65">
        <v>44774</v>
      </c>
      <c r="BY1499" s="65">
        <v>49060</v>
      </c>
      <c r="BZ1499" s="81">
        <v>56.743002544529261</v>
      </c>
    </row>
    <row r="1500" spans="1:78" x14ac:dyDescent="0.15">
      <c r="A1500" s="60">
        <v>1</v>
      </c>
      <c r="B1500" s="61">
        <v>44803</v>
      </c>
      <c r="C1500" s="61">
        <v>44834</v>
      </c>
      <c r="F1500" s="61" t="s">
        <v>309</v>
      </c>
      <c r="G1500" s="61">
        <v>44820</v>
      </c>
      <c r="H1500" s="61" t="s">
        <v>309</v>
      </c>
      <c r="J1500" s="60">
        <v>2</v>
      </c>
      <c r="L1500" s="60">
        <v>0</v>
      </c>
      <c r="M1500" s="61">
        <v>44774</v>
      </c>
      <c r="O1500" s="62" t="s">
        <v>331</v>
      </c>
      <c r="P1500" s="60" t="s">
        <v>26</v>
      </c>
      <c r="Q1500" s="62" t="s">
        <v>118</v>
      </c>
      <c r="R1500" s="62" t="s">
        <v>4516</v>
      </c>
      <c r="S1500" s="63" t="s">
        <v>2295</v>
      </c>
      <c r="T1500" s="63" t="s">
        <v>1524</v>
      </c>
      <c r="U1500" s="64">
        <v>78600</v>
      </c>
      <c r="V1500" s="64">
        <v>86460</v>
      </c>
      <c r="W1500" s="64">
        <v>78600</v>
      </c>
      <c r="X1500" s="64">
        <v>86460</v>
      </c>
      <c r="Y1500" s="64">
        <v>0</v>
      </c>
      <c r="Z1500" s="64">
        <v>0</v>
      </c>
      <c r="AA1500" s="61">
        <v>44819</v>
      </c>
      <c r="AB1500" s="61">
        <v>44819</v>
      </c>
      <c r="AD1500" s="60">
        <v>0</v>
      </c>
      <c r="AG1500" s="60">
        <v>0</v>
      </c>
      <c r="AJ1500" s="60">
        <v>0</v>
      </c>
      <c r="AQ1500" s="60" t="s">
        <v>4278</v>
      </c>
      <c r="AR1500" s="61">
        <v>44776</v>
      </c>
      <c r="AS1500" s="60">
        <v>6002058493</v>
      </c>
      <c r="AT1500" s="61">
        <v>44776</v>
      </c>
      <c r="AU1500" s="60" t="s">
        <v>4283</v>
      </c>
      <c r="AV1500" s="61">
        <v>44834</v>
      </c>
      <c r="AW1500" s="91">
        <v>44834</v>
      </c>
      <c r="AX1500" s="91">
        <v>44854</v>
      </c>
      <c r="AY1500" s="107">
        <v>78600</v>
      </c>
      <c r="AZ1500" s="107">
        <f>ROUNDDOWN(AY1500+(AY1500*MASTER!$A$2/100),0)</f>
        <v>86460</v>
      </c>
      <c r="BA1500" s="60" t="s">
        <v>318</v>
      </c>
      <c r="BB1500" s="64">
        <v>41000</v>
      </c>
      <c r="BC1500" s="64">
        <v>45100</v>
      </c>
      <c r="BD1500" s="60" t="s">
        <v>4182</v>
      </c>
      <c r="BG1500" s="64">
        <v>0</v>
      </c>
      <c r="BK1500" s="64">
        <v>0</v>
      </c>
      <c r="BS1500" s="64">
        <v>0</v>
      </c>
      <c r="BV1500" s="65">
        <v>86460</v>
      </c>
      <c r="BW1500" s="65">
        <v>45100</v>
      </c>
      <c r="BX1500" s="65">
        <v>44774</v>
      </c>
      <c r="BY1500" s="65">
        <v>41360</v>
      </c>
      <c r="BZ1500" s="81">
        <v>47.837150127226465</v>
      </c>
    </row>
    <row r="1501" spans="1:78" x14ac:dyDescent="0.15">
      <c r="A1501" s="60">
        <v>1</v>
      </c>
      <c r="B1501" s="61">
        <v>44803</v>
      </c>
      <c r="C1501" s="61">
        <v>44834</v>
      </c>
      <c r="F1501" s="61" t="s">
        <v>309</v>
      </c>
      <c r="G1501" s="61">
        <v>44825</v>
      </c>
      <c r="H1501" s="61" t="s">
        <v>309</v>
      </c>
      <c r="J1501" s="60">
        <v>2</v>
      </c>
      <c r="L1501" s="60">
        <v>0</v>
      </c>
      <c r="M1501" s="61">
        <v>44774</v>
      </c>
      <c r="O1501" s="62" t="s">
        <v>331</v>
      </c>
      <c r="P1501" s="60" t="s">
        <v>26</v>
      </c>
      <c r="Q1501" s="62" t="s">
        <v>118</v>
      </c>
      <c r="R1501" s="62" t="s">
        <v>4515</v>
      </c>
      <c r="S1501" s="63" t="s">
        <v>3996</v>
      </c>
      <c r="T1501" s="63" t="s">
        <v>1524</v>
      </c>
      <c r="U1501" s="64">
        <v>78600</v>
      </c>
      <c r="V1501" s="64">
        <v>86460</v>
      </c>
      <c r="W1501" s="64">
        <v>78600</v>
      </c>
      <c r="X1501" s="64">
        <v>86460</v>
      </c>
      <c r="Y1501" s="64">
        <v>0</v>
      </c>
      <c r="Z1501" s="64">
        <v>0</v>
      </c>
      <c r="AA1501" s="61">
        <v>44819</v>
      </c>
      <c r="AB1501" s="61">
        <v>44819</v>
      </c>
      <c r="AD1501" s="60">
        <v>0</v>
      </c>
      <c r="AG1501" s="60">
        <v>0</v>
      </c>
      <c r="AJ1501" s="60">
        <v>0</v>
      </c>
      <c r="AQ1501" s="60" t="s">
        <v>4278</v>
      </c>
      <c r="AR1501" s="61">
        <v>44776</v>
      </c>
      <c r="AS1501" s="60">
        <v>6002058493</v>
      </c>
      <c r="AT1501" s="61">
        <v>44776</v>
      </c>
      <c r="AU1501" s="60" t="s">
        <v>4283</v>
      </c>
      <c r="AV1501" s="61">
        <v>44834</v>
      </c>
      <c r="AW1501" s="91">
        <v>44834</v>
      </c>
      <c r="AX1501" s="91">
        <v>44854</v>
      </c>
      <c r="AY1501" s="107">
        <v>78600</v>
      </c>
      <c r="AZ1501" s="107">
        <f>ROUNDDOWN(AY1501+(AY1501*MASTER!$A$2/100),0)</f>
        <v>86460</v>
      </c>
      <c r="BA1501" s="60" t="s">
        <v>318</v>
      </c>
      <c r="BB1501" s="64">
        <v>41000</v>
      </c>
      <c r="BC1501" s="64">
        <v>45100</v>
      </c>
      <c r="BD1501" s="60" t="s">
        <v>4182</v>
      </c>
      <c r="BG1501" s="64">
        <v>0</v>
      </c>
      <c r="BK1501" s="64">
        <v>0</v>
      </c>
      <c r="BS1501" s="64">
        <v>0</v>
      </c>
      <c r="BV1501" s="65">
        <v>86460</v>
      </c>
      <c r="BW1501" s="65">
        <v>45100</v>
      </c>
      <c r="BX1501" s="65">
        <v>44774</v>
      </c>
      <c r="BY1501" s="65">
        <v>41360</v>
      </c>
      <c r="BZ1501" s="81">
        <v>47.837150127226465</v>
      </c>
    </row>
    <row r="1502" spans="1:78" x14ac:dyDescent="0.15">
      <c r="A1502" s="60">
        <v>1</v>
      </c>
      <c r="B1502" s="61">
        <v>44803</v>
      </c>
      <c r="C1502" s="61">
        <v>44834</v>
      </c>
      <c r="F1502" s="61" t="s">
        <v>309</v>
      </c>
      <c r="G1502" s="61">
        <v>44820</v>
      </c>
      <c r="H1502" s="61" t="s">
        <v>309</v>
      </c>
      <c r="J1502" s="60">
        <v>2</v>
      </c>
      <c r="L1502" s="60">
        <v>0</v>
      </c>
      <c r="M1502" s="61">
        <v>44774</v>
      </c>
      <c r="O1502" s="62" t="s">
        <v>331</v>
      </c>
      <c r="P1502" s="60" t="s">
        <v>26</v>
      </c>
      <c r="Q1502" s="62" t="s">
        <v>118</v>
      </c>
      <c r="R1502" s="62" t="s">
        <v>4514</v>
      </c>
      <c r="S1502" s="63" t="s">
        <v>866</v>
      </c>
      <c r="T1502" s="63" t="s">
        <v>1524</v>
      </c>
      <c r="U1502" s="64">
        <v>78600</v>
      </c>
      <c r="V1502" s="64">
        <v>86460</v>
      </c>
      <c r="W1502" s="64">
        <v>78600</v>
      </c>
      <c r="X1502" s="64">
        <v>86460</v>
      </c>
      <c r="Y1502" s="64">
        <v>0</v>
      </c>
      <c r="Z1502" s="64">
        <v>0</v>
      </c>
      <c r="AA1502" s="61">
        <v>44819</v>
      </c>
      <c r="AB1502" s="61">
        <v>44819</v>
      </c>
      <c r="AD1502" s="60">
        <v>0</v>
      </c>
      <c r="AG1502" s="60">
        <v>0</v>
      </c>
      <c r="AJ1502" s="60">
        <v>0</v>
      </c>
      <c r="AQ1502" s="60" t="s">
        <v>4278</v>
      </c>
      <c r="AR1502" s="61">
        <v>44776</v>
      </c>
      <c r="AS1502" s="60">
        <v>6002058493</v>
      </c>
      <c r="AT1502" s="61">
        <v>44776</v>
      </c>
      <c r="AU1502" s="60" t="s">
        <v>4283</v>
      </c>
      <c r="AV1502" s="61">
        <v>44834</v>
      </c>
      <c r="AW1502" s="91">
        <v>44834</v>
      </c>
      <c r="AX1502" s="91">
        <v>44854</v>
      </c>
      <c r="AY1502" s="107">
        <v>78600</v>
      </c>
      <c r="AZ1502" s="107">
        <f>ROUNDDOWN(AY1502+(AY1502*MASTER!$A$2/100),0)</f>
        <v>86460</v>
      </c>
      <c r="BA1502" s="60" t="s">
        <v>318</v>
      </c>
      <c r="BB1502" s="64">
        <v>44000</v>
      </c>
      <c r="BC1502" s="64">
        <v>48400</v>
      </c>
      <c r="BD1502" s="60" t="s">
        <v>4182</v>
      </c>
      <c r="BG1502" s="64">
        <v>0</v>
      </c>
      <c r="BK1502" s="64">
        <v>0</v>
      </c>
      <c r="BS1502" s="64">
        <v>0</v>
      </c>
      <c r="BV1502" s="65">
        <v>86460</v>
      </c>
      <c r="BW1502" s="65">
        <v>48400</v>
      </c>
      <c r="BX1502" s="65">
        <v>44774</v>
      </c>
      <c r="BY1502" s="65">
        <v>38060</v>
      </c>
      <c r="BZ1502" s="81">
        <v>44.020356234096688</v>
      </c>
    </row>
    <row r="1503" spans="1:78" x14ac:dyDescent="0.15">
      <c r="A1503" s="60">
        <v>1</v>
      </c>
      <c r="B1503" s="61">
        <v>44803</v>
      </c>
      <c r="C1503" s="61">
        <v>44834</v>
      </c>
      <c r="F1503" s="61" t="s">
        <v>309</v>
      </c>
      <c r="G1503" s="61">
        <v>44817</v>
      </c>
      <c r="H1503" s="61" t="s">
        <v>309</v>
      </c>
      <c r="J1503" s="60">
        <v>2</v>
      </c>
      <c r="L1503" s="60">
        <v>0</v>
      </c>
      <c r="M1503" s="61">
        <v>44774</v>
      </c>
      <c r="O1503" s="62" t="s">
        <v>331</v>
      </c>
      <c r="P1503" s="60" t="s">
        <v>26</v>
      </c>
      <c r="Q1503" s="62" t="s">
        <v>118</v>
      </c>
      <c r="R1503" s="62" t="s">
        <v>4513</v>
      </c>
      <c r="S1503" s="63" t="s">
        <v>1224</v>
      </c>
      <c r="T1503" s="63" t="s">
        <v>1524</v>
      </c>
      <c r="U1503" s="64">
        <v>78600</v>
      </c>
      <c r="V1503" s="64">
        <v>86460</v>
      </c>
      <c r="W1503" s="64">
        <v>78600</v>
      </c>
      <c r="X1503" s="64">
        <v>86460</v>
      </c>
      <c r="Y1503" s="64">
        <v>0</v>
      </c>
      <c r="Z1503" s="64">
        <v>0</v>
      </c>
      <c r="AA1503" s="61">
        <v>44817</v>
      </c>
      <c r="AB1503" s="61">
        <v>44817</v>
      </c>
      <c r="AD1503" s="60">
        <v>0</v>
      </c>
      <c r="AG1503" s="60">
        <v>0</v>
      </c>
      <c r="AJ1503" s="60">
        <v>0</v>
      </c>
      <c r="AQ1503" s="60" t="s">
        <v>4278</v>
      </c>
      <c r="AR1503" s="61">
        <v>44776</v>
      </c>
      <c r="AS1503" s="60">
        <v>6002058493</v>
      </c>
      <c r="AT1503" s="61">
        <v>44776</v>
      </c>
      <c r="AU1503" s="60" t="s">
        <v>4283</v>
      </c>
      <c r="AV1503" s="61">
        <v>44834</v>
      </c>
      <c r="AW1503" s="91">
        <v>44834</v>
      </c>
      <c r="AX1503" s="91">
        <v>44854</v>
      </c>
      <c r="AY1503" s="107">
        <v>78600</v>
      </c>
      <c r="AZ1503" s="107">
        <f>ROUNDDOWN(AY1503+(AY1503*MASTER!$A$2/100),0)</f>
        <v>86460</v>
      </c>
      <c r="BA1503" s="60" t="s">
        <v>318</v>
      </c>
      <c r="BB1503" s="64">
        <v>56000</v>
      </c>
      <c r="BC1503" s="64">
        <v>61600</v>
      </c>
      <c r="BD1503" s="60" t="s">
        <v>4182</v>
      </c>
      <c r="BG1503" s="64">
        <v>0</v>
      </c>
      <c r="BK1503" s="64">
        <v>0</v>
      </c>
      <c r="BS1503" s="64">
        <v>0</v>
      </c>
      <c r="BV1503" s="65">
        <v>86460</v>
      </c>
      <c r="BW1503" s="65">
        <v>61600</v>
      </c>
      <c r="BX1503" s="65">
        <v>44774</v>
      </c>
      <c r="BY1503" s="65">
        <v>24860</v>
      </c>
      <c r="BZ1503" s="81">
        <v>28.753180661577609</v>
      </c>
    </row>
    <row r="1504" spans="1:78" x14ac:dyDescent="0.15">
      <c r="A1504" s="60">
        <v>1</v>
      </c>
      <c r="B1504" s="61">
        <v>44803</v>
      </c>
      <c r="C1504" s="61">
        <v>44834</v>
      </c>
      <c r="F1504" s="61" t="s">
        <v>309</v>
      </c>
      <c r="G1504" s="61">
        <v>44820</v>
      </c>
      <c r="H1504" s="61" t="s">
        <v>309</v>
      </c>
      <c r="J1504" s="60">
        <v>2</v>
      </c>
      <c r="L1504" s="60">
        <v>0</v>
      </c>
      <c r="M1504" s="61">
        <v>44774</v>
      </c>
      <c r="O1504" s="62" t="s">
        <v>331</v>
      </c>
      <c r="P1504" s="60" t="s">
        <v>26</v>
      </c>
      <c r="Q1504" s="62" t="s">
        <v>118</v>
      </c>
      <c r="R1504" s="62" t="s">
        <v>4512</v>
      </c>
      <c r="S1504" s="63" t="s">
        <v>1691</v>
      </c>
      <c r="T1504" s="63" t="s">
        <v>1524</v>
      </c>
      <c r="U1504" s="64">
        <v>78600</v>
      </c>
      <c r="V1504" s="64">
        <v>86460</v>
      </c>
      <c r="W1504" s="64">
        <v>78600</v>
      </c>
      <c r="X1504" s="64">
        <v>86460</v>
      </c>
      <c r="Y1504" s="64">
        <v>0</v>
      </c>
      <c r="Z1504" s="64">
        <v>0</v>
      </c>
      <c r="AA1504" s="61">
        <v>44818</v>
      </c>
      <c r="AB1504" s="61">
        <v>44818</v>
      </c>
      <c r="AD1504" s="60">
        <v>0</v>
      </c>
      <c r="AG1504" s="60">
        <v>0</v>
      </c>
      <c r="AJ1504" s="60">
        <v>0</v>
      </c>
      <c r="AQ1504" s="60" t="s">
        <v>4278</v>
      </c>
      <c r="AR1504" s="61">
        <v>44776</v>
      </c>
      <c r="AS1504" s="60">
        <v>6002058493</v>
      </c>
      <c r="AT1504" s="61">
        <v>44776</v>
      </c>
      <c r="AU1504" s="60" t="s">
        <v>4283</v>
      </c>
      <c r="AV1504" s="61">
        <v>44834</v>
      </c>
      <c r="AW1504" s="91">
        <v>44834</v>
      </c>
      <c r="AX1504" s="91">
        <v>44854</v>
      </c>
      <c r="AY1504" s="107">
        <v>78600</v>
      </c>
      <c r="AZ1504" s="107">
        <f>ROUNDDOWN(AY1504+(AY1504*MASTER!$A$2/100),0)</f>
        <v>86460</v>
      </c>
      <c r="BA1504" s="60" t="s">
        <v>318</v>
      </c>
      <c r="BB1504" s="64">
        <v>52000</v>
      </c>
      <c r="BC1504" s="64">
        <v>57200</v>
      </c>
      <c r="BD1504" s="60" t="s">
        <v>4182</v>
      </c>
      <c r="BG1504" s="64">
        <v>0</v>
      </c>
      <c r="BK1504" s="64">
        <v>0</v>
      </c>
      <c r="BS1504" s="64">
        <v>0</v>
      </c>
      <c r="BV1504" s="65">
        <v>86460</v>
      </c>
      <c r="BW1504" s="65">
        <v>57200</v>
      </c>
      <c r="BX1504" s="65">
        <v>44774</v>
      </c>
      <c r="BY1504" s="65">
        <v>29260</v>
      </c>
      <c r="BZ1504" s="81">
        <v>33.842239185750635</v>
      </c>
    </row>
    <row r="1505" spans="1:78" x14ac:dyDescent="0.15">
      <c r="A1505" s="60">
        <v>1</v>
      </c>
      <c r="B1505" s="61">
        <v>44803</v>
      </c>
      <c r="C1505" s="61">
        <v>44834</v>
      </c>
      <c r="F1505" s="61" t="s">
        <v>309</v>
      </c>
      <c r="G1505" s="61">
        <v>44819</v>
      </c>
      <c r="H1505" s="61" t="s">
        <v>309</v>
      </c>
      <c r="J1505" s="60">
        <v>2</v>
      </c>
      <c r="L1505" s="60">
        <v>0</v>
      </c>
      <c r="M1505" s="61">
        <v>44774</v>
      </c>
      <c r="O1505" s="62" t="s">
        <v>331</v>
      </c>
      <c r="P1505" s="60" t="s">
        <v>26</v>
      </c>
      <c r="Q1505" s="62" t="s">
        <v>118</v>
      </c>
      <c r="R1505" s="62" t="s">
        <v>4511</v>
      </c>
      <c r="S1505" s="63" t="s">
        <v>1221</v>
      </c>
      <c r="T1505" s="63" t="s">
        <v>1524</v>
      </c>
      <c r="U1505" s="64">
        <v>78600</v>
      </c>
      <c r="V1505" s="64">
        <v>86460</v>
      </c>
      <c r="W1505" s="64">
        <v>78600</v>
      </c>
      <c r="X1505" s="64">
        <v>86460</v>
      </c>
      <c r="Y1505" s="64">
        <v>0</v>
      </c>
      <c r="Z1505" s="64">
        <v>0</v>
      </c>
      <c r="AA1505" s="61">
        <v>44817</v>
      </c>
      <c r="AB1505" s="61">
        <v>44817</v>
      </c>
      <c r="AD1505" s="60">
        <v>0</v>
      </c>
      <c r="AG1505" s="60">
        <v>0</v>
      </c>
      <c r="AJ1505" s="60">
        <v>0</v>
      </c>
      <c r="AQ1505" s="60" t="s">
        <v>4278</v>
      </c>
      <c r="AR1505" s="61">
        <v>44776</v>
      </c>
      <c r="AS1505" s="60">
        <v>6002058493</v>
      </c>
      <c r="AT1505" s="61">
        <v>44776</v>
      </c>
      <c r="AU1505" s="60" t="s">
        <v>4283</v>
      </c>
      <c r="AV1505" s="61">
        <v>44834</v>
      </c>
      <c r="AW1505" s="91">
        <v>44834</v>
      </c>
      <c r="AX1505" s="91">
        <v>44854</v>
      </c>
      <c r="AY1505" s="107">
        <v>78600</v>
      </c>
      <c r="AZ1505" s="107">
        <f>ROUNDDOWN(AY1505+(AY1505*MASTER!$A$2/100),0)</f>
        <v>86460</v>
      </c>
      <c r="BA1505" s="60" t="s">
        <v>318</v>
      </c>
      <c r="BB1505" s="64">
        <v>54000</v>
      </c>
      <c r="BC1505" s="64">
        <v>59400</v>
      </c>
      <c r="BD1505" s="60" t="s">
        <v>4182</v>
      </c>
      <c r="BG1505" s="64">
        <v>0</v>
      </c>
      <c r="BK1505" s="64">
        <v>0</v>
      </c>
      <c r="BS1505" s="64">
        <v>0</v>
      </c>
      <c r="BV1505" s="65">
        <v>86460</v>
      </c>
      <c r="BW1505" s="65">
        <v>59400</v>
      </c>
      <c r="BX1505" s="65">
        <v>44774</v>
      </c>
      <c r="BY1505" s="65">
        <v>27060</v>
      </c>
      <c r="BZ1505" s="81">
        <v>31.297709923664126</v>
      </c>
    </row>
    <row r="1506" spans="1:78" x14ac:dyDescent="0.15">
      <c r="A1506" s="60">
        <v>1</v>
      </c>
      <c r="B1506" s="61">
        <v>44803</v>
      </c>
      <c r="C1506" s="61">
        <v>44834</v>
      </c>
      <c r="F1506" s="61" t="s">
        <v>309</v>
      </c>
      <c r="G1506" s="61">
        <v>44826</v>
      </c>
      <c r="H1506" s="61" t="s">
        <v>309</v>
      </c>
      <c r="J1506" s="60">
        <v>2</v>
      </c>
      <c r="L1506" s="60">
        <v>0</v>
      </c>
      <c r="M1506" s="61">
        <v>44774</v>
      </c>
      <c r="O1506" s="62" t="s">
        <v>331</v>
      </c>
      <c r="P1506" s="60" t="s">
        <v>26</v>
      </c>
      <c r="Q1506" s="62" t="s">
        <v>118</v>
      </c>
      <c r="R1506" s="62" t="s">
        <v>4566</v>
      </c>
      <c r="S1506" s="63" t="s">
        <v>689</v>
      </c>
      <c r="T1506" s="63" t="s">
        <v>1524</v>
      </c>
      <c r="U1506" s="64">
        <v>78600</v>
      </c>
      <c r="V1506" s="64">
        <v>86460</v>
      </c>
      <c r="W1506" s="64">
        <v>78600</v>
      </c>
      <c r="X1506" s="64">
        <v>86460</v>
      </c>
      <c r="Y1506" s="64">
        <v>0</v>
      </c>
      <c r="Z1506" s="64">
        <v>0</v>
      </c>
      <c r="AA1506" s="61">
        <v>44825</v>
      </c>
      <c r="AB1506" s="61">
        <v>44825</v>
      </c>
      <c r="AD1506" s="60">
        <v>0</v>
      </c>
      <c r="AG1506" s="60">
        <v>0</v>
      </c>
      <c r="AJ1506" s="60">
        <v>0</v>
      </c>
      <c r="AQ1506" s="60" t="s">
        <v>4278</v>
      </c>
      <c r="AR1506" s="61">
        <v>44776</v>
      </c>
      <c r="AS1506" s="60">
        <v>6002058493</v>
      </c>
      <c r="AT1506" s="61">
        <v>44776</v>
      </c>
      <c r="AU1506" s="60" t="s">
        <v>4283</v>
      </c>
      <c r="AV1506" s="61">
        <v>44834</v>
      </c>
      <c r="AW1506" s="91">
        <v>44834</v>
      </c>
      <c r="AX1506" s="91">
        <v>44854</v>
      </c>
      <c r="AY1506" s="107">
        <v>78600</v>
      </c>
      <c r="AZ1506" s="107">
        <f>ROUNDDOWN(AY1506+(AY1506*MASTER!$A$2/100),0)</f>
        <v>86460</v>
      </c>
      <c r="BA1506" s="60" t="s">
        <v>317</v>
      </c>
      <c r="BB1506" s="64">
        <v>41000</v>
      </c>
      <c r="BC1506" s="64">
        <v>45100</v>
      </c>
      <c r="BD1506" s="60" t="s">
        <v>4182</v>
      </c>
      <c r="BG1506" s="64">
        <v>0</v>
      </c>
      <c r="BK1506" s="64">
        <v>0</v>
      </c>
      <c r="BS1506" s="64">
        <v>0</v>
      </c>
      <c r="BV1506" s="65">
        <v>86460</v>
      </c>
      <c r="BW1506" s="65">
        <v>45100</v>
      </c>
      <c r="BX1506" s="65">
        <v>44774</v>
      </c>
      <c r="BY1506" s="65">
        <v>41360</v>
      </c>
      <c r="BZ1506" s="81">
        <v>47.837150127226465</v>
      </c>
    </row>
    <row r="1507" spans="1:78" x14ac:dyDescent="0.15">
      <c r="A1507" s="60">
        <v>1</v>
      </c>
      <c r="B1507" s="61">
        <v>44803</v>
      </c>
      <c r="C1507" s="61">
        <v>44834</v>
      </c>
      <c r="F1507" s="61" t="s">
        <v>309</v>
      </c>
      <c r="G1507" s="61">
        <v>44825</v>
      </c>
      <c r="H1507" s="61" t="s">
        <v>309</v>
      </c>
      <c r="J1507" s="60">
        <v>2</v>
      </c>
      <c r="L1507" s="60">
        <v>0</v>
      </c>
      <c r="M1507" s="61">
        <v>44774</v>
      </c>
      <c r="O1507" s="62" t="s">
        <v>331</v>
      </c>
      <c r="P1507" s="60" t="s">
        <v>26</v>
      </c>
      <c r="Q1507" s="62" t="s">
        <v>118</v>
      </c>
      <c r="R1507" s="62" t="s">
        <v>4564</v>
      </c>
      <c r="S1507" s="63" t="s">
        <v>813</v>
      </c>
      <c r="T1507" s="63" t="s">
        <v>1524</v>
      </c>
      <c r="U1507" s="64">
        <v>78600</v>
      </c>
      <c r="V1507" s="64">
        <v>86460</v>
      </c>
      <c r="W1507" s="64">
        <v>78600</v>
      </c>
      <c r="X1507" s="64">
        <v>86460</v>
      </c>
      <c r="Y1507" s="64">
        <v>0</v>
      </c>
      <c r="Z1507" s="64">
        <v>0</v>
      </c>
      <c r="AA1507" s="61">
        <v>44826</v>
      </c>
      <c r="AB1507" s="61">
        <v>44826</v>
      </c>
      <c r="AD1507" s="60">
        <v>0</v>
      </c>
      <c r="AG1507" s="60">
        <v>0</v>
      </c>
      <c r="AJ1507" s="60">
        <v>0</v>
      </c>
      <c r="AQ1507" s="60" t="s">
        <v>4278</v>
      </c>
      <c r="AR1507" s="61">
        <v>44776</v>
      </c>
      <c r="AS1507" s="60">
        <v>6002058493</v>
      </c>
      <c r="AT1507" s="61">
        <v>44776</v>
      </c>
      <c r="AU1507" s="60" t="s">
        <v>4283</v>
      </c>
      <c r="AV1507" s="61">
        <v>44834</v>
      </c>
      <c r="AW1507" s="91">
        <v>44834</v>
      </c>
      <c r="AX1507" s="91">
        <v>44854</v>
      </c>
      <c r="AY1507" s="107">
        <v>78600</v>
      </c>
      <c r="AZ1507" s="107">
        <f>ROUNDDOWN(AY1507+(AY1507*MASTER!$A$2/100),0)</f>
        <v>86460</v>
      </c>
      <c r="BA1507" s="60" t="s">
        <v>317</v>
      </c>
      <c r="BB1507" s="64">
        <v>41000</v>
      </c>
      <c r="BC1507" s="64">
        <v>45100</v>
      </c>
      <c r="BD1507" s="60" t="s">
        <v>4182</v>
      </c>
      <c r="BG1507" s="64">
        <v>0</v>
      </c>
      <c r="BK1507" s="64">
        <v>0</v>
      </c>
      <c r="BS1507" s="64">
        <v>0</v>
      </c>
      <c r="BV1507" s="65">
        <v>86460</v>
      </c>
      <c r="BW1507" s="65">
        <v>45100</v>
      </c>
      <c r="BX1507" s="65">
        <v>44774</v>
      </c>
      <c r="BY1507" s="65">
        <v>41360</v>
      </c>
      <c r="BZ1507" s="81">
        <v>47.837150127226465</v>
      </c>
    </row>
    <row r="1508" spans="1:78" x14ac:dyDescent="0.15">
      <c r="A1508" s="60">
        <v>1</v>
      </c>
      <c r="B1508" s="61">
        <v>44803</v>
      </c>
      <c r="C1508" s="61">
        <v>44834</v>
      </c>
      <c r="F1508" s="61" t="s">
        <v>309</v>
      </c>
      <c r="G1508" s="61">
        <v>44825</v>
      </c>
      <c r="H1508" s="61" t="s">
        <v>309</v>
      </c>
      <c r="J1508" s="60">
        <v>2</v>
      </c>
      <c r="L1508" s="60">
        <v>0</v>
      </c>
      <c r="M1508" s="61">
        <v>44774</v>
      </c>
      <c r="O1508" s="62" t="s">
        <v>331</v>
      </c>
      <c r="P1508" s="60" t="s">
        <v>26</v>
      </c>
      <c r="Q1508" s="62" t="s">
        <v>118</v>
      </c>
      <c r="R1508" s="62" t="s">
        <v>4565</v>
      </c>
      <c r="S1508" s="63" t="s">
        <v>1019</v>
      </c>
      <c r="T1508" s="63" t="s">
        <v>1524</v>
      </c>
      <c r="U1508" s="64">
        <v>78600</v>
      </c>
      <c r="V1508" s="64">
        <v>86460</v>
      </c>
      <c r="W1508" s="64">
        <v>78600</v>
      </c>
      <c r="X1508" s="64">
        <v>86460</v>
      </c>
      <c r="Y1508" s="64">
        <v>0</v>
      </c>
      <c r="Z1508" s="64">
        <v>0</v>
      </c>
      <c r="AA1508" s="61">
        <v>44825</v>
      </c>
      <c r="AB1508" s="61">
        <v>44825</v>
      </c>
      <c r="AD1508" s="60">
        <v>0</v>
      </c>
      <c r="AG1508" s="60">
        <v>0</v>
      </c>
      <c r="AJ1508" s="60">
        <v>0</v>
      </c>
      <c r="AQ1508" s="60" t="s">
        <v>4278</v>
      </c>
      <c r="AR1508" s="61">
        <v>44776</v>
      </c>
      <c r="AS1508" s="60">
        <v>6002058493</v>
      </c>
      <c r="AT1508" s="61">
        <v>44776</v>
      </c>
      <c r="AU1508" s="60" t="s">
        <v>4283</v>
      </c>
      <c r="AV1508" s="61">
        <v>44834</v>
      </c>
      <c r="AW1508" s="91">
        <v>44834</v>
      </c>
      <c r="AX1508" s="91">
        <v>44854</v>
      </c>
      <c r="AY1508" s="107">
        <v>78600</v>
      </c>
      <c r="AZ1508" s="107">
        <f>ROUNDDOWN(AY1508+(AY1508*MASTER!$A$2/100),0)</f>
        <v>86460</v>
      </c>
      <c r="BA1508" s="60" t="s">
        <v>317</v>
      </c>
      <c r="BB1508" s="64">
        <v>41000</v>
      </c>
      <c r="BC1508" s="64">
        <v>45100</v>
      </c>
      <c r="BD1508" s="60" t="s">
        <v>4182</v>
      </c>
      <c r="BG1508" s="64">
        <v>0</v>
      </c>
      <c r="BK1508" s="64">
        <v>0</v>
      </c>
      <c r="BS1508" s="64">
        <v>0</v>
      </c>
      <c r="BV1508" s="65">
        <v>86460</v>
      </c>
      <c r="BW1508" s="65">
        <v>45100</v>
      </c>
      <c r="BX1508" s="65">
        <v>44774</v>
      </c>
      <c r="BY1508" s="65">
        <v>41360</v>
      </c>
      <c r="BZ1508" s="81">
        <v>47.837150127226465</v>
      </c>
    </row>
    <row r="1509" spans="1:78" x14ac:dyDescent="0.15">
      <c r="A1509" s="60">
        <v>1</v>
      </c>
      <c r="B1509" s="61">
        <v>44803</v>
      </c>
      <c r="C1509" s="61">
        <v>44834</v>
      </c>
      <c r="F1509" s="61" t="s">
        <v>309</v>
      </c>
      <c r="G1509" s="61">
        <v>44825</v>
      </c>
      <c r="H1509" s="61" t="s">
        <v>309</v>
      </c>
      <c r="J1509" s="60">
        <v>2</v>
      </c>
      <c r="L1509" s="60">
        <v>0</v>
      </c>
      <c r="M1509" s="61">
        <v>44774</v>
      </c>
      <c r="O1509" s="62" t="s">
        <v>331</v>
      </c>
      <c r="P1509" s="60" t="s">
        <v>26</v>
      </c>
      <c r="Q1509" s="62" t="s">
        <v>118</v>
      </c>
      <c r="R1509" s="62" t="s">
        <v>4563</v>
      </c>
      <c r="S1509" s="63" t="s">
        <v>709</v>
      </c>
      <c r="T1509" s="63" t="s">
        <v>1524</v>
      </c>
      <c r="U1509" s="64">
        <v>78600</v>
      </c>
      <c r="V1509" s="64">
        <v>86460</v>
      </c>
      <c r="W1509" s="64">
        <v>78600</v>
      </c>
      <c r="X1509" s="64">
        <v>86460</v>
      </c>
      <c r="Y1509" s="64">
        <v>0</v>
      </c>
      <c r="Z1509" s="64">
        <v>0</v>
      </c>
      <c r="AA1509" s="61">
        <v>44825</v>
      </c>
      <c r="AB1509" s="61">
        <v>44825</v>
      </c>
      <c r="AD1509" s="60">
        <v>0</v>
      </c>
      <c r="AG1509" s="60">
        <v>0</v>
      </c>
      <c r="AJ1509" s="60">
        <v>0</v>
      </c>
      <c r="AQ1509" s="60" t="s">
        <v>4278</v>
      </c>
      <c r="AR1509" s="61">
        <v>44776</v>
      </c>
      <c r="AS1509" s="60">
        <v>6002058493</v>
      </c>
      <c r="AT1509" s="61">
        <v>44776</v>
      </c>
      <c r="AU1509" s="60" t="s">
        <v>4283</v>
      </c>
      <c r="AV1509" s="61">
        <v>44834</v>
      </c>
      <c r="AW1509" s="91">
        <v>44834</v>
      </c>
      <c r="AX1509" s="91">
        <v>44854</v>
      </c>
      <c r="AY1509" s="107">
        <v>78600</v>
      </c>
      <c r="AZ1509" s="107">
        <f>ROUNDDOWN(AY1509+(AY1509*MASTER!$A$2/100),0)</f>
        <v>86460</v>
      </c>
      <c r="BA1509" s="60" t="s">
        <v>317</v>
      </c>
      <c r="BB1509" s="64">
        <v>42000</v>
      </c>
      <c r="BC1509" s="64">
        <v>46200</v>
      </c>
      <c r="BD1509" s="60" t="s">
        <v>4182</v>
      </c>
      <c r="BG1509" s="64">
        <v>0</v>
      </c>
      <c r="BK1509" s="64">
        <v>0</v>
      </c>
      <c r="BS1509" s="64">
        <v>0</v>
      </c>
      <c r="BV1509" s="65">
        <v>86460</v>
      </c>
      <c r="BW1509" s="65">
        <v>46200</v>
      </c>
      <c r="BX1509" s="65">
        <v>44774</v>
      </c>
      <c r="BY1509" s="65">
        <v>40260</v>
      </c>
      <c r="BZ1509" s="81">
        <v>46.564885496183209</v>
      </c>
    </row>
    <row r="1510" spans="1:78" x14ac:dyDescent="0.15">
      <c r="A1510" s="60">
        <v>1</v>
      </c>
      <c r="B1510" s="61">
        <v>44803</v>
      </c>
      <c r="C1510" s="61">
        <v>44834</v>
      </c>
      <c r="F1510" s="61" t="s">
        <v>309</v>
      </c>
      <c r="G1510" s="61">
        <v>44825</v>
      </c>
      <c r="H1510" s="61" t="s">
        <v>309</v>
      </c>
      <c r="J1510" s="60">
        <v>2</v>
      </c>
      <c r="L1510" s="60">
        <v>0</v>
      </c>
      <c r="M1510" s="61">
        <v>44774</v>
      </c>
      <c r="O1510" s="62" t="s">
        <v>331</v>
      </c>
      <c r="P1510" s="60" t="s">
        <v>26</v>
      </c>
      <c r="Q1510" s="62" t="s">
        <v>118</v>
      </c>
      <c r="R1510" s="62" t="s">
        <v>4562</v>
      </c>
      <c r="S1510" s="63" t="s">
        <v>1021</v>
      </c>
      <c r="T1510" s="63" t="s">
        <v>1524</v>
      </c>
      <c r="U1510" s="64">
        <v>78600</v>
      </c>
      <c r="V1510" s="64">
        <v>86460</v>
      </c>
      <c r="W1510" s="64">
        <v>78600</v>
      </c>
      <c r="X1510" s="64">
        <v>86460</v>
      </c>
      <c r="Y1510" s="64">
        <v>0</v>
      </c>
      <c r="Z1510" s="64">
        <v>0</v>
      </c>
      <c r="AA1510" s="61">
        <v>44825</v>
      </c>
      <c r="AB1510" s="61">
        <v>44825</v>
      </c>
      <c r="AD1510" s="60">
        <v>0</v>
      </c>
      <c r="AG1510" s="60">
        <v>0</v>
      </c>
      <c r="AJ1510" s="60">
        <v>0</v>
      </c>
      <c r="AQ1510" s="60" t="s">
        <v>4278</v>
      </c>
      <c r="AR1510" s="61">
        <v>44776</v>
      </c>
      <c r="AS1510" s="60">
        <v>6002058493</v>
      </c>
      <c r="AT1510" s="61">
        <v>44776</v>
      </c>
      <c r="AU1510" s="60" t="s">
        <v>4283</v>
      </c>
      <c r="AV1510" s="61">
        <v>44834</v>
      </c>
      <c r="AW1510" s="91">
        <v>44834</v>
      </c>
      <c r="AX1510" s="91">
        <v>44854</v>
      </c>
      <c r="AY1510" s="107">
        <v>78600</v>
      </c>
      <c r="AZ1510" s="107">
        <f>ROUNDDOWN(AY1510+(AY1510*MASTER!$A$2/100),0)</f>
        <v>86460</v>
      </c>
      <c r="BA1510" s="60" t="s">
        <v>317</v>
      </c>
      <c r="BB1510" s="64">
        <v>41000</v>
      </c>
      <c r="BC1510" s="64">
        <v>45100</v>
      </c>
      <c r="BG1510" s="64">
        <v>0</v>
      </c>
      <c r="BK1510" s="64">
        <v>0</v>
      </c>
      <c r="BS1510" s="64">
        <v>0</v>
      </c>
      <c r="BV1510" s="65">
        <v>86460</v>
      </c>
      <c r="BW1510" s="65">
        <v>45100</v>
      </c>
      <c r="BX1510" s="65">
        <v>44774</v>
      </c>
      <c r="BY1510" s="65">
        <v>41360</v>
      </c>
      <c r="BZ1510" s="81">
        <v>47.837150127226465</v>
      </c>
    </row>
    <row r="1511" spans="1:78" x14ac:dyDescent="0.15">
      <c r="A1511" s="60">
        <v>1</v>
      </c>
      <c r="B1511" s="61">
        <v>44803</v>
      </c>
      <c r="C1511" s="61">
        <v>44834</v>
      </c>
      <c r="F1511" s="61" t="s">
        <v>309</v>
      </c>
      <c r="G1511" s="61">
        <v>44809</v>
      </c>
      <c r="H1511" s="61" t="s">
        <v>309</v>
      </c>
      <c r="J1511" s="60">
        <v>2</v>
      </c>
      <c r="L1511" s="60">
        <v>0</v>
      </c>
      <c r="M1511" s="61">
        <v>44774</v>
      </c>
      <c r="O1511" s="62" t="s">
        <v>331</v>
      </c>
      <c r="P1511" s="60" t="s">
        <v>26</v>
      </c>
      <c r="Q1511" s="62" t="s">
        <v>118</v>
      </c>
      <c r="R1511" s="62" t="s">
        <v>4561</v>
      </c>
      <c r="S1511" s="63" t="s">
        <v>1023</v>
      </c>
      <c r="T1511" s="63" t="s">
        <v>1524</v>
      </c>
      <c r="U1511" s="64">
        <v>78600</v>
      </c>
      <c r="V1511" s="64">
        <v>86460</v>
      </c>
      <c r="W1511" s="64">
        <v>78600</v>
      </c>
      <c r="X1511" s="64">
        <v>86460</v>
      </c>
      <c r="Y1511" s="64">
        <v>0</v>
      </c>
      <c r="Z1511" s="64">
        <v>0</v>
      </c>
      <c r="AA1511" s="61">
        <v>44808</v>
      </c>
      <c r="AB1511" s="61">
        <v>44808</v>
      </c>
      <c r="AD1511" s="60">
        <v>0</v>
      </c>
      <c r="AG1511" s="60">
        <v>0</v>
      </c>
      <c r="AJ1511" s="60">
        <v>0</v>
      </c>
      <c r="AQ1511" s="60" t="s">
        <v>4278</v>
      </c>
      <c r="AR1511" s="61">
        <v>44776</v>
      </c>
      <c r="AS1511" s="60">
        <v>6002058493</v>
      </c>
      <c r="AT1511" s="61">
        <v>44776</v>
      </c>
      <c r="AU1511" s="60" t="s">
        <v>4283</v>
      </c>
      <c r="AV1511" s="61">
        <v>44834</v>
      </c>
      <c r="AW1511" s="91">
        <v>44834</v>
      </c>
      <c r="AX1511" s="91">
        <v>44854</v>
      </c>
      <c r="AY1511" s="107">
        <v>78600</v>
      </c>
      <c r="AZ1511" s="107">
        <f>ROUNDDOWN(AY1511+(AY1511*MASTER!$A$2/100),0)</f>
        <v>86460</v>
      </c>
      <c r="BA1511" s="60" t="s">
        <v>317</v>
      </c>
      <c r="BB1511" s="64">
        <v>41000</v>
      </c>
      <c r="BC1511" s="64">
        <v>45100</v>
      </c>
      <c r="BD1511" s="60" t="s">
        <v>4182</v>
      </c>
      <c r="BG1511" s="64">
        <v>0</v>
      </c>
      <c r="BK1511" s="64">
        <v>0</v>
      </c>
      <c r="BS1511" s="64">
        <v>0</v>
      </c>
      <c r="BV1511" s="65">
        <v>86460</v>
      </c>
      <c r="BW1511" s="65">
        <v>45100</v>
      </c>
      <c r="BX1511" s="65">
        <v>44774</v>
      </c>
      <c r="BY1511" s="65">
        <v>41360</v>
      </c>
      <c r="BZ1511" s="81">
        <v>47.837150127226465</v>
      </c>
    </row>
    <row r="1512" spans="1:78" x14ac:dyDescent="0.15">
      <c r="A1512" s="60">
        <v>1</v>
      </c>
      <c r="B1512" s="61">
        <v>44803</v>
      </c>
      <c r="C1512" s="61">
        <v>44834</v>
      </c>
      <c r="F1512" s="61" t="s">
        <v>309</v>
      </c>
      <c r="G1512" s="61">
        <v>44827</v>
      </c>
      <c r="H1512" s="61" t="s">
        <v>309</v>
      </c>
      <c r="J1512" s="60">
        <v>2</v>
      </c>
      <c r="L1512" s="60">
        <v>0</v>
      </c>
      <c r="M1512" s="61">
        <v>44774</v>
      </c>
      <c r="O1512" s="62" t="s">
        <v>331</v>
      </c>
      <c r="P1512" s="60" t="s">
        <v>26</v>
      </c>
      <c r="Q1512" s="62" t="s">
        <v>118</v>
      </c>
      <c r="R1512" s="62" t="s">
        <v>4560</v>
      </c>
      <c r="S1512" s="63" t="s">
        <v>1028</v>
      </c>
      <c r="T1512" s="63" t="s">
        <v>1524</v>
      </c>
      <c r="U1512" s="64">
        <v>78600</v>
      </c>
      <c r="V1512" s="64">
        <v>86460</v>
      </c>
      <c r="W1512" s="64">
        <v>78600</v>
      </c>
      <c r="X1512" s="64">
        <v>86460</v>
      </c>
      <c r="Y1512" s="64">
        <v>0</v>
      </c>
      <c r="Z1512" s="64">
        <v>0</v>
      </c>
      <c r="AA1512" s="61">
        <v>44826</v>
      </c>
      <c r="AB1512" s="61">
        <v>44826</v>
      </c>
      <c r="AD1512" s="60">
        <v>0</v>
      </c>
      <c r="AG1512" s="60">
        <v>0</v>
      </c>
      <c r="AJ1512" s="60">
        <v>0</v>
      </c>
      <c r="AQ1512" s="60" t="s">
        <v>4278</v>
      </c>
      <c r="AR1512" s="61">
        <v>44776</v>
      </c>
      <c r="AS1512" s="60">
        <v>6002058493</v>
      </c>
      <c r="AT1512" s="61">
        <v>44776</v>
      </c>
      <c r="AU1512" s="60" t="s">
        <v>4283</v>
      </c>
      <c r="AV1512" s="61">
        <v>44834</v>
      </c>
      <c r="AW1512" s="91">
        <v>44834</v>
      </c>
      <c r="AX1512" s="91">
        <v>44854</v>
      </c>
      <c r="AY1512" s="107">
        <v>78600</v>
      </c>
      <c r="AZ1512" s="107">
        <f>ROUNDDOWN(AY1512+(AY1512*MASTER!$A$2/100),0)</f>
        <v>86460</v>
      </c>
      <c r="BA1512" s="60" t="s">
        <v>317</v>
      </c>
      <c r="BB1512" s="64">
        <v>41000</v>
      </c>
      <c r="BC1512" s="64">
        <v>45100</v>
      </c>
      <c r="BD1512" s="60" t="s">
        <v>4182</v>
      </c>
      <c r="BG1512" s="64">
        <v>0</v>
      </c>
      <c r="BK1512" s="64">
        <v>0</v>
      </c>
      <c r="BS1512" s="64">
        <v>0</v>
      </c>
      <c r="BV1512" s="65">
        <v>86460</v>
      </c>
      <c r="BW1512" s="65">
        <v>45100</v>
      </c>
      <c r="BX1512" s="65">
        <v>44774</v>
      </c>
      <c r="BY1512" s="65">
        <v>41360</v>
      </c>
      <c r="BZ1512" s="81">
        <v>47.837150127226465</v>
      </c>
    </row>
    <row r="1513" spans="1:78" x14ac:dyDescent="0.15">
      <c r="A1513" s="60">
        <v>1</v>
      </c>
      <c r="B1513" s="61">
        <v>44803</v>
      </c>
      <c r="C1513" s="61">
        <v>44834</v>
      </c>
      <c r="F1513" s="61" t="s">
        <v>309</v>
      </c>
      <c r="G1513" s="61">
        <v>44827</v>
      </c>
      <c r="H1513" s="61" t="s">
        <v>309</v>
      </c>
      <c r="J1513" s="60">
        <v>2</v>
      </c>
      <c r="L1513" s="60">
        <v>0</v>
      </c>
      <c r="M1513" s="61">
        <v>44774</v>
      </c>
      <c r="O1513" s="62" t="s">
        <v>331</v>
      </c>
      <c r="P1513" s="60" t="s">
        <v>26</v>
      </c>
      <c r="Q1513" s="62" t="s">
        <v>118</v>
      </c>
      <c r="R1513" s="62" t="s">
        <v>4559</v>
      </c>
      <c r="S1513" s="63" t="s">
        <v>1026</v>
      </c>
      <c r="T1513" s="63" t="s">
        <v>1524</v>
      </c>
      <c r="U1513" s="64">
        <v>78600</v>
      </c>
      <c r="V1513" s="64">
        <v>86460</v>
      </c>
      <c r="W1513" s="64">
        <v>78600</v>
      </c>
      <c r="X1513" s="64">
        <v>86460</v>
      </c>
      <c r="Y1513" s="64">
        <v>0</v>
      </c>
      <c r="Z1513" s="64">
        <v>0</v>
      </c>
      <c r="AA1513" s="61">
        <v>44826</v>
      </c>
      <c r="AB1513" s="61">
        <v>44826</v>
      </c>
      <c r="AD1513" s="60">
        <v>0</v>
      </c>
      <c r="AG1513" s="60">
        <v>0</v>
      </c>
      <c r="AJ1513" s="60">
        <v>0</v>
      </c>
      <c r="AQ1513" s="60" t="s">
        <v>4278</v>
      </c>
      <c r="AR1513" s="61">
        <v>44776</v>
      </c>
      <c r="AS1513" s="60">
        <v>6002058493</v>
      </c>
      <c r="AT1513" s="61">
        <v>44776</v>
      </c>
      <c r="AU1513" s="60" t="s">
        <v>4283</v>
      </c>
      <c r="AV1513" s="61">
        <v>44834</v>
      </c>
      <c r="AW1513" s="91">
        <v>44834</v>
      </c>
      <c r="AX1513" s="91">
        <v>44854</v>
      </c>
      <c r="AY1513" s="107">
        <v>78600</v>
      </c>
      <c r="AZ1513" s="107">
        <f>ROUNDDOWN(AY1513+(AY1513*MASTER!$A$2/100),0)</f>
        <v>86460</v>
      </c>
      <c r="BA1513" s="60" t="s">
        <v>317</v>
      </c>
      <c r="BB1513" s="64">
        <v>40000</v>
      </c>
      <c r="BC1513" s="64">
        <v>44000</v>
      </c>
      <c r="BD1513" s="60" t="s">
        <v>4182</v>
      </c>
      <c r="BG1513" s="64">
        <v>0</v>
      </c>
      <c r="BK1513" s="64">
        <v>0</v>
      </c>
      <c r="BS1513" s="64">
        <v>0</v>
      </c>
      <c r="BV1513" s="65">
        <v>86460</v>
      </c>
      <c r="BW1513" s="65">
        <v>44000</v>
      </c>
      <c r="BX1513" s="65">
        <v>44774</v>
      </c>
      <c r="BY1513" s="65">
        <v>42460</v>
      </c>
      <c r="BZ1513" s="81">
        <v>49.109414758269722</v>
      </c>
    </row>
    <row r="1514" spans="1:78" x14ac:dyDescent="0.15">
      <c r="A1514" s="60">
        <v>1</v>
      </c>
      <c r="B1514" s="61">
        <v>44803</v>
      </c>
      <c r="C1514" s="61">
        <v>44834</v>
      </c>
      <c r="F1514" s="61" t="s">
        <v>309</v>
      </c>
      <c r="G1514" s="61">
        <v>44809</v>
      </c>
      <c r="H1514" s="61" t="s">
        <v>309</v>
      </c>
      <c r="J1514" s="60">
        <v>2</v>
      </c>
      <c r="L1514" s="60">
        <v>0</v>
      </c>
      <c r="M1514" s="61">
        <v>44774</v>
      </c>
      <c r="O1514" s="62" t="s">
        <v>331</v>
      </c>
      <c r="P1514" s="60" t="s">
        <v>26</v>
      </c>
      <c r="Q1514" s="62" t="s">
        <v>118</v>
      </c>
      <c r="R1514" s="62" t="s">
        <v>4558</v>
      </c>
      <c r="S1514" s="63" t="s">
        <v>1016</v>
      </c>
      <c r="T1514" s="63" t="s">
        <v>1524</v>
      </c>
      <c r="U1514" s="64">
        <v>78600</v>
      </c>
      <c r="V1514" s="64">
        <v>86460</v>
      </c>
      <c r="W1514" s="64">
        <v>78600</v>
      </c>
      <c r="X1514" s="64">
        <v>86460</v>
      </c>
      <c r="Y1514" s="64">
        <v>0</v>
      </c>
      <c r="Z1514" s="64">
        <v>0</v>
      </c>
      <c r="AA1514" s="61">
        <v>44808</v>
      </c>
      <c r="AB1514" s="61">
        <v>44808</v>
      </c>
      <c r="AD1514" s="60">
        <v>0</v>
      </c>
      <c r="AG1514" s="60">
        <v>0</v>
      </c>
      <c r="AJ1514" s="60">
        <v>0</v>
      </c>
      <c r="AQ1514" s="60" t="s">
        <v>4278</v>
      </c>
      <c r="AR1514" s="61">
        <v>44776</v>
      </c>
      <c r="AS1514" s="60">
        <v>6002058493</v>
      </c>
      <c r="AT1514" s="61">
        <v>44776</v>
      </c>
      <c r="AU1514" s="60" t="s">
        <v>4283</v>
      </c>
      <c r="AV1514" s="61">
        <v>44834</v>
      </c>
      <c r="AW1514" s="91">
        <v>44834</v>
      </c>
      <c r="AX1514" s="91">
        <v>44854</v>
      </c>
      <c r="AY1514" s="107">
        <v>78600</v>
      </c>
      <c r="AZ1514" s="107">
        <f>ROUNDDOWN(AY1514+(AY1514*MASTER!$A$2/100),0)</f>
        <v>86460</v>
      </c>
      <c r="BA1514" s="60" t="s">
        <v>317</v>
      </c>
      <c r="BB1514" s="64">
        <v>41000</v>
      </c>
      <c r="BC1514" s="64">
        <v>45100</v>
      </c>
      <c r="BD1514" s="60" t="s">
        <v>4182</v>
      </c>
      <c r="BG1514" s="64">
        <v>0</v>
      </c>
      <c r="BK1514" s="64">
        <v>0</v>
      </c>
      <c r="BS1514" s="64">
        <v>0</v>
      </c>
      <c r="BV1514" s="65">
        <v>86460</v>
      </c>
      <c r="BW1514" s="65">
        <v>45100</v>
      </c>
      <c r="BX1514" s="65">
        <v>44774</v>
      </c>
      <c r="BY1514" s="65">
        <v>41360</v>
      </c>
      <c r="BZ1514" s="81">
        <v>47.837150127226465</v>
      </c>
    </row>
    <row r="1515" spans="1:78" x14ac:dyDescent="0.15">
      <c r="A1515" s="60">
        <v>1</v>
      </c>
      <c r="B1515" s="61">
        <v>44803</v>
      </c>
      <c r="C1515" s="61">
        <v>44834</v>
      </c>
      <c r="F1515" s="61" t="s">
        <v>309</v>
      </c>
      <c r="G1515" s="61">
        <v>44827</v>
      </c>
      <c r="H1515" s="61" t="s">
        <v>309</v>
      </c>
      <c r="J1515" s="60">
        <v>2</v>
      </c>
      <c r="L1515" s="60">
        <v>0</v>
      </c>
      <c r="M1515" s="61">
        <v>44774</v>
      </c>
      <c r="O1515" s="62" t="s">
        <v>331</v>
      </c>
      <c r="P1515" s="60" t="s">
        <v>26</v>
      </c>
      <c r="Q1515" s="62" t="s">
        <v>118</v>
      </c>
      <c r="R1515" s="62" t="s">
        <v>4557</v>
      </c>
      <c r="S1515" s="63" t="s">
        <v>409</v>
      </c>
      <c r="T1515" s="63" t="s">
        <v>1524</v>
      </c>
      <c r="U1515" s="64">
        <v>78600</v>
      </c>
      <c r="V1515" s="64">
        <v>86460</v>
      </c>
      <c r="W1515" s="64">
        <v>78600</v>
      </c>
      <c r="X1515" s="64">
        <v>86460</v>
      </c>
      <c r="Y1515" s="64">
        <v>0</v>
      </c>
      <c r="Z1515" s="64">
        <v>0</v>
      </c>
      <c r="AA1515" s="61">
        <v>44826</v>
      </c>
      <c r="AB1515" s="61">
        <v>44826</v>
      </c>
      <c r="AD1515" s="60">
        <v>0</v>
      </c>
      <c r="AG1515" s="60">
        <v>0</v>
      </c>
      <c r="AJ1515" s="60">
        <v>0</v>
      </c>
      <c r="AQ1515" s="60" t="s">
        <v>4278</v>
      </c>
      <c r="AR1515" s="61">
        <v>44776</v>
      </c>
      <c r="AS1515" s="60">
        <v>6002058493</v>
      </c>
      <c r="AT1515" s="61">
        <v>44776</v>
      </c>
      <c r="AU1515" s="60" t="s">
        <v>4283</v>
      </c>
      <c r="AV1515" s="61">
        <v>44834</v>
      </c>
      <c r="AW1515" s="91">
        <v>44834</v>
      </c>
      <c r="AX1515" s="91">
        <v>44854</v>
      </c>
      <c r="AY1515" s="107">
        <v>78600</v>
      </c>
      <c r="AZ1515" s="107">
        <f>ROUNDDOWN(AY1515+(AY1515*MASTER!$A$2/100),0)</f>
        <v>86460</v>
      </c>
      <c r="BA1515" s="60" t="s">
        <v>317</v>
      </c>
      <c r="BB1515" s="64">
        <v>38000</v>
      </c>
      <c r="BC1515" s="64">
        <v>41800</v>
      </c>
      <c r="BD1515" s="60" t="s">
        <v>4182</v>
      </c>
      <c r="BG1515" s="64">
        <v>0</v>
      </c>
      <c r="BK1515" s="64">
        <v>0</v>
      </c>
      <c r="BS1515" s="64">
        <v>0</v>
      </c>
      <c r="BV1515" s="65">
        <v>86460</v>
      </c>
      <c r="BW1515" s="65">
        <v>41800</v>
      </c>
      <c r="BX1515" s="65">
        <v>44774</v>
      </c>
      <c r="BY1515" s="65">
        <v>44660</v>
      </c>
      <c r="BZ1515" s="81">
        <v>51.653944020356235</v>
      </c>
    </row>
    <row r="1516" spans="1:78" x14ac:dyDescent="0.15">
      <c r="A1516" s="60">
        <v>1</v>
      </c>
      <c r="B1516" s="61">
        <v>44803</v>
      </c>
      <c r="C1516" s="61">
        <v>44834</v>
      </c>
      <c r="F1516" s="61" t="s">
        <v>309</v>
      </c>
      <c r="G1516" s="61">
        <v>44819</v>
      </c>
      <c r="H1516" s="61" t="s">
        <v>309</v>
      </c>
      <c r="J1516" s="60">
        <v>2</v>
      </c>
      <c r="L1516" s="60">
        <v>0</v>
      </c>
      <c r="M1516" s="61">
        <v>44774</v>
      </c>
      <c r="O1516" s="62" t="s">
        <v>331</v>
      </c>
      <c r="P1516" s="60" t="s">
        <v>26</v>
      </c>
      <c r="Q1516" s="62" t="s">
        <v>118</v>
      </c>
      <c r="R1516" s="62" t="s">
        <v>4573</v>
      </c>
      <c r="S1516" s="63" t="s">
        <v>1042</v>
      </c>
      <c r="T1516" s="63" t="s">
        <v>1524</v>
      </c>
      <c r="U1516" s="64">
        <v>78600</v>
      </c>
      <c r="V1516" s="64">
        <v>86460</v>
      </c>
      <c r="W1516" s="64">
        <v>78600</v>
      </c>
      <c r="X1516" s="64">
        <v>86460</v>
      </c>
      <c r="Y1516" s="64">
        <v>0</v>
      </c>
      <c r="Z1516" s="64">
        <v>0</v>
      </c>
      <c r="AA1516" s="61">
        <v>44817</v>
      </c>
      <c r="AB1516" s="61">
        <v>44817</v>
      </c>
      <c r="AD1516" s="60">
        <v>0</v>
      </c>
      <c r="AG1516" s="60">
        <v>0</v>
      </c>
      <c r="AJ1516" s="60">
        <v>0</v>
      </c>
      <c r="AQ1516" s="60" t="s">
        <v>4278</v>
      </c>
      <c r="AR1516" s="61">
        <v>44776</v>
      </c>
      <c r="AS1516" s="60">
        <v>6002058493</v>
      </c>
      <c r="AT1516" s="61">
        <v>44776</v>
      </c>
      <c r="AU1516" s="60" t="s">
        <v>4283</v>
      </c>
      <c r="AV1516" s="61">
        <v>44834</v>
      </c>
      <c r="AW1516" s="91">
        <v>44834</v>
      </c>
      <c r="AX1516" s="91">
        <v>44854</v>
      </c>
      <c r="AY1516" s="107">
        <v>78600</v>
      </c>
      <c r="AZ1516" s="107">
        <f>ROUNDDOWN(AY1516+(AY1516*MASTER!$A$2/100),0)</f>
        <v>86460</v>
      </c>
      <c r="BA1516" s="60" t="s">
        <v>314</v>
      </c>
      <c r="BB1516" s="64">
        <v>31000</v>
      </c>
      <c r="BC1516" s="64">
        <v>34100</v>
      </c>
      <c r="BD1516" s="60" t="s">
        <v>4182</v>
      </c>
      <c r="BG1516" s="64">
        <v>0</v>
      </c>
      <c r="BK1516" s="64">
        <v>0</v>
      </c>
      <c r="BS1516" s="64">
        <v>0</v>
      </c>
      <c r="BV1516" s="65">
        <v>86460</v>
      </c>
      <c r="BW1516" s="65">
        <v>34100</v>
      </c>
      <c r="BX1516" s="65">
        <v>44774</v>
      </c>
      <c r="BY1516" s="65">
        <v>52360</v>
      </c>
      <c r="BZ1516" s="81">
        <v>60.559796437659031</v>
      </c>
    </row>
    <row r="1517" spans="1:78" x14ac:dyDescent="0.15">
      <c r="A1517" s="60">
        <v>1</v>
      </c>
      <c r="B1517" s="61">
        <v>44803</v>
      </c>
      <c r="C1517" s="61">
        <v>44834</v>
      </c>
      <c r="F1517" s="61" t="s">
        <v>309</v>
      </c>
      <c r="G1517" s="61">
        <v>44820</v>
      </c>
      <c r="H1517" s="61" t="s">
        <v>309</v>
      </c>
      <c r="J1517" s="60">
        <v>2</v>
      </c>
      <c r="L1517" s="60">
        <v>0</v>
      </c>
      <c r="M1517" s="61">
        <v>44774</v>
      </c>
      <c r="O1517" s="62" t="s">
        <v>331</v>
      </c>
      <c r="P1517" s="60" t="s">
        <v>26</v>
      </c>
      <c r="Q1517" s="62" t="s">
        <v>118</v>
      </c>
      <c r="R1517" s="62" t="s">
        <v>4574</v>
      </c>
      <c r="S1517" s="63" t="s">
        <v>828</v>
      </c>
      <c r="T1517" s="63" t="s">
        <v>1524</v>
      </c>
      <c r="U1517" s="64">
        <v>78600</v>
      </c>
      <c r="V1517" s="64">
        <v>86460</v>
      </c>
      <c r="W1517" s="64">
        <v>78600</v>
      </c>
      <c r="X1517" s="64">
        <v>86460</v>
      </c>
      <c r="Y1517" s="64">
        <v>0</v>
      </c>
      <c r="Z1517" s="64">
        <v>0</v>
      </c>
      <c r="AA1517" s="61">
        <v>44818</v>
      </c>
      <c r="AB1517" s="61">
        <v>44818</v>
      </c>
      <c r="AD1517" s="60">
        <v>0</v>
      </c>
      <c r="AG1517" s="60">
        <v>0</v>
      </c>
      <c r="AJ1517" s="60">
        <v>0</v>
      </c>
      <c r="AQ1517" s="60" t="s">
        <v>4278</v>
      </c>
      <c r="AR1517" s="61">
        <v>44776</v>
      </c>
      <c r="AS1517" s="60">
        <v>6002058493</v>
      </c>
      <c r="AT1517" s="61">
        <v>44776</v>
      </c>
      <c r="AU1517" s="60" t="s">
        <v>4283</v>
      </c>
      <c r="AV1517" s="61">
        <v>44834</v>
      </c>
      <c r="AW1517" s="91">
        <v>44834</v>
      </c>
      <c r="AX1517" s="91">
        <v>44854</v>
      </c>
      <c r="AY1517" s="107">
        <v>78600</v>
      </c>
      <c r="AZ1517" s="107">
        <f>ROUNDDOWN(AY1517+(AY1517*MASTER!$A$2/100),0)</f>
        <v>86460</v>
      </c>
      <c r="BA1517" s="60" t="s">
        <v>314</v>
      </c>
      <c r="BB1517" s="64">
        <v>31000</v>
      </c>
      <c r="BC1517" s="64">
        <v>34100</v>
      </c>
      <c r="BD1517" s="60" t="s">
        <v>4182</v>
      </c>
      <c r="BG1517" s="64">
        <v>0</v>
      </c>
      <c r="BK1517" s="64">
        <v>0</v>
      </c>
      <c r="BS1517" s="64">
        <v>0</v>
      </c>
      <c r="BV1517" s="65">
        <v>86460</v>
      </c>
      <c r="BW1517" s="65">
        <v>34100</v>
      </c>
      <c r="BX1517" s="65">
        <v>44774</v>
      </c>
      <c r="BY1517" s="65">
        <v>52360</v>
      </c>
      <c r="BZ1517" s="81">
        <v>60.559796437659031</v>
      </c>
    </row>
    <row r="1518" spans="1:78" x14ac:dyDescent="0.15">
      <c r="A1518" s="60">
        <v>1</v>
      </c>
      <c r="B1518" s="61">
        <v>44803</v>
      </c>
      <c r="C1518" s="61">
        <v>44834</v>
      </c>
      <c r="F1518" s="61" t="s">
        <v>309</v>
      </c>
      <c r="G1518" s="61">
        <v>44821</v>
      </c>
      <c r="H1518" s="61" t="s">
        <v>309</v>
      </c>
      <c r="J1518" s="60">
        <v>2</v>
      </c>
      <c r="L1518" s="60">
        <v>0</v>
      </c>
      <c r="M1518" s="61">
        <v>44774</v>
      </c>
      <c r="O1518" s="62" t="s">
        <v>331</v>
      </c>
      <c r="P1518" s="60" t="s">
        <v>26</v>
      </c>
      <c r="Q1518" s="62" t="s">
        <v>118</v>
      </c>
      <c r="R1518" s="62" t="s">
        <v>4575</v>
      </c>
      <c r="S1518" s="63" t="s">
        <v>4242</v>
      </c>
      <c r="T1518" s="63" t="s">
        <v>1524</v>
      </c>
      <c r="U1518" s="64">
        <v>78600</v>
      </c>
      <c r="V1518" s="64">
        <v>86460</v>
      </c>
      <c r="W1518" s="64">
        <v>78600</v>
      </c>
      <c r="X1518" s="64">
        <v>86460</v>
      </c>
      <c r="Y1518" s="64">
        <v>0</v>
      </c>
      <c r="Z1518" s="64">
        <v>0</v>
      </c>
      <c r="AA1518" s="61">
        <v>44818</v>
      </c>
      <c r="AB1518" s="61">
        <v>44818</v>
      </c>
      <c r="AD1518" s="60">
        <v>0</v>
      </c>
      <c r="AG1518" s="60">
        <v>0</v>
      </c>
      <c r="AJ1518" s="60">
        <v>0</v>
      </c>
      <c r="AQ1518" s="60" t="s">
        <v>4278</v>
      </c>
      <c r="AR1518" s="61">
        <v>44776</v>
      </c>
      <c r="AS1518" s="60">
        <v>6002058493</v>
      </c>
      <c r="AT1518" s="61">
        <v>44776</v>
      </c>
      <c r="AU1518" s="60" t="s">
        <v>4283</v>
      </c>
      <c r="AV1518" s="61">
        <v>44834</v>
      </c>
      <c r="AW1518" s="91">
        <v>44834</v>
      </c>
      <c r="AX1518" s="91">
        <v>44854</v>
      </c>
      <c r="AY1518" s="107">
        <v>78600</v>
      </c>
      <c r="AZ1518" s="107">
        <f>ROUNDDOWN(AY1518+(AY1518*MASTER!$A$2/100),0)</f>
        <v>86460</v>
      </c>
      <c r="BA1518" s="60" t="s">
        <v>314</v>
      </c>
      <c r="BB1518" s="64">
        <v>32000</v>
      </c>
      <c r="BC1518" s="64">
        <v>35200</v>
      </c>
      <c r="BD1518" s="60" t="s">
        <v>4182</v>
      </c>
      <c r="BG1518" s="64">
        <v>0</v>
      </c>
      <c r="BK1518" s="64">
        <v>0</v>
      </c>
      <c r="BS1518" s="64">
        <v>0</v>
      </c>
      <c r="BV1518" s="65">
        <v>86460</v>
      </c>
      <c r="BW1518" s="65">
        <v>35200</v>
      </c>
      <c r="BX1518" s="65">
        <v>44774</v>
      </c>
      <c r="BY1518" s="65">
        <v>51260</v>
      </c>
      <c r="BZ1518" s="81">
        <v>59.287531806615782</v>
      </c>
    </row>
    <row r="1519" spans="1:78" x14ac:dyDescent="0.15">
      <c r="A1519" s="60">
        <v>2</v>
      </c>
      <c r="B1519" s="61">
        <v>44803</v>
      </c>
      <c r="C1519" s="61">
        <v>44834</v>
      </c>
      <c r="D1519" s="61">
        <v>44809</v>
      </c>
      <c r="F1519" s="61" t="s">
        <v>309</v>
      </c>
      <c r="G1519" s="61">
        <v>44809</v>
      </c>
      <c r="H1519" s="61" t="s">
        <v>309</v>
      </c>
      <c r="I1519" s="60" t="s">
        <v>4277</v>
      </c>
      <c r="J1519" s="60">
        <v>2</v>
      </c>
      <c r="L1519" s="60">
        <v>0</v>
      </c>
      <c r="M1519" s="61">
        <v>44774</v>
      </c>
      <c r="O1519" s="62" t="s">
        <v>331</v>
      </c>
      <c r="P1519" s="60" t="s">
        <v>26</v>
      </c>
      <c r="Q1519" s="62" t="s">
        <v>118</v>
      </c>
      <c r="R1519" s="62" t="s">
        <v>4598</v>
      </c>
      <c r="S1519" s="63" t="s">
        <v>3771</v>
      </c>
      <c r="T1519" s="63" t="s">
        <v>1524</v>
      </c>
      <c r="U1519" s="64">
        <v>78600</v>
      </c>
      <c r="V1519" s="64">
        <v>86460</v>
      </c>
      <c r="W1519" s="64">
        <v>78600</v>
      </c>
      <c r="X1519" s="64">
        <v>86460</v>
      </c>
      <c r="Y1519" s="64">
        <v>0</v>
      </c>
      <c r="Z1519" s="64">
        <v>0</v>
      </c>
      <c r="AA1519" s="61">
        <v>44806</v>
      </c>
      <c r="AB1519" s="61">
        <v>44806</v>
      </c>
      <c r="AD1519" s="60">
        <v>0</v>
      </c>
      <c r="AG1519" s="60">
        <v>0</v>
      </c>
      <c r="AJ1519" s="60">
        <v>0</v>
      </c>
      <c r="AQ1519" s="60" t="s">
        <v>4278</v>
      </c>
      <c r="AR1519" s="61">
        <v>44776</v>
      </c>
      <c r="AS1519" s="60">
        <v>6002058493</v>
      </c>
      <c r="AT1519" s="61">
        <v>44776</v>
      </c>
      <c r="AU1519" s="60" t="s">
        <v>4283</v>
      </c>
      <c r="AV1519" s="61">
        <v>44834</v>
      </c>
      <c r="AW1519" s="91">
        <v>44834</v>
      </c>
      <c r="AX1519" s="91">
        <v>44854</v>
      </c>
      <c r="AY1519" s="107">
        <v>78600</v>
      </c>
      <c r="AZ1519" s="107">
        <f>ROUNDDOWN(AY1519+(AY1519*MASTER!$A$2/100),0)</f>
        <v>86460</v>
      </c>
      <c r="BA1519" s="60" t="s">
        <v>765</v>
      </c>
      <c r="BC1519" s="64">
        <v>0</v>
      </c>
      <c r="BG1519" s="64">
        <v>0</v>
      </c>
      <c r="BK1519" s="64">
        <v>0</v>
      </c>
      <c r="BS1519" s="64">
        <v>0</v>
      </c>
      <c r="BV1519" s="65">
        <v>86460</v>
      </c>
      <c r="BW1519" s="65">
        <v>0</v>
      </c>
      <c r="BX1519" s="65">
        <v>44774</v>
      </c>
      <c r="BY1519" s="65">
        <v>86460</v>
      </c>
      <c r="BZ1519" s="81">
        <v>100</v>
      </c>
    </row>
    <row r="1520" spans="1:78" x14ac:dyDescent="0.15">
      <c r="A1520" s="60">
        <v>1</v>
      </c>
      <c r="B1520" s="61">
        <v>44803</v>
      </c>
      <c r="C1520" s="61">
        <v>44834</v>
      </c>
      <c r="F1520" s="61" t="s">
        <v>309</v>
      </c>
      <c r="G1520" s="61">
        <v>44809</v>
      </c>
      <c r="H1520" s="61" t="s">
        <v>309</v>
      </c>
      <c r="J1520" s="60">
        <v>2</v>
      </c>
      <c r="L1520" s="60">
        <v>0</v>
      </c>
      <c r="M1520" s="61">
        <v>44774</v>
      </c>
      <c r="O1520" s="62" t="s">
        <v>331</v>
      </c>
      <c r="P1520" s="60" t="s">
        <v>26</v>
      </c>
      <c r="Q1520" s="62" t="s">
        <v>118</v>
      </c>
      <c r="R1520" s="62" t="s">
        <v>4571</v>
      </c>
      <c r="S1520" s="63" t="s">
        <v>1458</v>
      </c>
      <c r="T1520" s="63" t="s">
        <v>1524</v>
      </c>
      <c r="U1520" s="64">
        <v>78600</v>
      </c>
      <c r="V1520" s="64">
        <v>86460</v>
      </c>
      <c r="W1520" s="64">
        <v>78600</v>
      </c>
      <c r="X1520" s="64">
        <v>86460</v>
      </c>
      <c r="Y1520" s="64">
        <v>0</v>
      </c>
      <c r="Z1520" s="64">
        <v>0</v>
      </c>
      <c r="AA1520" s="61">
        <v>44806</v>
      </c>
      <c r="AB1520" s="61">
        <v>44806</v>
      </c>
      <c r="AD1520" s="60">
        <v>0</v>
      </c>
      <c r="AG1520" s="60">
        <v>0</v>
      </c>
      <c r="AJ1520" s="60">
        <v>0</v>
      </c>
      <c r="AQ1520" s="60" t="s">
        <v>4278</v>
      </c>
      <c r="AR1520" s="61">
        <v>44776</v>
      </c>
      <c r="AS1520" s="60">
        <v>6002058493</v>
      </c>
      <c r="AT1520" s="61">
        <v>44776</v>
      </c>
      <c r="AU1520" s="60" t="s">
        <v>4283</v>
      </c>
      <c r="AV1520" s="61">
        <v>44834</v>
      </c>
      <c r="AW1520" s="91">
        <v>44834</v>
      </c>
      <c r="AX1520" s="91">
        <v>44854</v>
      </c>
      <c r="AY1520" s="107">
        <v>78600</v>
      </c>
      <c r="AZ1520" s="107">
        <f>ROUNDDOWN(AY1520+(AY1520*MASTER!$A$2/100),0)</f>
        <v>86460</v>
      </c>
      <c r="BA1520" s="60" t="s">
        <v>317</v>
      </c>
      <c r="BB1520" s="64">
        <v>33000</v>
      </c>
      <c r="BC1520" s="64">
        <v>36300</v>
      </c>
      <c r="BD1520" s="60" t="s">
        <v>4182</v>
      </c>
      <c r="BG1520" s="64">
        <v>0</v>
      </c>
      <c r="BK1520" s="64">
        <v>0</v>
      </c>
      <c r="BS1520" s="64">
        <v>0</v>
      </c>
      <c r="BV1520" s="65">
        <v>86460</v>
      </c>
      <c r="BW1520" s="65">
        <v>36300</v>
      </c>
      <c r="BX1520" s="65">
        <v>44774</v>
      </c>
      <c r="BY1520" s="65">
        <v>50160</v>
      </c>
      <c r="BZ1520" s="81">
        <v>58.015267175572518</v>
      </c>
    </row>
    <row r="1521" spans="1:78" x14ac:dyDescent="0.15">
      <c r="A1521" s="60">
        <v>1</v>
      </c>
      <c r="B1521" s="61">
        <v>44803</v>
      </c>
      <c r="C1521" s="61">
        <v>44834</v>
      </c>
      <c r="F1521" s="61" t="s">
        <v>309</v>
      </c>
      <c r="G1521" s="61">
        <v>44818</v>
      </c>
      <c r="H1521" s="61" t="s">
        <v>309</v>
      </c>
      <c r="J1521" s="60">
        <v>2</v>
      </c>
      <c r="L1521" s="60">
        <v>0</v>
      </c>
      <c r="M1521" s="61">
        <v>44774</v>
      </c>
      <c r="O1521" s="62" t="s">
        <v>331</v>
      </c>
      <c r="P1521" s="60" t="s">
        <v>26</v>
      </c>
      <c r="Q1521" s="62" t="s">
        <v>118</v>
      </c>
      <c r="R1521" s="62" t="s">
        <v>4572</v>
      </c>
      <c r="S1521" s="63" t="s">
        <v>3338</v>
      </c>
      <c r="T1521" s="63" t="s">
        <v>1524</v>
      </c>
      <c r="U1521" s="64">
        <v>78600</v>
      </c>
      <c r="V1521" s="64">
        <v>86460</v>
      </c>
      <c r="W1521" s="64">
        <v>78600</v>
      </c>
      <c r="X1521" s="64">
        <v>86460</v>
      </c>
      <c r="Y1521" s="64">
        <v>0</v>
      </c>
      <c r="Z1521" s="64">
        <v>0</v>
      </c>
      <c r="AA1521" s="61">
        <v>44817</v>
      </c>
      <c r="AB1521" s="61">
        <v>44817</v>
      </c>
      <c r="AD1521" s="60">
        <v>0</v>
      </c>
      <c r="AG1521" s="60">
        <v>0</v>
      </c>
      <c r="AJ1521" s="60">
        <v>0</v>
      </c>
      <c r="AQ1521" s="60" t="s">
        <v>4278</v>
      </c>
      <c r="AR1521" s="61">
        <v>44776</v>
      </c>
      <c r="AS1521" s="60">
        <v>6002058493</v>
      </c>
      <c r="AT1521" s="61">
        <v>44776</v>
      </c>
      <c r="AU1521" s="60" t="s">
        <v>4283</v>
      </c>
      <c r="AV1521" s="61">
        <v>44834</v>
      </c>
      <c r="AW1521" s="91">
        <v>44834</v>
      </c>
      <c r="AX1521" s="91">
        <v>44854</v>
      </c>
      <c r="AY1521" s="107">
        <v>78600</v>
      </c>
      <c r="AZ1521" s="107">
        <f>ROUNDDOWN(AY1521+(AY1521*MASTER!$A$2/100),0)</f>
        <v>86460</v>
      </c>
      <c r="BA1521" s="60" t="s">
        <v>317</v>
      </c>
      <c r="BB1521" s="64">
        <v>31000</v>
      </c>
      <c r="BC1521" s="64">
        <v>34100</v>
      </c>
      <c r="BD1521" s="60" t="s">
        <v>4182</v>
      </c>
      <c r="BG1521" s="64">
        <v>0</v>
      </c>
      <c r="BK1521" s="64">
        <v>0</v>
      </c>
      <c r="BS1521" s="64">
        <v>0</v>
      </c>
      <c r="BV1521" s="65">
        <v>86460</v>
      </c>
      <c r="BW1521" s="65">
        <v>34100</v>
      </c>
      <c r="BX1521" s="65">
        <v>44774</v>
      </c>
      <c r="BY1521" s="65">
        <v>52360</v>
      </c>
      <c r="BZ1521" s="81">
        <v>60.559796437659031</v>
      </c>
    </row>
    <row r="1522" spans="1:78" x14ac:dyDescent="0.15">
      <c r="A1522" s="60">
        <v>1</v>
      </c>
      <c r="B1522" s="61">
        <v>44803</v>
      </c>
      <c r="C1522" s="61">
        <v>44834</v>
      </c>
      <c r="F1522" s="61" t="s">
        <v>309</v>
      </c>
      <c r="G1522" s="61">
        <v>44809</v>
      </c>
      <c r="H1522" s="61" t="s">
        <v>309</v>
      </c>
      <c r="J1522" s="60">
        <v>2</v>
      </c>
      <c r="L1522" s="60">
        <v>0</v>
      </c>
      <c r="M1522" s="61">
        <v>44774</v>
      </c>
      <c r="O1522" s="62" t="s">
        <v>331</v>
      </c>
      <c r="P1522" s="60" t="s">
        <v>26</v>
      </c>
      <c r="Q1522" s="62" t="s">
        <v>118</v>
      </c>
      <c r="R1522" s="62" t="s">
        <v>4556</v>
      </c>
      <c r="S1522" s="63" t="s">
        <v>1872</v>
      </c>
      <c r="T1522" s="63" t="s">
        <v>1524</v>
      </c>
      <c r="U1522" s="64">
        <v>78600</v>
      </c>
      <c r="V1522" s="64">
        <v>86460</v>
      </c>
      <c r="W1522" s="64">
        <v>78600</v>
      </c>
      <c r="X1522" s="64">
        <v>86460</v>
      </c>
      <c r="Y1522" s="64">
        <v>0</v>
      </c>
      <c r="Z1522" s="64">
        <v>0</v>
      </c>
      <c r="AA1522" s="61">
        <v>44806</v>
      </c>
      <c r="AB1522" s="61">
        <v>44806</v>
      </c>
      <c r="AD1522" s="60">
        <v>0</v>
      </c>
      <c r="AG1522" s="60">
        <v>0</v>
      </c>
      <c r="AJ1522" s="60">
        <v>0</v>
      </c>
      <c r="AQ1522" s="60" t="s">
        <v>4278</v>
      </c>
      <c r="AR1522" s="61">
        <v>44776</v>
      </c>
      <c r="AS1522" s="60">
        <v>6002058493</v>
      </c>
      <c r="AT1522" s="61">
        <v>44776</v>
      </c>
      <c r="AU1522" s="60" t="s">
        <v>4283</v>
      </c>
      <c r="AV1522" s="61">
        <v>44834</v>
      </c>
      <c r="AW1522" s="91">
        <v>44834</v>
      </c>
      <c r="AX1522" s="91">
        <v>44854</v>
      </c>
      <c r="AY1522" s="107">
        <v>78600</v>
      </c>
      <c r="AZ1522" s="107">
        <f>ROUNDDOWN(AY1522+(AY1522*MASTER!$A$2/100),0)</f>
        <v>86460</v>
      </c>
      <c r="BA1522" s="60" t="s">
        <v>317</v>
      </c>
      <c r="BB1522" s="64">
        <v>33000</v>
      </c>
      <c r="BC1522" s="64">
        <v>36300</v>
      </c>
      <c r="BD1522" s="60" t="s">
        <v>4182</v>
      </c>
      <c r="BG1522" s="64">
        <v>0</v>
      </c>
      <c r="BK1522" s="64">
        <v>0</v>
      </c>
      <c r="BS1522" s="64">
        <v>0</v>
      </c>
      <c r="BV1522" s="65">
        <v>86460</v>
      </c>
      <c r="BW1522" s="65">
        <v>36300</v>
      </c>
      <c r="BX1522" s="65">
        <v>44774</v>
      </c>
      <c r="BY1522" s="65">
        <v>50160</v>
      </c>
      <c r="BZ1522" s="81">
        <v>58.015267175572518</v>
      </c>
    </row>
    <row r="1523" spans="1:78" x14ac:dyDescent="0.15">
      <c r="A1523" s="60">
        <v>1</v>
      </c>
      <c r="B1523" s="61">
        <v>44803</v>
      </c>
      <c r="C1523" s="61">
        <v>44834</v>
      </c>
      <c r="F1523" s="61" t="s">
        <v>309</v>
      </c>
      <c r="G1523" s="61">
        <v>44817</v>
      </c>
      <c r="H1523" s="61" t="s">
        <v>309</v>
      </c>
      <c r="J1523" s="60">
        <v>2</v>
      </c>
      <c r="L1523" s="60">
        <v>0</v>
      </c>
      <c r="M1523" s="61">
        <v>44774</v>
      </c>
      <c r="O1523" s="62" t="s">
        <v>331</v>
      </c>
      <c r="P1523" s="60" t="s">
        <v>26</v>
      </c>
      <c r="Q1523" s="62" t="s">
        <v>118</v>
      </c>
      <c r="R1523" s="62" t="s">
        <v>4555</v>
      </c>
      <c r="S1523" s="63" t="s">
        <v>1031</v>
      </c>
      <c r="T1523" s="63" t="s">
        <v>1524</v>
      </c>
      <c r="U1523" s="64">
        <v>78600</v>
      </c>
      <c r="V1523" s="64">
        <v>86460</v>
      </c>
      <c r="W1523" s="64">
        <v>78600</v>
      </c>
      <c r="X1523" s="64">
        <v>86460</v>
      </c>
      <c r="Y1523" s="64">
        <v>0</v>
      </c>
      <c r="Z1523" s="64">
        <v>0</v>
      </c>
      <c r="AA1523" s="61">
        <v>44806</v>
      </c>
      <c r="AB1523" s="61">
        <v>44806</v>
      </c>
      <c r="AD1523" s="60">
        <v>0</v>
      </c>
      <c r="AG1523" s="60">
        <v>0</v>
      </c>
      <c r="AJ1523" s="60">
        <v>0</v>
      </c>
      <c r="AQ1523" s="60" t="s">
        <v>4278</v>
      </c>
      <c r="AR1523" s="61">
        <v>44776</v>
      </c>
      <c r="AS1523" s="60">
        <v>6002058493</v>
      </c>
      <c r="AT1523" s="61">
        <v>44776</v>
      </c>
      <c r="AU1523" s="60" t="s">
        <v>4283</v>
      </c>
      <c r="AV1523" s="61">
        <v>44834</v>
      </c>
      <c r="AW1523" s="91">
        <v>44834</v>
      </c>
      <c r="AX1523" s="91">
        <v>44854</v>
      </c>
      <c r="AY1523" s="107">
        <v>78600</v>
      </c>
      <c r="AZ1523" s="107">
        <f>ROUNDDOWN(AY1523+(AY1523*MASTER!$A$2/100),0)</f>
        <v>86460</v>
      </c>
      <c r="BA1523" s="60" t="s">
        <v>317</v>
      </c>
      <c r="BB1523" s="64">
        <v>34000</v>
      </c>
      <c r="BC1523" s="64">
        <v>37400</v>
      </c>
      <c r="BD1523" s="60" t="s">
        <v>4182</v>
      </c>
      <c r="BG1523" s="64">
        <v>0</v>
      </c>
      <c r="BK1523" s="64">
        <v>0</v>
      </c>
      <c r="BS1523" s="64">
        <v>0</v>
      </c>
      <c r="BV1523" s="65">
        <v>86460</v>
      </c>
      <c r="BW1523" s="65">
        <v>37400</v>
      </c>
      <c r="BX1523" s="65">
        <v>44774</v>
      </c>
      <c r="BY1523" s="65">
        <v>49060</v>
      </c>
      <c r="BZ1523" s="81">
        <v>56.743002544529261</v>
      </c>
    </row>
    <row r="1524" spans="1:78" x14ac:dyDescent="0.15">
      <c r="A1524" s="60">
        <v>1</v>
      </c>
      <c r="B1524" s="61">
        <v>44803</v>
      </c>
      <c r="C1524" s="61">
        <v>44834</v>
      </c>
      <c r="F1524" s="61" t="s">
        <v>309</v>
      </c>
      <c r="H1524" s="61" t="s">
        <v>309</v>
      </c>
      <c r="J1524" s="60">
        <v>2</v>
      </c>
      <c r="L1524" s="60">
        <v>0</v>
      </c>
      <c r="M1524" s="61">
        <v>44774</v>
      </c>
      <c r="O1524" s="62" t="s">
        <v>331</v>
      </c>
      <c r="P1524" s="60" t="s">
        <v>26</v>
      </c>
      <c r="Q1524" s="62" t="s">
        <v>118</v>
      </c>
      <c r="R1524" s="62" t="s">
        <v>4554</v>
      </c>
      <c r="S1524" s="63" t="s">
        <v>4184</v>
      </c>
      <c r="T1524" s="63" t="s">
        <v>1524</v>
      </c>
      <c r="U1524" s="64">
        <v>78600</v>
      </c>
      <c r="V1524" s="64">
        <v>86460</v>
      </c>
      <c r="W1524" s="64">
        <v>78600</v>
      </c>
      <c r="X1524" s="64">
        <v>86460</v>
      </c>
      <c r="Y1524" s="64">
        <v>0</v>
      </c>
      <c r="Z1524" s="64">
        <v>0</v>
      </c>
      <c r="AA1524" s="61">
        <v>44830</v>
      </c>
      <c r="AB1524" s="61">
        <v>44830</v>
      </c>
      <c r="AD1524" s="60">
        <v>0</v>
      </c>
      <c r="AG1524" s="60">
        <v>0</v>
      </c>
      <c r="AJ1524" s="60">
        <v>0</v>
      </c>
      <c r="AQ1524" s="60" t="s">
        <v>4278</v>
      </c>
      <c r="AR1524" s="61">
        <v>44776</v>
      </c>
      <c r="AS1524" s="60">
        <v>6002058493</v>
      </c>
      <c r="AT1524" s="61">
        <v>44776</v>
      </c>
      <c r="AU1524" s="60" t="s">
        <v>4283</v>
      </c>
      <c r="AV1524" s="61">
        <v>44834</v>
      </c>
      <c r="AW1524" s="91">
        <v>44834</v>
      </c>
      <c r="AX1524" s="91">
        <v>44854</v>
      </c>
      <c r="AY1524" s="107">
        <v>78600</v>
      </c>
      <c r="AZ1524" s="107">
        <f>ROUNDDOWN(AY1524+(AY1524*MASTER!$A$2/100),0)</f>
        <v>86460</v>
      </c>
      <c r="BA1524" s="60" t="s">
        <v>317</v>
      </c>
      <c r="BB1524" s="64">
        <v>30000</v>
      </c>
      <c r="BC1524" s="64">
        <v>33000</v>
      </c>
      <c r="BD1524" s="60" t="s">
        <v>4182</v>
      </c>
      <c r="BG1524" s="64">
        <v>0</v>
      </c>
      <c r="BK1524" s="64">
        <v>0</v>
      </c>
      <c r="BS1524" s="64">
        <v>0</v>
      </c>
      <c r="BV1524" s="65">
        <v>86460</v>
      </c>
      <c r="BW1524" s="65">
        <v>33000</v>
      </c>
      <c r="BX1524" s="65">
        <v>44774</v>
      </c>
      <c r="BY1524" s="65">
        <v>53460</v>
      </c>
      <c r="BZ1524" s="81">
        <v>61.832061068702295</v>
      </c>
    </row>
    <row r="1525" spans="1:78" x14ac:dyDescent="0.15">
      <c r="A1525" s="60">
        <v>1</v>
      </c>
      <c r="B1525" s="61">
        <v>44803</v>
      </c>
      <c r="C1525" s="61">
        <v>44834</v>
      </c>
      <c r="F1525" s="61" t="s">
        <v>309</v>
      </c>
      <c r="H1525" s="61" t="s">
        <v>309</v>
      </c>
      <c r="J1525" s="60">
        <v>2</v>
      </c>
      <c r="L1525" s="60">
        <v>0</v>
      </c>
      <c r="M1525" s="61">
        <v>44774</v>
      </c>
      <c r="O1525" s="62" t="s">
        <v>331</v>
      </c>
      <c r="P1525" s="60" t="s">
        <v>26</v>
      </c>
      <c r="Q1525" s="62" t="s">
        <v>118</v>
      </c>
      <c r="R1525" s="62" t="s">
        <v>4553</v>
      </c>
      <c r="S1525" s="63" t="s">
        <v>4185</v>
      </c>
      <c r="T1525" s="63" t="s">
        <v>1524</v>
      </c>
      <c r="U1525" s="64">
        <v>78600</v>
      </c>
      <c r="V1525" s="64">
        <v>86460</v>
      </c>
      <c r="W1525" s="64">
        <v>78600</v>
      </c>
      <c r="X1525" s="64">
        <v>86460</v>
      </c>
      <c r="Y1525" s="64">
        <v>0</v>
      </c>
      <c r="Z1525" s="64">
        <v>0</v>
      </c>
      <c r="AA1525" s="61">
        <v>44830</v>
      </c>
      <c r="AB1525" s="61">
        <v>44830</v>
      </c>
      <c r="AD1525" s="60">
        <v>0</v>
      </c>
      <c r="AG1525" s="60">
        <v>0</v>
      </c>
      <c r="AJ1525" s="60">
        <v>0</v>
      </c>
      <c r="AQ1525" s="60" t="s">
        <v>4278</v>
      </c>
      <c r="AR1525" s="61">
        <v>44776</v>
      </c>
      <c r="AS1525" s="60">
        <v>6002058493</v>
      </c>
      <c r="AT1525" s="61">
        <v>44776</v>
      </c>
      <c r="AU1525" s="60" t="s">
        <v>4283</v>
      </c>
      <c r="AV1525" s="61">
        <v>44834</v>
      </c>
      <c r="AW1525" s="91">
        <v>44834</v>
      </c>
      <c r="AX1525" s="91">
        <v>44854</v>
      </c>
      <c r="AY1525" s="107">
        <v>78600</v>
      </c>
      <c r="AZ1525" s="107">
        <f>ROUNDDOWN(AY1525+(AY1525*MASTER!$A$2/100),0)</f>
        <v>86460</v>
      </c>
      <c r="BA1525" s="60" t="s">
        <v>317</v>
      </c>
      <c r="BB1525" s="64">
        <v>30000</v>
      </c>
      <c r="BC1525" s="64">
        <v>33000</v>
      </c>
      <c r="BD1525" s="60" t="s">
        <v>4182</v>
      </c>
      <c r="BG1525" s="64">
        <v>0</v>
      </c>
      <c r="BK1525" s="64">
        <v>0</v>
      </c>
      <c r="BS1525" s="64">
        <v>0</v>
      </c>
      <c r="BV1525" s="65">
        <v>86460</v>
      </c>
      <c r="BW1525" s="65">
        <v>33000</v>
      </c>
      <c r="BX1525" s="65">
        <v>44774</v>
      </c>
      <c r="BY1525" s="65">
        <v>53460</v>
      </c>
      <c r="BZ1525" s="81">
        <v>61.832061068702295</v>
      </c>
    </row>
    <row r="1526" spans="1:78" x14ac:dyDescent="0.15">
      <c r="A1526" s="60">
        <v>1</v>
      </c>
      <c r="B1526" s="61">
        <v>44803</v>
      </c>
      <c r="C1526" s="61">
        <v>44834</v>
      </c>
      <c r="F1526" s="61" t="s">
        <v>309</v>
      </c>
      <c r="H1526" s="61" t="s">
        <v>309</v>
      </c>
      <c r="J1526" s="60">
        <v>2</v>
      </c>
      <c r="L1526" s="60">
        <v>0</v>
      </c>
      <c r="M1526" s="61">
        <v>44774</v>
      </c>
      <c r="O1526" s="62" t="s">
        <v>331</v>
      </c>
      <c r="P1526" s="60" t="s">
        <v>26</v>
      </c>
      <c r="Q1526" s="62" t="s">
        <v>118</v>
      </c>
      <c r="R1526" s="62" t="s">
        <v>4552</v>
      </c>
      <c r="S1526" s="63" t="s">
        <v>980</v>
      </c>
      <c r="T1526" s="63" t="s">
        <v>1524</v>
      </c>
      <c r="U1526" s="64">
        <v>78600</v>
      </c>
      <c r="V1526" s="64">
        <v>86460</v>
      </c>
      <c r="W1526" s="64">
        <v>78600</v>
      </c>
      <c r="X1526" s="64">
        <v>86460</v>
      </c>
      <c r="Y1526" s="64">
        <v>0</v>
      </c>
      <c r="Z1526" s="64">
        <v>0</v>
      </c>
      <c r="AA1526" s="61">
        <v>44830</v>
      </c>
      <c r="AB1526" s="61">
        <v>44830</v>
      </c>
      <c r="AD1526" s="60">
        <v>0</v>
      </c>
      <c r="AG1526" s="60">
        <v>0</v>
      </c>
      <c r="AJ1526" s="60">
        <v>0</v>
      </c>
      <c r="AQ1526" s="60" t="s">
        <v>4278</v>
      </c>
      <c r="AR1526" s="61">
        <v>44776</v>
      </c>
      <c r="AS1526" s="60">
        <v>6002058493</v>
      </c>
      <c r="AT1526" s="61">
        <v>44776</v>
      </c>
      <c r="AU1526" s="60" t="s">
        <v>4283</v>
      </c>
      <c r="AV1526" s="61">
        <v>44834</v>
      </c>
      <c r="AW1526" s="91">
        <v>44834</v>
      </c>
      <c r="AX1526" s="91">
        <v>44854</v>
      </c>
      <c r="AY1526" s="107">
        <v>78600</v>
      </c>
      <c r="AZ1526" s="107">
        <f>ROUNDDOWN(AY1526+(AY1526*MASTER!$A$2/100),0)</f>
        <v>86460</v>
      </c>
      <c r="BA1526" s="60" t="s">
        <v>317</v>
      </c>
      <c r="BB1526" s="64">
        <v>30000</v>
      </c>
      <c r="BC1526" s="64">
        <v>33000</v>
      </c>
      <c r="BD1526" s="60" t="s">
        <v>4182</v>
      </c>
      <c r="BG1526" s="64">
        <v>0</v>
      </c>
      <c r="BK1526" s="64">
        <v>0</v>
      </c>
      <c r="BS1526" s="64">
        <v>0</v>
      </c>
      <c r="BV1526" s="65">
        <v>86460</v>
      </c>
      <c r="BW1526" s="65">
        <v>33000</v>
      </c>
      <c r="BX1526" s="65">
        <v>44774</v>
      </c>
      <c r="BY1526" s="65">
        <v>53460</v>
      </c>
      <c r="BZ1526" s="81">
        <v>61.832061068702295</v>
      </c>
    </row>
    <row r="1527" spans="1:78" x14ac:dyDescent="0.15">
      <c r="A1527" s="60">
        <v>1</v>
      </c>
      <c r="B1527" s="61">
        <v>44803</v>
      </c>
      <c r="C1527" s="61">
        <v>44834</v>
      </c>
      <c r="F1527" s="61" t="s">
        <v>309</v>
      </c>
      <c r="G1527" s="61">
        <v>44830</v>
      </c>
      <c r="H1527" s="61" t="s">
        <v>309</v>
      </c>
      <c r="J1527" s="60">
        <v>2</v>
      </c>
      <c r="L1527" s="60">
        <v>0</v>
      </c>
      <c r="M1527" s="61">
        <v>44774</v>
      </c>
      <c r="O1527" s="62" t="s">
        <v>331</v>
      </c>
      <c r="P1527" s="60" t="s">
        <v>26</v>
      </c>
      <c r="Q1527" s="62" t="s">
        <v>118</v>
      </c>
      <c r="R1527" s="62" t="s">
        <v>4551</v>
      </c>
      <c r="S1527" s="63" t="s">
        <v>2166</v>
      </c>
      <c r="T1527" s="63" t="s">
        <v>1524</v>
      </c>
      <c r="U1527" s="64">
        <v>78600</v>
      </c>
      <c r="V1527" s="64">
        <v>86460</v>
      </c>
      <c r="W1527" s="64">
        <v>78600</v>
      </c>
      <c r="X1527" s="64">
        <v>86460</v>
      </c>
      <c r="Y1527" s="64">
        <v>0</v>
      </c>
      <c r="Z1527" s="64">
        <v>0</v>
      </c>
      <c r="AA1527" s="61">
        <v>44830</v>
      </c>
      <c r="AB1527" s="61">
        <v>44830</v>
      </c>
      <c r="AD1527" s="60">
        <v>0</v>
      </c>
      <c r="AG1527" s="60">
        <v>0</v>
      </c>
      <c r="AJ1527" s="60">
        <v>0</v>
      </c>
      <c r="AQ1527" s="60" t="s">
        <v>4278</v>
      </c>
      <c r="AR1527" s="61">
        <v>44776</v>
      </c>
      <c r="AS1527" s="60">
        <v>6002058493</v>
      </c>
      <c r="AT1527" s="61">
        <v>44776</v>
      </c>
      <c r="AU1527" s="60" t="s">
        <v>4283</v>
      </c>
      <c r="AV1527" s="61">
        <v>44834</v>
      </c>
      <c r="AW1527" s="91">
        <v>44834</v>
      </c>
      <c r="AX1527" s="91">
        <v>44854</v>
      </c>
      <c r="AY1527" s="107">
        <v>78600</v>
      </c>
      <c r="AZ1527" s="107">
        <f>ROUNDDOWN(AY1527+(AY1527*MASTER!$A$2/100),0)</f>
        <v>86460</v>
      </c>
      <c r="BA1527" s="60" t="s">
        <v>317</v>
      </c>
      <c r="BB1527" s="64">
        <v>29000</v>
      </c>
      <c r="BC1527" s="64">
        <v>31900</v>
      </c>
      <c r="BD1527" s="60" t="s">
        <v>4182</v>
      </c>
      <c r="BG1527" s="64">
        <v>0</v>
      </c>
      <c r="BK1527" s="64">
        <v>0</v>
      </c>
      <c r="BS1527" s="64">
        <v>0</v>
      </c>
      <c r="BV1527" s="65">
        <v>86460</v>
      </c>
      <c r="BW1527" s="65">
        <v>31900</v>
      </c>
      <c r="BX1527" s="65">
        <v>44774</v>
      </c>
      <c r="BY1527" s="65">
        <v>54560</v>
      </c>
      <c r="BZ1527" s="81">
        <v>63.104325699745544</v>
      </c>
    </row>
    <row r="1528" spans="1:78" x14ac:dyDescent="0.15">
      <c r="A1528" s="60">
        <v>1</v>
      </c>
      <c r="B1528" s="61">
        <v>44803</v>
      </c>
      <c r="C1528" s="61">
        <v>44834</v>
      </c>
      <c r="F1528" s="61" t="s">
        <v>309</v>
      </c>
      <c r="H1528" s="61" t="s">
        <v>309</v>
      </c>
      <c r="J1528" s="60">
        <v>2</v>
      </c>
      <c r="L1528" s="60">
        <v>0</v>
      </c>
      <c r="M1528" s="61">
        <v>44774</v>
      </c>
      <c r="O1528" s="62" t="s">
        <v>331</v>
      </c>
      <c r="P1528" s="60" t="s">
        <v>26</v>
      </c>
      <c r="Q1528" s="62" t="s">
        <v>118</v>
      </c>
      <c r="R1528" s="62" t="s">
        <v>4550</v>
      </c>
      <c r="S1528" s="63" t="s">
        <v>2744</v>
      </c>
      <c r="T1528" s="63" t="s">
        <v>1524</v>
      </c>
      <c r="U1528" s="64">
        <v>78600</v>
      </c>
      <c r="V1528" s="64">
        <v>86460</v>
      </c>
      <c r="W1528" s="64">
        <v>78600</v>
      </c>
      <c r="X1528" s="64">
        <v>86460</v>
      </c>
      <c r="Y1528" s="64">
        <v>0</v>
      </c>
      <c r="Z1528" s="64">
        <v>0</v>
      </c>
      <c r="AA1528" s="61">
        <v>44830</v>
      </c>
      <c r="AB1528" s="61">
        <v>44830</v>
      </c>
      <c r="AD1528" s="60">
        <v>0</v>
      </c>
      <c r="AG1528" s="60">
        <v>0</v>
      </c>
      <c r="AJ1528" s="60">
        <v>0</v>
      </c>
      <c r="AQ1528" s="60" t="s">
        <v>4278</v>
      </c>
      <c r="AR1528" s="61">
        <v>44776</v>
      </c>
      <c r="AS1528" s="60">
        <v>6002058493</v>
      </c>
      <c r="AT1528" s="61">
        <v>44776</v>
      </c>
      <c r="AU1528" s="60" t="s">
        <v>4283</v>
      </c>
      <c r="AV1528" s="61">
        <v>44834</v>
      </c>
      <c r="AW1528" s="91">
        <v>44834</v>
      </c>
      <c r="AX1528" s="91">
        <v>44854</v>
      </c>
      <c r="AY1528" s="107">
        <v>78600</v>
      </c>
      <c r="AZ1528" s="107">
        <f>ROUNDDOWN(AY1528+(AY1528*MASTER!$A$2/100),0)</f>
        <v>86460</v>
      </c>
      <c r="BA1528" s="60" t="s">
        <v>317</v>
      </c>
      <c r="BB1528" s="64">
        <v>29000</v>
      </c>
      <c r="BC1528" s="64">
        <v>31900</v>
      </c>
      <c r="BD1528" s="60" t="s">
        <v>4182</v>
      </c>
      <c r="BG1528" s="64">
        <v>0</v>
      </c>
      <c r="BK1528" s="64">
        <v>0</v>
      </c>
      <c r="BS1528" s="64">
        <v>0</v>
      </c>
      <c r="BV1528" s="65">
        <v>86460</v>
      </c>
      <c r="BW1528" s="65">
        <v>31900</v>
      </c>
      <c r="BX1528" s="65">
        <v>44774</v>
      </c>
      <c r="BY1528" s="65">
        <v>54560</v>
      </c>
      <c r="BZ1528" s="81">
        <v>63.104325699745544</v>
      </c>
    </row>
    <row r="1529" spans="1:78" x14ac:dyDescent="0.15">
      <c r="A1529" s="60">
        <v>1</v>
      </c>
      <c r="B1529" s="61">
        <v>44803</v>
      </c>
      <c r="C1529" s="61">
        <v>44834</v>
      </c>
      <c r="F1529" s="61" t="s">
        <v>309</v>
      </c>
      <c r="G1529" s="61">
        <v>44817</v>
      </c>
      <c r="H1529" s="61" t="s">
        <v>309</v>
      </c>
      <c r="J1529" s="60">
        <v>2</v>
      </c>
      <c r="L1529" s="60">
        <v>0</v>
      </c>
      <c r="M1529" s="61">
        <v>44774</v>
      </c>
      <c r="O1529" s="62" t="s">
        <v>331</v>
      </c>
      <c r="P1529" s="60" t="s">
        <v>26</v>
      </c>
      <c r="Q1529" s="62" t="s">
        <v>118</v>
      </c>
      <c r="R1529" s="62" t="s">
        <v>4549</v>
      </c>
      <c r="S1529" s="63" t="s">
        <v>456</v>
      </c>
      <c r="T1529" s="63" t="s">
        <v>1524</v>
      </c>
      <c r="U1529" s="64">
        <v>78600</v>
      </c>
      <c r="V1529" s="64">
        <v>86460</v>
      </c>
      <c r="W1529" s="64">
        <v>78600</v>
      </c>
      <c r="X1529" s="64">
        <v>86460</v>
      </c>
      <c r="Y1529" s="64">
        <v>0</v>
      </c>
      <c r="Z1529" s="64">
        <v>0</v>
      </c>
      <c r="AA1529" s="61">
        <v>44816</v>
      </c>
      <c r="AB1529" s="61">
        <v>44816</v>
      </c>
      <c r="AD1529" s="60">
        <v>0</v>
      </c>
      <c r="AG1529" s="60">
        <v>0</v>
      </c>
      <c r="AJ1529" s="60">
        <v>0</v>
      </c>
      <c r="AQ1529" s="60" t="s">
        <v>4278</v>
      </c>
      <c r="AR1529" s="61">
        <v>44776</v>
      </c>
      <c r="AS1529" s="60">
        <v>6002058493</v>
      </c>
      <c r="AT1529" s="61">
        <v>44776</v>
      </c>
      <c r="AU1529" s="60" t="s">
        <v>4283</v>
      </c>
      <c r="AV1529" s="61">
        <v>44834</v>
      </c>
      <c r="AW1529" s="91">
        <v>44834</v>
      </c>
      <c r="AX1529" s="91">
        <v>44854</v>
      </c>
      <c r="AY1529" s="107">
        <v>78600</v>
      </c>
      <c r="AZ1529" s="107">
        <f>ROUNDDOWN(AY1529+(AY1529*MASTER!$A$2/100),0)</f>
        <v>86460</v>
      </c>
      <c r="BA1529" s="60" t="s">
        <v>317</v>
      </c>
      <c r="BB1529" s="64">
        <v>31000</v>
      </c>
      <c r="BC1529" s="64">
        <v>34100</v>
      </c>
      <c r="BD1529" s="60" t="s">
        <v>4182</v>
      </c>
      <c r="BG1529" s="64">
        <v>0</v>
      </c>
      <c r="BK1529" s="64">
        <v>0</v>
      </c>
      <c r="BS1529" s="64">
        <v>0</v>
      </c>
      <c r="BV1529" s="65">
        <v>86460</v>
      </c>
      <c r="BW1529" s="65">
        <v>34100</v>
      </c>
      <c r="BX1529" s="65">
        <v>44774</v>
      </c>
      <c r="BY1529" s="65">
        <v>52360</v>
      </c>
      <c r="BZ1529" s="81">
        <v>60.559796437659031</v>
      </c>
    </row>
    <row r="1530" spans="1:78" x14ac:dyDescent="0.15">
      <c r="A1530" s="60">
        <v>1</v>
      </c>
      <c r="B1530" s="61">
        <v>44803</v>
      </c>
      <c r="C1530" s="61">
        <v>44834</v>
      </c>
      <c r="F1530" s="61" t="s">
        <v>309</v>
      </c>
      <c r="G1530" s="61">
        <v>44817</v>
      </c>
      <c r="H1530" s="61" t="s">
        <v>309</v>
      </c>
      <c r="J1530" s="60">
        <v>2</v>
      </c>
      <c r="L1530" s="60">
        <v>0</v>
      </c>
      <c r="M1530" s="61">
        <v>44774</v>
      </c>
      <c r="O1530" s="62" t="s">
        <v>331</v>
      </c>
      <c r="P1530" s="60" t="s">
        <v>26</v>
      </c>
      <c r="Q1530" s="62" t="s">
        <v>118</v>
      </c>
      <c r="R1530" s="62" t="s">
        <v>4548</v>
      </c>
      <c r="S1530" s="63" t="s">
        <v>1664</v>
      </c>
      <c r="T1530" s="63" t="s">
        <v>1524</v>
      </c>
      <c r="U1530" s="64">
        <v>78600</v>
      </c>
      <c r="V1530" s="64">
        <v>86460</v>
      </c>
      <c r="W1530" s="64">
        <v>78600</v>
      </c>
      <c r="X1530" s="64">
        <v>86460</v>
      </c>
      <c r="Y1530" s="64">
        <v>0</v>
      </c>
      <c r="Z1530" s="64">
        <v>0</v>
      </c>
      <c r="AA1530" s="61">
        <v>44816</v>
      </c>
      <c r="AB1530" s="61">
        <v>44816</v>
      </c>
      <c r="AD1530" s="60">
        <v>0</v>
      </c>
      <c r="AG1530" s="60">
        <v>0</v>
      </c>
      <c r="AJ1530" s="60">
        <v>0</v>
      </c>
      <c r="AQ1530" s="60" t="s">
        <v>4278</v>
      </c>
      <c r="AR1530" s="61">
        <v>44776</v>
      </c>
      <c r="AS1530" s="60">
        <v>6002058493</v>
      </c>
      <c r="AT1530" s="61">
        <v>44776</v>
      </c>
      <c r="AU1530" s="60" t="s">
        <v>4283</v>
      </c>
      <c r="AV1530" s="61">
        <v>44834</v>
      </c>
      <c r="AW1530" s="91">
        <v>44834</v>
      </c>
      <c r="AX1530" s="91">
        <v>44854</v>
      </c>
      <c r="AY1530" s="107">
        <v>78600</v>
      </c>
      <c r="AZ1530" s="107">
        <f>ROUNDDOWN(AY1530+(AY1530*MASTER!$A$2/100),0)</f>
        <v>86460</v>
      </c>
      <c r="BA1530" s="60" t="s">
        <v>317</v>
      </c>
      <c r="BB1530" s="64">
        <v>30000</v>
      </c>
      <c r="BC1530" s="64">
        <v>33000</v>
      </c>
      <c r="BD1530" s="60" t="s">
        <v>4182</v>
      </c>
      <c r="BG1530" s="64">
        <v>0</v>
      </c>
      <c r="BK1530" s="64">
        <v>0</v>
      </c>
      <c r="BS1530" s="64">
        <v>0</v>
      </c>
      <c r="BV1530" s="65">
        <v>86460</v>
      </c>
      <c r="BW1530" s="65">
        <v>33000</v>
      </c>
      <c r="BX1530" s="65">
        <v>44774</v>
      </c>
      <c r="BY1530" s="65">
        <v>53460</v>
      </c>
      <c r="BZ1530" s="81">
        <v>61.832061068702295</v>
      </c>
    </row>
    <row r="1531" spans="1:78" x14ac:dyDescent="0.15">
      <c r="A1531" s="60">
        <v>1</v>
      </c>
      <c r="B1531" s="61">
        <v>44803</v>
      </c>
      <c r="C1531" s="61">
        <v>44834</v>
      </c>
      <c r="F1531" s="61" t="s">
        <v>309</v>
      </c>
      <c r="H1531" s="61" t="s">
        <v>309</v>
      </c>
      <c r="J1531" s="60">
        <v>2</v>
      </c>
      <c r="L1531" s="60">
        <v>0</v>
      </c>
      <c r="M1531" s="61">
        <v>44774</v>
      </c>
      <c r="O1531" s="62" t="s">
        <v>331</v>
      </c>
      <c r="P1531" s="60" t="s">
        <v>26</v>
      </c>
      <c r="Q1531" s="62" t="s">
        <v>118</v>
      </c>
      <c r="R1531" s="62" t="s">
        <v>4547</v>
      </c>
      <c r="S1531" s="63" t="s">
        <v>1104</v>
      </c>
      <c r="T1531" s="63" t="s">
        <v>1524</v>
      </c>
      <c r="U1531" s="64">
        <v>78600</v>
      </c>
      <c r="V1531" s="64">
        <v>86460</v>
      </c>
      <c r="W1531" s="64">
        <v>78600</v>
      </c>
      <c r="X1531" s="64">
        <v>86460</v>
      </c>
      <c r="Y1531" s="64">
        <v>0</v>
      </c>
      <c r="Z1531" s="64">
        <v>0</v>
      </c>
      <c r="AA1531" s="61">
        <v>44832</v>
      </c>
      <c r="AB1531" s="61">
        <v>44832</v>
      </c>
      <c r="AD1531" s="60">
        <v>0</v>
      </c>
      <c r="AG1531" s="60">
        <v>0</v>
      </c>
      <c r="AJ1531" s="60">
        <v>0</v>
      </c>
      <c r="AQ1531" s="60" t="s">
        <v>4278</v>
      </c>
      <c r="AR1531" s="61">
        <v>44776</v>
      </c>
      <c r="AS1531" s="60">
        <v>6002058493</v>
      </c>
      <c r="AT1531" s="61">
        <v>44776</v>
      </c>
      <c r="AU1531" s="60" t="s">
        <v>4283</v>
      </c>
      <c r="AV1531" s="61">
        <v>44834</v>
      </c>
      <c r="AW1531" s="91">
        <v>44834</v>
      </c>
      <c r="AX1531" s="91">
        <v>44854</v>
      </c>
      <c r="AY1531" s="107">
        <v>78600</v>
      </c>
      <c r="AZ1531" s="107">
        <f>ROUNDDOWN(AY1531+(AY1531*MASTER!$A$2/100),0)</f>
        <v>86460</v>
      </c>
      <c r="BA1531" s="60" t="s">
        <v>317</v>
      </c>
      <c r="BB1531" s="64">
        <v>31000</v>
      </c>
      <c r="BC1531" s="64">
        <v>34100</v>
      </c>
      <c r="BD1531" s="60" t="s">
        <v>4182</v>
      </c>
      <c r="BG1531" s="64">
        <v>0</v>
      </c>
      <c r="BK1531" s="64">
        <v>0</v>
      </c>
      <c r="BS1531" s="64">
        <v>0</v>
      </c>
      <c r="BV1531" s="65">
        <v>86460</v>
      </c>
      <c r="BW1531" s="65">
        <v>34100</v>
      </c>
      <c r="BX1531" s="65">
        <v>44774</v>
      </c>
      <c r="BY1531" s="65">
        <v>52360</v>
      </c>
      <c r="BZ1531" s="81">
        <v>60.559796437659031</v>
      </c>
    </row>
    <row r="1532" spans="1:78" x14ac:dyDescent="0.15">
      <c r="A1532" s="60">
        <v>1</v>
      </c>
      <c r="B1532" s="61">
        <v>44803</v>
      </c>
      <c r="C1532" s="61">
        <v>44834</v>
      </c>
      <c r="F1532" s="61" t="s">
        <v>309</v>
      </c>
      <c r="H1532" s="61" t="s">
        <v>309</v>
      </c>
      <c r="J1532" s="60">
        <v>2</v>
      </c>
      <c r="L1532" s="60">
        <v>0</v>
      </c>
      <c r="M1532" s="61">
        <v>44774</v>
      </c>
      <c r="O1532" s="62" t="s">
        <v>331</v>
      </c>
      <c r="P1532" s="60" t="s">
        <v>26</v>
      </c>
      <c r="Q1532" s="62" t="s">
        <v>118</v>
      </c>
      <c r="R1532" s="62" t="s">
        <v>4546</v>
      </c>
      <c r="S1532" s="63" t="s">
        <v>4186</v>
      </c>
      <c r="T1532" s="63" t="s">
        <v>1524</v>
      </c>
      <c r="U1532" s="64">
        <v>78600</v>
      </c>
      <c r="V1532" s="64">
        <v>86460</v>
      </c>
      <c r="W1532" s="64">
        <v>78600</v>
      </c>
      <c r="X1532" s="64">
        <v>86460</v>
      </c>
      <c r="Y1532" s="64">
        <v>0</v>
      </c>
      <c r="Z1532" s="64">
        <v>0</v>
      </c>
      <c r="AA1532" s="61">
        <v>44832</v>
      </c>
      <c r="AB1532" s="61">
        <v>44832</v>
      </c>
      <c r="AD1532" s="60">
        <v>0</v>
      </c>
      <c r="AG1532" s="60">
        <v>0</v>
      </c>
      <c r="AJ1532" s="60">
        <v>0</v>
      </c>
      <c r="AQ1532" s="60" t="s">
        <v>4278</v>
      </c>
      <c r="AR1532" s="61">
        <v>44776</v>
      </c>
      <c r="AS1532" s="60">
        <v>6002058493</v>
      </c>
      <c r="AT1532" s="61">
        <v>44776</v>
      </c>
      <c r="AU1532" s="60" t="s">
        <v>4283</v>
      </c>
      <c r="AV1532" s="61">
        <v>44834</v>
      </c>
      <c r="AW1532" s="91">
        <v>44834</v>
      </c>
      <c r="AX1532" s="91">
        <v>44854</v>
      </c>
      <c r="AY1532" s="107">
        <v>78600</v>
      </c>
      <c r="AZ1532" s="107">
        <f>ROUNDDOWN(AY1532+(AY1532*MASTER!$A$2/100),0)</f>
        <v>86460</v>
      </c>
      <c r="BA1532" s="60" t="s">
        <v>538</v>
      </c>
      <c r="BB1532" s="64">
        <v>32000</v>
      </c>
      <c r="BC1532" s="64">
        <v>35200</v>
      </c>
      <c r="BD1532" s="60" t="s">
        <v>4383</v>
      </c>
      <c r="BG1532" s="64">
        <v>0</v>
      </c>
      <c r="BK1532" s="64">
        <v>0</v>
      </c>
      <c r="BS1532" s="64">
        <v>0</v>
      </c>
      <c r="BV1532" s="65">
        <v>86460</v>
      </c>
      <c r="BW1532" s="65">
        <v>35200</v>
      </c>
      <c r="BX1532" s="65">
        <v>44774</v>
      </c>
      <c r="BY1532" s="65">
        <v>51260</v>
      </c>
      <c r="BZ1532" s="81">
        <v>59.287531806615782</v>
      </c>
    </row>
    <row r="1533" spans="1:78" x14ac:dyDescent="0.15">
      <c r="A1533" s="60">
        <v>1</v>
      </c>
      <c r="B1533" s="61">
        <v>44803</v>
      </c>
      <c r="C1533" s="61">
        <v>44834</v>
      </c>
      <c r="F1533" s="61" t="s">
        <v>309</v>
      </c>
      <c r="H1533" s="61" t="s">
        <v>309</v>
      </c>
      <c r="J1533" s="60">
        <v>2</v>
      </c>
      <c r="L1533" s="60">
        <v>0</v>
      </c>
      <c r="M1533" s="61">
        <v>44774</v>
      </c>
      <c r="O1533" s="62" t="s">
        <v>331</v>
      </c>
      <c r="P1533" s="60" t="s">
        <v>26</v>
      </c>
      <c r="Q1533" s="62" t="s">
        <v>118</v>
      </c>
      <c r="R1533" s="62" t="s">
        <v>4530</v>
      </c>
      <c r="S1533" s="63" t="s">
        <v>836</v>
      </c>
      <c r="T1533" s="63" t="s">
        <v>1524</v>
      </c>
      <c r="U1533" s="64">
        <v>78600</v>
      </c>
      <c r="V1533" s="64">
        <v>86460</v>
      </c>
      <c r="W1533" s="64">
        <v>78600</v>
      </c>
      <c r="X1533" s="64">
        <v>86460</v>
      </c>
      <c r="Y1533" s="64">
        <v>0</v>
      </c>
      <c r="Z1533" s="64">
        <v>0</v>
      </c>
      <c r="AA1533" s="61">
        <v>44833</v>
      </c>
      <c r="AB1533" s="61">
        <v>44833</v>
      </c>
      <c r="AD1533" s="60">
        <v>0</v>
      </c>
      <c r="AG1533" s="60">
        <v>0</v>
      </c>
      <c r="AJ1533" s="60">
        <v>0</v>
      </c>
      <c r="AQ1533" s="60" t="s">
        <v>4278</v>
      </c>
      <c r="AR1533" s="61">
        <v>44776</v>
      </c>
      <c r="AS1533" s="60">
        <v>6002058493</v>
      </c>
      <c r="AT1533" s="61">
        <v>44776</v>
      </c>
      <c r="AU1533" s="60" t="s">
        <v>4283</v>
      </c>
      <c r="AV1533" s="61">
        <v>44834</v>
      </c>
      <c r="AW1533" s="91">
        <v>44834</v>
      </c>
      <c r="AX1533" s="91">
        <v>44854</v>
      </c>
      <c r="AY1533" s="107">
        <v>78600</v>
      </c>
      <c r="AZ1533" s="107">
        <f>ROUNDDOWN(AY1533+(AY1533*MASTER!$A$2/100),0)</f>
        <v>86460</v>
      </c>
      <c r="BA1533" s="60" t="s">
        <v>317</v>
      </c>
      <c r="BB1533" s="64">
        <v>60000</v>
      </c>
      <c r="BC1533" s="64">
        <v>66000</v>
      </c>
      <c r="BD1533" s="60" t="s">
        <v>4182</v>
      </c>
      <c r="BG1533" s="64">
        <v>0</v>
      </c>
      <c r="BK1533" s="64">
        <v>0</v>
      </c>
      <c r="BS1533" s="64">
        <v>0</v>
      </c>
      <c r="BV1533" s="65">
        <v>86460</v>
      </c>
      <c r="BW1533" s="65">
        <v>66000</v>
      </c>
      <c r="BX1533" s="65">
        <v>44774</v>
      </c>
      <c r="BY1533" s="65">
        <v>20460</v>
      </c>
      <c r="BZ1533" s="81">
        <v>23.664122137404579</v>
      </c>
    </row>
    <row r="1534" spans="1:78" x14ac:dyDescent="0.15">
      <c r="A1534" s="60">
        <v>1</v>
      </c>
      <c r="B1534" s="61">
        <v>44803</v>
      </c>
      <c r="C1534" s="61">
        <v>44834</v>
      </c>
      <c r="F1534" s="61" t="s">
        <v>309</v>
      </c>
      <c r="H1534" s="61" t="s">
        <v>309</v>
      </c>
      <c r="J1534" s="60">
        <v>2</v>
      </c>
      <c r="L1534" s="60">
        <v>0</v>
      </c>
      <c r="M1534" s="61">
        <v>44774</v>
      </c>
      <c r="O1534" s="62" t="s">
        <v>331</v>
      </c>
      <c r="P1534" s="60" t="s">
        <v>26</v>
      </c>
      <c r="Q1534" s="62" t="s">
        <v>118</v>
      </c>
      <c r="R1534" s="62" t="s">
        <v>4529</v>
      </c>
      <c r="S1534" s="63" t="s">
        <v>4187</v>
      </c>
      <c r="T1534" s="63" t="s">
        <v>1524</v>
      </c>
      <c r="U1534" s="64">
        <v>78600</v>
      </c>
      <c r="V1534" s="64">
        <v>86460</v>
      </c>
      <c r="W1534" s="64">
        <v>78600</v>
      </c>
      <c r="X1534" s="64">
        <v>86460</v>
      </c>
      <c r="Y1534" s="64">
        <v>0</v>
      </c>
      <c r="Z1534" s="64">
        <v>0</v>
      </c>
      <c r="AA1534" s="61">
        <v>44834</v>
      </c>
      <c r="AB1534" s="61">
        <v>44834</v>
      </c>
      <c r="AD1534" s="60">
        <v>0</v>
      </c>
      <c r="AG1534" s="60">
        <v>0</v>
      </c>
      <c r="AJ1534" s="60">
        <v>0</v>
      </c>
      <c r="AQ1534" s="60" t="s">
        <v>4278</v>
      </c>
      <c r="AR1534" s="61">
        <v>44776</v>
      </c>
      <c r="AS1534" s="60">
        <v>6002058493</v>
      </c>
      <c r="AT1534" s="61">
        <v>44776</v>
      </c>
      <c r="AU1534" s="60" t="s">
        <v>4283</v>
      </c>
      <c r="AV1534" s="61">
        <v>44834</v>
      </c>
      <c r="AW1534" s="91">
        <v>44834</v>
      </c>
      <c r="AX1534" s="91">
        <v>44854</v>
      </c>
      <c r="AY1534" s="107">
        <v>78600</v>
      </c>
      <c r="AZ1534" s="107">
        <f>ROUNDDOWN(AY1534+(AY1534*MASTER!$A$2/100),0)</f>
        <v>86460</v>
      </c>
      <c r="BA1534" s="60" t="s">
        <v>317</v>
      </c>
      <c r="BB1534" s="64">
        <v>51000</v>
      </c>
      <c r="BC1534" s="64">
        <v>56100</v>
      </c>
      <c r="BD1534" s="60" t="s">
        <v>4182</v>
      </c>
      <c r="BG1534" s="64">
        <v>0</v>
      </c>
      <c r="BK1534" s="64">
        <v>0</v>
      </c>
      <c r="BS1534" s="64">
        <v>0</v>
      </c>
      <c r="BV1534" s="65">
        <v>86460</v>
      </c>
      <c r="BW1534" s="65">
        <v>56100</v>
      </c>
      <c r="BX1534" s="65">
        <v>44774</v>
      </c>
      <c r="BY1534" s="65">
        <v>30360</v>
      </c>
      <c r="BZ1534" s="81">
        <v>35.114503816793892</v>
      </c>
    </row>
    <row r="1535" spans="1:78" x14ac:dyDescent="0.15">
      <c r="A1535" s="60">
        <v>1</v>
      </c>
      <c r="B1535" s="61">
        <v>44803</v>
      </c>
      <c r="C1535" s="61">
        <v>44834</v>
      </c>
      <c r="F1535" s="61" t="s">
        <v>309</v>
      </c>
      <c r="H1535" s="61" t="s">
        <v>309</v>
      </c>
      <c r="J1535" s="60">
        <v>2</v>
      </c>
      <c r="L1535" s="60">
        <v>0</v>
      </c>
      <c r="M1535" s="61">
        <v>44774</v>
      </c>
      <c r="O1535" s="62" t="s">
        <v>331</v>
      </c>
      <c r="P1535" s="60" t="s">
        <v>26</v>
      </c>
      <c r="Q1535" s="62" t="s">
        <v>118</v>
      </c>
      <c r="R1535" s="62" t="s">
        <v>4528</v>
      </c>
      <c r="S1535" s="63" t="s">
        <v>797</v>
      </c>
      <c r="T1535" s="63" t="s">
        <v>1524</v>
      </c>
      <c r="U1535" s="64">
        <v>78600</v>
      </c>
      <c r="V1535" s="64">
        <v>86460</v>
      </c>
      <c r="W1535" s="64">
        <v>78600</v>
      </c>
      <c r="X1535" s="64">
        <v>86460</v>
      </c>
      <c r="Y1535" s="64">
        <v>0</v>
      </c>
      <c r="Z1535" s="64">
        <v>0</v>
      </c>
      <c r="AA1535" s="61">
        <v>44834</v>
      </c>
      <c r="AB1535" s="61">
        <v>44834</v>
      </c>
      <c r="AD1535" s="60">
        <v>0</v>
      </c>
      <c r="AG1535" s="60">
        <v>0</v>
      </c>
      <c r="AJ1535" s="60">
        <v>0</v>
      </c>
      <c r="AQ1535" s="60" t="s">
        <v>4278</v>
      </c>
      <c r="AR1535" s="61">
        <v>44776</v>
      </c>
      <c r="AS1535" s="60">
        <v>6002058493</v>
      </c>
      <c r="AT1535" s="61">
        <v>44776</v>
      </c>
      <c r="AU1535" s="60" t="s">
        <v>4283</v>
      </c>
      <c r="AV1535" s="61">
        <v>44834</v>
      </c>
      <c r="AW1535" s="91">
        <v>44834</v>
      </c>
      <c r="AX1535" s="91">
        <v>44854</v>
      </c>
      <c r="AY1535" s="107">
        <v>78600</v>
      </c>
      <c r="AZ1535" s="107">
        <f>ROUNDDOWN(AY1535+(AY1535*MASTER!$A$2/100),0)</f>
        <v>86460</v>
      </c>
      <c r="BA1535" s="60" t="s">
        <v>317</v>
      </c>
      <c r="BB1535" s="64">
        <v>56000</v>
      </c>
      <c r="BC1535" s="64">
        <v>61600</v>
      </c>
      <c r="BG1535" s="64">
        <v>0</v>
      </c>
      <c r="BK1535" s="64">
        <v>0</v>
      </c>
      <c r="BS1535" s="64">
        <v>0</v>
      </c>
      <c r="BV1535" s="65">
        <v>86460</v>
      </c>
      <c r="BW1535" s="65">
        <v>61600</v>
      </c>
      <c r="BX1535" s="65">
        <v>44774</v>
      </c>
      <c r="BY1535" s="65">
        <v>24860</v>
      </c>
      <c r="BZ1535" s="81">
        <v>28.753180661577609</v>
      </c>
    </row>
    <row r="1536" spans="1:78" x14ac:dyDescent="0.15">
      <c r="A1536" s="60">
        <v>1</v>
      </c>
      <c r="B1536" s="61">
        <v>44803</v>
      </c>
      <c r="C1536" s="61">
        <v>44834</v>
      </c>
      <c r="F1536" s="61" t="s">
        <v>309</v>
      </c>
      <c r="H1536" s="61" t="s">
        <v>309</v>
      </c>
      <c r="J1536" s="60">
        <v>2</v>
      </c>
      <c r="L1536" s="60">
        <v>0</v>
      </c>
      <c r="M1536" s="61">
        <v>44774</v>
      </c>
      <c r="O1536" s="62" t="s">
        <v>331</v>
      </c>
      <c r="P1536" s="60" t="s">
        <v>26</v>
      </c>
      <c r="Q1536" s="62" t="s">
        <v>118</v>
      </c>
      <c r="R1536" s="62" t="s">
        <v>4527</v>
      </c>
      <c r="S1536" s="63" t="s">
        <v>3019</v>
      </c>
      <c r="T1536" s="63" t="s">
        <v>1524</v>
      </c>
      <c r="U1536" s="64">
        <v>78600</v>
      </c>
      <c r="V1536" s="64">
        <v>86460</v>
      </c>
      <c r="W1536" s="64">
        <v>78600</v>
      </c>
      <c r="X1536" s="64">
        <v>86460</v>
      </c>
      <c r="Y1536" s="64">
        <v>0</v>
      </c>
      <c r="Z1536" s="64">
        <v>0</v>
      </c>
      <c r="AA1536" s="61">
        <v>44833</v>
      </c>
      <c r="AB1536" s="61">
        <v>44833</v>
      </c>
      <c r="AD1536" s="60">
        <v>0</v>
      </c>
      <c r="AG1536" s="60">
        <v>0</v>
      </c>
      <c r="AJ1536" s="60">
        <v>0</v>
      </c>
      <c r="AQ1536" s="60" t="s">
        <v>4278</v>
      </c>
      <c r="AR1536" s="61">
        <v>44776</v>
      </c>
      <c r="AS1536" s="60">
        <v>6002058493</v>
      </c>
      <c r="AT1536" s="61">
        <v>44776</v>
      </c>
      <c r="AU1536" s="60" t="s">
        <v>4283</v>
      </c>
      <c r="AV1536" s="61">
        <v>44834</v>
      </c>
      <c r="AW1536" s="91">
        <v>44834</v>
      </c>
      <c r="AX1536" s="91">
        <v>44854</v>
      </c>
      <c r="AY1536" s="107">
        <v>78600</v>
      </c>
      <c r="AZ1536" s="107">
        <f>ROUNDDOWN(AY1536+(AY1536*MASTER!$A$2/100),0)</f>
        <v>86460</v>
      </c>
      <c r="BA1536" s="60" t="s">
        <v>317</v>
      </c>
      <c r="BB1536" s="64">
        <v>56000</v>
      </c>
      <c r="BC1536" s="64">
        <v>61600</v>
      </c>
      <c r="BD1536" s="60" t="s">
        <v>4182</v>
      </c>
      <c r="BG1536" s="64">
        <v>0</v>
      </c>
      <c r="BK1536" s="64">
        <v>0</v>
      </c>
      <c r="BS1536" s="64">
        <v>0</v>
      </c>
      <c r="BV1536" s="65">
        <v>86460</v>
      </c>
      <c r="BW1536" s="65">
        <v>61600</v>
      </c>
      <c r="BX1536" s="65">
        <v>44774</v>
      </c>
      <c r="BY1536" s="65">
        <v>24860</v>
      </c>
      <c r="BZ1536" s="81">
        <v>28.753180661577609</v>
      </c>
    </row>
    <row r="1537" spans="1:82" x14ac:dyDescent="0.15">
      <c r="A1537" s="60">
        <v>1</v>
      </c>
      <c r="B1537" s="61">
        <v>44803</v>
      </c>
      <c r="C1537" s="61">
        <v>44834</v>
      </c>
      <c r="F1537" s="61" t="s">
        <v>309</v>
      </c>
      <c r="G1537" s="61">
        <v>44806</v>
      </c>
      <c r="H1537" s="61" t="s">
        <v>309</v>
      </c>
      <c r="J1537" s="60">
        <v>2</v>
      </c>
      <c r="L1537" s="60">
        <v>0</v>
      </c>
      <c r="M1537" s="61">
        <v>44774</v>
      </c>
      <c r="O1537" s="62" t="s">
        <v>331</v>
      </c>
      <c r="P1537" s="60" t="s">
        <v>26</v>
      </c>
      <c r="Q1537" s="62" t="s">
        <v>118</v>
      </c>
      <c r="R1537" s="62" t="s">
        <v>4526</v>
      </c>
      <c r="S1537" s="63" t="s">
        <v>4188</v>
      </c>
      <c r="T1537" s="63" t="s">
        <v>1524</v>
      </c>
      <c r="U1537" s="64">
        <v>78600</v>
      </c>
      <c r="V1537" s="64">
        <v>86460</v>
      </c>
      <c r="W1537" s="64">
        <v>78600</v>
      </c>
      <c r="X1537" s="64">
        <v>86460</v>
      </c>
      <c r="Y1537" s="64">
        <v>0</v>
      </c>
      <c r="Z1537" s="64">
        <v>0</v>
      </c>
      <c r="AA1537" s="61">
        <v>44805</v>
      </c>
      <c r="AB1537" s="61">
        <v>44805</v>
      </c>
      <c r="AD1537" s="60">
        <v>0</v>
      </c>
      <c r="AG1537" s="60">
        <v>0</v>
      </c>
      <c r="AJ1537" s="60">
        <v>0</v>
      </c>
      <c r="AQ1537" s="60" t="s">
        <v>4278</v>
      </c>
      <c r="AR1537" s="61">
        <v>44776</v>
      </c>
      <c r="AS1537" s="60">
        <v>6002058493</v>
      </c>
      <c r="AT1537" s="61">
        <v>44776</v>
      </c>
      <c r="AU1537" s="60" t="s">
        <v>4283</v>
      </c>
      <c r="AV1537" s="61">
        <v>44834</v>
      </c>
      <c r="AW1537" s="91">
        <v>44834</v>
      </c>
      <c r="AX1537" s="91">
        <v>44854</v>
      </c>
      <c r="AY1537" s="107">
        <v>78600</v>
      </c>
      <c r="AZ1537" s="107">
        <f>ROUNDDOWN(AY1537+(AY1537*MASTER!$A$2/100),0)</f>
        <v>86460</v>
      </c>
      <c r="BA1537" s="60" t="s">
        <v>317</v>
      </c>
      <c r="BB1537" s="64">
        <v>34000</v>
      </c>
      <c r="BC1537" s="64">
        <v>37400</v>
      </c>
      <c r="BD1537" s="60" t="s">
        <v>4182</v>
      </c>
      <c r="BG1537" s="64">
        <v>0</v>
      </c>
      <c r="BK1537" s="64">
        <v>0</v>
      </c>
      <c r="BS1537" s="64">
        <v>0</v>
      </c>
      <c r="BV1537" s="65">
        <v>86460</v>
      </c>
      <c r="BW1537" s="65">
        <v>37400</v>
      </c>
      <c r="BX1537" s="65">
        <v>44774</v>
      </c>
      <c r="BY1537" s="65">
        <v>49060</v>
      </c>
      <c r="BZ1537" s="81">
        <v>56.743002544529261</v>
      </c>
    </row>
    <row r="1538" spans="1:82" x14ac:dyDescent="0.15">
      <c r="A1538" s="60">
        <v>1</v>
      </c>
      <c r="B1538" s="61">
        <v>44803</v>
      </c>
      <c r="C1538" s="61">
        <v>44834</v>
      </c>
      <c r="F1538" s="61" t="s">
        <v>309</v>
      </c>
      <c r="G1538" s="61">
        <v>44806</v>
      </c>
      <c r="H1538" s="61" t="s">
        <v>309</v>
      </c>
      <c r="J1538" s="60">
        <v>2</v>
      </c>
      <c r="L1538" s="60">
        <v>0</v>
      </c>
      <c r="M1538" s="61">
        <v>44774</v>
      </c>
      <c r="O1538" s="62" t="s">
        <v>331</v>
      </c>
      <c r="P1538" s="60" t="s">
        <v>26</v>
      </c>
      <c r="Q1538" s="62" t="s">
        <v>118</v>
      </c>
      <c r="R1538" s="62" t="s">
        <v>4525</v>
      </c>
      <c r="S1538" s="63" t="s">
        <v>1014</v>
      </c>
      <c r="T1538" s="63" t="s">
        <v>1524</v>
      </c>
      <c r="U1538" s="64">
        <v>78600</v>
      </c>
      <c r="V1538" s="64">
        <v>86460</v>
      </c>
      <c r="W1538" s="64">
        <v>78600</v>
      </c>
      <c r="X1538" s="64">
        <v>86460</v>
      </c>
      <c r="Y1538" s="64">
        <v>0</v>
      </c>
      <c r="Z1538" s="64">
        <v>0</v>
      </c>
      <c r="AA1538" s="61">
        <v>44805</v>
      </c>
      <c r="AB1538" s="61">
        <v>44805</v>
      </c>
      <c r="AD1538" s="60">
        <v>0</v>
      </c>
      <c r="AG1538" s="60">
        <v>0</v>
      </c>
      <c r="AJ1538" s="60">
        <v>0</v>
      </c>
      <c r="AQ1538" s="60" t="s">
        <v>4278</v>
      </c>
      <c r="AR1538" s="61">
        <v>44776</v>
      </c>
      <c r="AS1538" s="60">
        <v>6002058493</v>
      </c>
      <c r="AT1538" s="61">
        <v>44776</v>
      </c>
      <c r="AU1538" s="60" t="s">
        <v>4283</v>
      </c>
      <c r="AV1538" s="61">
        <v>44834</v>
      </c>
      <c r="AW1538" s="91">
        <v>44834</v>
      </c>
      <c r="AX1538" s="91">
        <v>44854</v>
      </c>
      <c r="AY1538" s="107">
        <v>78600</v>
      </c>
      <c r="AZ1538" s="107">
        <f>ROUNDDOWN(AY1538+(AY1538*MASTER!$A$2/100),0)</f>
        <v>86460</v>
      </c>
      <c r="BA1538" s="60" t="s">
        <v>317</v>
      </c>
      <c r="BB1538" s="64">
        <v>39000</v>
      </c>
      <c r="BC1538" s="64">
        <v>42900</v>
      </c>
      <c r="BD1538" s="60" t="s">
        <v>4182</v>
      </c>
      <c r="BG1538" s="64">
        <v>0</v>
      </c>
      <c r="BK1538" s="64">
        <v>0</v>
      </c>
      <c r="BS1538" s="64">
        <v>0</v>
      </c>
      <c r="BV1538" s="65">
        <v>86460</v>
      </c>
      <c r="BW1538" s="65">
        <v>42900</v>
      </c>
      <c r="BX1538" s="65">
        <v>44774</v>
      </c>
      <c r="BY1538" s="65">
        <v>43560</v>
      </c>
      <c r="BZ1538" s="81">
        <v>50.381679389312971</v>
      </c>
    </row>
    <row r="1539" spans="1:82" x14ac:dyDescent="0.15">
      <c r="A1539" s="60">
        <v>2</v>
      </c>
      <c r="B1539" s="61">
        <v>44783</v>
      </c>
      <c r="C1539" s="61">
        <v>44791</v>
      </c>
      <c r="D1539" s="61">
        <v>44774</v>
      </c>
      <c r="E1539" s="61">
        <v>44774</v>
      </c>
      <c r="F1539" s="61" t="s">
        <v>309</v>
      </c>
      <c r="G1539" s="61">
        <v>44774</v>
      </c>
      <c r="H1539" s="61" t="s">
        <v>309</v>
      </c>
      <c r="I1539" s="60" t="s">
        <v>766</v>
      </c>
      <c r="J1539" s="60">
        <v>2</v>
      </c>
      <c r="L1539" s="60">
        <v>0</v>
      </c>
      <c r="M1539" s="61">
        <v>44774</v>
      </c>
      <c r="O1539" s="62" t="s">
        <v>331</v>
      </c>
      <c r="P1539" s="60" t="s">
        <v>6</v>
      </c>
      <c r="Q1539" s="62" t="s">
        <v>118</v>
      </c>
      <c r="R1539" s="62" t="s">
        <v>4208</v>
      </c>
      <c r="S1539" s="63" t="s">
        <v>1212</v>
      </c>
      <c r="T1539" s="63" t="s">
        <v>364</v>
      </c>
      <c r="U1539" s="64">
        <v>35000</v>
      </c>
      <c r="V1539" s="64">
        <v>38500</v>
      </c>
      <c r="W1539" s="64">
        <v>35000</v>
      </c>
      <c r="X1539" s="64">
        <v>38500</v>
      </c>
      <c r="Z1539" s="64">
        <v>0</v>
      </c>
      <c r="AA1539" s="61">
        <v>44771</v>
      </c>
      <c r="AB1539" s="61">
        <v>44771</v>
      </c>
      <c r="AD1539" s="60">
        <v>0</v>
      </c>
      <c r="AG1539" s="60">
        <v>0</v>
      </c>
      <c r="AJ1539" s="60">
        <v>0</v>
      </c>
      <c r="AN1539" s="60" t="s">
        <v>309</v>
      </c>
      <c r="AQ1539" s="60" t="s">
        <v>4312</v>
      </c>
      <c r="AR1539" s="61">
        <v>44782</v>
      </c>
      <c r="AS1539" s="60">
        <v>6002060926</v>
      </c>
      <c r="AT1539" s="61">
        <v>44782</v>
      </c>
      <c r="AU1539" s="60" t="s">
        <v>4319</v>
      </c>
      <c r="AV1539" s="61">
        <v>44791</v>
      </c>
      <c r="AW1539" s="91">
        <v>44804</v>
      </c>
      <c r="AX1539" s="91">
        <v>44824</v>
      </c>
      <c r="AY1539" s="99">
        <v>33600</v>
      </c>
      <c r="AZ1539" s="99">
        <f>ROUNDDOWN(AY1539+(AY1539*MASTER!$A$2/100),0)</f>
        <v>36960</v>
      </c>
      <c r="BA1539" s="60" t="s">
        <v>613</v>
      </c>
      <c r="BB1539" s="64">
        <v>33000</v>
      </c>
      <c r="BC1539" s="64">
        <v>36300</v>
      </c>
      <c r="BD1539" s="60" t="s">
        <v>3940</v>
      </c>
      <c r="BG1539" s="64">
        <v>0</v>
      </c>
      <c r="BK1539" s="64">
        <v>0</v>
      </c>
      <c r="BS1539" s="64">
        <v>0</v>
      </c>
      <c r="BV1539" s="65">
        <v>38500</v>
      </c>
      <c r="BW1539" s="65">
        <v>36300</v>
      </c>
      <c r="BX1539" s="65">
        <v>44774</v>
      </c>
      <c r="BY1539" s="65">
        <v>2200</v>
      </c>
      <c r="BZ1539" s="81">
        <v>5.7142857142857144</v>
      </c>
    </row>
    <row r="1540" spans="1:82" x14ac:dyDescent="0.15">
      <c r="A1540" s="60">
        <v>1</v>
      </c>
      <c r="C1540" s="61" t="s">
        <v>309</v>
      </c>
      <c r="F1540" s="61" t="s">
        <v>309</v>
      </c>
      <c r="H1540" s="61" t="s">
        <v>309</v>
      </c>
      <c r="J1540" s="60">
        <v>2</v>
      </c>
      <c r="L1540" s="60">
        <v>0</v>
      </c>
      <c r="M1540" s="61">
        <v>44774</v>
      </c>
      <c r="O1540" s="62" t="s">
        <v>335</v>
      </c>
      <c r="P1540" s="60" t="s">
        <v>349</v>
      </c>
      <c r="Q1540" s="62" t="s">
        <v>4189</v>
      </c>
      <c r="R1540" s="62" t="s">
        <v>4190</v>
      </c>
      <c r="S1540" s="63" t="s">
        <v>4191</v>
      </c>
      <c r="T1540" s="63" t="s">
        <v>412</v>
      </c>
      <c r="U1540" s="64">
        <v>49500</v>
      </c>
      <c r="V1540" s="64">
        <v>54450</v>
      </c>
      <c r="W1540" s="64">
        <v>49500</v>
      </c>
      <c r="X1540" s="64">
        <v>54450</v>
      </c>
      <c r="Z1540" s="64">
        <v>0</v>
      </c>
      <c r="AD1540" s="60">
        <v>0</v>
      </c>
      <c r="AG1540" s="60">
        <v>0</v>
      </c>
      <c r="AJ1540" s="60">
        <v>0</v>
      </c>
      <c r="AN1540" s="60" t="s">
        <v>309</v>
      </c>
      <c r="AQ1540" s="60" t="s">
        <v>4324</v>
      </c>
      <c r="AR1540" s="61">
        <v>44783</v>
      </c>
      <c r="AS1540" s="60">
        <v>6002061406</v>
      </c>
      <c r="AT1540" s="61">
        <v>44783</v>
      </c>
      <c r="AU1540" s="60" t="s">
        <v>4336</v>
      </c>
      <c r="AV1540" s="61">
        <v>44864</v>
      </c>
      <c r="AY1540" s="99">
        <f>ROUNDDOWN((0.96*U1540),0)</f>
        <v>47520</v>
      </c>
      <c r="AZ1540" s="99">
        <f>ROUNDDOWN(AY1540+(AY1540*MASTER!$A$2/100),0)</f>
        <v>52272</v>
      </c>
      <c r="BC1540" s="64">
        <v>0</v>
      </c>
      <c r="BG1540" s="64">
        <v>0</v>
      </c>
      <c r="BK1540" s="64">
        <v>0</v>
      </c>
      <c r="BS1540" s="64">
        <v>0</v>
      </c>
      <c r="BV1540" s="65">
        <v>54450</v>
      </c>
      <c r="BW1540" s="65">
        <v>0</v>
      </c>
      <c r="BX1540" s="65">
        <v>44774</v>
      </c>
      <c r="BY1540" s="65">
        <v>54450</v>
      </c>
      <c r="BZ1540" s="81">
        <v>100</v>
      </c>
    </row>
    <row r="1541" spans="1:82" x14ac:dyDescent="0.15">
      <c r="A1541" s="60">
        <v>2</v>
      </c>
      <c r="B1541" s="61">
        <v>44783</v>
      </c>
      <c r="C1541" s="61">
        <v>44791</v>
      </c>
      <c r="D1541" s="61">
        <v>44777</v>
      </c>
      <c r="E1541" s="61">
        <v>44777</v>
      </c>
      <c r="F1541" s="61" t="s">
        <v>309</v>
      </c>
      <c r="G1541" s="61">
        <v>44777</v>
      </c>
      <c r="H1541" s="61" t="s">
        <v>309</v>
      </c>
      <c r="I1541" s="60" t="s">
        <v>766</v>
      </c>
      <c r="J1541" s="60">
        <v>2</v>
      </c>
      <c r="L1541" s="60">
        <v>0</v>
      </c>
      <c r="M1541" s="61">
        <v>44774</v>
      </c>
      <c r="O1541" s="62" t="s">
        <v>331</v>
      </c>
      <c r="P1541" s="60" t="s">
        <v>6</v>
      </c>
      <c r="Q1541" s="62" t="s">
        <v>118</v>
      </c>
      <c r="R1541" s="62" t="s">
        <v>4285</v>
      </c>
      <c r="S1541" s="63" t="s">
        <v>2376</v>
      </c>
      <c r="T1541" s="63" t="s">
        <v>364</v>
      </c>
      <c r="U1541" s="64">
        <v>35000</v>
      </c>
      <c r="V1541" s="64">
        <v>38500</v>
      </c>
      <c r="W1541" s="64">
        <v>35000</v>
      </c>
      <c r="X1541" s="64">
        <v>38500</v>
      </c>
      <c r="Z1541" s="64">
        <v>0</v>
      </c>
      <c r="AA1541" s="61">
        <v>44776</v>
      </c>
      <c r="AB1541" s="61">
        <v>44776</v>
      </c>
      <c r="AD1541" s="60">
        <v>0</v>
      </c>
      <c r="AG1541" s="60">
        <v>0</v>
      </c>
      <c r="AJ1541" s="60">
        <v>0</v>
      </c>
      <c r="AN1541" s="60" t="s">
        <v>309</v>
      </c>
      <c r="AQ1541" s="60" t="s">
        <v>4313</v>
      </c>
      <c r="AR1541" s="61">
        <v>44782</v>
      </c>
      <c r="AS1541" s="60">
        <v>6002060926</v>
      </c>
      <c r="AT1541" s="61">
        <v>44782</v>
      </c>
      <c r="AU1541" s="60" t="s">
        <v>4319</v>
      </c>
      <c r="AV1541" s="61">
        <v>44791</v>
      </c>
      <c r="AW1541" s="91">
        <v>44804</v>
      </c>
      <c r="AX1541" s="91">
        <v>44824</v>
      </c>
      <c r="AY1541" s="99">
        <v>33600</v>
      </c>
      <c r="AZ1541" s="99">
        <f>ROUNDDOWN(AY1541+(AY1541*MASTER!$A$2/100),0)</f>
        <v>36960</v>
      </c>
      <c r="BA1541" s="60" t="s">
        <v>314</v>
      </c>
      <c r="BB1541" s="64">
        <v>21000</v>
      </c>
      <c r="BC1541" s="64">
        <v>23100</v>
      </c>
      <c r="BD1541" s="60" t="s">
        <v>3940</v>
      </c>
      <c r="BG1541" s="64">
        <v>0</v>
      </c>
      <c r="BK1541" s="64">
        <v>0</v>
      </c>
      <c r="BS1541" s="64">
        <v>0</v>
      </c>
      <c r="BV1541" s="65">
        <v>38500</v>
      </c>
      <c r="BW1541" s="65">
        <v>23100</v>
      </c>
      <c r="BX1541" s="65">
        <v>44774</v>
      </c>
      <c r="BY1541" s="65">
        <v>15400</v>
      </c>
      <c r="BZ1541" s="81">
        <v>40</v>
      </c>
    </row>
    <row r="1542" spans="1:82" x14ac:dyDescent="0.15">
      <c r="A1542" s="60">
        <v>2</v>
      </c>
      <c r="B1542" s="61">
        <v>44783</v>
      </c>
      <c r="C1542" s="61">
        <v>44791</v>
      </c>
      <c r="D1542" s="61">
        <v>44781</v>
      </c>
      <c r="E1542" s="61">
        <v>44781</v>
      </c>
      <c r="F1542" s="61" t="s">
        <v>309</v>
      </c>
      <c r="G1542" s="61">
        <v>44781</v>
      </c>
      <c r="H1542" s="61" t="s">
        <v>309</v>
      </c>
      <c r="I1542" s="60" t="s">
        <v>494</v>
      </c>
      <c r="J1542" s="60">
        <v>2</v>
      </c>
      <c r="L1542" s="60">
        <v>0</v>
      </c>
      <c r="M1542" s="61">
        <v>44774</v>
      </c>
      <c r="O1542" s="62" t="s">
        <v>331</v>
      </c>
      <c r="P1542" s="60" t="s">
        <v>6</v>
      </c>
      <c r="Q1542" s="62" t="s">
        <v>118</v>
      </c>
      <c r="R1542" s="62" t="s">
        <v>4317</v>
      </c>
      <c r="S1542" s="63" t="s">
        <v>1604</v>
      </c>
      <c r="T1542" s="63" t="s">
        <v>364</v>
      </c>
      <c r="U1542" s="64">
        <v>51000</v>
      </c>
      <c r="V1542" s="64">
        <v>56100</v>
      </c>
      <c r="W1542" s="64">
        <v>51000</v>
      </c>
      <c r="X1542" s="64">
        <v>56100</v>
      </c>
      <c r="Z1542" s="64">
        <v>0</v>
      </c>
      <c r="AA1542" s="61">
        <v>44778</v>
      </c>
      <c r="AB1542" s="61">
        <v>44778</v>
      </c>
      <c r="AD1542" s="60">
        <v>0</v>
      </c>
      <c r="AG1542" s="60">
        <v>0</v>
      </c>
      <c r="AJ1542" s="60">
        <v>0</v>
      </c>
      <c r="AN1542" s="60" t="s">
        <v>309</v>
      </c>
      <c r="AQ1542" s="60" t="s">
        <v>4314</v>
      </c>
      <c r="AR1542" s="61">
        <v>44782</v>
      </c>
      <c r="AS1542" s="60">
        <v>6002060926</v>
      </c>
      <c r="AT1542" s="61">
        <v>44782</v>
      </c>
      <c r="AU1542" s="60" t="s">
        <v>4319</v>
      </c>
      <c r="AV1542" s="61">
        <v>44791</v>
      </c>
      <c r="AW1542" s="91">
        <v>44804</v>
      </c>
      <c r="AX1542" s="91">
        <v>44824</v>
      </c>
      <c r="AY1542" s="99">
        <v>48960</v>
      </c>
      <c r="AZ1542" s="99">
        <f>ROUNDDOWN(AY1542+(AY1542*MASTER!$A$2/100),0)</f>
        <v>53856</v>
      </c>
      <c r="BA1542" s="60" t="s">
        <v>538</v>
      </c>
      <c r="BB1542" s="64">
        <v>21000</v>
      </c>
      <c r="BC1542" s="64">
        <v>23100</v>
      </c>
      <c r="BD1542" s="60" t="s">
        <v>4069</v>
      </c>
      <c r="BG1542" s="64">
        <v>0</v>
      </c>
      <c r="BK1542" s="64">
        <v>0</v>
      </c>
      <c r="BS1542" s="64">
        <v>0</v>
      </c>
      <c r="BV1542" s="65">
        <v>56100</v>
      </c>
      <c r="BW1542" s="65">
        <v>23100</v>
      </c>
      <c r="BX1542" s="65">
        <v>44774</v>
      </c>
      <c r="BY1542" s="65">
        <v>33000</v>
      </c>
      <c r="BZ1542" s="81">
        <v>58.82352941176471</v>
      </c>
    </row>
    <row r="1543" spans="1:82" x14ac:dyDescent="0.15">
      <c r="A1543" s="60">
        <v>1</v>
      </c>
      <c r="C1543" s="61" t="s">
        <v>309</v>
      </c>
      <c r="F1543" s="61" t="s">
        <v>309</v>
      </c>
      <c r="H1543" s="61" t="s">
        <v>309</v>
      </c>
      <c r="J1543" s="60">
        <v>4</v>
      </c>
      <c r="L1543" s="60">
        <v>0</v>
      </c>
      <c r="M1543" s="61">
        <v>44774</v>
      </c>
      <c r="O1543" s="62" t="s">
        <v>331</v>
      </c>
      <c r="P1543" s="60" t="s">
        <v>263</v>
      </c>
      <c r="Q1543" s="62" t="s">
        <v>118</v>
      </c>
      <c r="R1543" s="62" t="s">
        <v>4192</v>
      </c>
      <c r="S1543" s="63" t="s">
        <v>1049</v>
      </c>
      <c r="T1543" s="63" t="s">
        <v>4193</v>
      </c>
      <c r="U1543" s="64">
        <v>0</v>
      </c>
      <c r="V1543" s="64">
        <v>0</v>
      </c>
      <c r="W1543" s="64">
        <v>0</v>
      </c>
      <c r="X1543" s="64">
        <v>0</v>
      </c>
      <c r="Y1543" s="64">
        <v>0</v>
      </c>
      <c r="Z1543" s="64">
        <v>0</v>
      </c>
      <c r="AA1543" s="61">
        <v>44749</v>
      </c>
      <c r="AB1543" s="61">
        <v>44750</v>
      </c>
      <c r="AD1543" s="60">
        <v>0</v>
      </c>
      <c r="AG1543" s="60">
        <v>0</v>
      </c>
      <c r="AJ1543" s="60">
        <v>0</v>
      </c>
      <c r="AY1543" s="99">
        <f>ROUNDDOWN((0.96*U1543),0)</f>
        <v>0</v>
      </c>
      <c r="AZ1543" s="99">
        <f>ROUNDDOWN(AY1543+(AY1543*MASTER!$A$2/100),0)</f>
        <v>0</v>
      </c>
      <c r="BC1543" s="64">
        <v>0</v>
      </c>
      <c r="BG1543" s="64">
        <v>0</v>
      </c>
      <c r="BI1543" s="60" t="s">
        <v>748</v>
      </c>
      <c r="BJ1543" s="64">
        <v>60125</v>
      </c>
      <c r="BK1543" s="64">
        <v>66137.5</v>
      </c>
      <c r="BL1543" s="60" t="s">
        <v>3885</v>
      </c>
      <c r="BS1543" s="64">
        <v>0</v>
      </c>
      <c r="BV1543" s="65">
        <v>0</v>
      </c>
      <c r="BW1543" s="65">
        <v>66137.5</v>
      </c>
      <c r="BX1543" s="65">
        <v>44774</v>
      </c>
      <c r="BY1543" s="65">
        <v>-66137.5</v>
      </c>
      <c r="BZ1543" s="81" t="s">
        <v>309</v>
      </c>
      <c r="CD1543" s="63" t="s">
        <v>4194</v>
      </c>
    </row>
    <row r="1544" spans="1:82" x14ac:dyDescent="0.15">
      <c r="A1544" s="60">
        <v>2</v>
      </c>
      <c r="B1544" s="61">
        <v>44783</v>
      </c>
      <c r="C1544" s="61">
        <v>44792</v>
      </c>
      <c r="D1544" s="61">
        <v>44782</v>
      </c>
      <c r="E1544" s="61">
        <v>44782</v>
      </c>
      <c r="F1544" s="61" t="s">
        <v>309</v>
      </c>
      <c r="G1544" s="61">
        <v>44782</v>
      </c>
      <c r="H1544" s="61" t="s">
        <v>309</v>
      </c>
      <c r="I1544" s="60" t="s">
        <v>766</v>
      </c>
      <c r="J1544" s="60">
        <v>2</v>
      </c>
      <c r="L1544" s="60">
        <v>0</v>
      </c>
      <c r="M1544" s="61">
        <v>44775</v>
      </c>
      <c r="O1544" s="62" t="s">
        <v>331</v>
      </c>
      <c r="P1544" s="60" t="s">
        <v>6</v>
      </c>
      <c r="Q1544" s="62" t="s">
        <v>118</v>
      </c>
      <c r="R1544" s="62" t="s">
        <v>4315</v>
      </c>
      <c r="S1544" s="63" t="s">
        <v>484</v>
      </c>
      <c r="T1544" s="63" t="s">
        <v>364</v>
      </c>
      <c r="U1544" s="64">
        <v>35000</v>
      </c>
      <c r="V1544" s="64">
        <v>38500</v>
      </c>
      <c r="W1544" s="64">
        <v>35000</v>
      </c>
      <c r="X1544" s="64">
        <v>38500</v>
      </c>
      <c r="Z1544" s="64">
        <v>0</v>
      </c>
      <c r="AA1544" s="61">
        <v>44781</v>
      </c>
      <c r="AB1544" s="61">
        <v>44781</v>
      </c>
      <c r="AD1544" s="60">
        <v>0</v>
      </c>
      <c r="AG1544" s="60">
        <v>0</v>
      </c>
      <c r="AJ1544" s="60">
        <v>0</v>
      </c>
      <c r="AN1544" s="60" t="s">
        <v>309</v>
      </c>
      <c r="AQ1544" s="60" t="s">
        <v>4293</v>
      </c>
      <c r="AR1544" s="61">
        <v>44778</v>
      </c>
      <c r="AS1544" s="60">
        <v>6002059828</v>
      </c>
      <c r="AT1544" s="61">
        <v>44778</v>
      </c>
      <c r="AU1544" s="60" t="s">
        <v>4305</v>
      </c>
      <c r="AV1544" s="61">
        <v>44792</v>
      </c>
      <c r="AW1544" s="91">
        <v>44804</v>
      </c>
      <c r="AX1544" s="91">
        <v>44824</v>
      </c>
      <c r="AY1544" s="99">
        <v>33600</v>
      </c>
      <c r="AZ1544" s="99">
        <f>ROUNDDOWN(AY1544+(AY1544*MASTER!$A$2/100),0)</f>
        <v>36960</v>
      </c>
      <c r="BA1544" s="60" t="s">
        <v>613</v>
      </c>
      <c r="BB1544" s="64">
        <v>23000</v>
      </c>
      <c r="BC1544" s="64">
        <v>25300</v>
      </c>
      <c r="BD1544" s="60" t="s">
        <v>3940</v>
      </c>
      <c r="BG1544" s="64">
        <v>0</v>
      </c>
      <c r="BK1544" s="64">
        <v>0</v>
      </c>
      <c r="BS1544" s="64">
        <v>0</v>
      </c>
      <c r="BV1544" s="65">
        <v>38500</v>
      </c>
      <c r="BW1544" s="65">
        <v>25300</v>
      </c>
      <c r="BX1544" s="65">
        <v>44775</v>
      </c>
      <c r="BY1544" s="65">
        <v>13200</v>
      </c>
      <c r="BZ1544" s="81">
        <v>34.285714285714285</v>
      </c>
    </row>
    <row r="1545" spans="1:82" x14ac:dyDescent="0.15">
      <c r="A1545" s="60">
        <v>1</v>
      </c>
      <c r="B1545" s="61">
        <v>44818</v>
      </c>
      <c r="C1545" s="61">
        <v>44818</v>
      </c>
      <c r="F1545" s="61" t="s">
        <v>309</v>
      </c>
      <c r="H1545" s="61" t="s">
        <v>309</v>
      </c>
      <c r="J1545" s="60">
        <v>2</v>
      </c>
      <c r="L1545" s="60">
        <v>0</v>
      </c>
      <c r="M1545" s="61">
        <v>44775</v>
      </c>
      <c r="O1545" s="62" t="s">
        <v>331</v>
      </c>
      <c r="P1545" s="60" t="s">
        <v>6</v>
      </c>
      <c r="Q1545" s="62" t="s">
        <v>118</v>
      </c>
      <c r="R1545" s="62" t="s">
        <v>4834</v>
      </c>
      <c r="S1545" s="63" t="s">
        <v>452</v>
      </c>
      <c r="T1545" s="63" t="s">
        <v>364</v>
      </c>
      <c r="U1545" s="64">
        <v>16000</v>
      </c>
      <c r="V1545" s="64">
        <v>17600</v>
      </c>
      <c r="W1545" s="64">
        <v>16000</v>
      </c>
      <c r="X1545" s="64">
        <v>17600</v>
      </c>
      <c r="Z1545" s="64">
        <v>0</v>
      </c>
      <c r="AD1545" s="60">
        <v>0</v>
      </c>
      <c r="AG1545" s="60">
        <v>0</v>
      </c>
      <c r="AJ1545" s="60">
        <v>0</v>
      </c>
      <c r="AN1545" s="60" t="s">
        <v>309</v>
      </c>
      <c r="AQ1545" s="60" t="s">
        <v>4662</v>
      </c>
      <c r="AR1545" s="61">
        <v>44805</v>
      </c>
      <c r="AS1545" s="60">
        <v>6002067843</v>
      </c>
      <c r="AT1545" s="61">
        <v>44806</v>
      </c>
      <c r="AU1545" s="60" t="s">
        <v>4683</v>
      </c>
      <c r="AV1545" s="61">
        <v>44818</v>
      </c>
      <c r="AW1545" s="91">
        <v>44834</v>
      </c>
      <c r="AX1545" s="91">
        <v>44854</v>
      </c>
      <c r="AY1545" s="99">
        <v>15360</v>
      </c>
      <c r="AZ1545" s="99">
        <f>ROUNDDOWN(AY1545+(AY1545*MASTER!$A$2/100),0)</f>
        <v>16896</v>
      </c>
      <c r="BC1545" s="64">
        <v>0</v>
      </c>
      <c r="BG1545" s="64">
        <v>0</v>
      </c>
      <c r="BK1545" s="64">
        <v>0</v>
      </c>
      <c r="BS1545" s="64">
        <v>0</v>
      </c>
      <c r="BV1545" s="65">
        <v>17600</v>
      </c>
      <c r="BW1545" s="65">
        <v>0</v>
      </c>
      <c r="BX1545" s="65">
        <v>44775</v>
      </c>
      <c r="BY1545" s="65">
        <v>17600</v>
      </c>
      <c r="BZ1545" s="81">
        <v>100</v>
      </c>
    </row>
    <row r="1546" spans="1:82" x14ac:dyDescent="0.15">
      <c r="A1546" s="60">
        <v>1</v>
      </c>
      <c r="B1546" s="61">
        <v>44813</v>
      </c>
      <c r="C1546" s="61">
        <v>44826</v>
      </c>
      <c r="F1546" s="61" t="s">
        <v>309</v>
      </c>
      <c r="H1546" s="61" t="s">
        <v>309</v>
      </c>
      <c r="J1546" s="60">
        <v>2</v>
      </c>
      <c r="L1546" s="60">
        <v>0</v>
      </c>
      <c r="M1546" s="61">
        <v>44775</v>
      </c>
      <c r="O1546" s="62" t="s">
        <v>331</v>
      </c>
      <c r="P1546" s="60" t="s">
        <v>6</v>
      </c>
      <c r="Q1546" s="62" t="s">
        <v>118</v>
      </c>
      <c r="R1546" s="62" t="s">
        <v>4785</v>
      </c>
      <c r="S1546" s="63" t="s">
        <v>4786</v>
      </c>
      <c r="T1546" s="63" t="s">
        <v>364</v>
      </c>
      <c r="U1546" s="64">
        <v>16000</v>
      </c>
      <c r="V1546" s="64">
        <v>17600</v>
      </c>
      <c r="W1546" s="64">
        <v>16000</v>
      </c>
      <c r="X1546" s="64">
        <v>17600</v>
      </c>
      <c r="Z1546" s="64">
        <v>0</v>
      </c>
      <c r="AD1546" s="60">
        <v>0</v>
      </c>
      <c r="AG1546" s="60">
        <v>0</v>
      </c>
      <c r="AJ1546" s="60">
        <v>0</v>
      </c>
      <c r="AN1546" s="60" t="s">
        <v>309</v>
      </c>
      <c r="AQ1546" s="60" t="s">
        <v>4584</v>
      </c>
      <c r="AR1546" s="61">
        <v>44803</v>
      </c>
      <c r="AS1546" s="60">
        <v>6002066885</v>
      </c>
      <c r="AT1546" s="61">
        <v>44803</v>
      </c>
      <c r="AU1546" s="60" t="s">
        <v>4595</v>
      </c>
      <c r="AV1546" s="61">
        <v>44826</v>
      </c>
      <c r="AW1546" s="91">
        <v>44834</v>
      </c>
      <c r="AX1546" s="91">
        <v>44854</v>
      </c>
      <c r="AY1546" s="99">
        <v>15360</v>
      </c>
      <c r="AZ1546" s="99">
        <f>ROUNDDOWN(AY1546+(AY1546*MASTER!$A$2/100),0)</f>
        <v>16896</v>
      </c>
      <c r="BC1546" s="64">
        <v>0</v>
      </c>
      <c r="BG1546" s="64">
        <v>0</v>
      </c>
      <c r="BK1546" s="64">
        <v>0</v>
      </c>
      <c r="BS1546" s="64">
        <v>0</v>
      </c>
      <c r="BV1546" s="65">
        <v>17600</v>
      </c>
      <c r="BW1546" s="65">
        <v>0</v>
      </c>
      <c r="BX1546" s="65">
        <v>44775</v>
      </c>
      <c r="BY1546" s="65">
        <v>17600</v>
      </c>
      <c r="BZ1546" s="81">
        <v>100</v>
      </c>
    </row>
    <row r="1547" spans="1:82" x14ac:dyDescent="0.15">
      <c r="A1547" s="60">
        <v>1</v>
      </c>
      <c r="B1547" s="61">
        <v>44783</v>
      </c>
      <c r="C1547" s="61">
        <v>44799</v>
      </c>
      <c r="D1547" s="61">
        <v>44806</v>
      </c>
      <c r="F1547" s="61" t="s">
        <v>309</v>
      </c>
      <c r="G1547" s="61">
        <v>44790</v>
      </c>
      <c r="H1547" s="61" t="s">
        <v>309</v>
      </c>
      <c r="I1547" s="60" t="s">
        <v>2495</v>
      </c>
      <c r="J1547" s="60">
        <v>2</v>
      </c>
      <c r="L1547" s="60">
        <v>0</v>
      </c>
      <c r="M1547" s="61">
        <v>44776</v>
      </c>
      <c r="O1547" s="62" t="s">
        <v>331</v>
      </c>
      <c r="P1547" s="60" t="s">
        <v>26</v>
      </c>
      <c r="Q1547" s="62" t="s">
        <v>118</v>
      </c>
      <c r="R1547" s="62" t="s">
        <v>4340</v>
      </c>
      <c r="S1547" s="63" t="s">
        <v>655</v>
      </c>
      <c r="T1547" s="63" t="s">
        <v>4341</v>
      </c>
      <c r="U1547" s="64">
        <v>100500</v>
      </c>
      <c r="V1547" s="64">
        <v>110550</v>
      </c>
      <c r="W1547" s="64">
        <v>100500</v>
      </c>
      <c r="X1547" s="64">
        <v>110550</v>
      </c>
      <c r="Z1547" s="64">
        <v>0</v>
      </c>
      <c r="AA1547" s="61">
        <v>44788</v>
      </c>
      <c r="AB1547" s="61">
        <v>44788</v>
      </c>
      <c r="AD1547" s="60">
        <v>0</v>
      </c>
      <c r="AG1547" s="60">
        <v>0</v>
      </c>
      <c r="AJ1547" s="60">
        <v>0</v>
      </c>
      <c r="AM1547" s="60" t="s">
        <v>273</v>
      </c>
      <c r="AN1547" s="60" t="s">
        <v>4342</v>
      </c>
      <c r="AQ1547" s="60" t="s">
        <v>4310</v>
      </c>
      <c r="AR1547" s="61">
        <v>44782</v>
      </c>
      <c r="AS1547" s="60">
        <v>6002060926</v>
      </c>
      <c r="AT1547" s="61">
        <v>44782</v>
      </c>
      <c r="AU1547" s="60" t="s">
        <v>4319</v>
      </c>
      <c r="AV1547" s="61">
        <v>44799</v>
      </c>
      <c r="AW1547" s="91">
        <v>44804</v>
      </c>
      <c r="AX1547" s="91">
        <v>44824</v>
      </c>
      <c r="AY1547" s="99">
        <v>96480</v>
      </c>
      <c r="AZ1547" s="99">
        <f>ROUNDDOWN(AY1547+(AY1547*MASTER!$A$2/100),0)</f>
        <v>106128</v>
      </c>
      <c r="BA1547" s="60" t="s">
        <v>613</v>
      </c>
      <c r="BB1547" s="64">
        <v>46000</v>
      </c>
      <c r="BC1547" s="64">
        <v>50600</v>
      </c>
      <c r="BD1547" s="60" t="s">
        <v>3940</v>
      </c>
      <c r="BG1547" s="64">
        <v>0</v>
      </c>
      <c r="BK1547" s="64">
        <v>0</v>
      </c>
      <c r="BS1547" s="64">
        <v>0</v>
      </c>
      <c r="BV1547" s="65">
        <v>110550</v>
      </c>
      <c r="BW1547" s="65">
        <v>50600</v>
      </c>
      <c r="BX1547" s="65">
        <v>44776</v>
      </c>
      <c r="BY1547" s="65">
        <v>59950</v>
      </c>
      <c r="BZ1547" s="81">
        <v>54.228855721393032</v>
      </c>
    </row>
    <row r="1548" spans="1:82" x14ac:dyDescent="0.15">
      <c r="A1548" s="60">
        <v>2</v>
      </c>
      <c r="B1548" s="61">
        <v>44790</v>
      </c>
      <c r="C1548" s="61">
        <v>44799</v>
      </c>
      <c r="D1548" s="61">
        <v>44806</v>
      </c>
      <c r="E1548" s="61">
        <v>44803</v>
      </c>
      <c r="F1548" s="61" t="s">
        <v>309</v>
      </c>
      <c r="G1548" s="61">
        <v>44802</v>
      </c>
      <c r="H1548" s="61" t="s">
        <v>309</v>
      </c>
      <c r="I1548" s="60" t="s">
        <v>511</v>
      </c>
      <c r="J1548" s="60">
        <v>2</v>
      </c>
      <c r="L1548" s="60">
        <v>0</v>
      </c>
      <c r="M1548" s="61">
        <v>44776</v>
      </c>
      <c r="O1548" s="62" t="s">
        <v>331</v>
      </c>
      <c r="P1548" s="60" t="s">
        <v>26</v>
      </c>
      <c r="Q1548" s="62" t="s">
        <v>118</v>
      </c>
      <c r="R1548" s="62" t="s">
        <v>4400</v>
      </c>
      <c r="S1548" s="63" t="s">
        <v>2055</v>
      </c>
      <c r="T1548" s="63" t="s">
        <v>4401</v>
      </c>
      <c r="U1548" s="64">
        <v>106500</v>
      </c>
      <c r="V1548" s="64">
        <v>117150</v>
      </c>
      <c r="W1548" s="64">
        <v>106500</v>
      </c>
      <c r="X1548" s="64">
        <v>117150</v>
      </c>
      <c r="Z1548" s="64">
        <v>0</v>
      </c>
      <c r="AA1548" s="61">
        <v>44800</v>
      </c>
      <c r="AB1548" s="61">
        <v>44800</v>
      </c>
      <c r="AD1548" s="60">
        <v>0</v>
      </c>
      <c r="AG1548" s="60">
        <v>0</v>
      </c>
      <c r="AJ1548" s="60">
        <v>0</v>
      </c>
      <c r="AM1548" s="60" t="s">
        <v>273</v>
      </c>
      <c r="AN1548" s="60" t="s">
        <v>4402</v>
      </c>
      <c r="AQ1548" s="60" t="s">
        <v>4307</v>
      </c>
      <c r="AR1548" s="61">
        <v>44782</v>
      </c>
      <c r="AS1548" s="60">
        <v>6002060926</v>
      </c>
      <c r="AT1548" s="61">
        <v>44782</v>
      </c>
      <c r="AU1548" s="60" t="s">
        <v>4319</v>
      </c>
      <c r="AV1548" s="61">
        <v>44799</v>
      </c>
      <c r="AW1548" s="91">
        <v>44804</v>
      </c>
      <c r="AX1548" s="91">
        <v>44824</v>
      </c>
      <c r="AY1548" s="99">
        <v>102240</v>
      </c>
      <c r="AZ1548" s="99">
        <f>ROUNDDOWN(AY1548+(AY1548*MASTER!$A$2/100),0)</f>
        <v>112464</v>
      </c>
      <c r="BA1548" s="60" t="s">
        <v>613</v>
      </c>
      <c r="BB1548" s="64">
        <v>39000</v>
      </c>
      <c r="BC1548" s="64">
        <v>42900</v>
      </c>
      <c r="BD1548" s="60" t="s">
        <v>3940</v>
      </c>
      <c r="BG1548" s="64">
        <v>0</v>
      </c>
      <c r="BK1548" s="64">
        <v>0</v>
      </c>
      <c r="BS1548" s="64">
        <v>0</v>
      </c>
      <c r="BV1548" s="65">
        <v>117150</v>
      </c>
      <c r="BW1548" s="65">
        <v>42900</v>
      </c>
      <c r="BX1548" s="65">
        <v>44776</v>
      </c>
      <c r="BY1548" s="65">
        <v>74250</v>
      </c>
      <c r="BZ1548" s="81">
        <v>63.380281690140848</v>
      </c>
    </row>
    <row r="1549" spans="1:82" x14ac:dyDescent="0.15">
      <c r="A1549" s="60">
        <v>2</v>
      </c>
      <c r="B1549" s="61">
        <v>44783</v>
      </c>
      <c r="C1549" s="61">
        <v>44791</v>
      </c>
      <c r="D1549" s="61">
        <v>44778</v>
      </c>
      <c r="E1549" s="61">
        <v>44778</v>
      </c>
      <c r="F1549" s="61" t="s">
        <v>309</v>
      </c>
      <c r="G1549" s="61">
        <v>44778</v>
      </c>
      <c r="H1549" s="61" t="s">
        <v>309</v>
      </c>
      <c r="I1549" s="60" t="s">
        <v>766</v>
      </c>
      <c r="J1549" s="60">
        <v>2</v>
      </c>
      <c r="L1549" s="60">
        <v>0</v>
      </c>
      <c r="M1549" s="61">
        <v>44776</v>
      </c>
      <c r="O1549" s="62" t="s">
        <v>331</v>
      </c>
      <c r="P1549" s="60" t="s">
        <v>6</v>
      </c>
      <c r="Q1549" s="62" t="s">
        <v>118</v>
      </c>
      <c r="R1549" s="62" t="s">
        <v>4298</v>
      </c>
      <c r="S1549" s="63" t="s">
        <v>1819</v>
      </c>
      <c r="T1549" s="63" t="s">
        <v>364</v>
      </c>
      <c r="U1549" s="64">
        <v>35000</v>
      </c>
      <c r="V1549" s="64">
        <v>38500</v>
      </c>
      <c r="W1549" s="64">
        <v>35000</v>
      </c>
      <c r="X1549" s="64">
        <v>38500</v>
      </c>
      <c r="Z1549" s="64">
        <v>0</v>
      </c>
      <c r="AA1549" s="61">
        <v>44777</v>
      </c>
      <c r="AB1549" s="61">
        <v>44777</v>
      </c>
      <c r="AD1549" s="60">
        <v>0</v>
      </c>
      <c r="AG1549" s="60">
        <v>0</v>
      </c>
      <c r="AJ1549" s="60">
        <v>0</v>
      </c>
      <c r="AN1549" s="60" t="s">
        <v>309</v>
      </c>
      <c r="AQ1549" s="60" t="s">
        <v>4306</v>
      </c>
      <c r="AR1549" s="61">
        <v>44782</v>
      </c>
      <c r="AS1549" s="60">
        <v>6002060926</v>
      </c>
      <c r="AT1549" s="61">
        <v>44782</v>
      </c>
      <c r="AU1549" s="60" t="s">
        <v>4319</v>
      </c>
      <c r="AV1549" s="61">
        <v>44791</v>
      </c>
      <c r="AW1549" s="91">
        <v>44804</v>
      </c>
      <c r="AX1549" s="91">
        <v>44824</v>
      </c>
      <c r="AY1549" s="99">
        <v>33600</v>
      </c>
      <c r="AZ1549" s="99">
        <f>ROUNDDOWN(AY1549+(AY1549*MASTER!$A$2/100),0)</f>
        <v>36960</v>
      </c>
      <c r="BA1549" s="60" t="s">
        <v>613</v>
      </c>
      <c r="BB1549" s="64">
        <v>32000</v>
      </c>
      <c r="BC1549" s="64">
        <v>35200</v>
      </c>
      <c r="BD1549" s="60" t="s">
        <v>3940</v>
      </c>
      <c r="BG1549" s="64">
        <v>0</v>
      </c>
      <c r="BK1549" s="64">
        <v>0</v>
      </c>
      <c r="BS1549" s="64">
        <v>0</v>
      </c>
      <c r="BV1549" s="65">
        <v>38500</v>
      </c>
      <c r="BW1549" s="65">
        <v>35200</v>
      </c>
      <c r="BX1549" s="65">
        <v>44776</v>
      </c>
      <c r="BY1549" s="65">
        <v>3300</v>
      </c>
      <c r="BZ1549" s="81">
        <v>8.5714285714285712</v>
      </c>
    </row>
    <row r="1550" spans="1:82" x14ac:dyDescent="0.15">
      <c r="A1550" s="60">
        <v>1</v>
      </c>
      <c r="B1550" s="61">
        <v>44826</v>
      </c>
      <c r="C1550" s="61">
        <v>44833</v>
      </c>
      <c r="F1550" s="61" t="s">
        <v>309</v>
      </c>
      <c r="H1550" s="61" t="s">
        <v>309</v>
      </c>
      <c r="J1550" s="60">
        <v>2</v>
      </c>
      <c r="L1550" s="60">
        <v>0</v>
      </c>
      <c r="M1550" s="61">
        <v>44776</v>
      </c>
      <c r="O1550" s="62" t="s">
        <v>331</v>
      </c>
      <c r="P1550" s="60" t="s">
        <v>26</v>
      </c>
      <c r="Q1550" s="62" t="s">
        <v>118</v>
      </c>
      <c r="R1550" s="62" t="s">
        <v>4957</v>
      </c>
      <c r="S1550" s="63" t="s">
        <v>1586</v>
      </c>
      <c r="T1550" s="63" t="s">
        <v>4958</v>
      </c>
      <c r="U1550" s="64">
        <v>100500</v>
      </c>
      <c r="V1550" s="64">
        <v>110550</v>
      </c>
      <c r="W1550" s="64">
        <v>100500</v>
      </c>
      <c r="X1550" s="64">
        <v>110550</v>
      </c>
      <c r="Z1550" s="64">
        <v>0</v>
      </c>
      <c r="AD1550" s="60">
        <v>0</v>
      </c>
      <c r="AG1550" s="60">
        <v>0</v>
      </c>
      <c r="AJ1550" s="60">
        <v>0</v>
      </c>
      <c r="AM1550" s="60" t="s">
        <v>273</v>
      </c>
      <c r="AN1550" s="60" t="s">
        <v>4959</v>
      </c>
      <c r="AQ1550" s="60" t="s">
        <v>4926</v>
      </c>
      <c r="AR1550" s="61">
        <v>44825</v>
      </c>
      <c r="AS1550" s="60">
        <v>6002075458</v>
      </c>
      <c r="AT1550" s="61">
        <v>44826</v>
      </c>
      <c r="AU1550" s="60" t="s">
        <v>4929</v>
      </c>
      <c r="AV1550" s="61">
        <v>44833</v>
      </c>
      <c r="AW1550" s="91">
        <v>44834</v>
      </c>
      <c r="AX1550" s="91">
        <v>44854</v>
      </c>
      <c r="AY1550" s="99">
        <v>96480</v>
      </c>
      <c r="AZ1550" s="99">
        <f>ROUNDDOWN(AY1550+(AY1550*MASTER!$A$2/100),0)</f>
        <v>106128</v>
      </c>
      <c r="BC1550" s="64">
        <v>0</v>
      </c>
      <c r="BG1550" s="64">
        <v>0</v>
      </c>
      <c r="BK1550" s="64">
        <v>0</v>
      </c>
      <c r="BS1550" s="64">
        <v>0</v>
      </c>
      <c r="BV1550" s="65">
        <v>110550</v>
      </c>
      <c r="BW1550" s="65">
        <v>0</v>
      </c>
      <c r="BX1550" s="65">
        <v>44776</v>
      </c>
      <c r="BY1550" s="65">
        <v>110550</v>
      </c>
      <c r="BZ1550" s="81">
        <v>100</v>
      </c>
    </row>
    <row r="1551" spans="1:82" x14ac:dyDescent="0.15">
      <c r="A1551" s="60">
        <v>1</v>
      </c>
      <c r="C1551" s="61" t="s">
        <v>309</v>
      </c>
      <c r="F1551" s="61" t="s">
        <v>309</v>
      </c>
      <c r="H1551" s="61" t="s">
        <v>309</v>
      </c>
      <c r="J1551" s="60">
        <v>2</v>
      </c>
      <c r="L1551" s="60">
        <v>0</v>
      </c>
      <c r="M1551" s="61">
        <v>44776</v>
      </c>
      <c r="O1551" s="62" t="s">
        <v>335</v>
      </c>
      <c r="P1551" s="60" t="s">
        <v>349</v>
      </c>
      <c r="Q1551" s="62" t="s">
        <v>4189</v>
      </c>
      <c r="R1551" s="62" t="s">
        <v>4280</v>
      </c>
      <c r="S1551" s="63" t="s">
        <v>4281</v>
      </c>
      <c r="T1551" s="63" t="s">
        <v>4075</v>
      </c>
      <c r="U1551" s="64">
        <v>100500</v>
      </c>
      <c r="V1551" s="64">
        <v>110550</v>
      </c>
      <c r="W1551" s="64">
        <v>100500</v>
      </c>
      <c r="X1551" s="64">
        <v>110550</v>
      </c>
      <c r="Z1551" s="64">
        <v>0</v>
      </c>
      <c r="AD1551" s="60">
        <v>0</v>
      </c>
      <c r="AG1551" s="60">
        <v>0</v>
      </c>
      <c r="AJ1551" s="60">
        <v>0</v>
      </c>
      <c r="AM1551" s="60" t="s">
        <v>350</v>
      </c>
      <c r="AN1551" s="60" t="s">
        <v>4282</v>
      </c>
      <c r="AY1551" s="99">
        <f>ROUNDDOWN((0.96*U1551),0)</f>
        <v>96480</v>
      </c>
      <c r="AZ1551" s="99">
        <f>ROUNDDOWN(AY1551+(AY1551*MASTER!$A$2/100),0)</f>
        <v>106128</v>
      </c>
      <c r="BC1551" s="64">
        <v>0</v>
      </c>
      <c r="BG1551" s="64">
        <v>0</v>
      </c>
      <c r="BK1551" s="64">
        <v>0</v>
      </c>
      <c r="BS1551" s="64">
        <v>0</v>
      </c>
      <c r="BV1551" s="65">
        <v>110550</v>
      </c>
      <c r="BW1551" s="65">
        <v>0</v>
      </c>
      <c r="BX1551" s="65">
        <v>44776</v>
      </c>
      <c r="BY1551" s="65">
        <v>110550</v>
      </c>
      <c r="BZ1551" s="81">
        <v>100</v>
      </c>
    </row>
    <row r="1552" spans="1:82" x14ac:dyDescent="0.15">
      <c r="A1552" s="60">
        <v>2</v>
      </c>
      <c r="B1552" s="61">
        <v>44790</v>
      </c>
      <c r="C1552" s="61">
        <v>44799</v>
      </c>
      <c r="D1552" s="61">
        <v>44816</v>
      </c>
      <c r="E1552" s="61">
        <v>44803</v>
      </c>
      <c r="F1552" s="61" t="s">
        <v>309</v>
      </c>
      <c r="G1552" s="61">
        <v>44802</v>
      </c>
      <c r="H1552" s="61" t="s">
        <v>309</v>
      </c>
      <c r="I1552" s="60" t="s">
        <v>511</v>
      </c>
      <c r="J1552" s="60">
        <v>2</v>
      </c>
      <c r="L1552" s="60">
        <v>0</v>
      </c>
      <c r="M1552" s="61">
        <v>44776</v>
      </c>
      <c r="O1552" s="62" t="s">
        <v>331</v>
      </c>
      <c r="P1552" s="60" t="s">
        <v>26</v>
      </c>
      <c r="Q1552" s="62" t="s">
        <v>118</v>
      </c>
      <c r="R1552" s="62" t="s">
        <v>4403</v>
      </c>
      <c r="S1552" s="63" t="s">
        <v>4322</v>
      </c>
      <c r="T1552" s="63" t="s">
        <v>4341</v>
      </c>
      <c r="U1552" s="64">
        <v>100500</v>
      </c>
      <c r="V1552" s="64">
        <v>110550</v>
      </c>
      <c r="W1552" s="64">
        <v>100500</v>
      </c>
      <c r="X1552" s="64">
        <v>110550</v>
      </c>
      <c r="Z1552" s="64">
        <v>0</v>
      </c>
      <c r="AA1552" s="61">
        <v>44798</v>
      </c>
      <c r="AB1552" s="61">
        <v>44798</v>
      </c>
      <c r="AD1552" s="60">
        <v>0</v>
      </c>
      <c r="AG1552" s="60">
        <v>0</v>
      </c>
      <c r="AJ1552" s="60">
        <v>0</v>
      </c>
      <c r="AM1552" s="60" t="s">
        <v>273</v>
      </c>
      <c r="AN1552" s="60" t="s">
        <v>4404</v>
      </c>
      <c r="AQ1552" s="60" t="s">
        <v>4308</v>
      </c>
      <c r="AR1552" s="61">
        <v>44782</v>
      </c>
      <c r="AS1552" s="60">
        <v>6002060926</v>
      </c>
      <c r="AT1552" s="61">
        <v>44782</v>
      </c>
      <c r="AU1552" s="60" t="s">
        <v>4319</v>
      </c>
      <c r="AV1552" s="61">
        <v>44799</v>
      </c>
      <c r="AW1552" s="91">
        <v>44804</v>
      </c>
      <c r="AX1552" s="91">
        <v>44824</v>
      </c>
      <c r="AY1552" s="99">
        <v>96480</v>
      </c>
      <c r="AZ1552" s="99">
        <f>ROUNDDOWN(AY1552+(AY1552*MASTER!$A$2/100),0)</f>
        <v>106128</v>
      </c>
      <c r="BA1552" s="60" t="s">
        <v>314</v>
      </c>
      <c r="BB1552" s="64">
        <v>41000</v>
      </c>
      <c r="BC1552" s="64">
        <v>45100</v>
      </c>
      <c r="BD1552" s="60" t="s">
        <v>3940</v>
      </c>
      <c r="BG1552" s="64">
        <v>0</v>
      </c>
      <c r="BK1552" s="64">
        <v>0</v>
      </c>
      <c r="BS1552" s="64">
        <v>0</v>
      </c>
      <c r="BV1552" s="65">
        <v>110550</v>
      </c>
      <c r="BW1552" s="65">
        <v>45100</v>
      </c>
      <c r="BX1552" s="65">
        <v>44776</v>
      </c>
      <c r="BY1552" s="65">
        <v>65450</v>
      </c>
      <c r="BZ1552" s="81">
        <v>59.203980099502488</v>
      </c>
    </row>
    <row r="1553" spans="1:89" x14ac:dyDescent="0.15">
      <c r="A1553" s="60">
        <v>1</v>
      </c>
      <c r="B1553" s="61">
        <v>44826</v>
      </c>
      <c r="C1553" s="61">
        <v>44830</v>
      </c>
      <c r="F1553" s="61" t="s">
        <v>309</v>
      </c>
      <c r="H1553" s="61" t="s">
        <v>309</v>
      </c>
      <c r="J1553" s="60">
        <v>2</v>
      </c>
      <c r="L1553" s="60">
        <v>0</v>
      </c>
      <c r="M1553" s="61">
        <v>44776</v>
      </c>
      <c r="O1553" s="62" t="s">
        <v>331</v>
      </c>
      <c r="P1553" s="60" t="s">
        <v>26</v>
      </c>
      <c r="Q1553" s="62" t="s">
        <v>118</v>
      </c>
      <c r="R1553" s="62" t="s">
        <v>4909</v>
      </c>
      <c r="S1553" s="63" t="s">
        <v>3536</v>
      </c>
      <c r="T1553" s="63" t="s">
        <v>908</v>
      </c>
      <c r="U1553" s="64">
        <v>576000</v>
      </c>
      <c r="V1553" s="64">
        <v>633600</v>
      </c>
      <c r="W1553" s="64">
        <v>576000</v>
      </c>
      <c r="X1553" s="64">
        <v>633600</v>
      </c>
      <c r="Z1553" s="64">
        <v>0</v>
      </c>
      <c r="AD1553" s="60">
        <v>0</v>
      </c>
      <c r="AG1553" s="60">
        <v>0</v>
      </c>
      <c r="AJ1553" s="60">
        <v>0</v>
      </c>
      <c r="AN1553" s="60" t="s">
        <v>309</v>
      </c>
      <c r="AQ1553" s="60" t="s">
        <v>4585</v>
      </c>
      <c r="AR1553" s="61">
        <v>44803</v>
      </c>
      <c r="AS1553" s="60">
        <v>6002066885</v>
      </c>
      <c r="AT1553" s="61">
        <v>44803</v>
      </c>
      <c r="AU1553" s="60" t="s">
        <v>4595</v>
      </c>
      <c r="AV1553" s="61">
        <v>44830</v>
      </c>
      <c r="AW1553" s="91">
        <v>44834</v>
      </c>
      <c r="AX1553" s="91">
        <v>44854</v>
      </c>
      <c r="AY1553" s="99">
        <v>552960</v>
      </c>
      <c r="AZ1553" s="99">
        <f>ROUNDDOWN(AY1553+(AY1553*MASTER!$A$2/100),0)</f>
        <v>608256</v>
      </c>
      <c r="BC1553" s="64">
        <v>0</v>
      </c>
      <c r="BG1553" s="64">
        <v>0</v>
      </c>
      <c r="BK1553" s="64">
        <v>0</v>
      </c>
      <c r="BS1553" s="64">
        <v>0</v>
      </c>
      <c r="BV1553" s="65">
        <v>633600</v>
      </c>
      <c r="BW1553" s="65">
        <v>0</v>
      </c>
      <c r="BX1553" s="65">
        <v>44776</v>
      </c>
      <c r="BY1553" s="65">
        <v>633600</v>
      </c>
      <c r="BZ1553" s="81">
        <v>100</v>
      </c>
    </row>
    <row r="1554" spans="1:89" x14ac:dyDescent="0.15">
      <c r="A1554" s="60">
        <v>2</v>
      </c>
      <c r="B1554" s="61">
        <v>44813</v>
      </c>
      <c r="C1554" s="61">
        <v>44816</v>
      </c>
      <c r="E1554" s="61">
        <v>44817</v>
      </c>
      <c r="F1554" s="61" t="s">
        <v>309</v>
      </c>
      <c r="G1554" s="61">
        <v>44816</v>
      </c>
      <c r="H1554" s="61" t="s">
        <v>309</v>
      </c>
      <c r="I1554" s="60" t="s">
        <v>511</v>
      </c>
      <c r="J1554" s="60">
        <v>2</v>
      </c>
      <c r="L1554" s="60">
        <v>0</v>
      </c>
      <c r="M1554" s="61">
        <v>44776</v>
      </c>
      <c r="O1554" s="62" t="s">
        <v>331</v>
      </c>
      <c r="P1554" s="60" t="s">
        <v>26</v>
      </c>
      <c r="Q1554" s="62" t="s">
        <v>118</v>
      </c>
      <c r="R1554" s="62" t="s">
        <v>4775</v>
      </c>
      <c r="S1554" s="63" t="s">
        <v>497</v>
      </c>
      <c r="T1554" s="63" t="s">
        <v>4776</v>
      </c>
      <c r="U1554" s="64">
        <v>416000</v>
      </c>
      <c r="V1554" s="64">
        <v>457600</v>
      </c>
      <c r="W1554" s="64">
        <v>416000</v>
      </c>
      <c r="X1554" s="64">
        <v>457600</v>
      </c>
      <c r="Z1554" s="64">
        <v>0</v>
      </c>
      <c r="AA1554" s="61">
        <v>44813</v>
      </c>
      <c r="AB1554" s="61">
        <v>44814</v>
      </c>
      <c r="AD1554" s="60">
        <v>0</v>
      </c>
      <c r="AG1554" s="60">
        <v>0</v>
      </c>
      <c r="AJ1554" s="60">
        <v>0</v>
      </c>
      <c r="AM1554" s="60" t="s">
        <v>273</v>
      </c>
      <c r="AN1554" s="60" t="s">
        <v>4777</v>
      </c>
      <c r="AQ1554" s="60" t="s">
        <v>4508</v>
      </c>
      <c r="AR1554" s="61">
        <v>44799</v>
      </c>
      <c r="AS1554" s="60">
        <v>6002066015</v>
      </c>
      <c r="AT1554" s="61">
        <v>44802</v>
      </c>
      <c r="AU1554" s="60" t="s">
        <v>4545</v>
      </c>
      <c r="AV1554" s="61">
        <v>44816</v>
      </c>
      <c r="AW1554" s="91">
        <v>44834</v>
      </c>
      <c r="AX1554" s="91">
        <v>44854</v>
      </c>
      <c r="AY1554" s="99">
        <v>399360</v>
      </c>
      <c r="AZ1554" s="99">
        <f>ROUNDDOWN(AY1554+(AY1554*MASTER!$A$2/100),0)</f>
        <v>439296</v>
      </c>
      <c r="BA1554" s="60" t="s">
        <v>613</v>
      </c>
      <c r="BB1554" s="64">
        <v>186000</v>
      </c>
      <c r="BC1554" s="64">
        <v>204600</v>
      </c>
      <c r="BD1554" s="60" t="s">
        <v>4182</v>
      </c>
      <c r="BG1554" s="64">
        <v>0</v>
      </c>
      <c r="BK1554" s="64">
        <v>0</v>
      </c>
      <c r="BS1554" s="64">
        <v>0</v>
      </c>
      <c r="BV1554" s="65">
        <v>457600</v>
      </c>
      <c r="BW1554" s="65">
        <v>204600</v>
      </c>
      <c r="BX1554" s="65">
        <v>44776</v>
      </c>
      <c r="BY1554" s="65">
        <v>253000</v>
      </c>
      <c r="BZ1554" s="81">
        <v>55.28846153846154</v>
      </c>
    </row>
    <row r="1555" spans="1:89" x14ac:dyDescent="0.15">
      <c r="A1555" s="60">
        <v>1</v>
      </c>
      <c r="B1555" s="61">
        <v>44796</v>
      </c>
      <c r="C1555" s="61">
        <v>44798</v>
      </c>
      <c r="F1555" s="61" t="s">
        <v>309</v>
      </c>
      <c r="H1555" s="61" t="s">
        <v>309</v>
      </c>
      <c r="J1555" s="60">
        <v>2</v>
      </c>
      <c r="L1555" s="60">
        <v>0</v>
      </c>
      <c r="M1555" s="61">
        <v>44777</v>
      </c>
      <c r="O1555" s="62" t="s">
        <v>331</v>
      </c>
      <c r="P1555" s="60" t="s">
        <v>6</v>
      </c>
      <c r="Q1555" s="62" t="s">
        <v>118</v>
      </c>
      <c r="R1555" s="62" t="s">
        <v>4379</v>
      </c>
      <c r="S1555" s="63" t="s">
        <v>1664</v>
      </c>
      <c r="T1555" s="63" t="s">
        <v>364</v>
      </c>
      <c r="U1555" s="64">
        <v>51000</v>
      </c>
      <c r="V1555" s="64">
        <v>56100</v>
      </c>
      <c r="W1555" s="64">
        <v>51000</v>
      </c>
      <c r="X1555" s="64">
        <v>56100</v>
      </c>
      <c r="Z1555" s="64">
        <v>0</v>
      </c>
      <c r="AA1555" s="61">
        <v>44791</v>
      </c>
      <c r="AB1555" s="61">
        <v>44791</v>
      </c>
      <c r="AD1555" s="60">
        <v>0</v>
      </c>
      <c r="AG1555" s="60">
        <v>0</v>
      </c>
      <c r="AJ1555" s="60">
        <v>0</v>
      </c>
      <c r="AN1555" s="60" t="s">
        <v>309</v>
      </c>
      <c r="AQ1555" s="60" t="s">
        <v>4389</v>
      </c>
      <c r="AR1555" s="61">
        <v>44795</v>
      </c>
      <c r="AS1555" s="60">
        <v>6002063401</v>
      </c>
      <c r="AT1555" s="61">
        <v>44796</v>
      </c>
      <c r="AU1555" s="60" t="s">
        <v>4412</v>
      </c>
      <c r="AV1555" s="61">
        <v>44798</v>
      </c>
      <c r="AW1555" s="91">
        <v>44804</v>
      </c>
      <c r="AX1555" s="91">
        <v>44824</v>
      </c>
      <c r="AY1555" s="99">
        <v>48960</v>
      </c>
      <c r="AZ1555" s="99">
        <f>ROUNDDOWN(AY1555+(AY1555*MASTER!$A$2/100),0)</f>
        <v>53856</v>
      </c>
      <c r="BA1555" s="60" t="s">
        <v>317</v>
      </c>
      <c r="BB1555" s="64">
        <v>22000</v>
      </c>
      <c r="BC1555" s="64">
        <v>24200</v>
      </c>
      <c r="BD1555" s="60" t="s">
        <v>3940</v>
      </c>
      <c r="BG1555" s="64">
        <v>0</v>
      </c>
      <c r="BK1555" s="64">
        <v>0</v>
      </c>
      <c r="BS1555" s="64">
        <v>0</v>
      </c>
      <c r="BV1555" s="65">
        <v>56100</v>
      </c>
      <c r="BW1555" s="65">
        <v>24200</v>
      </c>
      <c r="BX1555" s="65">
        <v>44777</v>
      </c>
      <c r="BY1555" s="65">
        <v>31900</v>
      </c>
      <c r="BZ1555" s="81">
        <v>56.862745098039213</v>
      </c>
    </row>
    <row r="1556" spans="1:89" x14ac:dyDescent="0.15">
      <c r="A1556" s="60">
        <v>2</v>
      </c>
      <c r="B1556" s="61">
        <v>44824</v>
      </c>
      <c r="C1556" s="61">
        <v>44826</v>
      </c>
      <c r="E1556" s="61">
        <v>44828</v>
      </c>
      <c r="F1556" s="61" t="s">
        <v>309</v>
      </c>
      <c r="G1556" s="61">
        <v>44827</v>
      </c>
      <c r="H1556" s="61" t="s">
        <v>309</v>
      </c>
      <c r="I1556" s="60" t="s">
        <v>511</v>
      </c>
      <c r="J1556" s="60">
        <v>1</v>
      </c>
      <c r="L1556" s="60">
        <v>0</v>
      </c>
      <c r="M1556" s="61">
        <v>44777</v>
      </c>
      <c r="O1556" s="62" t="s">
        <v>331</v>
      </c>
      <c r="P1556" s="60" t="s">
        <v>26</v>
      </c>
      <c r="Q1556" s="62" t="s">
        <v>118</v>
      </c>
      <c r="R1556" s="62" t="s">
        <v>4874</v>
      </c>
      <c r="S1556" s="63" t="s">
        <v>1647</v>
      </c>
      <c r="T1556" s="63" t="s">
        <v>4875</v>
      </c>
      <c r="U1556" s="64">
        <v>50000</v>
      </c>
      <c r="V1556" s="64">
        <v>55000</v>
      </c>
      <c r="W1556" s="64">
        <v>47000</v>
      </c>
      <c r="X1556" s="64">
        <v>51700</v>
      </c>
      <c r="Y1556" s="64">
        <v>3000</v>
      </c>
      <c r="Z1556" s="64">
        <v>3300</v>
      </c>
      <c r="AA1556" s="61">
        <v>44794</v>
      </c>
      <c r="AB1556" s="61">
        <v>44795</v>
      </c>
      <c r="AD1556" s="60">
        <v>0</v>
      </c>
      <c r="AG1556" s="60">
        <v>0</v>
      </c>
      <c r="AJ1556" s="60">
        <v>0</v>
      </c>
      <c r="AM1556" s="60" t="s">
        <v>273</v>
      </c>
      <c r="AN1556" s="60" t="s">
        <v>4876</v>
      </c>
      <c r="AQ1556" s="60" t="s">
        <v>4417</v>
      </c>
      <c r="AR1556" s="61">
        <v>44796</v>
      </c>
      <c r="AS1556" s="60">
        <v>6002064701</v>
      </c>
      <c r="AT1556" s="61">
        <v>44797</v>
      </c>
      <c r="AU1556" s="60" t="s">
        <v>4426</v>
      </c>
      <c r="AV1556" s="61">
        <v>44826</v>
      </c>
      <c r="AW1556" s="91">
        <v>44834</v>
      </c>
      <c r="AX1556" s="91">
        <v>44854</v>
      </c>
      <c r="AY1556" s="99">
        <v>48000</v>
      </c>
      <c r="AZ1556" s="99">
        <f>ROUNDDOWN(AY1556+(AY1556*MASTER!$A$2/100),0)</f>
        <v>52800</v>
      </c>
      <c r="BA1556" s="60" t="s">
        <v>314</v>
      </c>
      <c r="BB1556" s="64">
        <v>26000</v>
      </c>
      <c r="BC1556" s="64">
        <v>28600</v>
      </c>
      <c r="BD1556" s="60" t="s">
        <v>4182</v>
      </c>
      <c r="BG1556" s="64">
        <v>0</v>
      </c>
      <c r="BK1556" s="64">
        <v>0</v>
      </c>
      <c r="BS1556" s="64">
        <v>0</v>
      </c>
      <c r="BV1556" s="65">
        <v>51700</v>
      </c>
      <c r="BW1556" s="65">
        <v>28600</v>
      </c>
      <c r="BX1556" s="65">
        <v>44777</v>
      </c>
      <c r="BY1556" s="65">
        <v>23100</v>
      </c>
      <c r="BZ1556" s="81">
        <v>44.680851063829785</v>
      </c>
    </row>
    <row r="1557" spans="1:89" x14ac:dyDescent="0.15">
      <c r="A1557" s="60">
        <v>2</v>
      </c>
      <c r="B1557" s="61">
        <v>44790</v>
      </c>
      <c r="C1557" s="61">
        <v>44792</v>
      </c>
      <c r="D1557" s="61">
        <v>44783</v>
      </c>
      <c r="E1557" s="61">
        <v>44783</v>
      </c>
      <c r="F1557" s="61" t="s">
        <v>309</v>
      </c>
      <c r="G1557" s="61">
        <v>44783</v>
      </c>
      <c r="H1557" s="61" t="s">
        <v>309</v>
      </c>
      <c r="I1557" s="60" t="s">
        <v>766</v>
      </c>
      <c r="J1557" s="60">
        <v>2</v>
      </c>
      <c r="L1557" s="60">
        <v>0</v>
      </c>
      <c r="M1557" s="61">
        <v>44778</v>
      </c>
      <c r="O1557" s="62" t="s">
        <v>331</v>
      </c>
      <c r="P1557" s="60" t="s">
        <v>6</v>
      </c>
      <c r="Q1557" s="62" t="s">
        <v>118</v>
      </c>
      <c r="R1557" s="62" t="s">
        <v>4321</v>
      </c>
      <c r="S1557" s="63" t="s">
        <v>4322</v>
      </c>
      <c r="T1557" s="63" t="s">
        <v>364</v>
      </c>
      <c r="U1557" s="64">
        <v>35000</v>
      </c>
      <c r="V1557" s="64">
        <v>38500</v>
      </c>
      <c r="W1557" s="64">
        <v>35000</v>
      </c>
      <c r="X1557" s="64">
        <v>38500</v>
      </c>
      <c r="Z1557" s="64">
        <v>0</v>
      </c>
      <c r="AA1557" s="61">
        <v>44782</v>
      </c>
      <c r="AB1557" s="61">
        <v>44782</v>
      </c>
      <c r="AD1557" s="60">
        <v>0</v>
      </c>
      <c r="AG1557" s="60">
        <v>0</v>
      </c>
      <c r="AJ1557" s="60">
        <v>0</v>
      </c>
      <c r="AN1557" s="60" t="s">
        <v>309</v>
      </c>
      <c r="AQ1557" s="60" t="s">
        <v>4329</v>
      </c>
      <c r="AR1557" s="61">
        <v>44783</v>
      </c>
      <c r="AS1557" s="60">
        <v>6002061406</v>
      </c>
      <c r="AT1557" s="61">
        <v>44783</v>
      </c>
      <c r="AU1557" s="60" t="s">
        <v>4336</v>
      </c>
      <c r="AV1557" s="61">
        <v>44792</v>
      </c>
      <c r="AW1557" s="91">
        <v>44804</v>
      </c>
      <c r="AX1557" s="91">
        <v>44824</v>
      </c>
      <c r="AY1557" s="99">
        <v>33600</v>
      </c>
      <c r="AZ1557" s="99">
        <f>ROUNDDOWN(AY1557+(AY1557*MASTER!$A$2/100),0)</f>
        <v>36960</v>
      </c>
      <c r="BA1557" s="60" t="s">
        <v>314</v>
      </c>
      <c r="BB1557" s="64">
        <v>23000</v>
      </c>
      <c r="BC1557" s="64">
        <v>25300</v>
      </c>
      <c r="BD1557" s="60" t="s">
        <v>3940</v>
      </c>
      <c r="BG1557" s="64">
        <v>0</v>
      </c>
      <c r="BK1557" s="64">
        <v>0</v>
      </c>
      <c r="BS1557" s="64">
        <v>0</v>
      </c>
      <c r="BV1557" s="65">
        <v>38500</v>
      </c>
      <c r="BW1557" s="65">
        <v>25300</v>
      </c>
      <c r="BX1557" s="65">
        <v>44778</v>
      </c>
      <c r="BY1557" s="65">
        <v>13200</v>
      </c>
      <c r="BZ1557" s="81">
        <v>34.285714285714285</v>
      </c>
    </row>
    <row r="1558" spans="1:89" x14ac:dyDescent="0.15">
      <c r="A1558" s="60">
        <v>1</v>
      </c>
      <c r="C1558" s="61" t="s">
        <v>309</v>
      </c>
      <c r="F1558" s="61" t="s">
        <v>309</v>
      </c>
      <c r="H1558" s="61" t="s">
        <v>309</v>
      </c>
      <c r="J1558" s="60">
        <v>2</v>
      </c>
      <c r="L1558" s="60">
        <v>0</v>
      </c>
      <c r="M1558" s="61">
        <v>44778</v>
      </c>
      <c r="O1558" s="62" t="s">
        <v>335</v>
      </c>
      <c r="P1558" s="60" t="s">
        <v>349</v>
      </c>
      <c r="Q1558" s="62" t="s">
        <v>4189</v>
      </c>
      <c r="R1558" s="62" t="s">
        <v>4289</v>
      </c>
      <c r="S1558" s="63" t="s">
        <v>4290</v>
      </c>
      <c r="T1558" s="63" t="s">
        <v>412</v>
      </c>
      <c r="U1558" s="64">
        <v>49500</v>
      </c>
      <c r="V1558" s="64">
        <v>54450</v>
      </c>
      <c r="W1558" s="64">
        <v>49500</v>
      </c>
      <c r="X1558" s="64">
        <v>54450</v>
      </c>
      <c r="Z1558" s="64">
        <v>0</v>
      </c>
      <c r="AD1558" s="60">
        <v>0</v>
      </c>
      <c r="AG1558" s="60">
        <v>0</v>
      </c>
      <c r="AJ1558" s="60">
        <v>0</v>
      </c>
      <c r="AN1558" s="60" t="s">
        <v>309</v>
      </c>
      <c r="AQ1558" s="60" t="s">
        <v>4323</v>
      </c>
      <c r="AR1558" s="61">
        <v>44783</v>
      </c>
      <c r="AS1558" s="60">
        <v>6002061406</v>
      </c>
      <c r="AT1558" s="61">
        <v>44783</v>
      </c>
      <c r="AU1558" s="60" t="s">
        <v>4336</v>
      </c>
      <c r="AV1558" s="61">
        <v>44880</v>
      </c>
      <c r="AY1558" s="99">
        <f>ROUNDDOWN((0.96*U1558),0)</f>
        <v>47520</v>
      </c>
      <c r="AZ1558" s="99">
        <f>ROUNDDOWN(AY1558+(AY1558*MASTER!$A$2/100),0)</f>
        <v>52272</v>
      </c>
      <c r="BC1558" s="64">
        <v>0</v>
      </c>
      <c r="BG1558" s="64">
        <v>0</v>
      </c>
      <c r="BK1558" s="64">
        <v>0</v>
      </c>
      <c r="BS1558" s="64">
        <v>0</v>
      </c>
      <c r="BV1558" s="65">
        <v>54450</v>
      </c>
      <c r="BW1558" s="65">
        <v>0</v>
      </c>
      <c r="BX1558" s="65">
        <v>44778</v>
      </c>
      <c r="BY1558" s="65">
        <v>54450</v>
      </c>
      <c r="BZ1558" s="81">
        <v>100</v>
      </c>
    </row>
    <row r="1559" spans="1:89" x14ac:dyDescent="0.15">
      <c r="A1559" s="60">
        <v>2</v>
      </c>
      <c r="B1559" s="61">
        <v>44790</v>
      </c>
      <c r="C1559" s="61">
        <v>44792</v>
      </c>
      <c r="D1559" s="61">
        <v>44782</v>
      </c>
      <c r="E1559" s="61">
        <v>44782</v>
      </c>
      <c r="F1559" s="61" t="s">
        <v>309</v>
      </c>
      <c r="G1559" s="61">
        <v>44782</v>
      </c>
      <c r="H1559" s="61" t="s">
        <v>309</v>
      </c>
      <c r="I1559" s="60" t="s">
        <v>766</v>
      </c>
      <c r="J1559" s="60">
        <v>2</v>
      </c>
      <c r="L1559" s="60">
        <v>0</v>
      </c>
      <c r="M1559" s="61">
        <v>44778</v>
      </c>
      <c r="O1559" s="62" t="s">
        <v>331</v>
      </c>
      <c r="P1559" s="60" t="s">
        <v>6</v>
      </c>
      <c r="Q1559" s="62" t="s">
        <v>118</v>
      </c>
      <c r="R1559" s="62" t="s">
        <v>4316</v>
      </c>
      <c r="S1559" s="63" t="s">
        <v>1021</v>
      </c>
      <c r="T1559" s="63" t="s">
        <v>364</v>
      </c>
      <c r="U1559" s="64">
        <v>35000</v>
      </c>
      <c r="V1559" s="64">
        <v>38500</v>
      </c>
      <c r="W1559" s="64">
        <v>35000</v>
      </c>
      <c r="X1559" s="64">
        <v>38500</v>
      </c>
      <c r="Z1559" s="64">
        <v>0</v>
      </c>
      <c r="AA1559" s="61">
        <v>44781</v>
      </c>
      <c r="AB1559" s="61">
        <v>44781</v>
      </c>
      <c r="AD1559" s="60">
        <v>0</v>
      </c>
      <c r="AG1559" s="60">
        <v>0</v>
      </c>
      <c r="AJ1559" s="60">
        <v>0</v>
      </c>
      <c r="AN1559" s="60" t="s">
        <v>309</v>
      </c>
      <c r="AQ1559" s="60" t="s">
        <v>4328</v>
      </c>
      <c r="AR1559" s="61">
        <v>44783</v>
      </c>
      <c r="AS1559" s="60">
        <v>6002061406</v>
      </c>
      <c r="AT1559" s="61">
        <v>44783</v>
      </c>
      <c r="AU1559" s="60" t="s">
        <v>4336</v>
      </c>
      <c r="AV1559" s="61">
        <v>44792</v>
      </c>
      <c r="AW1559" s="91">
        <v>44804</v>
      </c>
      <c r="AX1559" s="91">
        <v>44824</v>
      </c>
      <c r="AY1559" s="99">
        <v>33600</v>
      </c>
      <c r="AZ1559" s="99">
        <f>ROUNDDOWN(AY1559+(AY1559*MASTER!$A$2/100),0)</f>
        <v>36960</v>
      </c>
      <c r="BA1559" s="60" t="s">
        <v>317</v>
      </c>
      <c r="BB1559" s="64">
        <v>33000</v>
      </c>
      <c r="BC1559" s="64">
        <v>36300</v>
      </c>
      <c r="BD1559" s="60" t="s">
        <v>3940</v>
      </c>
      <c r="BG1559" s="64">
        <v>0</v>
      </c>
      <c r="BK1559" s="64">
        <v>0</v>
      </c>
      <c r="BS1559" s="64">
        <v>0</v>
      </c>
      <c r="BV1559" s="65">
        <v>38500</v>
      </c>
      <c r="BW1559" s="65">
        <v>36300</v>
      </c>
      <c r="BX1559" s="65">
        <v>44778</v>
      </c>
      <c r="BY1559" s="65">
        <v>2200</v>
      </c>
      <c r="BZ1559" s="81">
        <v>5.7142857142857144</v>
      </c>
    </row>
    <row r="1560" spans="1:89" x14ac:dyDescent="0.15">
      <c r="A1560" s="60">
        <v>1</v>
      </c>
      <c r="B1560" s="61">
        <v>44790</v>
      </c>
      <c r="C1560" s="61">
        <v>44798</v>
      </c>
      <c r="F1560" s="61" t="s">
        <v>309</v>
      </c>
      <c r="H1560" s="61" t="s">
        <v>309</v>
      </c>
      <c r="J1560" s="60">
        <v>2</v>
      </c>
      <c r="L1560" s="60">
        <v>0</v>
      </c>
      <c r="M1560" s="61">
        <v>44778</v>
      </c>
      <c r="O1560" s="62" t="s">
        <v>331</v>
      </c>
      <c r="P1560" s="60" t="s">
        <v>77</v>
      </c>
      <c r="Q1560" s="62" t="s">
        <v>118</v>
      </c>
      <c r="R1560" s="62" t="s">
        <v>4292</v>
      </c>
      <c r="S1560" s="63" t="s">
        <v>1872</v>
      </c>
      <c r="T1560" s="63" t="s">
        <v>4291</v>
      </c>
      <c r="U1560" s="64">
        <v>65000</v>
      </c>
      <c r="V1560" s="64">
        <v>71500</v>
      </c>
      <c r="W1560" s="64">
        <v>65000</v>
      </c>
      <c r="X1560" s="64">
        <v>71500</v>
      </c>
      <c r="Y1560" s="64">
        <v>0</v>
      </c>
      <c r="Z1560" s="64">
        <v>0</v>
      </c>
      <c r="AA1560" s="61">
        <v>44777</v>
      </c>
      <c r="AB1560" s="61">
        <v>44778</v>
      </c>
      <c r="AD1560" s="60">
        <v>0</v>
      </c>
      <c r="AG1560" s="60">
        <v>0</v>
      </c>
      <c r="AJ1560" s="60">
        <v>0</v>
      </c>
      <c r="AQ1560" s="60" t="s">
        <v>4365</v>
      </c>
      <c r="AR1560" s="61">
        <v>44783</v>
      </c>
      <c r="AS1560" s="60">
        <v>6002061855</v>
      </c>
      <c r="AT1560" s="61">
        <v>44790</v>
      </c>
      <c r="AU1560" s="60" t="s">
        <v>4367</v>
      </c>
      <c r="AV1560" s="61">
        <v>44798</v>
      </c>
      <c r="AW1560" s="91">
        <v>44804</v>
      </c>
      <c r="AX1560" s="91">
        <v>44824</v>
      </c>
      <c r="AY1560" s="107">
        <v>65000</v>
      </c>
      <c r="AZ1560" s="107">
        <f>ROUNDDOWN(AY1560+(AY1560*MASTER!$A$2/100),0)</f>
        <v>71500</v>
      </c>
      <c r="BC1560" s="64">
        <v>0</v>
      </c>
      <c r="BG1560" s="64">
        <v>0</v>
      </c>
      <c r="BK1560" s="64">
        <v>0</v>
      </c>
      <c r="BS1560" s="64">
        <v>0</v>
      </c>
      <c r="BV1560" s="65">
        <v>71500</v>
      </c>
      <c r="BW1560" s="65">
        <v>0</v>
      </c>
      <c r="BX1560" s="65">
        <v>44778</v>
      </c>
      <c r="BY1560" s="65">
        <v>71500</v>
      </c>
      <c r="BZ1560" s="81">
        <v>100</v>
      </c>
    </row>
    <row r="1561" spans="1:89" x14ac:dyDescent="0.15">
      <c r="A1561" s="60">
        <v>2</v>
      </c>
      <c r="B1561" s="61">
        <v>44805</v>
      </c>
      <c r="C1561" s="61">
        <v>44813</v>
      </c>
      <c r="E1561" s="61">
        <v>44817</v>
      </c>
      <c r="F1561" s="61" t="s">
        <v>309</v>
      </c>
      <c r="G1561" s="61">
        <v>44816</v>
      </c>
      <c r="H1561" s="61" t="s">
        <v>309</v>
      </c>
      <c r="I1561" s="60" t="s">
        <v>511</v>
      </c>
      <c r="J1561" s="60">
        <v>1</v>
      </c>
      <c r="L1561" s="60">
        <v>0</v>
      </c>
      <c r="M1561" s="61">
        <v>44781</v>
      </c>
      <c r="O1561" s="62" t="s">
        <v>331</v>
      </c>
      <c r="P1561" s="60" t="s">
        <v>26</v>
      </c>
      <c r="Q1561" s="62" t="s">
        <v>118</v>
      </c>
      <c r="R1561" s="62" t="s">
        <v>4630</v>
      </c>
      <c r="S1561" s="63" t="s">
        <v>1113</v>
      </c>
      <c r="T1561" s="63" t="s">
        <v>621</v>
      </c>
      <c r="U1561" s="64">
        <v>50000</v>
      </c>
      <c r="V1561" s="64">
        <v>55000</v>
      </c>
      <c r="W1561" s="64">
        <v>47000</v>
      </c>
      <c r="X1561" s="64">
        <v>51700</v>
      </c>
      <c r="Y1561" s="64">
        <v>3000</v>
      </c>
      <c r="Z1561" s="64">
        <v>3300</v>
      </c>
      <c r="AA1561" s="61">
        <v>44812</v>
      </c>
      <c r="AB1561" s="61">
        <v>44813</v>
      </c>
      <c r="AD1561" s="60">
        <v>0</v>
      </c>
      <c r="AG1561" s="60">
        <v>0</v>
      </c>
      <c r="AJ1561" s="60">
        <v>0</v>
      </c>
      <c r="AM1561" s="60" t="s">
        <v>273</v>
      </c>
      <c r="AN1561" s="60" t="s">
        <v>4631</v>
      </c>
      <c r="AQ1561" s="60" t="s">
        <v>4418</v>
      </c>
      <c r="AR1561" s="61">
        <v>44796</v>
      </c>
      <c r="AS1561" s="60">
        <v>6002064701</v>
      </c>
      <c r="AT1561" s="61">
        <v>44797</v>
      </c>
      <c r="AU1561" s="60" t="s">
        <v>4426</v>
      </c>
      <c r="AV1561" s="61">
        <v>44813</v>
      </c>
      <c r="AW1561" s="91">
        <v>44834</v>
      </c>
      <c r="AX1561" s="91">
        <v>44854</v>
      </c>
      <c r="AY1561" s="99">
        <v>48000</v>
      </c>
      <c r="AZ1561" s="99">
        <f>ROUNDDOWN(AY1561+(AY1561*MASTER!$A$2/100),0)</f>
        <v>52800</v>
      </c>
      <c r="BA1561" s="60" t="s">
        <v>613</v>
      </c>
      <c r="BB1561" s="64">
        <v>27000</v>
      </c>
      <c r="BC1561" s="64">
        <v>29700</v>
      </c>
      <c r="BD1561" s="60" t="s">
        <v>4182</v>
      </c>
      <c r="BG1561" s="64">
        <v>0</v>
      </c>
      <c r="BK1561" s="64">
        <v>0</v>
      </c>
      <c r="BS1561" s="64">
        <v>0</v>
      </c>
      <c r="BV1561" s="65">
        <v>51700</v>
      </c>
      <c r="BW1561" s="65">
        <v>29700</v>
      </c>
      <c r="BX1561" s="65">
        <v>44781</v>
      </c>
      <c r="BY1561" s="65">
        <v>22000</v>
      </c>
      <c r="BZ1561" s="81">
        <v>42.553191489361701</v>
      </c>
    </row>
    <row r="1562" spans="1:89" s="152" customFormat="1" x14ac:dyDescent="0.15">
      <c r="A1562" s="142">
        <v>3</v>
      </c>
      <c r="B1562" s="143"/>
      <c r="C1562" s="143" t="s">
        <v>309</v>
      </c>
      <c r="D1562" s="143"/>
      <c r="E1562" s="143"/>
      <c r="F1562" s="143" t="s">
        <v>309</v>
      </c>
      <c r="G1562" s="143"/>
      <c r="H1562" s="143" t="s">
        <v>309</v>
      </c>
      <c r="I1562" s="142"/>
      <c r="J1562" s="142">
        <v>1</v>
      </c>
      <c r="K1562" s="143"/>
      <c r="L1562" s="142">
        <v>0</v>
      </c>
      <c r="M1562" s="143">
        <v>44782</v>
      </c>
      <c r="N1562" s="143"/>
      <c r="O1562" s="144" t="s">
        <v>331</v>
      </c>
      <c r="P1562" s="142" t="s">
        <v>26</v>
      </c>
      <c r="Q1562" s="144" t="s">
        <v>118</v>
      </c>
      <c r="R1562" s="144" t="s">
        <v>4423</v>
      </c>
      <c r="S1562" s="145" t="s">
        <v>2376</v>
      </c>
      <c r="T1562" s="145" t="s">
        <v>1333</v>
      </c>
      <c r="U1562" s="146">
        <v>23900</v>
      </c>
      <c r="V1562" s="146">
        <v>26290</v>
      </c>
      <c r="W1562" s="146">
        <v>14700</v>
      </c>
      <c r="X1562" s="146">
        <v>16170</v>
      </c>
      <c r="Y1562" s="146">
        <v>9200</v>
      </c>
      <c r="Z1562" s="146">
        <v>10120</v>
      </c>
      <c r="AA1562" s="143"/>
      <c r="AB1562" s="143"/>
      <c r="AC1562" s="143"/>
      <c r="AD1562" s="142">
        <v>0</v>
      </c>
      <c r="AE1562" s="142"/>
      <c r="AF1562" s="142"/>
      <c r="AG1562" s="142">
        <v>0</v>
      </c>
      <c r="AH1562" s="142"/>
      <c r="AI1562" s="142"/>
      <c r="AJ1562" s="142">
        <v>0</v>
      </c>
      <c r="AK1562" s="142"/>
      <c r="AL1562" s="142"/>
      <c r="AM1562" s="142" t="s">
        <v>273</v>
      </c>
      <c r="AN1562" s="142" t="s">
        <v>4424</v>
      </c>
      <c r="AO1562" s="143"/>
      <c r="AP1562" s="142"/>
      <c r="AQ1562" s="142"/>
      <c r="AR1562" s="143"/>
      <c r="AS1562" s="142"/>
      <c r="AT1562" s="143"/>
      <c r="AU1562" s="142"/>
      <c r="AV1562" s="143"/>
      <c r="AW1562" s="147"/>
      <c r="AX1562" s="147"/>
      <c r="AY1562" s="148">
        <v>22944</v>
      </c>
      <c r="AZ1562" s="148">
        <f>ROUNDDOWN(AY1562+(AY1562*MASTER!$A$2/100),0)</f>
        <v>25238</v>
      </c>
      <c r="BA1562" s="142"/>
      <c r="BB1562" s="146"/>
      <c r="BC1562" s="146">
        <v>0</v>
      </c>
      <c r="BD1562" s="142"/>
      <c r="BE1562" s="142"/>
      <c r="BF1562" s="146"/>
      <c r="BG1562" s="146">
        <v>0</v>
      </c>
      <c r="BH1562" s="142"/>
      <c r="BI1562" s="142"/>
      <c r="BJ1562" s="146"/>
      <c r="BK1562" s="146">
        <v>0</v>
      </c>
      <c r="BL1562" s="142"/>
      <c r="BM1562" s="146"/>
      <c r="BN1562" s="146"/>
      <c r="BO1562" s="146"/>
      <c r="BP1562" s="146"/>
      <c r="BQ1562" s="146"/>
      <c r="BR1562" s="146"/>
      <c r="BS1562" s="146">
        <v>0</v>
      </c>
      <c r="BT1562" s="149"/>
      <c r="BU1562" s="149"/>
      <c r="BV1562" s="150">
        <v>16170</v>
      </c>
      <c r="BW1562" s="150">
        <v>0</v>
      </c>
      <c r="BX1562" s="150">
        <v>44782</v>
      </c>
      <c r="BY1562" s="150">
        <v>16170</v>
      </c>
      <c r="BZ1562" s="151">
        <v>100</v>
      </c>
      <c r="CA1562" s="142"/>
      <c r="CB1562" s="142"/>
      <c r="CC1562" s="142"/>
      <c r="CD1562" s="145" t="s">
        <v>4425</v>
      </c>
      <c r="CE1562" s="143"/>
      <c r="CF1562" s="143"/>
      <c r="CG1562" s="143"/>
      <c r="CH1562" s="143"/>
      <c r="CI1562" s="143"/>
      <c r="CJ1562" s="143"/>
      <c r="CK1562" s="146"/>
    </row>
    <row r="1563" spans="1:89" x14ac:dyDescent="0.15">
      <c r="A1563" s="60">
        <v>1</v>
      </c>
      <c r="B1563" s="61">
        <v>44813</v>
      </c>
      <c r="C1563" s="61">
        <v>44830</v>
      </c>
      <c r="F1563" s="61" t="s">
        <v>309</v>
      </c>
      <c r="H1563" s="61" t="s">
        <v>309</v>
      </c>
      <c r="J1563" s="60">
        <v>3</v>
      </c>
      <c r="L1563" s="60">
        <v>0</v>
      </c>
      <c r="M1563" s="61">
        <v>44782</v>
      </c>
      <c r="O1563" s="62" t="s">
        <v>331</v>
      </c>
      <c r="P1563" s="60" t="s">
        <v>6</v>
      </c>
      <c r="Q1563" s="62" t="s">
        <v>118</v>
      </c>
      <c r="R1563" s="62" t="s">
        <v>4318</v>
      </c>
      <c r="S1563" s="63" t="s">
        <v>627</v>
      </c>
      <c r="T1563" s="63" t="s">
        <v>385</v>
      </c>
      <c r="U1563" s="64">
        <v>18000</v>
      </c>
      <c r="V1563" s="64">
        <v>19800</v>
      </c>
      <c r="X1563" s="64">
        <v>0</v>
      </c>
      <c r="Y1563" s="64">
        <v>18000</v>
      </c>
      <c r="Z1563" s="64">
        <v>19800</v>
      </c>
      <c r="AA1563" s="61">
        <v>44756</v>
      </c>
      <c r="AB1563" s="61">
        <v>44756</v>
      </c>
      <c r="AD1563" s="60">
        <v>0</v>
      </c>
      <c r="AG1563" s="60">
        <v>0</v>
      </c>
      <c r="AJ1563" s="60">
        <v>0</v>
      </c>
      <c r="AN1563" s="60" t="s">
        <v>309</v>
      </c>
      <c r="AQ1563" s="60" t="s">
        <v>4452</v>
      </c>
      <c r="AR1563" s="61">
        <v>44797</v>
      </c>
      <c r="AS1563" s="60">
        <v>6002065333</v>
      </c>
      <c r="AT1563" s="61">
        <v>44798</v>
      </c>
      <c r="AU1563" s="60" t="s">
        <v>4502</v>
      </c>
      <c r="AV1563" s="61">
        <v>44830</v>
      </c>
      <c r="AW1563" s="91">
        <v>44834</v>
      </c>
      <c r="AX1563" s="91">
        <v>44854</v>
      </c>
      <c r="AY1563" s="99">
        <v>17280</v>
      </c>
      <c r="AZ1563" s="99">
        <f>ROUNDDOWN(AY1563+(AY1563*MASTER!$A$2/100),0)</f>
        <v>19008</v>
      </c>
      <c r="BC1563" s="64">
        <v>0</v>
      </c>
      <c r="BG1563" s="64">
        <v>0</v>
      </c>
      <c r="BK1563" s="64">
        <v>0</v>
      </c>
      <c r="BS1563" s="64">
        <v>0</v>
      </c>
      <c r="BV1563" s="65">
        <v>0</v>
      </c>
      <c r="BW1563" s="65">
        <v>0</v>
      </c>
      <c r="BX1563" s="65">
        <v>44782</v>
      </c>
      <c r="BY1563" s="65">
        <v>0</v>
      </c>
      <c r="BZ1563" s="81" t="s">
        <v>309</v>
      </c>
    </row>
    <row r="1564" spans="1:89" x14ac:dyDescent="0.15">
      <c r="A1564" s="60">
        <v>1</v>
      </c>
      <c r="B1564" s="61">
        <v>44826</v>
      </c>
      <c r="C1564" s="61">
        <v>44834</v>
      </c>
      <c r="F1564" s="61" t="s">
        <v>309</v>
      </c>
      <c r="H1564" s="61" t="s">
        <v>309</v>
      </c>
      <c r="J1564" s="60">
        <v>1</v>
      </c>
      <c r="L1564" s="60">
        <v>0</v>
      </c>
      <c r="M1564" s="61">
        <v>44783</v>
      </c>
      <c r="O1564" s="62" t="s">
        <v>331</v>
      </c>
      <c r="P1564" s="60" t="s">
        <v>26</v>
      </c>
      <c r="Q1564" s="62" t="s">
        <v>118</v>
      </c>
      <c r="R1564" s="62" t="s">
        <v>4910</v>
      </c>
      <c r="S1564" s="63" t="s">
        <v>664</v>
      </c>
      <c r="T1564" s="63" t="s">
        <v>4911</v>
      </c>
      <c r="U1564" s="64">
        <v>64000</v>
      </c>
      <c r="V1564" s="64">
        <v>70400</v>
      </c>
      <c r="W1564" s="64">
        <v>55000</v>
      </c>
      <c r="X1564" s="64">
        <v>60500</v>
      </c>
      <c r="Y1564" s="64">
        <v>9000</v>
      </c>
      <c r="Z1564" s="64">
        <v>9900</v>
      </c>
      <c r="AD1564" s="60">
        <v>0</v>
      </c>
      <c r="AG1564" s="60">
        <v>0</v>
      </c>
      <c r="AJ1564" s="60">
        <v>0</v>
      </c>
      <c r="AM1564" s="60" t="s">
        <v>273</v>
      </c>
      <c r="AN1564" s="60" t="s">
        <v>4912</v>
      </c>
      <c r="AQ1564" s="60" t="s">
        <v>4665</v>
      </c>
      <c r="AR1564" s="61">
        <v>44805</v>
      </c>
      <c r="AS1564" s="60">
        <v>6002067843</v>
      </c>
      <c r="AT1564" s="61">
        <v>44806</v>
      </c>
      <c r="AU1564" s="60" t="s">
        <v>4683</v>
      </c>
      <c r="AV1564" s="61">
        <v>44834</v>
      </c>
      <c r="AW1564" s="91">
        <v>44834</v>
      </c>
      <c r="AX1564" s="91">
        <v>44854</v>
      </c>
      <c r="AY1564" s="99">
        <v>61440</v>
      </c>
      <c r="AZ1564" s="99">
        <f>ROUNDDOWN(AY1564+(AY1564*MASTER!$A$2/100),0)</f>
        <v>67584</v>
      </c>
      <c r="BC1564" s="64">
        <v>0</v>
      </c>
      <c r="BG1564" s="64">
        <v>0</v>
      </c>
      <c r="BK1564" s="64">
        <v>0</v>
      </c>
      <c r="BS1564" s="64">
        <v>0</v>
      </c>
      <c r="BV1564" s="65">
        <v>60500</v>
      </c>
      <c r="BW1564" s="65">
        <v>0</v>
      </c>
      <c r="BX1564" s="65">
        <v>44783</v>
      </c>
      <c r="BY1564" s="65">
        <v>60500</v>
      </c>
      <c r="BZ1564" s="81">
        <v>100</v>
      </c>
    </row>
    <row r="1565" spans="1:89" x14ac:dyDescent="0.15">
      <c r="A1565" s="60">
        <v>1</v>
      </c>
      <c r="B1565" s="61">
        <v>44826</v>
      </c>
      <c r="C1565" s="61">
        <v>44834</v>
      </c>
      <c r="F1565" s="61" t="s">
        <v>309</v>
      </c>
      <c r="H1565" s="61" t="s">
        <v>309</v>
      </c>
      <c r="J1565" s="60">
        <v>1</v>
      </c>
      <c r="L1565" s="60">
        <v>0</v>
      </c>
      <c r="M1565" s="61">
        <v>44783</v>
      </c>
      <c r="O1565" s="62" t="s">
        <v>331</v>
      </c>
      <c r="P1565" s="60" t="s">
        <v>26</v>
      </c>
      <c r="Q1565" s="62" t="s">
        <v>118</v>
      </c>
      <c r="R1565" s="62" t="s">
        <v>4739</v>
      </c>
      <c r="S1565" s="63" t="s">
        <v>717</v>
      </c>
      <c r="T1565" s="63" t="s">
        <v>442</v>
      </c>
      <c r="U1565" s="64">
        <v>59000</v>
      </c>
      <c r="V1565" s="64">
        <v>64900</v>
      </c>
      <c r="W1565" s="64">
        <v>47000</v>
      </c>
      <c r="X1565" s="64">
        <v>51700</v>
      </c>
      <c r="Y1565" s="64">
        <v>12000</v>
      </c>
      <c r="Z1565" s="64">
        <v>13200</v>
      </c>
      <c r="AD1565" s="60">
        <v>0</v>
      </c>
      <c r="AG1565" s="60">
        <v>0</v>
      </c>
      <c r="AJ1565" s="60">
        <v>0</v>
      </c>
      <c r="AM1565" s="60" t="s">
        <v>273</v>
      </c>
      <c r="AN1565" s="60" t="s">
        <v>4740</v>
      </c>
      <c r="AQ1565" s="60" t="s">
        <v>4741</v>
      </c>
      <c r="AR1565" s="61">
        <v>44811</v>
      </c>
      <c r="AS1565" s="60">
        <v>6002070643</v>
      </c>
      <c r="AT1565" s="61">
        <v>44811</v>
      </c>
      <c r="AU1565" s="60" t="s">
        <v>4751</v>
      </c>
      <c r="AV1565" s="61">
        <v>44834</v>
      </c>
      <c r="AW1565" s="91">
        <v>44834</v>
      </c>
      <c r="AX1565" s="91">
        <v>44854</v>
      </c>
      <c r="AY1565" s="99">
        <v>56640</v>
      </c>
      <c r="AZ1565" s="99">
        <f>ROUNDDOWN(AY1565+(AY1565*MASTER!$A$2/100),0)</f>
        <v>62304</v>
      </c>
      <c r="BC1565" s="64">
        <v>0</v>
      </c>
      <c r="BG1565" s="64">
        <v>0</v>
      </c>
      <c r="BK1565" s="64">
        <v>0</v>
      </c>
      <c r="BS1565" s="64">
        <v>0</v>
      </c>
      <c r="BV1565" s="65">
        <v>51700</v>
      </c>
      <c r="BW1565" s="65">
        <v>0</v>
      </c>
      <c r="BX1565" s="65">
        <v>44783</v>
      </c>
      <c r="BY1565" s="65">
        <v>51700</v>
      </c>
      <c r="BZ1565" s="81">
        <v>100</v>
      </c>
    </row>
    <row r="1566" spans="1:89" x14ac:dyDescent="0.15">
      <c r="A1566" s="60">
        <v>2</v>
      </c>
      <c r="B1566" s="61">
        <v>44792</v>
      </c>
      <c r="C1566" s="61">
        <v>44798</v>
      </c>
      <c r="D1566" s="61">
        <v>44783</v>
      </c>
      <c r="E1566" s="61">
        <v>44783</v>
      </c>
      <c r="F1566" s="61" t="s">
        <v>309</v>
      </c>
      <c r="G1566" s="61">
        <v>44783</v>
      </c>
      <c r="H1566" s="61" t="s">
        <v>309</v>
      </c>
      <c r="I1566" s="60" t="s">
        <v>766</v>
      </c>
      <c r="J1566" s="60">
        <v>2</v>
      </c>
      <c r="L1566" s="60">
        <v>0</v>
      </c>
      <c r="M1566" s="61">
        <v>44783</v>
      </c>
      <c r="O1566" s="62" t="s">
        <v>331</v>
      </c>
      <c r="P1566" s="60" t="s">
        <v>6</v>
      </c>
      <c r="Q1566" s="62" t="s">
        <v>118</v>
      </c>
      <c r="R1566" s="62" t="s">
        <v>4330</v>
      </c>
      <c r="S1566" s="63" t="s">
        <v>1584</v>
      </c>
      <c r="T1566" s="63" t="s">
        <v>364</v>
      </c>
      <c r="U1566" s="64">
        <v>35000</v>
      </c>
      <c r="V1566" s="64">
        <v>38500</v>
      </c>
      <c r="W1566" s="64">
        <v>35000</v>
      </c>
      <c r="X1566" s="64">
        <v>38500</v>
      </c>
      <c r="Z1566" s="64">
        <v>0</v>
      </c>
      <c r="AA1566" s="61">
        <v>44782</v>
      </c>
      <c r="AB1566" s="61">
        <v>44782</v>
      </c>
      <c r="AD1566" s="60">
        <v>0</v>
      </c>
      <c r="AG1566" s="60">
        <v>0</v>
      </c>
      <c r="AJ1566" s="60">
        <v>0</v>
      </c>
      <c r="AN1566" s="60" t="s">
        <v>309</v>
      </c>
      <c r="AQ1566" s="60" t="s">
        <v>4374</v>
      </c>
      <c r="AR1566" s="61">
        <v>44791</v>
      </c>
      <c r="AS1566" s="60">
        <v>6002062745</v>
      </c>
      <c r="AT1566" s="61">
        <v>44791</v>
      </c>
      <c r="AU1566" s="60" t="s">
        <v>4377</v>
      </c>
      <c r="AV1566" s="61">
        <v>44798</v>
      </c>
      <c r="AW1566" s="91">
        <v>44804</v>
      </c>
      <c r="AX1566" s="91">
        <v>44824</v>
      </c>
      <c r="AY1566" s="99">
        <v>33600</v>
      </c>
      <c r="AZ1566" s="99">
        <f>ROUNDDOWN(AY1566+(AY1566*MASTER!$A$2/100),0)</f>
        <v>36960</v>
      </c>
      <c r="BA1566" s="60" t="s">
        <v>318</v>
      </c>
      <c r="BB1566" s="64">
        <v>30000</v>
      </c>
      <c r="BC1566" s="64">
        <v>33000</v>
      </c>
      <c r="BD1566" s="60" t="s">
        <v>3940</v>
      </c>
      <c r="BG1566" s="64">
        <v>0</v>
      </c>
      <c r="BK1566" s="64">
        <v>0</v>
      </c>
      <c r="BS1566" s="64">
        <v>0</v>
      </c>
      <c r="BV1566" s="65">
        <v>38500</v>
      </c>
      <c r="BW1566" s="65">
        <v>33000</v>
      </c>
      <c r="BX1566" s="65">
        <v>44783</v>
      </c>
      <c r="BY1566" s="65">
        <v>5500</v>
      </c>
      <c r="BZ1566" s="81">
        <v>14.285714285714285</v>
      </c>
    </row>
    <row r="1567" spans="1:89" x14ac:dyDescent="0.15">
      <c r="A1567" s="60">
        <v>1</v>
      </c>
      <c r="B1567" s="61">
        <v>44826</v>
      </c>
      <c r="C1567" s="61">
        <v>44830</v>
      </c>
      <c r="F1567" s="61" t="s">
        <v>309</v>
      </c>
      <c r="H1567" s="61" t="s">
        <v>309</v>
      </c>
      <c r="J1567" s="60">
        <v>2</v>
      </c>
      <c r="L1567" s="60">
        <v>0</v>
      </c>
      <c r="M1567" s="61">
        <v>44783</v>
      </c>
      <c r="O1567" s="62" t="s">
        <v>331</v>
      </c>
      <c r="P1567" s="60" t="s">
        <v>26</v>
      </c>
      <c r="Q1567" s="62" t="s">
        <v>118</v>
      </c>
      <c r="R1567" s="62" t="s">
        <v>4332</v>
      </c>
      <c r="S1567" s="63" t="s">
        <v>326</v>
      </c>
      <c r="T1567" s="63" t="s">
        <v>4331</v>
      </c>
      <c r="U1567" s="64">
        <v>48000</v>
      </c>
      <c r="V1567" s="64">
        <v>52800</v>
      </c>
      <c r="W1567" s="64">
        <v>48000</v>
      </c>
      <c r="X1567" s="64">
        <v>52800</v>
      </c>
      <c r="Y1567" s="64">
        <v>0</v>
      </c>
      <c r="Z1567" s="64">
        <v>0</v>
      </c>
      <c r="AA1567" s="61">
        <v>44790</v>
      </c>
      <c r="AB1567" s="61">
        <v>44792</v>
      </c>
      <c r="AD1567" s="60">
        <v>0</v>
      </c>
      <c r="AG1567" s="60">
        <v>0</v>
      </c>
      <c r="AJ1567" s="60">
        <v>0</v>
      </c>
      <c r="AQ1567" s="60" t="s">
        <v>4847</v>
      </c>
      <c r="AR1567" s="61">
        <v>44820</v>
      </c>
      <c r="AS1567" s="60">
        <v>6002074178</v>
      </c>
      <c r="AT1567" s="61">
        <v>44820</v>
      </c>
      <c r="AU1567" s="60" t="s">
        <v>4905</v>
      </c>
      <c r="AV1567" s="61">
        <v>44830</v>
      </c>
      <c r="AW1567" s="91">
        <v>44834</v>
      </c>
      <c r="AX1567" s="91">
        <v>44854</v>
      </c>
      <c r="AY1567" s="107">
        <v>48000</v>
      </c>
      <c r="AZ1567" s="107">
        <f>ROUNDDOWN(AY1567+(AY1567*MASTER!$A$2/100),0)</f>
        <v>52800</v>
      </c>
      <c r="BC1567" s="64">
        <v>0</v>
      </c>
      <c r="BG1567" s="64">
        <v>0</v>
      </c>
      <c r="BK1567" s="64">
        <v>0</v>
      </c>
      <c r="BS1567" s="64">
        <v>0</v>
      </c>
      <c r="BV1567" s="65">
        <v>52800</v>
      </c>
      <c r="BW1567" s="65">
        <v>0</v>
      </c>
      <c r="BX1567" s="65">
        <v>44783</v>
      </c>
      <c r="BY1567" s="65">
        <v>52800</v>
      </c>
      <c r="BZ1567" s="81">
        <v>100</v>
      </c>
    </row>
    <row r="1568" spans="1:89" s="152" customFormat="1" x14ac:dyDescent="0.15">
      <c r="A1568" s="142">
        <v>3</v>
      </c>
      <c r="B1568" s="143"/>
      <c r="C1568" s="143" t="s">
        <v>309</v>
      </c>
      <c r="D1568" s="143"/>
      <c r="E1568" s="143"/>
      <c r="F1568" s="143" t="s">
        <v>309</v>
      </c>
      <c r="G1568" s="143"/>
      <c r="H1568" s="143" t="s">
        <v>309</v>
      </c>
      <c r="I1568" s="142"/>
      <c r="J1568" s="142">
        <v>2</v>
      </c>
      <c r="K1568" s="143"/>
      <c r="L1568" s="142">
        <v>0</v>
      </c>
      <c r="M1568" s="143">
        <v>44783</v>
      </c>
      <c r="N1568" s="143"/>
      <c r="O1568" s="144" t="s">
        <v>331</v>
      </c>
      <c r="P1568" s="142" t="s">
        <v>26</v>
      </c>
      <c r="Q1568" s="144" t="s">
        <v>118</v>
      </c>
      <c r="R1568" s="144" t="s">
        <v>4334</v>
      </c>
      <c r="S1568" s="145" t="s">
        <v>326</v>
      </c>
      <c r="T1568" s="145" t="s">
        <v>4333</v>
      </c>
      <c r="U1568" s="146">
        <v>94000</v>
      </c>
      <c r="V1568" s="146">
        <v>103400</v>
      </c>
      <c r="W1568" s="146">
        <v>94000</v>
      </c>
      <c r="X1568" s="146">
        <v>103400</v>
      </c>
      <c r="Y1568" s="146">
        <v>0</v>
      </c>
      <c r="Z1568" s="146">
        <v>0</v>
      </c>
      <c r="AA1568" s="143"/>
      <c r="AB1568" s="143">
        <v>44804</v>
      </c>
      <c r="AC1568" s="143"/>
      <c r="AD1568" s="142">
        <v>0</v>
      </c>
      <c r="AE1568" s="142"/>
      <c r="AF1568" s="142"/>
      <c r="AG1568" s="142">
        <v>0</v>
      </c>
      <c r="AH1568" s="142"/>
      <c r="AI1568" s="142"/>
      <c r="AJ1568" s="142">
        <v>0</v>
      </c>
      <c r="AK1568" s="142"/>
      <c r="AL1568" s="142"/>
      <c r="AM1568" s="142"/>
      <c r="AN1568" s="142"/>
      <c r="AO1568" s="143"/>
      <c r="AP1568" s="142"/>
      <c r="AQ1568" s="142"/>
      <c r="AR1568" s="143"/>
      <c r="AS1568" s="142"/>
      <c r="AT1568" s="143"/>
      <c r="AU1568" s="142"/>
      <c r="AV1568" s="143"/>
      <c r="AW1568" s="147"/>
      <c r="AX1568" s="147"/>
      <c r="AY1568" s="154">
        <v>94000</v>
      </c>
      <c r="AZ1568" s="154">
        <f>ROUNDDOWN(AY1568+(AY1568*MASTER!$A$2/100),0)</f>
        <v>103400</v>
      </c>
      <c r="BA1568" s="142"/>
      <c r="BB1568" s="146"/>
      <c r="BC1568" s="146">
        <v>0</v>
      </c>
      <c r="BD1568" s="142"/>
      <c r="BE1568" s="142"/>
      <c r="BF1568" s="146"/>
      <c r="BG1568" s="146">
        <v>0</v>
      </c>
      <c r="BH1568" s="142"/>
      <c r="BI1568" s="142"/>
      <c r="BJ1568" s="146"/>
      <c r="BK1568" s="146">
        <v>0</v>
      </c>
      <c r="BL1568" s="142"/>
      <c r="BM1568" s="146"/>
      <c r="BN1568" s="146"/>
      <c r="BO1568" s="146"/>
      <c r="BP1568" s="146"/>
      <c r="BQ1568" s="146"/>
      <c r="BR1568" s="146"/>
      <c r="BS1568" s="146">
        <v>0</v>
      </c>
      <c r="BT1568" s="149"/>
      <c r="BU1568" s="149"/>
      <c r="BV1568" s="150">
        <v>103400</v>
      </c>
      <c r="BW1568" s="150">
        <v>0</v>
      </c>
      <c r="BX1568" s="150">
        <v>44783</v>
      </c>
      <c r="BY1568" s="150">
        <v>103400</v>
      </c>
      <c r="BZ1568" s="151">
        <v>100</v>
      </c>
      <c r="CA1568" s="142"/>
      <c r="CB1568" s="142"/>
      <c r="CC1568" s="142"/>
      <c r="CD1568" s="145" t="s">
        <v>4359</v>
      </c>
      <c r="CE1568" s="143"/>
      <c r="CF1568" s="143"/>
      <c r="CG1568" s="143"/>
      <c r="CH1568" s="143"/>
      <c r="CI1568" s="143"/>
      <c r="CJ1568" s="143"/>
      <c r="CK1568" s="146"/>
    </row>
    <row r="1569" spans="1:82" x14ac:dyDescent="0.15">
      <c r="A1569" s="60">
        <v>2</v>
      </c>
      <c r="C1569" s="61" t="s">
        <v>309</v>
      </c>
      <c r="F1569" s="61" t="s">
        <v>309</v>
      </c>
      <c r="H1569" s="61" t="s">
        <v>309</v>
      </c>
      <c r="J1569" s="60">
        <v>4</v>
      </c>
      <c r="L1569" s="60">
        <v>0</v>
      </c>
      <c r="M1569" s="61">
        <v>44783</v>
      </c>
      <c r="O1569" s="62" t="s">
        <v>331</v>
      </c>
      <c r="P1569" s="60" t="s">
        <v>263</v>
      </c>
      <c r="Q1569" s="62" t="s">
        <v>118</v>
      </c>
      <c r="R1569" s="62" t="s">
        <v>4335</v>
      </c>
      <c r="S1569" s="63" t="s">
        <v>1070</v>
      </c>
      <c r="T1569" s="63" t="s">
        <v>972</v>
      </c>
      <c r="U1569" s="64">
        <v>0</v>
      </c>
      <c r="V1569" s="64">
        <v>0</v>
      </c>
      <c r="W1569" s="64">
        <v>0</v>
      </c>
      <c r="X1569" s="64">
        <v>0</v>
      </c>
      <c r="Y1569" s="64">
        <v>0</v>
      </c>
      <c r="Z1569" s="64">
        <v>0</v>
      </c>
      <c r="AA1569" s="61">
        <v>44772</v>
      </c>
      <c r="AB1569" s="61">
        <v>44772</v>
      </c>
      <c r="AD1569" s="60">
        <v>0</v>
      </c>
      <c r="AG1569" s="60">
        <v>0</v>
      </c>
      <c r="AJ1569" s="60">
        <v>0</v>
      </c>
      <c r="AN1569" s="60" t="s">
        <v>309</v>
      </c>
      <c r="AY1569" s="99">
        <f>ROUNDDOWN((0.96*U1569),0)</f>
        <v>0</v>
      </c>
      <c r="AZ1569" s="99">
        <f>ROUNDDOWN(AY1569+(AY1569*MASTER!$A$2/100),0)</f>
        <v>0</v>
      </c>
      <c r="BA1569" s="60" t="s">
        <v>582</v>
      </c>
      <c r="BB1569" s="64">
        <v>35000</v>
      </c>
      <c r="BC1569" s="64">
        <v>38500</v>
      </c>
      <c r="BD1569" s="60" t="s">
        <v>3800</v>
      </c>
      <c r="BG1569" s="64">
        <v>0</v>
      </c>
      <c r="BK1569" s="64">
        <v>0</v>
      </c>
      <c r="BS1569" s="64">
        <v>0</v>
      </c>
      <c r="BV1569" s="65">
        <v>0</v>
      </c>
      <c r="BW1569" s="65">
        <v>38500</v>
      </c>
      <c r="BX1569" s="65">
        <v>44783</v>
      </c>
      <c r="BY1569" s="65">
        <v>-38500</v>
      </c>
      <c r="BZ1569" s="81" t="s">
        <v>309</v>
      </c>
    </row>
    <row r="1570" spans="1:82" x14ac:dyDescent="0.15">
      <c r="A1570" s="60">
        <v>1</v>
      </c>
      <c r="B1570" s="61">
        <v>44795</v>
      </c>
      <c r="C1570" s="61">
        <v>44799</v>
      </c>
      <c r="F1570" s="61" t="s">
        <v>309</v>
      </c>
      <c r="H1570" s="61" t="s">
        <v>309</v>
      </c>
      <c r="J1570" s="60">
        <v>2</v>
      </c>
      <c r="L1570" s="60">
        <v>0</v>
      </c>
      <c r="M1570" s="61">
        <v>44783</v>
      </c>
      <c r="O1570" s="62" t="s">
        <v>331</v>
      </c>
      <c r="P1570" s="60" t="s">
        <v>50</v>
      </c>
      <c r="Q1570" s="62" t="s">
        <v>118</v>
      </c>
      <c r="R1570" s="62" t="s">
        <v>4346</v>
      </c>
      <c r="S1570" s="63" t="s">
        <v>326</v>
      </c>
      <c r="T1570" s="63" t="s">
        <v>4345</v>
      </c>
      <c r="U1570" s="64">
        <v>80000</v>
      </c>
      <c r="V1570" s="64">
        <v>88000</v>
      </c>
      <c r="W1570" s="64">
        <v>80000</v>
      </c>
      <c r="X1570" s="64">
        <v>88000</v>
      </c>
      <c r="Y1570" s="64">
        <v>0</v>
      </c>
      <c r="Z1570" s="64">
        <v>0</v>
      </c>
      <c r="AA1570" s="61" t="s">
        <v>3940</v>
      </c>
      <c r="AD1570" s="60">
        <v>0</v>
      </c>
      <c r="AG1570" s="60">
        <v>0</v>
      </c>
      <c r="AJ1570" s="60">
        <v>0</v>
      </c>
      <c r="AQ1570" s="60" t="s">
        <v>4382</v>
      </c>
      <c r="AR1570" s="61">
        <v>44792</v>
      </c>
      <c r="AS1570" s="60">
        <v>6002063178</v>
      </c>
      <c r="AT1570" s="61">
        <v>44792</v>
      </c>
      <c r="AU1570" s="60" t="s">
        <v>4385</v>
      </c>
      <c r="AV1570" s="61">
        <v>44799</v>
      </c>
      <c r="AW1570" s="91">
        <v>44804</v>
      </c>
      <c r="AX1570" s="91">
        <v>44824</v>
      </c>
      <c r="AY1570" s="107">
        <v>80000</v>
      </c>
      <c r="AZ1570" s="107">
        <f>ROUNDDOWN(AY1570+(AY1570*MASTER!$A$2/100),0)</f>
        <v>88000</v>
      </c>
      <c r="BC1570" s="64">
        <v>0</v>
      </c>
      <c r="BG1570" s="64">
        <v>0</v>
      </c>
      <c r="BK1570" s="64">
        <v>0</v>
      </c>
      <c r="BS1570" s="64">
        <v>0</v>
      </c>
      <c r="BV1570" s="65">
        <v>88000</v>
      </c>
      <c r="BW1570" s="65">
        <v>0</v>
      </c>
      <c r="BX1570" s="65">
        <v>44783</v>
      </c>
      <c r="BY1570" s="65">
        <v>88000</v>
      </c>
      <c r="BZ1570" s="81">
        <v>100</v>
      </c>
    </row>
    <row r="1571" spans="1:82" x14ac:dyDescent="0.15">
      <c r="A1571" s="60">
        <v>1</v>
      </c>
      <c r="C1571" s="61" t="s">
        <v>309</v>
      </c>
      <c r="F1571" s="61" t="s">
        <v>309</v>
      </c>
      <c r="H1571" s="61" t="s">
        <v>309</v>
      </c>
      <c r="J1571" s="60">
        <v>1</v>
      </c>
      <c r="L1571" s="60">
        <v>0</v>
      </c>
      <c r="M1571" s="61">
        <v>44783</v>
      </c>
      <c r="O1571" s="62" t="s">
        <v>331</v>
      </c>
      <c r="P1571" s="60" t="s">
        <v>26</v>
      </c>
      <c r="Q1571" s="62" t="s">
        <v>118</v>
      </c>
      <c r="R1571" s="62" t="s">
        <v>4347</v>
      </c>
      <c r="S1571" s="63" t="s">
        <v>732</v>
      </c>
      <c r="T1571" s="63" t="s">
        <v>2007</v>
      </c>
      <c r="U1571" s="64">
        <v>59000</v>
      </c>
      <c r="V1571" s="64">
        <v>64900</v>
      </c>
      <c r="W1571" s="64">
        <v>47000</v>
      </c>
      <c r="X1571" s="64">
        <v>51700</v>
      </c>
      <c r="Y1571" s="64">
        <v>12000</v>
      </c>
      <c r="Z1571" s="64">
        <v>13200</v>
      </c>
      <c r="AD1571" s="60">
        <v>0</v>
      </c>
      <c r="AG1571" s="60">
        <v>0</v>
      </c>
      <c r="AJ1571" s="60">
        <v>0</v>
      </c>
      <c r="AM1571" s="60" t="s">
        <v>350</v>
      </c>
      <c r="AN1571" s="60" t="s">
        <v>4348</v>
      </c>
      <c r="AQ1571" s="60" t="s">
        <v>5147</v>
      </c>
      <c r="AR1571" s="61">
        <v>44830</v>
      </c>
      <c r="AS1571" s="60">
        <v>6002076239</v>
      </c>
      <c r="AT1571" s="61">
        <v>44830</v>
      </c>
      <c r="AU1571" s="60" t="s">
        <v>5173</v>
      </c>
      <c r="AV1571" s="61">
        <v>44854</v>
      </c>
      <c r="AY1571" s="99">
        <f>ROUNDDOWN((0.96*U1571),0)</f>
        <v>56640</v>
      </c>
      <c r="AZ1571" s="99">
        <f>ROUNDDOWN(AY1571+(AY1571*MASTER!$A$2/100),0)</f>
        <v>62304</v>
      </c>
      <c r="BC1571" s="64">
        <v>0</v>
      </c>
      <c r="BG1571" s="64">
        <v>0</v>
      </c>
      <c r="BK1571" s="64">
        <v>0</v>
      </c>
      <c r="BS1571" s="64">
        <v>0</v>
      </c>
      <c r="BV1571" s="65">
        <v>51700</v>
      </c>
      <c r="BW1571" s="65">
        <v>0</v>
      </c>
      <c r="BX1571" s="65">
        <v>44783</v>
      </c>
      <c r="BY1571" s="65">
        <v>51700</v>
      </c>
      <c r="BZ1571" s="81">
        <v>100</v>
      </c>
    </row>
    <row r="1572" spans="1:82" x14ac:dyDescent="0.15">
      <c r="A1572" s="60">
        <v>2</v>
      </c>
      <c r="B1572" s="61">
        <v>44796</v>
      </c>
      <c r="C1572" s="61">
        <v>44804</v>
      </c>
      <c r="D1572" s="61">
        <v>44816</v>
      </c>
      <c r="E1572" s="61">
        <v>44796</v>
      </c>
      <c r="F1572" s="61">
        <v>44803</v>
      </c>
      <c r="G1572" s="61">
        <v>44796</v>
      </c>
      <c r="H1572" s="61">
        <v>44799</v>
      </c>
      <c r="I1572" s="60" t="s">
        <v>511</v>
      </c>
      <c r="J1572" s="60">
        <v>1</v>
      </c>
      <c r="L1572" s="60">
        <v>0</v>
      </c>
      <c r="M1572" s="61">
        <v>44783</v>
      </c>
      <c r="O1572" s="62" t="s">
        <v>331</v>
      </c>
      <c r="P1572" s="60" t="s">
        <v>26</v>
      </c>
      <c r="Q1572" s="62" t="s">
        <v>118</v>
      </c>
      <c r="R1572" s="62" t="s">
        <v>4350</v>
      </c>
      <c r="S1572" s="63" t="s">
        <v>4349</v>
      </c>
      <c r="T1572" s="63" t="s">
        <v>442</v>
      </c>
      <c r="U1572" s="64">
        <v>43000</v>
      </c>
      <c r="V1572" s="64">
        <v>47300</v>
      </c>
      <c r="W1572" s="64">
        <v>31000</v>
      </c>
      <c r="X1572" s="64">
        <v>34100</v>
      </c>
      <c r="Y1572" s="64">
        <v>12000</v>
      </c>
      <c r="Z1572" s="64">
        <v>13200</v>
      </c>
      <c r="AA1572" s="61">
        <v>44794</v>
      </c>
      <c r="AB1572" s="61">
        <v>44796</v>
      </c>
      <c r="AC1572" s="61">
        <v>44796</v>
      </c>
      <c r="AD1572" s="60">
        <v>0</v>
      </c>
      <c r="AG1572" s="60">
        <v>0</v>
      </c>
      <c r="AJ1572" s="60">
        <v>0</v>
      </c>
      <c r="AM1572" s="60" t="s">
        <v>273</v>
      </c>
      <c r="AN1572" s="60" t="s">
        <v>4351</v>
      </c>
      <c r="AQ1572" s="60" t="s">
        <v>4386</v>
      </c>
      <c r="AR1572" s="61">
        <v>44795</v>
      </c>
      <c r="AS1572" s="60">
        <v>6002063399</v>
      </c>
      <c r="AT1572" s="61">
        <v>44796</v>
      </c>
      <c r="AU1572" s="60" t="s">
        <v>4413</v>
      </c>
      <c r="AV1572" s="61">
        <v>44804</v>
      </c>
      <c r="AW1572" s="91">
        <v>44804</v>
      </c>
      <c r="AX1572" s="91">
        <v>44824</v>
      </c>
      <c r="AY1572" s="99">
        <v>41280</v>
      </c>
      <c r="AZ1572" s="99">
        <f>ROUNDDOWN(AY1572+(AY1572*MASTER!$A$2/100),0)</f>
        <v>45408</v>
      </c>
      <c r="BA1572" s="60" t="s">
        <v>314</v>
      </c>
      <c r="BB1572" s="64">
        <v>41000</v>
      </c>
      <c r="BC1572" s="64">
        <v>45100</v>
      </c>
      <c r="BD1572" s="60" t="s">
        <v>3940</v>
      </c>
      <c r="BG1572" s="64">
        <v>0</v>
      </c>
      <c r="BI1572" s="60" t="s">
        <v>748</v>
      </c>
      <c r="BJ1572" s="64">
        <v>7800</v>
      </c>
      <c r="BK1572" s="64">
        <v>8580</v>
      </c>
      <c r="BL1572" s="60" t="s">
        <v>3940</v>
      </c>
      <c r="BS1572" s="64">
        <v>0</v>
      </c>
      <c r="BV1572" s="65">
        <v>34100</v>
      </c>
      <c r="BW1572" s="65">
        <v>53680</v>
      </c>
      <c r="BX1572" s="65">
        <v>44783</v>
      </c>
      <c r="BY1572" s="65">
        <v>-19580</v>
      </c>
      <c r="BZ1572" s="81">
        <v>-57.41935483870968</v>
      </c>
    </row>
    <row r="1573" spans="1:82" x14ac:dyDescent="0.15">
      <c r="A1573" s="60">
        <v>2</v>
      </c>
      <c r="B1573" s="61">
        <v>44818</v>
      </c>
      <c r="C1573" s="61">
        <v>44820</v>
      </c>
      <c r="E1573" s="61">
        <v>44828</v>
      </c>
      <c r="F1573" s="61" t="s">
        <v>309</v>
      </c>
      <c r="G1573" s="61">
        <v>44821</v>
      </c>
      <c r="H1573" s="61" t="s">
        <v>309</v>
      </c>
      <c r="I1573" s="60" t="s">
        <v>511</v>
      </c>
      <c r="J1573" s="60">
        <v>1</v>
      </c>
      <c r="L1573" s="60">
        <v>0</v>
      </c>
      <c r="M1573" s="61">
        <v>44783</v>
      </c>
      <c r="O1573" s="62" t="s">
        <v>331</v>
      </c>
      <c r="P1573" s="60" t="s">
        <v>26</v>
      </c>
      <c r="Q1573" s="62" t="s">
        <v>118</v>
      </c>
      <c r="R1573" s="62" t="s">
        <v>4353</v>
      </c>
      <c r="S1573" s="63" t="s">
        <v>4352</v>
      </c>
      <c r="T1573" s="63" t="s">
        <v>442</v>
      </c>
      <c r="U1573" s="64">
        <v>43000</v>
      </c>
      <c r="V1573" s="64">
        <v>47300</v>
      </c>
      <c r="W1573" s="64">
        <v>31000</v>
      </c>
      <c r="X1573" s="64">
        <v>34100</v>
      </c>
      <c r="Y1573" s="64">
        <v>12000</v>
      </c>
      <c r="Z1573" s="64">
        <v>13200</v>
      </c>
      <c r="AA1573" s="61">
        <v>44817</v>
      </c>
      <c r="AB1573" s="61">
        <v>44819</v>
      </c>
      <c r="AD1573" s="60">
        <v>0</v>
      </c>
      <c r="AG1573" s="60">
        <v>0</v>
      </c>
      <c r="AJ1573" s="60">
        <v>0</v>
      </c>
      <c r="AM1573" s="60" t="s">
        <v>273</v>
      </c>
      <c r="AN1573" s="60" t="s">
        <v>4835</v>
      </c>
      <c r="AQ1573" s="60" t="s">
        <v>4419</v>
      </c>
      <c r="AR1573" s="61">
        <v>44796</v>
      </c>
      <c r="AS1573" s="60">
        <v>6002064701</v>
      </c>
      <c r="AT1573" s="61">
        <v>44797</v>
      </c>
      <c r="AU1573" s="60" t="s">
        <v>4426</v>
      </c>
      <c r="AV1573" s="61">
        <v>44820</v>
      </c>
      <c r="AW1573" s="91">
        <v>44834</v>
      </c>
      <c r="AX1573" s="91">
        <v>44854</v>
      </c>
      <c r="AY1573" s="99">
        <v>41280</v>
      </c>
      <c r="AZ1573" s="99">
        <f>ROUNDDOWN(AY1573+(AY1573*MASTER!$A$2/100),0)</f>
        <v>45408</v>
      </c>
      <c r="BA1573" s="60" t="s">
        <v>314</v>
      </c>
      <c r="BC1573" s="64">
        <v>0</v>
      </c>
      <c r="BD1573" s="60" t="s">
        <v>4182</v>
      </c>
      <c r="BG1573" s="64">
        <v>0</v>
      </c>
      <c r="BK1573" s="64">
        <v>0</v>
      </c>
      <c r="BS1573" s="64">
        <v>0</v>
      </c>
      <c r="BV1573" s="65">
        <v>34100</v>
      </c>
      <c r="BW1573" s="65">
        <v>0</v>
      </c>
      <c r="BX1573" s="65">
        <v>44783</v>
      </c>
      <c r="BY1573" s="65">
        <v>34100</v>
      </c>
      <c r="BZ1573" s="81">
        <v>100</v>
      </c>
    </row>
    <row r="1574" spans="1:82" x14ac:dyDescent="0.15">
      <c r="A1574" s="60">
        <v>1</v>
      </c>
      <c r="B1574" s="61">
        <v>44790</v>
      </c>
      <c r="C1574" s="61">
        <v>44804</v>
      </c>
      <c r="F1574" s="61" t="s">
        <v>309</v>
      </c>
      <c r="H1574" s="61" t="s">
        <v>309</v>
      </c>
      <c r="J1574" s="60">
        <v>2</v>
      </c>
      <c r="L1574" s="60">
        <v>0</v>
      </c>
      <c r="M1574" s="61">
        <v>44783</v>
      </c>
      <c r="O1574" s="62" t="s">
        <v>331</v>
      </c>
      <c r="P1574" s="60" t="s">
        <v>26</v>
      </c>
      <c r="Q1574" s="62" t="s">
        <v>118</v>
      </c>
      <c r="R1574" s="62" t="s">
        <v>4360</v>
      </c>
      <c r="S1574" s="63" t="s">
        <v>326</v>
      </c>
      <c r="T1574" s="63" t="s">
        <v>4361</v>
      </c>
      <c r="U1574" s="64">
        <v>64000</v>
      </c>
      <c r="V1574" s="64">
        <v>70400</v>
      </c>
      <c r="W1574" s="64">
        <v>64000</v>
      </c>
      <c r="X1574" s="64">
        <v>70400</v>
      </c>
      <c r="Y1574" s="64">
        <v>0</v>
      </c>
      <c r="Z1574" s="64">
        <v>0</v>
      </c>
      <c r="AD1574" s="60">
        <v>0</v>
      </c>
      <c r="AG1574" s="60">
        <v>0</v>
      </c>
      <c r="AJ1574" s="60">
        <v>0</v>
      </c>
      <c r="AQ1574" s="60" t="s">
        <v>4366</v>
      </c>
      <c r="AR1574" s="61">
        <v>44783</v>
      </c>
      <c r="AS1574" s="60">
        <v>6002061855</v>
      </c>
      <c r="AT1574" s="61">
        <v>44790</v>
      </c>
      <c r="AU1574" s="60" t="s">
        <v>4367</v>
      </c>
      <c r="AV1574" s="61">
        <v>44804</v>
      </c>
      <c r="AW1574" s="91">
        <v>44804</v>
      </c>
      <c r="AX1574" s="91">
        <v>44824</v>
      </c>
      <c r="AY1574" s="107">
        <v>64000</v>
      </c>
      <c r="AZ1574" s="107">
        <f>ROUNDDOWN(AY1574+(AY1574*MASTER!$A$2/100),0)</f>
        <v>70400</v>
      </c>
      <c r="BC1574" s="64">
        <v>0</v>
      </c>
      <c r="BG1574" s="64">
        <v>0</v>
      </c>
      <c r="BK1574" s="64">
        <v>0</v>
      </c>
      <c r="BS1574" s="64">
        <v>0</v>
      </c>
      <c r="BV1574" s="65">
        <v>70400</v>
      </c>
      <c r="BW1574" s="65">
        <v>0</v>
      </c>
      <c r="BX1574" s="65">
        <v>44783</v>
      </c>
      <c r="BY1574" s="65">
        <v>70400</v>
      </c>
      <c r="BZ1574" s="81">
        <v>100</v>
      </c>
      <c r="CD1574" s="63" t="s">
        <v>4364</v>
      </c>
    </row>
    <row r="1575" spans="1:82" x14ac:dyDescent="0.15">
      <c r="A1575" s="60">
        <v>1</v>
      </c>
      <c r="B1575" s="61">
        <v>44805</v>
      </c>
      <c r="C1575" s="61">
        <v>44813</v>
      </c>
      <c r="F1575" s="61" t="s">
        <v>309</v>
      </c>
      <c r="H1575" s="61" t="s">
        <v>309</v>
      </c>
      <c r="J1575" s="60">
        <v>2</v>
      </c>
      <c r="L1575" s="60">
        <v>0</v>
      </c>
      <c r="M1575" s="61">
        <v>44783</v>
      </c>
      <c r="O1575" s="62" t="s">
        <v>331</v>
      </c>
      <c r="P1575" s="60" t="s">
        <v>26</v>
      </c>
      <c r="Q1575" s="62" t="s">
        <v>118</v>
      </c>
      <c r="R1575" s="62" t="s">
        <v>4362</v>
      </c>
      <c r="S1575" s="63" t="s">
        <v>326</v>
      </c>
      <c r="T1575" s="63" t="s">
        <v>4363</v>
      </c>
      <c r="U1575" s="64">
        <v>30000</v>
      </c>
      <c r="V1575" s="64">
        <v>33000</v>
      </c>
      <c r="W1575" s="64">
        <v>30000</v>
      </c>
      <c r="X1575" s="64">
        <v>33000</v>
      </c>
      <c r="Y1575" s="64">
        <v>0</v>
      </c>
      <c r="Z1575" s="64">
        <v>0</v>
      </c>
      <c r="AD1575" s="60">
        <v>0</v>
      </c>
      <c r="AG1575" s="60">
        <v>0</v>
      </c>
      <c r="AJ1575" s="60">
        <v>0</v>
      </c>
      <c r="AQ1575" s="60" t="s">
        <v>4406</v>
      </c>
      <c r="AR1575" s="61">
        <v>44783</v>
      </c>
      <c r="AS1575" s="60">
        <v>6002061855</v>
      </c>
      <c r="AT1575" s="61">
        <v>44790</v>
      </c>
      <c r="AU1575" s="60" t="s">
        <v>4367</v>
      </c>
      <c r="AV1575" s="61">
        <v>44813</v>
      </c>
      <c r="AW1575" s="91">
        <v>44834</v>
      </c>
      <c r="AX1575" s="91">
        <v>44854</v>
      </c>
      <c r="AY1575" s="107">
        <v>30000</v>
      </c>
      <c r="AZ1575" s="107">
        <f>ROUNDDOWN(AY1575+(AY1575*MASTER!$A$2/100),0)</f>
        <v>33000</v>
      </c>
      <c r="BC1575" s="64">
        <v>0</v>
      </c>
      <c r="BG1575" s="64">
        <v>0</v>
      </c>
      <c r="BK1575" s="64">
        <v>0</v>
      </c>
      <c r="BS1575" s="64">
        <v>0</v>
      </c>
      <c r="BV1575" s="65">
        <v>33000</v>
      </c>
      <c r="BW1575" s="65">
        <v>0</v>
      </c>
      <c r="BX1575" s="65">
        <v>44783</v>
      </c>
      <c r="BY1575" s="65">
        <v>33000</v>
      </c>
      <c r="BZ1575" s="81">
        <v>100</v>
      </c>
      <c r="CD1575" s="63" t="s">
        <v>4364</v>
      </c>
    </row>
    <row r="1576" spans="1:82" x14ac:dyDescent="0.15">
      <c r="A1576" s="60">
        <v>2</v>
      </c>
      <c r="B1576" s="61">
        <v>44796</v>
      </c>
      <c r="C1576" s="61">
        <v>44798</v>
      </c>
      <c r="D1576" s="61">
        <v>44795</v>
      </c>
      <c r="E1576" s="61">
        <v>44795</v>
      </c>
      <c r="F1576" s="61" t="s">
        <v>309</v>
      </c>
      <c r="G1576" s="61">
        <v>44795</v>
      </c>
      <c r="H1576" s="61" t="s">
        <v>309</v>
      </c>
      <c r="I1576" s="60" t="s">
        <v>766</v>
      </c>
      <c r="J1576" s="60">
        <v>2</v>
      </c>
      <c r="L1576" s="60">
        <v>0</v>
      </c>
      <c r="M1576" s="61">
        <v>44790</v>
      </c>
      <c r="O1576" s="62" t="s">
        <v>331</v>
      </c>
      <c r="P1576" s="60" t="s">
        <v>6</v>
      </c>
      <c r="Q1576" s="62" t="s">
        <v>118</v>
      </c>
      <c r="R1576" s="62" t="s">
        <v>4391</v>
      </c>
      <c r="S1576" s="63" t="s">
        <v>4088</v>
      </c>
      <c r="T1576" s="63" t="s">
        <v>364</v>
      </c>
      <c r="U1576" s="64">
        <v>51000</v>
      </c>
      <c r="V1576" s="64">
        <v>56100</v>
      </c>
      <c r="W1576" s="64">
        <v>51000</v>
      </c>
      <c r="X1576" s="64">
        <v>56100</v>
      </c>
      <c r="Z1576" s="64">
        <v>0</v>
      </c>
      <c r="AA1576" s="61">
        <v>44792</v>
      </c>
      <c r="AB1576" s="61">
        <v>44792</v>
      </c>
      <c r="AD1576" s="60">
        <v>0</v>
      </c>
      <c r="AG1576" s="60">
        <v>0</v>
      </c>
      <c r="AJ1576" s="60">
        <v>0</v>
      </c>
      <c r="AN1576" s="60" t="s">
        <v>309</v>
      </c>
      <c r="AQ1576" s="60" t="s">
        <v>4390</v>
      </c>
      <c r="AR1576" s="61">
        <v>44795</v>
      </c>
      <c r="AS1576" s="60">
        <v>6002063401</v>
      </c>
      <c r="AT1576" s="61">
        <v>44796</v>
      </c>
      <c r="AU1576" s="60" t="s">
        <v>4412</v>
      </c>
      <c r="AV1576" s="61">
        <v>44798</v>
      </c>
      <c r="AW1576" s="91">
        <v>44804</v>
      </c>
      <c r="AX1576" s="91">
        <v>44824</v>
      </c>
      <c r="AY1576" s="99">
        <v>48960</v>
      </c>
      <c r="AZ1576" s="99">
        <f>ROUNDDOWN(AY1576+(AY1576*MASTER!$A$2/100),0)</f>
        <v>53856</v>
      </c>
      <c r="BA1576" s="60" t="s">
        <v>765</v>
      </c>
      <c r="BC1576" s="64">
        <v>0</v>
      </c>
      <c r="BG1576" s="64">
        <v>0</v>
      </c>
      <c r="BK1576" s="64">
        <v>0</v>
      </c>
      <c r="BS1576" s="64">
        <v>0</v>
      </c>
      <c r="BV1576" s="65">
        <v>56100</v>
      </c>
      <c r="BW1576" s="65">
        <v>0</v>
      </c>
      <c r="BX1576" s="65">
        <v>44790</v>
      </c>
      <c r="BY1576" s="65">
        <v>56100</v>
      </c>
      <c r="BZ1576" s="81">
        <v>100</v>
      </c>
    </row>
    <row r="1577" spans="1:82" x14ac:dyDescent="0.15">
      <c r="A1577" s="60">
        <v>2</v>
      </c>
      <c r="B1577" s="61">
        <v>44796</v>
      </c>
      <c r="C1577" s="61">
        <v>44798</v>
      </c>
      <c r="D1577" s="61">
        <v>44795</v>
      </c>
      <c r="E1577" s="61">
        <v>44795</v>
      </c>
      <c r="F1577" s="61" t="s">
        <v>309</v>
      </c>
      <c r="G1577" s="61">
        <v>44795</v>
      </c>
      <c r="H1577" s="61" t="s">
        <v>309</v>
      </c>
      <c r="I1577" s="60" t="s">
        <v>766</v>
      </c>
      <c r="J1577" s="60">
        <v>2</v>
      </c>
      <c r="L1577" s="60">
        <v>0</v>
      </c>
      <c r="M1577" s="61">
        <v>44790</v>
      </c>
      <c r="O1577" s="62" t="s">
        <v>331</v>
      </c>
      <c r="P1577" s="60" t="s">
        <v>6</v>
      </c>
      <c r="Q1577" s="62" t="s">
        <v>118</v>
      </c>
      <c r="R1577" s="62" t="s">
        <v>4392</v>
      </c>
      <c r="S1577" s="63" t="s">
        <v>1259</v>
      </c>
      <c r="T1577" s="63" t="s">
        <v>364</v>
      </c>
      <c r="U1577" s="64">
        <v>35000</v>
      </c>
      <c r="V1577" s="64">
        <v>38500</v>
      </c>
      <c r="W1577" s="64">
        <v>35000</v>
      </c>
      <c r="X1577" s="64">
        <v>38500</v>
      </c>
      <c r="Z1577" s="64">
        <v>0</v>
      </c>
      <c r="AA1577" s="61">
        <v>44792</v>
      </c>
      <c r="AB1577" s="61">
        <v>44792</v>
      </c>
      <c r="AD1577" s="60">
        <v>0</v>
      </c>
      <c r="AG1577" s="60">
        <v>0</v>
      </c>
      <c r="AJ1577" s="60">
        <v>0</v>
      </c>
      <c r="AN1577" s="60" t="s">
        <v>309</v>
      </c>
      <c r="AQ1577" s="60" t="s">
        <v>4388</v>
      </c>
      <c r="AR1577" s="61">
        <v>44795</v>
      </c>
      <c r="AS1577" s="60">
        <v>6002063401</v>
      </c>
      <c r="AT1577" s="61">
        <v>44796</v>
      </c>
      <c r="AU1577" s="60" t="s">
        <v>4412</v>
      </c>
      <c r="AV1577" s="61">
        <v>44798</v>
      </c>
      <c r="AW1577" s="91">
        <v>44804</v>
      </c>
      <c r="AX1577" s="91">
        <v>44824</v>
      </c>
      <c r="AY1577" s="99">
        <v>33600</v>
      </c>
      <c r="AZ1577" s="99">
        <f>ROUNDDOWN(AY1577+(AY1577*MASTER!$A$2/100),0)</f>
        <v>36960</v>
      </c>
      <c r="BA1577" s="60" t="s">
        <v>318</v>
      </c>
      <c r="BB1577" s="64">
        <v>21000</v>
      </c>
      <c r="BC1577" s="64">
        <v>23100</v>
      </c>
      <c r="BD1577" s="60" t="s">
        <v>3940</v>
      </c>
      <c r="BG1577" s="64">
        <v>0</v>
      </c>
      <c r="BK1577" s="64">
        <v>0</v>
      </c>
      <c r="BS1577" s="64">
        <v>0</v>
      </c>
      <c r="BV1577" s="65">
        <v>38500</v>
      </c>
      <c r="BW1577" s="65">
        <v>23100</v>
      </c>
      <c r="BX1577" s="65">
        <v>44790</v>
      </c>
      <c r="BY1577" s="65">
        <v>15400</v>
      </c>
      <c r="BZ1577" s="81">
        <v>40</v>
      </c>
    </row>
    <row r="1578" spans="1:82" x14ac:dyDescent="0.15">
      <c r="A1578" s="60">
        <v>1</v>
      </c>
      <c r="C1578" s="61" t="s">
        <v>309</v>
      </c>
      <c r="F1578" s="61" t="s">
        <v>309</v>
      </c>
      <c r="H1578" s="61" t="s">
        <v>309</v>
      </c>
      <c r="J1578" s="60">
        <v>3</v>
      </c>
      <c r="L1578" s="60">
        <v>0</v>
      </c>
      <c r="M1578" s="61">
        <v>44790</v>
      </c>
      <c r="O1578" s="62" t="s">
        <v>335</v>
      </c>
      <c r="P1578" s="60" t="s">
        <v>369</v>
      </c>
      <c r="Q1578" s="62" t="s">
        <v>4189</v>
      </c>
      <c r="R1578" s="62" t="s">
        <v>4368</v>
      </c>
      <c r="S1578" s="63" t="s">
        <v>4370</v>
      </c>
      <c r="T1578" s="63" t="s">
        <v>463</v>
      </c>
      <c r="U1578" s="64">
        <v>9000</v>
      </c>
      <c r="V1578" s="64">
        <v>9900</v>
      </c>
      <c r="X1578" s="64">
        <v>0</v>
      </c>
      <c r="Y1578" s="64">
        <v>9000</v>
      </c>
      <c r="Z1578" s="64">
        <v>9900</v>
      </c>
      <c r="AD1578" s="60">
        <v>0</v>
      </c>
      <c r="AG1578" s="60">
        <v>0</v>
      </c>
      <c r="AJ1578" s="60">
        <v>0</v>
      </c>
      <c r="AN1578" s="60" t="s">
        <v>309</v>
      </c>
      <c r="AQ1578" s="60" t="s">
        <v>4760</v>
      </c>
      <c r="AR1578" s="61">
        <v>44812</v>
      </c>
      <c r="AS1578" s="60">
        <v>6002071158</v>
      </c>
      <c r="AT1578" s="61">
        <v>44812</v>
      </c>
      <c r="AU1578" s="60" t="s">
        <v>4773</v>
      </c>
      <c r="AV1578" s="61">
        <v>44865</v>
      </c>
      <c r="AY1578" s="99">
        <f>ROUNDDOWN((0.96*U1578),0)</f>
        <v>8640</v>
      </c>
      <c r="AZ1578" s="99">
        <f>ROUNDDOWN(AY1578+(AY1578*MASTER!$A$2/100),0)</f>
        <v>9504</v>
      </c>
      <c r="BC1578" s="64">
        <v>0</v>
      </c>
      <c r="BG1578" s="64">
        <v>0</v>
      </c>
      <c r="BK1578" s="64">
        <v>0</v>
      </c>
      <c r="BS1578" s="64">
        <v>0</v>
      </c>
      <c r="BV1578" s="65">
        <v>0</v>
      </c>
      <c r="BW1578" s="65">
        <v>0</v>
      </c>
      <c r="BX1578" s="65">
        <v>44790</v>
      </c>
      <c r="BY1578" s="65">
        <v>0</v>
      </c>
      <c r="BZ1578" s="81" t="s">
        <v>309</v>
      </c>
    </row>
    <row r="1579" spans="1:82" x14ac:dyDescent="0.15">
      <c r="A1579" s="60">
        <v>1</v>
      </c>
      <c r="C1579" s="61" t="s">
        <v>309</v>
      </c>
      <c r="F1579" s="61" t="s">
        <v>309</v>
      </c>
      <c r="H1579" s="61" t="s">
        <v>309</v>
      </c>
      <c r="J1579" s="60">
        <v>3</v>
      </c>
      <c r="L1579" s="60">
        <v>0</v>
      </c>
      <c r="M1579" s="61">
        <v>44791</v>
      </c>
      <c r="O1579" s="62" t="s">
        <v>335</v>
      </c>
      <c r="P1579" s="60" t="s">
        <v>369</v>
      </c>
      <c r="Q1579" s="62" t="s">
        <v>4189</v>
      </c>
      <c r="R1579" s="62" t="s">
        <v>4371</v>
      </c>
      <c r="S1579" s="63" t="s">
        <v>4372</v>
      </c>
      <c r="T1579" s="63" t="s">
        <v>4369</v>
      </c>
      <c r="U1579" s="64">
        <v>9000</v>
      </c>
      <c r="V1579" s="64">
        <v>9900</v>
      </c>
      <c r="X1579" s="64">
        <v>0</v>
      </c>
      <c r="Y1579" s="64">
        <v>9000</v>
      </c>
      <c r="Z1579" s="64">
        <v>9900</v>
      </c>
      <c r="AD1579" s="60">
        <v>0</v>
      </c>
      <c r="AG1579" s="60">
        <v>0</v>
      </c>
      <c r="AJ1579" s="60">
        <v>0</v>
      </c>
      <c r="AN1579" s="60" t="s">
        <v>309</v>
      </c>
      <c r="AQ1579" s="60" t="s">
        <v>4759</v>
      </c>
      <c r="AR1579" s="61">
        <v>44812</v>
      </c>
      <c r="AS1579" s="60">
        <v>6002071158</v>
      </c>
      <c r="AT1579" s="61">
        <v>44812</v>
      </c>
      <c r="AU1579" s="60" t="s">
        <v>4773</v>
      </c>
      <c r="AV1579" s="61">
        <v>44865</v>
      </c>
      <c r="AY1579" s="99">
        <f>ROUNDDOWN((0.96*U1579),0)</f>
        <v>8640</v>
      </c>
      <c r="AZ1579" s="99">
        <f>ROUNDDOWN(AY1579+(AY1579*MASTER!$A$2/100),0)</f>
        <v>9504</v>
      </c>
      <c r="BC1579" s="64">
        <v>0</v>
      </c>
      <c r="BG1579" s="64">
        <v>0</v>
      </c>
      <c r="BK1579" s="64">
        <v>0</v>
      </c>
      <c r="BS1579" s="64">
        <v>0</v>
      </c>
      <c r="BV1579" s="65">
        <v>0</v>
      </c>
      <c r="BW1579" s="65">
        <v>0</v>
      </c>
      <c r="BX1579" s="65">
        <v>44791</v>
      </c>
      <c r="BY1579" s="65">
        <v>0</v>
      </c>
      <c r="BZ1579" s="81" t="s">
        <v>309</v>
      </c>
    </row>
    <row r="1580" spans="1:82" x14ac:dyDescent="0.15">
      <c r="A1580" s="60">
        <v>2</v>
      </c>
      <c r="B1580" s="61">
        <v>44796</v>
      </c>
      <c r="C1580" s="61">
        <v>44798</v>
      </c>
      <c r="D1580" s="61">
        <v>44792</v>
      </c>
      <c r="E1580" s="61">
        <v>44792</v>
      </c>
      <c r="F1580" s="61" t="s">
        <v>309</v>
      </c>
      <c r="G1580" s="61">
        <v>44792</v>
      </c>
      <c r="H1580" s="61" t="s">
        <v>309</v>
      </c>
      <c r="I1580" s="60" t="s">
        <v>494</v>
      </c>
      <c r="J1580" s="60">
        <v>2</v>
      </c>
      <c r="L1580" s="60">
        <v>0</v>
      </c>
      <c r="M1580" s="61">
        <v>44791</v>
      </c>
      <c r="O1580" s="62" t="s">
        <v>331</v>
      </c>
      <c r="P1580" s="60" t="s">
        <v>6</v>
      </c>
      <c r="Q1580" s="62" t="s">
        <v>118</v>
      </c>
      <c r="R1580" s="62" t="s">
        <v>4381</v>
      </c>
      <c r="S1580" s="63" t="s">
        <v>2255</v>
      </c>
      <c r="T1580" s="63" t="s">
        <v>364</v>
      </c>
      <c r="U1580" s="64">
        <v>35000</v>
      </c>
      <c r="V1580" s="64">
        <v>38500</v>
      </c>
      <c r="W1580" s="64">
        <v>35000</v>
      </c>
      <c r="X1580" s="64">
        <v>38500</v>
      </c>
      <c r="Z1580" s="64">
        <v>0</v>
      </c>
      <c r="AA1580" s="61">
        <v>44791</v>
      </c>
      <c r="AB1580" s="61">
        <v>44791</v>
      </c>
      <c r="AD1580" s="60">
        <v>0</v>
      </c>
      <c r="AG1580" s="60">
        <v>0</v>
      </c>
      <c r="AJ1580" s="60">
        <v>0</v>
      </c>
      <c r="AN1580" s="60" t="s">
        <v>309</v>
      </c>
      <c r="AQ1580" s="60" t="s">
        <v>4387</v>
      </c>
      <c r="AR1580" s="61">
        <v>44795</v>
      </c>
      <c r="AS1580" s="60">
        <v>6002063401</v>
      </c>
      <c r="AT1580" s="61">
        <v>44796</v>
      </c>
      <c r="AU1580" s="60" t="s">
        <v>4412</v>
      </c>
      <c r="AV1580" s="61">
        <v>44798</v>
      </c>
      <c r="AW1580" s="91">
        <v>44804</v>
      </c>
      <c r="AX1580" s="91">
        <v>44824</v>
      </c>
      <c r="AY1580" s="99">
        <v>33600</v>
      </c>
      <c r="AZ1580" s="99">
        <f>ROUNDDOWN(AY1580+(AY1580*MASTER!$A$2/100),0)</f>
        <v>36960</v>
      </c>
      <c r="BA1580" s="60" t="s">
        <v>318</v>
      </c>
      <c r="BB1580" s="64">
        <v>36000</v>
      </c>
      <c r="BC1580" s="64">
        <v>39600</v>
      </c>
      <c r="BD1580" s="60" t="s">
        <v>3940</v>
      </c>
      <c r="BG1580" s="64">
        <v>0</v>
      </c>
      <c r="BK1580" s="64">
        <v>0</v>
      </c>
      <c r="BS1580" s="64">
        <v>0</v>
      </c>
      <c r="BV1580" s="65">
        <v>38500</v>
      </c>
      <c r="BW1580" s="65">
        <v>39600</v>
      </c>
      <c r="BX1580" s="65">
        <v>44791</v>
      </c>
      <c r="BY1580" s="65">
        <v>-1100</v>
      </c>
      <c r="BZ1580" s="81">
        <v>-2.8571428571428572</v>
      </c>
    </row>
    <row r="1581" spans="1:82" x14ac:dyDescent="0.15">
      <c r="A1581" s="60">
        <v>1</v>
      </c>
      <c r="B1581" s="61">
        <v>44799</v>
      </c>
      <c r="C1581" s="61">
        <v>44803</v>
      </c>
      <c r="F1581" s="61" t="s">
        <v>309</v>
      </c>
      <c r="G1581" s="61">
        <v>44791</v>
      </c>
      <c r="H1581" s="61" t="s">
        <v>309</v>
      </c>
      <c r="J1581" s="60">
        <v>2</v>
      </c>
      <c r="L1581" s="60">
        <v>0</v>
      </c>
      <c r="M1581" s="61">
        <v>44791</v>
      </c>
      <c r="O1581" s="62" t="s">
        <v>331</v>
      </c>
      <c r="P1581" s="60" t="s">
        <v>6</v>
      </c>
      <c r="Q1581" s="62" t="s">
        <v>118</v>
      </c>
      <c r="R1581" s="62" t="s">
        <v>4380</v>
      </c>
      <c r="S1581" s="63" t="s">
        <v>3119</v>
      </c>
      <c r="T1581" s="63" t="s">
        <v>364</v>
      </c>
      <c r="U1581" s="64">
        <v>35000</v>
      </c>
      <c r="V1581" s="64">
        <v>38500</v>
      </c>
      <c r="W1581" s="64">
        <v>35000</v>
      </c>
      <c r="X1581" s="64">
        <v>38500</v>
      </c>
      <c r="Z1581" s="64">
        <v>0</v>
      </c>
      <c r="AA1581" s="61">
        <v>44790</v>
      </c>
      <c r="AB1581" s="61">
        <v>44790</v>
      </c>
      <c r="AD1581" s="60">
        <v>0</v>
      </c>
      <c r="AG1581" s="60">
        <v>0</v>
      </c>
      <c r="AJ1581" s="60">
        <v>0</v>
      </c>
      <c r="AN1581" s="60" t="s">
        <v>309</v>
      </c>
      <c r="AQ1581" s="60" t="s">
        <v>4446</v>
      </c>
      <c r="AR1581" s="61">
        <v>44797</v>
      </c>
      <c r="AS1581" s="60">
        <v>6002065191</v>
      </c>
      <c r="AT1581" s="61">
        <v>44798</v>
      </c>
      <c r="AU1581" s="60" t="s">
        <v>4503</v>
      </c>
      <c r="AV1581" s="61">
        <v>44803</v>
      </c>
      <c r="AW1581" s="91">
        <v>44804</v>
      </c>
      <c r="AX1581" s="91">
        <v>44824</v>
      </c>
      <c r="AY1581" s="99">
        <v>33600</v>
      </c>
      <c r="AZ1581" s="99">
        <f>ROUNDDOWN(AY1581+(AY1581*MASTER!$A$2/100),0)</f>
        <v>36960</v>
      </c>
      <c r="BA1581" s="60" t="s">
        <v>314</v>
      </c>
      <c r="BB1581" s="64">
        <v>33000</v>
      </c>
      <c r="BC1581" s="64">
        <v>36300</v>
      </c>
      <c r="BD1581" s="60" t="s">
        <v>3940</v>
      </c>
      <c r="BG1581" s="64">
        <v>0</v>
      </c>
      <c r="BK1581" s="64">
        <v>0</v>
      </c>
      <c r="BS1581" s="64">
        <v>0</v>
      </c>
      <c r="BV1581" s="65">
        <v>38500</v>
      </c>
      <c r="BW1581" s="65">
        <v>36300</v>
      </c>
      <c r="BX1581" s="65">
        <v>44791</v>
      </c>
      <c r="BY1581" s="65">
        <v>2200</v>
      </c>
      <c r="BZ1581" s="81">
        <v>5.7142857142857144</v>
      </c>
    </row>
    <row r="1582" spans="1:82" x14ac:dyDescent="0.15">
      <c r="A1582" s="60">
        <v>1</v>
      </c>
      <c r="B1582" s="61">
        <v>44813</v>
      </c>
      <c r="C1582" s="61">
        <v>44813</v>
      </c>
      <c r="F1582" s="61" t="s">
        <v>309</v>
      </c>
      <c r="H1582" s="61" t="s">
        <v>309</v>
      </c>
      <c r="J1582" s="60">
        <v>2</v>
      </c>
      <c r="L1582" s="60">
        <v>0</v>
      </c>
      <c r="M1582" s="61">
        <v>44792</v>
      </c>
      <c r="O1582" s="62" t="s">
        <v>331</v>
      </c>
      <c r="P1582" s="60" t="s">
        <v>6</v>
      </c>
      <c r="Q1582" s="62" t="s">
        <v>118</v>
      </c>
      <c r="R1582" s="62" t="s">
        <v>4378</v>
      </c>
      <c r="S1582" s="63" t="s">
        <v>2166</v>
      </c>
      <c r="T1582" s="63" t="s">
        <v>364</v>
      </c>
      <c r="U1582" s="64">
        <v>51000</v>
      </c>
      <c r="V1582" s="64">
        <v>56100</v>
      </c>
      <c r="W1582" s="64">
        <v>51000</v>
      </c>
      <c r="X1582" s="64">
        <v>56100</v>
      </c>
      <c r="Z1582" s="64">
        <v>0</v>
      </c>
      <c r="AA1582" s="61">
        <v>44791</v>
      </c>
      <c r="AB1582" s="61">
        <v>44791</v>
      </c>
      <c r="AD1582" s="60">
        <v>0</v>
      </c>
      <c r="AG1582" s="60">
        <v>0</v>
      </c>
      <c r="AJ1582" s="60">
        <v>0</v>
      </c>
      <c r="AN1582" s="60" t="s">
        <v>309</v>
      </c>
      <c r="AQ1582" s="60" t="s">
        <v>4745</v>
      </c>
      <c r="AR1582" s="61">
        <v>44811</v>
      </c>
      <c r="AS1582" s="60">
        <v>6002070643</v>
      </c>
      <c r="AT1582" s="61">
        <v>44811</v>
      </c>
      <c r="AU1582" s="60" t="s">
        <v>4751</v>
      </c>
      <c r="AV1582" s="61">
        <v>44813</v>
      </c>
      <c r="AW1582" s="91">
        <v>44834</v>
      </c>
      <c r="AX1582" s="91">
        <v>44854</v>
      </c>
      <c r="AY1582" s="99">
        <v>48960</v>
      </c>
      <c r="AZ1582" s="99">
        <f>ROUNDDOWN(AY1582+(AY1582*MASTER!$A$2/100),0)</f>
        <v>53856</v>
      </c>
      <c r="BA1582" s="60" t="s">
        <v>317</v>
      </c>
      <c r="BB1582" s="64">
        <v>21000</v>
      </c>
      <c r="BC1582" s="64">
        <v>23100</v>
      </c>
      <c r="BD1582" s="60" t="s">
        <v>3940</v>
      </c>
      <c r="BG1582" s="64">
        <v>0</v>
      </c>
      <c r="BK1582" s="64">
        <v>0</v>
      </c>
      <c r="BS1582" s="64">
        <v>0</v>
      </c>
      <c r="BV1582" s="65">
        <v>56100</v>
      </c>
      <c r="BW1582" s="65">
        <v>23100</v>
      </c>
      <c r="BX1582" s="65">
        <v>44792</v>
      </c>
      <c r="BY1582" s="65">
        <v>33000</v>
      </c>
      <c r="BZ1582" s="81">
        <v>58.82352941176471</v>
      </c>
    </row>
    <row r="1583" spans="1:82" x14ac:dyDescent="0.15">
      <c r="A1583" s="60">
        <v>2</v>
      </c>
      <c r="B1583" s="61">
        <v>44806</v>
      </c>
      <c r="C1583" s="61">
        <v>44834</v>
      </c>
      <c r="E1583" s="61">
        <v>44810</v>
      </c>
      <c r="F1583" s="61" t="s">
        <v>309</v>
      </c>
      <c r="G1583" s="61">
        <v>44810</v>
      </c>
      <c r="H1583" s="61" t="s">
        <v>309</v>
      </c>
      <c r="I1583" s="60" t="s">
        <v>511</v>
      </c>
      <c r="J1583" s="60">
        <v>1</v>
      </c>
      <c r="L1583" s="60">
        <v>0</v>
      </c>
      <c r="M1583" s="61">
        <v>44792</v>
      </c>
      <c r="O1583" s="62" t="s">
        <v>331</v>
      </c>
      <c r="P1583" s="60" t="s">
        <v>26</v>
      </c>
      <c r="Q1583" s="62" t="s">
        <v>118</v>
      </c>
      <c r="R1583" s="62" t="s">
        <v>4384</v>
      </c>
      <c r="S1583" s="63" t="s">
        <v>1203</v>
      </c>
      <c r="T1583" s="63" t="s">
        <v>1685</v>
      </c>
      <c r="U1583" s="64">
        <v>95000</v>
      </c>
      <c r="V1583" s="64">
        <v>104500</v>
      </c>
      <c r="W1583" s="64">
        <v>80000</v>
      </c>
      <c r="X1583" s="64">
        <v>88000</v>
      </c>
      <c r="Y1583" s="64">
        <v>15000</v>
      </c>
      <c r="Z1583" s="64">
        <v>16500</v>
      </c>
      <c r="AA1583" s="61">
        <v>44809</v>
      </c>
      <c r="AB1583" s="61">
        <v>44810</v>
      </c>
      <c r="AD1583" s="60">
        <v>0</v>
      </c>
      <c r="AG1583" s="60">
        <v>0</v>
      </c>
      <c r="AJ1583" s="60">
        <v>0</v>
      </c>
      <c r="AM1583" s="60" t="s">
        <v>4611</v>
      </c>
      <c r="AQ1583" s="60" t="s">
        <v>4443</v>
      </c>
      <c r="AR1583" s="61">
        <v>44797</v>
      </c>
      <c r="AS1583" s="60">
        <v>6002065191</v>
      </c>
      <c r="AT1583" s="61">
        <v>44798</v>
      </c>
      <c r="AU1583" s="60" t="s">
        <v>4503</v>
      </c>
      <c r="AV1583" s="61">
        <v>44834</v>
      </c>
      <c r="AW1583" s="91">
        <v>44834</v>
      </c>
      <c r="AX1583" s="91">
        <v>44854</v>
      </c>
      <c r="AY1583" s="99">
        <v>91200</v>
      </c>
      <c r="AZ1583" s="99">
        <f>ROUNDDOWN(AY1583+(AY1583*MASTER!$A$2/100),0)</f>
        <v>100320</v>
      </c>
      <c r="BA1583" s="60" t="s">
        <v>613</v>
      </c>
      <c r="BB1583" s="64">
        <v>32000</v>
      </c>
      <c r="BC1583" s="64">
        <v>35200</v>
      </c>
      <c r="BD1583" s="60" t="s">
        <v>4182</v>
      </c>
      <c r="BG1583" s="64">
        <v>0</v>
      </c>
      <c r="BK1583" s="64">
        <v>0</v>
      </c>
      <c r="BS1583" s="64">
        <v>0</v>
      </c>
      <c r="BV1583" s="65">
        <v>88000</v>
      </c>
      <c r="BW1583" s="65">
        <v>35200</v>
      </c>
      <c r="BX1583" s="65">
        <v>44792</v>
      </c>
      <c r="BY1583" s="65">
        <v>52800</v>
      </c>
      <c r="BZ1583" s="81">
        <v>60</v>
      </c>
    </row>
    <row r="1584" spans="1:82" x14ac:dyDescent="0.15">
      <c r="A1584" s="60">
        <v>1</v>
      </c>
      <c r="B1584" s="61">
        <v>44824</v>
      </c>
      <c r="C1584" s="61">
        <v>44834</v>
      </c>
      <c r="E1584" s="61">
        <v>44810</v>
      </c>
      <c r="F1584" s="61" t="s">
        <v>309</v>
      </c>
      <c r="G1584" s="61">
        <v>44810</v>
      </c>
      <c r="H1584" s="61" t="s">
        <v>309</v>
      </c>
      <c r="I1584" s="60" t="s">
        <v>511</v>
      </c>
      <c r="J1584" s="60">
        <v>1</v>
      </c>
      <c r="L1584" s="60">
        <v>0</v>
      </c>
      <c r="M1584" s="61">
        <v>44792</v>
      </c>
      <c r="O1584" s="62" t="s">
        <v>331</v>
      </c>
      <c r="P1584" s="60" t="s">
        <v>26</v>
      </c>
      <c r="Q1584" s="62" t="s">
        <v>118</v>
      </c>
      <c r="R1584" s="62" t="s">
        <v>4618</v>
      </c>
      <c r="S1584" s="63" t="s">
        <v>794</v>
      </c>
      <c r="T1584" s="63" t="s">
        <v>1685</v>
      </c>
      <c r="U1584" s="64">
        <v>95000</v>
      </c>
      <c r="V1584" s="64">
        <v>104500</v>
      </c>
      <c r="W1584" s="64">
        <v>80000</v>
      </c>
      <c r="X1584" s="64">
        <v>88000</v>
      </c>
      <c r="Y1584" s="64">
        <v>15000</v>
      </c>
      <c r="Z1584" s="64">
        <v>16500</v>
      </c>
      <c r="AA1584" s="61">
        <v>44809</v>
      </c>
      <c r="AB1584" s="61">
        <v>44810</v>
      </c>
      <c r="AD1584" s="60">
        <v>0</v>
      </c>
      <c r="AG1584" s="60">
        <v>0</v>
      </c>
      <c r="AJ1584" s="60">
        <v>0</v>
      </c>
      <c r="AM1584" s="60" t="s">
        <v>4611</v>
      </c>
      <c r="AQ1584" s="60" t="s">
        <v>4443</v>
      </c>
      <c r="AR1584" s="61">
        <v>44797</v>
      </c>
      <c r="AS1584" s="60">
        <v>6002065191</v>
      </c>
      <c r="AT1584" s="61">
        <v>44798</v>
      </c>
      <c r="AU1584" s="60" t="s">
        <v>4503</v>
      </c>
      <c r="AV1584" s="61">
        <v>44834</v>
      </c>
      <c r="AW1584" s="91">
        <v>44834</v>
      </c>
      <c r="AX1584" s="91">
        <v>44854</v>
      </c>
      <c r="AY1584" s="99">
        <v>91200</v>
      </c>
      <c r="AZ1584" s="99">
        <f>ROUNDDOWN(AY1584+(AY1584*MASTER!$A$2/100),0)</f>
        <v>100320</v>
      </c>
      <c r="BA1584" s="60" t="s">
        <v>613</v>
      </c>
      <c r="BB1584" s="64">
        <v>31000</v>
      </c>
      <c r="BC1584" s="64">
        <v>34100</v>
      </c>
      <c r="BD1584" s="60" t="s">
        <v>4182</v>
      </c>
      <c r="BG1584" s="64">
        <v>0</v>
      </c>
      <c r="BK1584" s="64">
        <v>0</v>
      </c>
      <c r="BS1584" s="64">
        <v>0</v>
      </c>
      <c r="BV1584" s="65">
        <v>88000</v>
      </c>
      <c r="BW1584" s="65">
        <v>34100</v>
      </c>
      <c r="BX1584" s="65">
        <v>44792</v>
      </c>
      <c r="BY1584" s="65">
        <v>53900</v>
      </c>
      <c r="BZ1584" s="81">
        <v>61.250000000000007</v>
      </c>
    </row>
    <row r="1585" spans="1:78" x14ac:dyDescent="0.15">
      <c r="A1585" s="60">
        <v>2</v>
      </c>
      <c r="B1585" s="61">
        <v>44806</v>
      </c>
      <c r="C1585" s="61">
        <v>44834</v>
      </c>
      <c r="E1585" s="61">
        <v>44816</v>
      </c>
      <c r="F1585" s="61" t="s">
        <v>309</v>
      </c>
      <c r="G1585" s="61">
        <v>44811</v>
      </c>
      <c r="H1585" s="61" t="s">
        <v>309</v>
      </c>
      <c r="I1585" s="60" t="s">
        <v>511</v>
      </c>
      <c r="J1585" s="60">
        <v>1</v>
      </c>
      <c r="L1585" s="60">
        <v>0</v>
      </c>
      <c r="M1585" s="61">
        <v>44792</v>
      </c>
      <c r="O1585" s="62" t="s">
        <v>331</v>
      </c>
      <c r="P1585" s="60" t="s">
        <v>26</v>
      </c>
      <c r="Q1585" s="62" t="s">
        <v>118</v>
      </c>
      <c r="R1585" s="62" t="s">
        <v>4610</v>
      </c>
      <c r="S1585" s="63" t="s">
        <v>2943</v>
      </c>
      <c r="T1585" s="63" t="s">
        <v>1685</v>
      </c>
      <c r="U1585" s="64">
        <v>95000</v>
      </c>
      <c r="V1585" s="64">
        <v>104500</v>
      </c>
      <c r="W1585" s="64">
        <v>80000</v>
      </c>
      <c r="X1585" s="64">
        <v>88000</v>
      </c>
      <c r="Y1585" s="64">
        <v>15000</v>
      </c>
      <c r="Z1585" s="64">
        <v>16500</v>
      </c>
      <c r="AA1585" s="61">
        <v>44811</v>
      </c>
      <c r="AB1585" s="61">
        <v>44812</v>
      </c>
      <c r="AD1585" s="60">
        <v>0</v>
      </c>
      <c r="AG1585" s="60">
        <v>0</v>
      </c>
      <c r="AJ1585" s="60">
        <v>0</v>
      </c>
      <c r="AM1585" s="60" t="s">
        <v>4611</v>
      </c>
      <c r="AQ1585" s="60" t="s">
        <v>4443</v>
      </c>
      <c r="AR1585" s="61">
        <v>44797</v>
      </c>
      <c r="AS1585" s="60">
        <v>6002065191</v>
      </c>
      <c r="AT1585" s="61">
        <v>44798</v>
      </c>
      <c r="AU1585" s="60" t="s">
        <v>4503</v>
      </c>
      <c r="AV1585" s="61">
        <v>44834</v>
      </c>
      <c r="AW1585" s="91">
        <v>44834</v>
      </c>
      <c r="AX1585" s="91">
        <v>44854</v>
      </c>
      <c r="AY1585" s="99">
        <v>91200</v>
      </c>
      <c r="AZ1585" s="99">
        <f>ROUNDDOWN(AY1585+(AY1585*MASTER!$A$2/100),0)</f>
        <v>100320</v>
      </c>
      <c r="BA1585" s="60" t="s">
        <v>613</v>
      </c>
      <c r="BB1585" s="64">
        <v>26000</v>
      </c>
      <c r="BC1585" s="64">
        <v>28600</v>
      </c>
      <c r="BD1585" s="60" t="s">
        <v>4182</v>
      </c>
      <c r="BG1585" s="64">
        <v>0</v>
      </c>
      <c r="BK1585" s="64">
        <v>0</v>
      </c>
      <c r="BS1585" s="64">
        <v>0</v>
      </c>
      <c r="BV1585" s="65">
        <v>88000</v>
      </c>
      <c r="BW1585" s="65">
        <v>28600</v>
      </c>
      <c r="BX1585" s="65">
        <v>44792</v>
      </c>
      <c r="BY1585" s="65">
        <v>59400</v>
      </c>
      <c r="BZ1585" s="81">
        <v>67.5</v>
      </c>
    </row>
    <row r="1586" spans="1:78" x14ac:dyDescent="0.15">
      <c r="A1586" s="60">
        <v>2</v>
      </c>
      <c r="B1586" s="61">
        <v>44809</v>
      </c>
      <c r="C1586" s="61">
        <v>44834</v>
      </c>
      <c r="E1586" s="61">
        <v>44817</v>
      </c>
      <c r="F1586" s="61" t="s">
        <v>309</v>
      </c>
      <c r="G1586" s="61">
        <v>44816</v>
      </c>
      <c r="H1586" s="61" t="s">
        <v>309</v>
      </c>
      <c r="I1586" s="60" t="s">
        <v>511</v>
      </c>
      <c r="J1586" s="60">
        <v>1</v>
      </c>
      <c r="L1586" s="60">
        <v>0</v>
      </c>
      <c r="M1586" s="61">
        <v>44792</v>
      </c>
      <c r="O1586" s="62" t="s">
        <v>331</v>
      </c>
      <c r="P1586" s="60" t="s">
        <v>26</v>
      </c>
      <c r="Q1586" s="62" t="s">
        <v>118</v>
      </c>
      <c r="R1586" s="62" t="s">
        <v>4719</v>
      </c>
      <c r="S1586" s="63" t="s">
        <v>647</v>
      </c>
      <c r="T1586" s="63" t="s">
        <v>1685</v>
      </c>
      <c r="U1586" s="64">
        <v>95000</v>
      </c>
      <c r="V1586" s="64">
        <v>104500</v>
      </c>
      <c r="W1586" s="64">
        <v>80000</v>
      </c>
      <c r="X1586" s="64">
        <v>88000</v>
      </c>
      <c r="Y1586" s="64">
        <v>15000</v>
      </c>
      <c r="Z1586" s="64">
        <v>16500</v>
      </c>
      <c r="AA1586" s="61">
        <v>44816</v>
      </c>
      <c r="AB1586" s="61">
        <v>44817</v>
      </c>
      <c r="AD1586" s="60">
        <v>0</v>
      </c>
      <c r="AG1586" s="60">
        <v>0</v>
      </c>
      <c r="AJ1586" s="60">
        <v>0</v>
      </c>
      <c r="AM1586" s="60" t="s">
        <v>4611</v>
      </c>
      <c r="AQ1586" s="60" t="s">
        <v>4445</v>
      </c>
      <c r="AR1586" s="61">
        <v>44797</v>
      </c>
      <c r="AS1586" s="60">
        <v>6002065191</v>
      </c>
      <c r="AT1586" s="61">
        <v>44798</v>
      </c>
      <c r="AU1586" s="60" t="s">
        <v>4503</v>
      </c>
      <c r="AV1586" s="61">
        <v>44834</v>
      </c>
      <c r="AW1586" s="91">
        <v>44834</v>
      </c>
      <c r="AX1586" s="91">
        <v>44854</v>
      </c>
      <c r="AY1586" s="99">
        <v>91200</v>
      </c>
      <c r="AZ1586" s="99">
        <f>ROUNDDOWN(AY1586+(AY1586*MASTER!$A$2/100),0)</f>
        <v>100320</v>
      </c>
      <c r="BA1586" s="60" t="s">
        <v>319</v>
      </c>
      <c r="BB1586" s="64">
        <v>21000</v>
      </c>
      <c r="BC1586" s="64">
        <v>23100</v>
      </c>
      <c r="BD1586" s="60" t="s">
        <v>4182</v>
      </c>
      <c r="BG1586" s="64">
        <v>0</v>
      </c>
      <c r="BK1586" s="64">
        <v>0</v>
      </c>
      <c r="BS1586" s="64">
        <v>0</v>
      </c>
      <c r="BV1586" s="65">
        <v>88000</v>
      </c>
      <c r="BW1586" s="65">
        <v>23100</v>
      </c>
      <c r="BX1586" s="65">
        <v>44792</v>
      </c>
      <c r="BY1586" s="65">
        <v>64900</v>
      </c>
      <c r="BZ1586" s="81">
        <v>73.75</v>
      </c>
    </row>
    <row r="1587" spans="1:78" x14ac:dyDescent="0.15">
      <c r="A1587" s="60">
        <v>2</v>
      </c>
      <c r="B1587" s="61">
        <v>44805</v>
      </c>
      <c r="C1587" s="61">
        <v>44834</v>
      </c>
      <c r="E1587" s="61">
        <v>44810</v>
      </c>
      <c r="F1587" s="61" t="s">
        <v>309</v>
      </c>
      <c r="G1587" s="61">
        <v>44810</v>
      </c>
      <c r="H1587" s="61" t="s">
        <v>309</v>
      </c>
      <c r="I1587" s="60" t="s">
        <v>511</v>
      </c>
      <c r="J1587" s="60">
        <v>1</v>
      </c>
      <c r="L1587" s="60">
        <v>0</v>
      </c>
      <c r="M1587" s="61">
        <v>44792</v>
      </c>
      <c r="O1587" s="62" t="s">
        <v>331</v>
      </c>
      <c r="P1587" s="60" t="s">
        <v>26</v>
      </c>
      <c r="Q1587" s="62" t="s">
        <v>118</v>
      </c>
      <c r="R1587" s="62" t="s">
        <v>4623</v>
      </c>
      <c r="S1587" s="63" t="s">
        <v>1062</v>
      </c>
      <c r="T1587" s="63" t="s">
        <v>1685</v>
      </c>
      <c r="U1587" s="64">
        <v>95000</v>
      </c>
      <c r="V1587" s="64">
        <v>104500</v>
      </c>
      <c r="W1587" s="64">
        <v>80000</v>
      </c>
      <c r="X1587" s="64">
        <v>88000</v>
      </c>
      <c r="Y1587" s="64">
        <v>15000</v>
      </c>
      <c r="Z1587" s="64">
        <v>16500</v>
      </c>
      <c r="AA1587" s="61">
        <v>44809</v>
      </c>
      <c r="AB1587" s="61">
        <v>44810</v>
      </c>
      <c r="AD1587" s="60">
        <v>0</v>
      </c>
      <c r="AG1587" s="60">
        <v>0</v>
      </c>
      <c r="AJ1587" s="60">
        <v>0</v>
      </c>
      <c r="AM1587" s="60" t="s">
        <v>4611</v>
      </c>
      <c r="AQ1587" s="60" t="s">
        <v>4445</v>
      </c>
      <c r="AR1587" s="61">
        <v>44797</v>
      </c>
      <c r="AS1587" s="60">
        <v>6002065191</v>
      </c>
      <c r="AT1587" s="61">
        <v>44798</v>
      </c>
      <c r="AU1587" s="60" t="s">
        <v>4503</v>
      </c>
      <c r="AV1587" s="61">
        <v>44834</v>
      </c>
      <c r="AW1587" s="91">
        <v>44834</v>
      </c>
      <c r="AX1587" s="91">
        <v>44854</v>
      </c>
      <c r="AY1587" s="99">
        <v>91200</v>
      </c>
      <c r="AZ1587" s="99">
        <f>ROUNDDOWN(AY1587+(AY1587*MASTER!$A$2/100),0)</f>
        <v>100320</v>
      </c>
      <c r="BA1587" s="60" t="s">
        <v>318</v>
      </c>
      <c r="BB1587" s="64">
        <v>21000</v>
      </c>
      <c r="BC1587" s="64">
        <v>23100</v>
      </c>
      <c r="BD1587" s="60" t="s">
        <v>4182</v>
      </c>
      <c r="BG1587" s="64">
        <v>0</v>
      </c>
      <c r="BK1587" s="64">
        <v>0</v>
      </c>
      <c r="BS1587" s="64">
        <v>0</v>
      </c>
      <c r="BV1587" s="65">
        <v>88000</v>
      </c>
      <c r="BW1587" s="65">
        <v>23100</v>
      </c>
      <c r="BX1587" s="65">
        <v>44792</v>
      </c>
      <c r="BY1587" s="65">
        <v>64900</v>
      </c>
      <c r="BZ1587" s="81">
        <v>73.75</v>
      </c>
    </row>
    <row r="1588" spans="1:78" x14ac:dyDescent="0.15">
      <c r="A1588" s="60">
        <v>2</v>
      </c>
      <c r="B1588" s="61">
        <v>44809</v>
      </c>
      <c r="C1588" s="61">
        <v>44834</v>
      </c>
      <c r="E1588" s="61">
        <v>44817</v>
      </c>
      <c r="F1588" s="61" t="s">
        <v>309</v>
      </c>
      <c r="G1588" s="61">
        <v>44816</v>
      </c>
      <c r="H1588" s="61" t="s">
        <v>309</v>
      </c>
      <c r="I1588" s="60" t="s">
        <v>511</v>
      </c>
      <c r="J1588" s="60">
        <v>1</v>
      </c>
      <c r="L1588" s="60">
        <v>0</v>
      </c>
      <c r="M1588" s="61">
        <v>44792</v>
      </c>
      <c r="O1588" s="62" t="s">
        <v>331</v>
      </c>
      <c r="P1588" s="60" t="s">
        <v>26</v>
      </c>
      <c r="Q1588" s="62" t="s">
        <v>118</v>
      </c>
      <c r="R1588" s="62" t="s">
        <v>4720</v>
      </c>
      <c r="S1588" s="63" t="s">
        <v>1096</v>
      </c>
      <c r="T1588" s="63" t="s">
        <v>1685</v>
      </c>
      <c r="U1588" s="64">
        <v>95000</v>
      </c>
      <c r="V1588" s="64">
        <v>104500</v>
      </c>
      <c r="W1588" s="64">
        <v>80000</v>
      </c>
      <c r="X1588" s="64">
        <v>88000</v>
      </c>
      <c r="Y1588" s="64">
        <v>15000</v>
      </c>
      <c r="Z1588" s="64">
        <v>16500</v>
      </c>
      <c r="AA1588" s="61">
        <v>44816</v>
      </c>
      <c r="AB1588" s="61">
        <v>44817</v>
      </c>
      <c r="AD1588" s="60">
        <v>0</v>
      </c>
      <c r="AG1588" s="60">
        <v>0</v>
      </c>
      <c r="AJ1588" s="60">
        <v>0</v>
      </c>
      <c r="AM1588" s="60" t="s">
        <v>4611</v>
      </c>
      <c r="AQ1588" s="60" t="s">
        <v>4445</v>
      </c>
      <c r="AR1588" s="61">
        <v>44797</v>
      </c>
      <c r="AS1588" s="60">
        <v>6002065191</v>
      </c>
      <c r="AT1588" s="61">
        <v>44798</v>
      </c>
      <c r="AU1588" s="60" t="s">
        <v>4503</v>
      </c>
      <c r="AV1588" s="61">
        <v>44834</v>
      </c>
      <c r="AW1588" s="91">
        <v>44834</v>
      </c>
      <c r="AX1588" s="91">
        <v>44854</v>
      </c>
      <c r="AY1588" s="99">
        <v>91200</v>
      </c>
      <c r="AZ1588" s="99">
        <f>ROUNDDOWN(AY1588+(AY1588*MASTER!$A$2/100),0)</f>
        <v>100320</v>
      </c>
      <c r="BA1588" s="60" t="s">
        <v>319</v>
      </c>
      <c r="BB1588" s="64">
        <v>21000</v>
      </c>
      <c r="BC1588" s="64">
        <v>23100</v>
      </c>
      <c r="BD1588" s="60" t="s">
        <v>4182</v>
      </c>
      <c r="BG1588" s="64">
        <v>0</v>
      </c>
      <c r="BK1588" s="64">
        <v>0</v>
      </c>
      <c r="BS1588" s="64">
        <v>0</v>
      </c>
      <c r="BV1588" s="65">
        <v>88000</v>
      </c>
      <c r="BW1588" s="65">
        <v>23100</v>
      </c>
      <c r="BX1588" s="65">
        <v>44792</v>
      </c>
      <c r="BY1588" s="65">
        <v>64900</v>
      </c>
      <c r="BZ1588" s="81">
        <v>73.75</v>
      </c>
    </row>
    <row r="1589" spans="1:78" x14ac:dyDescent="0.15">
      <c r="A1589" s="60">
        <v>2</v>
      </c>
      <c r="B1589" s="61">
        <v>44806</v>
      </c>
      <c r="C1589" s="61">
        <v>44834</v>
      </c>
      <c r="E1589" s="61">
        <v>44810</v>
      </c>
      <c r="F1589" s="61" t="s">
        <v>309</v>
      </c>
      <c r="G1589" s="61">
        <v>44810</v>
      </c>
      <c r="H1589" s="61" t="s">
        <v>309</v>
      </c>
      <c r="I1589" s="60" t="s">
        <v>511</v>
      </c>
      <c r="J1589" s="60">
        <v>1</v>
      </c>
      <c r="L1589" s="60">
        <v>0</v>
      </c>
      <c r="M1589" s="61">
        <v>44792</v>
      </c>
      <c r="O1589" s="62" t="s">
        <v>331</v>
      </c>
      <c r="P1589" s="60" t="s">
        <v>26</v>
      </c>
      <c r="Q1589" s="62" t="s">
        <v>118</v>
      </c>
      <c r="R1589" s="62" t="s">
        <v>4617</v>
      </c>
      <c r="S1589" s="63" t="s">
        <v>659</v>
      </c>
      <c r="T1589" s="63" t="s">
        <v>340</v>
      </c>
      <c r="U1589" s="64">
        <v>84000</v>
      </c>
      <c r="V1589" s="64">
        <v>92400</v>
      </c>
      <c r="W1589" s="64">
        <v>68000</v>
      </c>
      <c r="X1589" s="64">
        <v>74800</v>
      </c>
      <c r="Y1589" s="64">
        <v>16000</v>
      </c>
      <c r="Z1589" s="64">
        <v>17600</v>
      </c>
      <c r="AA1589" s="61">
        <v>44809</v>
      </c>
      <c r="AB1589" s="61">
        <v>44810</v>
      </c>
      <c r="AD1589" s="60">
        <v>0</v>
      </c>
      <c r="AG1589" s="60">
        <v>0</v>
      </c>
      <c r="AJ1589" s="60">
        <v>0</v>
      </c>
      <c r="AM1589" s="60" t="s">
        <v>4615</v>
      </c>
      <c r="AQ1589" s="60" t="s">
        <v>4444</v>
      </c>
      <c r="AR1589" s="61">
        <v>44797</v>
      </c>
      <c r="AS1589" s="60">
        <v>6002065191</v>
      </c>
      <c r="AT1589" s="61">
        <v>44798</v>
      </c>
      <c r="AU1589" s="60" t="s">
        <v>4503</v>
      </c>
      <c r="AV1589" s="61">
        <v>44834</v>
      </c>
      <c r="AW1589" s="91">
        <v>44834</v>
      </c>
      <c r="AX1589" s="91">
        <v>44854</v>
      </c>
      <c r="AY1589" s="99">
        <v>80640</v>
      </c>
      <c r="AZ1589" s="99">
        <f>ROUNDDOWN(AY1589+(AY1589*MASTER!$A$2/100),0)</f>
        <v>88704</v>
      </c>
      <c r="BA1589" s="60" t="s">
        <v>613</v>
      </c>
      <c r="BB1589" s="64">
        <v>32000</v>
      </c>
      <c r="BC1589" s="64">
        <v>35200</v>
      </c>
      <c r="BD1589" s="60" t="s">
        <v>4182</v>
      </c>
      <c r="BG1589" s="64">
        <v>0</v>
      </c>
      <c r="BK1589" s="64">
        <v>0</v>
      </c>
      <c r="BS1589" s="64">
        <v>0</v>
      </c>
      <c r="BV1589" s="65">
        <v>74800</v>
      </c>
      <c r="BW1589" s="65">
        <v>35200</v>
      </c>
      <c r="BX1589" s="65">
        <v>44792</v>
      </c>
      <c r="BY1589" s="65">
        <v>39600</v>
      </c>
      <c r="BZ1589" s="81">
        <v>52.941176470588239</v>
      </c>
    </row>
    <row r="1590" spans="1:78" x14ac:dyDescent="0.15">
      <c r="A1590" s="60">
        <v>2</v>
      </c>
      <c r="B1590" s="61">
        <v>44806</v>
      </c>
      <c r="C1590" s="61">
        <v>44834</v>
      </c>
      <c r="E1590" s="61">
        <v>44816</v>
      </c>
      <c r="F1590" s="61" t="s">
        <v>309</v>
      </c>
      <c r="G1590" s="61">
        <v>44811</v>
      </c>
      <c r="H1590" s="61" t="s">
        <v>309</v>
      </c>
      <c r="I1590" s="60" t="s">
        <v>511</v>
      </c>
      <c r="J1590" s="60">
        <v>1</v>
      </c>
      <c r="L1590" s="60">
        <v>0</v>
      </c>
      <c r="M1590" s="61">
        <v>44792</v>
      </c>
      <c r="O1590" s="62" t="s">
        <v>331</v>
      </c>
      <c r="P1590" s="60" t="s">
        <v>26</v>
      </c>
      <c r="Q1590" s="62" t="s">
        <v>118</v>
      </c>
      <c r="R1590" s="62" t="s">
        <v>4614</v>
      </c>
      <c r="S1590" s="63" t="s">
        <v>630</v>
      </c>
      <c r="T1590" s="63" t="s">
        <v>340</v>
      </c>
      <c r="U1590" s="64">
        <v>84000</v>
      </c>
      <c r="V1590" s="64">
        <v>92400</v>
      </c>
      <c r="W1590" s="64">
        <v>68000</v>
      </c>
      <c r="X1590" s="64">
        <v>74800</v>
      </c>
      <c r="Y1590" s="64">
        <v>16000</v>
      </c>
      <c r="Z1590" s="64">
        <v>17600</v>
      </c>
      <c r="AA1590" s="61">
        <v>44810</v>
      </c>
      <c r="AB1590" s="61">
        <v>44811</v>
      </c>
      <c r="AD1590" s="60">
        <v>0</v>
      </c>
      <c r="AG1590" s="60">
        <v>0</v>
      </c>
      <c r="AJ1590" s="60">
        <v>0</v>
      </c>
      <c r="AM1590" s="60" t="s">
        <v>4615</v>
      </c>
      <c r="AQ1590" s="60" t="s">
        <v>4444</v>
      </c>
      <c r="AR1590" s="61">
        <v>44797</v>
      </c>
      <c r="AS1590" s="60">
        <v>6002065191</v>
      </c>
      <c r="AT1590" s="61">
        <v>44798</v>
      </c>
      <c r="AU1590" s="60" t="s">
        <v>4503</v>
      </c>
      <c r="AV1590" s="61">
        <v>44834</v>
      </c>
      <c r="AW1590" s="91">
        <v>44834</v>
      </c>
      <c r="AX1590" s="91">
        <v>44854</v>
      </c>
      <c r="AY1590" s="99">
        <v>80640</v>
      </c>
      <c r="AZ1590" s="99">
        <f>ROUNDDOWN(AY1590+(AY1590*MASTER!$A$2/100),0)</f>
        <v>88704</v>
      </c>
      <c r="BA1590" s="60" t="s">
        <v>613</v>
      </c>
      <c r="BB1590" s="64">
        <v>21000</v>
      </c>
      <c r="BC1590" s="64">
        <v>23100</v>
      </c>
      <c r="BD1590" s="60" t="s">
        <v>4182</v>
      </c>
      <c r="BG1590" s="64">
        <v>0</v>
      </c>
      <c r="BK1590" s="64">
        <v>0</v>
      </c>
      <c r="BS1590" s="64">
        <v>0</v>
      </c>
      <c r="BV1590" s="65">
        <v>74800</v>
      </c>
      <c r="BW1590" s="65">
        <v>23100</v>
      </c>
      <c r="BX1590" s="65">
        <v>44792</v>
      </c>
      <c r="BY1590" s="65">
        <v>51700</v>
      </c>
      <c r="BZ1590" s="81">
        <v>69.117647058823522</v>
      </c>
    </row>
    <row r="1591" spans="1:78" x14ac:dyDescent="0.15">
      <c r="A1591" s="60">
        <v>2</v>
      </c>
      <c r="B1591" s="61">
        <v>44806</v>
      </c>
      <c r="C1591" s="61">
        <v>44834</v>
      </c>
      <c r="E1591" s="61">
        <v>44816</v>
      </c>
      <c r="F1591" s="61" t="s">
        <v>309</v>
      </c>
      <c r="G1591" s="61">
        <v>44810</v>
      </c>
      <c r="H1591" s="61" t="s">
        <v>309</v>
      </c>
      <c r="I1591" s="60" t="s">
        <v>511</v>
      </c>
      <c r="J1591" s="60">
        <v>1</v>
      </c>
      <c r="L1591" s="60">
        <v>0</v>
      </c>
      <c r="M1591" s="61">
        <v>44792</v>
      </c>
      <c r="O1591" s="62" t="s">
        <v>331</v>
      </c>
      <c r="P1591" s="60" t="s">
        <v>26</v>
      </c>
      <c r="Q1591" s="62" t="s">
        <v>118</v>
      </c>
      <c r="R1591" s="62" t="s">
        <v>4616</v>
      </c>
      <c r="S1591" s="63" t="s">
        <v>2378</v>
      </c>
      <c r="T1591" s="63" t="s">
        <v>340</v>
      </c>
      <c r="U1591" s="64">
        <v>84000</v>
      </c>
      <c r="V1591" s="64">
        <v>92400</v>
      </c>
      <c r="W1591" s="64">
        <v>68000</v>
      </c>
      <c r="X1591" s="64">
        <v>74800</v>
      </c>
      <c r="Y1591" s="64">
        <v>16000</v>
      </c>
      <c r="Z1591" s="64">
        <v>17600</v>
      </c>
      <c r="AA1591" s="61">
        <v>44810</v>
      </c>
      <c r="AB1591" s="61">
        <v>44811</v>
      </c>
      <c r="AD1591" s="60">
        <v>0</v>
      </c>
      <c r="AG1591" s="60">
        <v>0</v>
      </c>
      <c r="AJ1591" s="60">
        <v>0</v>
      </c>
      <c r="AM1591" s="60" t="s">
        <v>4615</v>
      </c>
      <c r="AQ1591" s="60" t="s">
        <v>4444</v>
      </c>
      <c r="AR1591" s="61">
        <v>44797</v>
      </c>
      <c r="AS1591" s="60">
        <v>6002065191</v>
      </c>
      <c r="AT1591" s="61">
        <v>44798</v>
      </c>
      <c r="AU1591" s="60" t="s">
        <v>4503</v>
      </c>
      <c r="AV1591" s="61">
        <v>44834</v>
      </c>
      <c r="AW1591" s="91">
        <v>44834</v>
      </c>
      <c r="AX1591" s="91">
        <v>44854</v>
      </c>
      <c r="AY1591" s="99">
        <v>80640</v>
      </c>
      <c r="AZ1591" s="99">
        <f>ROUNDDOWN(AY1591+(AY1591*MASTER!$A$2/100),0)</f>
        <v>88704</v>
      </c>
      <c r="BA1591" s="60" t="s">
        <v>613</v>
      </c>
      <c r="BB1591" s="64">
        <v>21000</v>
      </c>
      <c r="BC1591" s="64">
        <v>23100</v>
      </c>
      <c r="BD1591" s="60" t="s">
        <v>4182</v>
      </c>
      <c r="BG1591" s="64">
        <v>0</v>
      </c>
      <c r="BK1591" s="64">
        <v>0</v>
      </c>
      <c r="BS1591" s="64">
        <v>0</v>
      </c>
      <c r="BV1591" s="65">
        <v>74800</v>
      </c>
      <c r="BW1591" s="65">
        <v>23100</v>
      </c>
      <c r="BX1591" s="65">
        <v>44792</v>
      </c>
      <c r="BY1591" s="65">
        <v>51700</v>
      </c>
      <c r="BZ1591" s="81">
        <v>69.117647058823522</v>
      </c>
    </row>
    <row r="1592" spans="1:78" x14ac:dyDescent="0.15">
      <c r="A1592" s="60">
        <v>2</v>
      </c>
      <c r="B1592" s="61">
        <v>44805</v>
      </c>
      <c r="C1592" s="61">
        <v>44834</v>
      </c>
      <c r="E1592" s="61">
        <v>44828</v>
      </c>
      <c r="F1592" s="61" t="s">
        <v>309</v>
      </c>
      <c r="G1592" s="61">
        <v>44825</v>
      </c>
      <c r="H1592" s="61" t="s">
        <v>309</v>
      </c>
      <c r="I1592" s="60" t="s">
        <v>511</v>
      </c>
      <c r="J1592" s="60">
        <v>1</v>
      </c>
      <c r="L1592" s="60">
        <v>0</v>
      </c>
      <c r="M1592" s="61">
        <v>44792</v>
      </c>
      <c r="O1592" s="62" t="s">
        <v>331</v>
      </c>
      <c r="P1592" s="60" t="s">
        <v>26</v>
      </c>
      <c r="Q1592" s="62" t="s">
        <v>118</v>
      </c>
      <c r="R1592" s="62" t="s">
        <v>4624</v>
      </c>
      <c r="S1592" s="63" t="s">
        <v>1829</v>
      </c>
      <c r="T1592" s="63" t="s">
        <v>340</v>
      </c>
      <c r="U1592" s="64">
        <v>84000</v>
      </c>
      <c r="V1592" s="64">
        <v>92400</v>
      </c>
      <c r="W1592" s="64">
        <v>68000</v>
      </c>
      <c r="X1592" s="64">
        <v>74800</v>
      </c>
      <c r="Y1592" s="64">
        <v>16000</v>
      </c>
      <c r="Z1592" s="64">
        <v>17600</v>
      </c>
      <c r="AA1592" s="61">
        <v>44825</v>
      </c>
      <c r="AB1592" s="61">
        <v>44826</v>
      </c>
      <c r="AD1592" s="60">
        <v>0</v>
      </c>
      <c r="AG1592" s="60">
        <v>0</v>
      </c>
      <c r="AJ1592" s="60">
        <v>0</v>
      </c>
      <c r="AM1592" s="60" t="s">
        <v>4615</v>
      </c>
      <c r="AQ1592" s="60" t="s">
        <v>4442</v>
      </c>
      <c r="AR1592" s="61">
        <v>44797</v>
      </c>
      <c r="AS1592" s="60">
        <v>6002065191</v>
      </c>
      <c r="AT1592" s="61">
        <v>44798</v>
      </c>
      <c r="AU1592" s="60" t="s">
        <v>4503</v>
      </c>
      <c r="AV1592" s="61">
        <v>44834</v>
      </c>
      <c r="AW1592" s="91">
        <v>44834</v>
      </c>
      <c r="AX1592" s="91">
        <v>44854</v>
      </c>
      <c r="AY1592" s="99">
        <v>80640</v>
      </c>
      <c r="AZ1592" s="99">
        <f>ROUNDDOWN(AY1592+(AY1592*MASTER!$A$2/100),0)</f>
        <v>88704</v>
      </c>
      <c r="BA1592" s="60" t="s">
        <v>318</v>
      </c>
      <c r="BB1592" s="64">
        <v>24000</v>
      </c>
      <c r="BC1592" s="64">
        <v>26400</v>
      </c>
      <c r="BD1592" s="60" t="s">
        <v>4182</v>
      </c>
      <c r="BG1592" s="64">
        <v>0</v>
      </c>
      <c r="BK1592" s="64">
        <v>0</v>
      </c>
      <c r="BS1592" s="64">
        <v>0</v>
      </c>
      <c r="BV1592" s="65">
        <v>74800</v>
      </c>
      <c r="BW1592" s="65">
        <v>26400</v>
      </c>
      <c r="BX1592" s="65">
        <v>44792</v>
      </c>
      <c r="BY1592" s="65">
        <v>48400</v>
      </c>
      <c r="BZ1592" s="81">
        <v>64.705882352941174</v>
      </c>
    </row>
    <row r="1593" spans="1:78" x14ac:dyDescent="0.15">
      <c r="A1593" s="60">
        <v>2</v>
      </c>
      <c r="B1593" s="61">
        <v>44805</v>
      </c>
      <c r="C1593" s="61">
        <v>44834</v>
      </c>
      <c r="E1593" s="61">
        <v>44828</v>
      </c>
      <c r="F1593" s="61" t="s">
        <v>309</v>
      </c>
      <c r="G1593" s="61">
        <v>44821</v>
      </c>
      <c r="H1593" s="61" t="s">
        <v>309</v>
      </c>
      <c r="I1593" s="60" t="s">
        <v>511</v>
      </c>
      <c r="J1593" s="60">
        <v>1</v>
      </c>
      <c r="L1593" s="60">
        <v>0</v>
      </c>
      <c r="M1593" s="61">
        <v>44792</v>
      </c>
      <c r="O1593" s="62" t="s">
        <v>331</v>
      </c>
      <c r="P1593" s="60" t="s">
        <v>26</v>
      </c>
      <c r="Q1593" s="62" t="s">
        <v>118</v>
      </c>
      <c r="R1593" s="62" t="s">
        <v>4625</v>
      </c>
      <c r="S1593" s="63" t="s">
        <v>823</v>
      </c>
      <c r="T1593" s="63" t="s">
        <v>340</v>
      </c>
      <c r="U1593" s="64">
        <v>84000</v>
      </c>
      <c r="V1593" s="64">
        <v>92400</v>
      </c>
      <c r="W1593" s="64">
        <v>68000</v>
      </c>
      <c r="X1593" s="64">
        <v>74800</v>
      </c>
      <c r="Y1593" s="64">
        <v>16000</v>
      </c>
      <c r="Z1593" s="64">
        <v>17600</v>
      </c>
      <c r="AA1593" s="61">
        <v>44820</v>
      </c>
      <c r="AB1593" s="61">
        <v>44821</v>
      </c>
      <c r="AD1593" s="60">
        <v>0</v>
      </c>
      <c r="AG1593" s="60">
        <v>0</v>
      </c>
      <c r="AJ1593" s="60">
        <v>0</v>
      </c>
      <c r="AM1593" s="60" t="s">
        <v>4615</v>
      </c>
      <c r="AQ1593" s="60" t="s">
        <v>4442</v>
      </c>
      <c r="AR1593" s="61">
        <v>44797</v>
      </c>
      <c r="AS1593" s="60">
        <v>6002065191</v>
      </c>
      <c r="AT1593" s="61">
        <v>44798</v>
      </c>
      <c r="AU1593" s="60" t="s">
        <v>4503</v>
      </c>
      <c r="AV1593" s="61">
        <v>44834</v>
      </c>
      <c r="AW1593" s="91">
        <v>44834</v>
      </c>
      <c r="AX1593" s="91">
        <v>44854</v>
      </c>
      <c r="AY1593" s="99">
        <v>80640</v>
      </c>
      <c r="AZ1593" s="99">
        <f>ROUNDDOWN(AY1593+(AY1593*MASTER!$A$2/100),0)</f>
        <v>88704</v>
      </c>
      <c r="BA1593" s="60" t="s">
        <v>582</v>
      </c>
      <c r="BB1593" s="64">
        <v>40000</v>
      </c>
      <c r="BC1593" s="64">
        <v>44000</v>
      </c>
      <c r="BD1593" s="60" t="s">
        <v>4182</v>
      </c>
      <c r="BG1593" s="64">
        <v>0</v>
      </c>
      <c r="BK1593" s="64">
        <v>0</v>
      </c>
      <c r="BS1593" s="64">
        <v>0</v>
      </c>
      <c r="BV1593" s="65">
        <v>74800</v>
      </c>
      <c r="BW1593" s="65">
        <v>44000</v>
      </c>
      <c r="BX1593" s="65">
        <v>44792</v>
      </c>
      <c r="BY1593" s="65">
        <v>30800</v>
      </c>
      <c r="BZ1593" s="81">
        <v>41.17647058823529</v>
      </c>
    </row>
    <row r="1594" spans="1:78" x14ac:dyDescent="0.15">
      <c r="A1594" s="60">
        <v>2</v>
      </c>
      <c r="B1594" s="61">
        <v>44809</v>
      </c>
      <c r="C1594" s="61">
        <v>44834</v>
      </c>
      <c r="E1594" s="61">
        <v>44828</v>
      </c>
      <c r="F1594" s="61" t="s">
        <v>309</v>
      </c>
      <c r="G1594" s="61">
        <v>44820</v>
      </c>
      <c r="H1594" s="61" t="s">
        <v>309</v>
      </c>
      <c r="I1594" s="60" t="s">
        <v>511</v>
      </c>
      <c r="J1594" s="60">
        <v>1</v>
      </c>
      <c r="L1594" s="60">
        <v>0</v>
      </c>
      <c r="M1594" s="61">
        <v>44792</v>
      </c>
      <c r="O1594" s="62" t="s">
        <v>331</v>
      </c>
      <c r="P1594" s="60" t="s">
        <v>26</v>
      </c>
      <c r="Q1594" s="62" t="s">
        <v>118</v>
      </c>
      <c r="R1594" s="62" t="s">
        <v>4721</v>
      </c>
      <c r="S1594" s="63" t="s">
        <v>1099</v>
      </c>
      <c r="T1594" s="63" t="s">
        <v>340</v>
      </c>
      <c r="U1594" s="64">
        <v>84000</v>
      </c>
      <c r="V1594" s="64">
        <v>92400</v>
      </c>
      <c r="W1594" s="64">
        <v>68000</v>
      </c>
      <c r="X1594" s="64">
        <v>74800</v>
      </c>
      <c r="Y1594" s="64">
        <v>16000</v>
      </c>
      <c r="Z1594" s="64">
        <v>17600</v>
      </c>
      <c r="AA1594" s="61">
        <v>44818</v>
      </c>
      <c r="AB1594" s="61">
        <v>44819</v>
      </c>
      <c r="AD1594" s="60">
        <v>0</v>
      </c>
      <c r="AG1594" s="60">
        <v>0</v>
      </c>
      <c r="AJ1594" s="60">
        <v>0</v>
      </c>
      <c r="AM1594" s="60" t="s">
        <v>4615</v>
      </c>
      <c r="AQ1594" s="60" t="s">
        <v>4442</v>
      </c>
      <c r="AR1594" s="61">
        <v>44797</v>
      </c>
      <c r="AS1594" s="60">
        <v>6002065191</v>
      </c>
      <c r="AT1594" s="61">
        <v>44798</v>
      </c>
      <c r="AU1594" s="60" t="s">
        <v>4503</v>
      </c>
      <c r="AV1594" s="61">
        <v>44834</v>
      </c>
      <c r="AW1594" s="91">
        <v>44834</v>
      </c>
      <c r="AX1594" s="91">
        <v>44854</v>
      </c>
      <c r="AY1594" s="99">
        <v>80640</v>
      </c>
      <c r="AZ1594" s="99">
        <f>ROUNDDOWN(AY1594+(AY1594*MASTER!$A$2/100),0)</f>
        <v>88704</v>
      </c>
      <c r="BA1594" s="60" t="s">
        <v>780</v>
      </c>
      <c r="BB1594" s="64">
        <v>21000</v>
      </c>
      <c r="BC1594" s="64">
        <v>23100</v>
      </c>
      <c r="BD1594" s="60" t="s">
        <v>4182</v>
      </c>
      <c r="BG1594" s="64">
        <v>0</v>
      </c>
      <c r="BK1594" s="64">
        <v>0</v>
      </c>
      <c r="BS1594" s="64">
        <v>0</v>
      </c>
      <c r="BV1594" s="65">
        <v>74800</v>
      </c>
      <c r="BW1594" s="65">
        <v>23100</v>
      </c>
      <c r="BX1594" s="65">
        <v>44792</v>
      </c>
      <c r="BY1594" s="65">
        <v>51700</v>
      </c>
      <c r="BZ1594" s="81">
        <v>69.117647058823522</v>
      </c>
    </row>
    <row r="1595" spans="1:78" x14ac:dyDescent="0.15">
      <c r="A1595" s="60">
        <v>2</v>
      </c>
      <c r="B1595" s="61">
        <v>44805</v>
      </c>
      <c r="C1595" s="61">
        <v>44834</v>
      </c>
      <c r="E1595" s="61">
        <v>44828</v>
      </c>
      <c r="F1595" s="61" t="s">
        <v>309</v>
      </c>
      <c r="G1595" s="61">
        <v>44820</v>
      </c>
      <c r="H1595" s="61" t="s">
        <v>309</v>
      </c>
      <c r="I1595" s="60" t="s">
        <v>511</v>
      </c>
      <c r="J1595" s="60">
        <v>1</v>
      </c>
      <c r="L1595" s="60">
        <v>0</v>
      </c>
      <c r="M1595" s="61">
        <v>44792</v>
      </c>
      <c r="O1595" s="62" t="s">
        <v>331</v>
      </c>
      <c r="P1595" s="60" t="s">
        <v>26</v>
      </c>
      <c r="Q1595" s="62" t="s">
        <v>118</v>
      </c>
      <c r="R1595" s="62" t="s">
        <v>4626</v>
      </c>
      <c r="S1595" s="63" t="s">
        <v>866</v>
      </c>
      <c r="T1595" s="63" t="s">
        <v>340</v>
      </c>
      <c r="U1595" s="64">
        <v>84000</v>
      </c>
      <c r="V1595" s="64">
        <v>92400</v>
      </c>
      <c r="W1595" s="64">
        <v>68000</v>
      </c>
      <c r="X1595" s="64">
        <v>74800</v>
      </c>
      <c r="Y1595" s="64">
        <v>16000</v>
      </c>
      <c r="Z1595" s="64">
        <v>17600</v>
      </c>
      <c r="AA1595" s="61">
        <v>44819</v>
      </c>
      <c r="AB1595" s="61">
        <v>44820</v>
      </c>
      <c r="AD1595" s="60">
        <v>0</v>
      </c>
      <c r="AG1595" s="60">
        <v>0</v>
      </c>
      <c r="AJ1595" s="60">
        <v>0</v>
      </c>
      <c r="AM1595" s="60" t="s">
        <v>4615</v>
      </c>
      <c r="AQ1595" s="60" t="s">
        <v>4442</v>
      </c>
      <c r="AR1595" s="61">
        <v>44797</v>
      </c>
      <c r="AS1595" s="60">
        <v>6002065191</v>
      </c>
      <c r="AT1595" s="61">
        <v>44798</v>
      </c>
      <c r="AU1595" s="60" t="s">
        <v>4503</v>
      </c>
      <c r="AV1595" s="61">
        <v>44834</v>
      </c>
      <c r="AW1595" s="91">
        <v>44834</v>
      </c>
      <c r="AX1595" s="91">
        <v>44854</v>
      </c>
      <c r="AY1595" s="99">
        <v>80640</v>
      </c>
      <c r="AZ1595" s="99">
        <f>ROUNDDOWN(AY1595+(AY1595*MASTER!$A$2/100),0)</f>
        <v>88704</v>
      </c>
      <c r="BA1595" s="60" t="s">
        <v>318</v>
      </c>
      <c r="BB1595" s="64">
        <v>36000</v>
      </c>
      <c r="BC1595" s="64">
        <v>39600</v>
      </c>
      <c r="BD1595" s="60" t="s">
        <v>4182</v>
      </c>
      <c r="BG1595" s="64">
        <v>0</v>
      </c>
      <c r="BK1595" s="64">
        <v>0</v>
      </c>
      <c r="BS1595" s="64">
        <v>0</v>
      </c>
      <c r="BV1595" s="65">
        <v>74800</v>
      </c>
      <c r="BW1595" s="65">
        <v>39600</v>
      </c>
      <c r="BX1595" s="65">
        <v>44792</v>
      </c>
      <c r="BY1595" s="65">
        <v>35200</v>
      </c>
      <c r="BZ1595" s="81">
        <v>47.058823529411761</v>
      </c>
    </row>
    <row r="1596" spans="1:78" x14ac:dyDescent="0.15">
      <c r="A1596" s="60">
        <v>1</v>
      </c>
      <c r="B1596" s="61">
        <v>44809</v>
      </c>
      <c r="C1596" s="61">
        <v>44834</v>
      </c>
      <c r="F1596" s="61" t="s">
        <v>309</v>
      </c>
      <c r="H1596" s="61" t="s">
        <v>309</v>
      </c>
      <c r="J1596" s="60">
        <v>1</v>
      </c>
      <c r="L1596" s="60">
        <v>0</v>
      </c>
      <c r="M1596" s="61">
        <v>44792</v>
      </c>
      <c r="O1596" s="62" t="s">
        <v>331</v>
      </c>
      <c r="P1596" s="60" t="s">
        <v>26</v>
      </c>
      <c r="Q1596" s="62" t="s">
        <v>118</v>
      </c>
      <c r="R1596" s="62" t="s">
        <v>4722</v>
      </c>
      <c r="S1596" s="63" t="s">
        <v>1557</v>
      </c>
      <c r="T1596" s="63" t="s">
        <v>485</v>
      </c>
      <c r="U1596" s="64">
        <v>95000</v>
      </c>
      <c r="V1596" s="64">
        <v>104500</v>
      </c>
      <c r="W1596" s="64">
        <v>80000</v>
      </c>
      <c r="X1596" s="64">
        <v>88000</v>
      </c>
      <c r="Y1596" s="64">
        <v>15000</v>
      </c>
      <c r="Z1596" s="64">
        <v>16500</v>
      </c>
      <c r="AA1596" s="61" t="s">
        <v>4182</v>
      </c>
      <c r="AD1596" s="60">
        <v>0</v>
      </c>
      <c r="AG1596" s="60">
        <v>0</v>
      </c>
      <c r="AJ1596" s="60">
        <v>0</v>
      </c>
      <c r="AM1596" s="60" t="s">
        <v>4613</v>
      </c>
      <c r="AQ1596" s="60" t="s">
        <v>4440</v>
      </c>
      <c r="AR1596" s="61">
        <v>44797</v>
      </c>
      <c r="AS1596" s="60">
        <v>6002065191</v>
      </c>
      <c r="AT1596" s="61">
        <v>44798</v>
      </c>
      <c r="AU1596" s="60" t="s">
        <v>4503</v>
      </c>
      <c r="AV1596" s="61">
        <v>44834</v>
      </c>
      <c r="AW1596" s="91">
        <v>44834</v>
      </c>
      <c r="AX1596" s="91">
        <v>44854</v>
      </c>
      <c r="AY1596" s="99">
        <v>91200</v>
      </c>
      <c r="AZ1596" s="99">
        <f>ROUNDDOWN(AY1596+(AY1596*MASTER!$A$2/100),0)</f>
        <v>100320</v>
      </c>
      <c r="BC1596" s="64">
        <v>0</v>
      </c>
      <c r="BG1596" s="64">
        <v>0</v>
      </c>
      <c r="BK1596" s="64">
        <v>0</v>
      </c>
      <c r="BS1596" s="64">
        <v>0</v>
      </c>
      <c r="BV1596" s="65">
        <v>88000</v>
      </c>
      <c r="BW1596" s="65">
        <v>0</v>
      </c>
      <c r="BX1596" s="65">
        <v>44792</v>
      </c>
      <c r="BY1596" s="65">
        <v>88000</v>
      </c>
      <c r="BZ1596" s="81">
        <v>100</v>
      </c>
    </row>
    <row r="1597" spans="1:78" x14ac:dyDescent="0.15">
      <c r="A1597" s="60">
        <v>1</v>
      </c>
      <c r="B1597" s="61">
        <v>44806</v>
      </c>
      <c r="C1597" s="61">
        <v>44834</v>
      </c>
      <c r="F1597" s="61" t="s">
        <v>309</v>
      </c>
      <c r="H1597" s="61" t="s">
        <v>309</v>
      </c>
      <c r="J1597" s="60">
        <v>1</v>
      </c>
      <c r="L1597" s="60">
        <v>0</v>
      </c>
      <c r="M1597" s="61">
        <v>44792</v>
      </c>
      <c r="O1597" s="62" t="s">
        <v>331</v>
      </c>
      <c r="P1597" s="60" t="s">
        <v>26</v>
      </c>
      <c r="Q1597" s="62" t="s">
        <v>118</v>
      </c>
      <c r="R1597" s="62" t="s">
        <v>4619</v>
      </c>
      <c r="S1597" s="63" t="s">
        <v>1914</v>
      </c>
      <c r="T1597" s="63" t="s">
        <v>485</v>
      </c>
      <c r="U1597" s="64">
        <v>95000</v>
      </c>
      <c r="V1597" s="64">
        <v>104500</v>
      </c>
      <c r="W1597" s="64">
        <v>80000</v>
      </c>
      <c r="X1597" s="64">
        <v>88000</v>
      </c>
      <c r="Y1597" s="64">
        <v>15000</v>
      </c>
      <c r="Z1597" s="64">
        <v>16500</v>
      </c>
      <c r="AA1597" s="61">
        <v>44815</v>
      </c>
      <c r="AB1597" s="61">
        <v>44816</v>
      </c>
      <c r="AD1597" s="60">
        <v>0</v>
      </c>
      <c r="AG1597" s="60">
        <v>0</v>
      </c>
      <c r="AJ1597" s="60">
        <v>0</v>
      </c>
      <c r="AM1597" s="60" t="s">
        <v>4613</v>
      </c>
      <c r="AQ1597" s="60" t="s">
        <v>4440</v>
      </c>
      <c r="AR1597" s="61">
        <v>44797</v>
      </c>
      <c r="AS1597" s="60">
        <v>6002065191</v>
      </c>
      <c r="AT1597" s="61">
        <v>44798</v>
      </c>
      <c r="AU1597" s="60" t="s">
        <v>4503</v>
      </c>
      <c r="AV1597" s="61">
        <v>44834</v>
      </c>
      <c r="AW1597" s="91">
        <v>44834</v>
      </c>
      <c r="AX1597" s="91">
        <v>44854</v>
      </c>
      <c r="AY1597" s="99">
        <v>91200</v>
      </c>
      <c r="AZ1597" s="99">
        <f>ROUNDDOWN(AY1597+(AY1597*MASTER!$A$2/100),0)</f>
        <v>100320</v>
      </c>
      <c r="BA1597" s="60" t="s">
        <v>613</v>
      </c>
      <c r="BB1597" s="64">
        <v>28000</v>
      </c>
      <c r="BC1597" s="64">
        <v>30800</v>
      </c>
      <c r="BD1597" s="60" t="s">
        <v>4182</v>
      </c>
      <c r="BG1597" s="64">
        <v>0</v>
      </c>
      <c r="BK1597" s="64">
        <v>0</v>
      </c>
      <c r="BS1597" s="64">
        <v>0</v>
      </c>
      <c r="BV1597" s="65">
        <v>88000</v>
      </c>
      <c r="BW1597" s="65">
        <v>30800</v>
      </c>
      <c r="BX1597" s="65">
        <v>44792</v>
      </c>
      <c r="BY1597" s="65">
        <v>57200</v>
      </c>
      <c r="BZ1597" s="81">
        <v>65</v>
      </c>
    </row>
    <row r="1598" spans="1:78" x14ac:dyDescent="0.15">
      <c r="A1598" s="60">
        <v>2</v>
      </c>
      <c r="B1598" s="61">
        <v>44806</v>
      </c>
      <c r="C1598" s="61">
        <v>44834</v>
      </c>
      <c r="E1598" s="61">
        <v>44816</v>
      </c>
      <c r="F1598" s="61" t="s">
        <v>309</v>
      </c>
      <c r="G1598" s="61">
        <v>44816</v>
      </c>
      <c r="H1598" s="61" t="s">
        <v>309</v>
      </c>
      <c r="I1598" s="60" t="s">
        <v>511</v>
      </c>
      <c r="J1598" s="60">
        <v>1</v>
      </c>
      <c r="L1598" s="60">
        <v>0</v>
      </c>
      <c r="M1598" s="61">
        <v>44792</v>
      </c>
      <c r="O1598" s="62" t="s">
        <v>331</v>
      </c>
      <c r="P1598" s="60" t="s">
        <v>26</v>
      </c>
      <c r="Q1598" s="62" t="s">
        <v>118</v>
      </c>
      <c r="R1598" s="62" t="s">
        <v>4612</v>
      </c>
      <c r="S1598" s="63" t="s">
        <v>700</v>
      </c>
      <c r="T1598" s="63" t="s">
        <v>485</v>
      </c>
      <c r="U1598" s="64">
        <v>95000</v>
      </c>
      <c r="V1598" s="64">
        <v>104500</v>
      </c>
      <c r="W1598" s="64">
        <v>80000</v>
      </c>
      <c r="X1598" s="64">
        <v>88000</v>
      </c>
      <c r="Y1598" s="64">
        <v>15000</v>
      </c>
      <c r="Z1598" s="64">
        <v>16500</v>
      </c>
      <c r="AA1598" s="61">
        <v>44811</v>
      </c>
      <c r="AB1598" s="61">
        <v>44812</v>
      </c>
      <c r="AD1598" s="60">
        <v>0</v>
      </c>
      <c r="AG1598" s="60">
        <v>0</v>
      </c>
      <c r="AJ1598" s="60">
        <v>0</v>
      </c>
      <c r="AM1598" s="60" t="s">
        <v>4613</v>
      </c>
      <c r="AQ1598" s="60" t="s">
        <v>4440</v>
      </c>
      <c r="AR1598" s="61">
        <v>44797</v>
      </c>
      <c r="AS1598" s="60">
        <v>6002065191</v>
      </c>
      <c r="AT1598" s="61">
        <v>44798</v>
      </c>
      <c r="AU1598" s="60" t="s">
        <v>4503</v>
      </c>
      <c r="AV1598" s="61">
        <v>44834</v>
      </c>
      <c r="AW1598" s="91">
        <v>44834</v>
      </c>
      <c r="AX1598" s="91">
        <v>44854</v>
      </c>
      <c r="AY1598" s="99">
        <v>91200</v>
      </c>
      <c r="AZ1598" s="99">
        <f>ROUNDDOWN(AY1598+(AY1598*MASTER!$A$2/100),0)</f>
        <v>100320</v>
      </c>
      <c r="BA1598" s="60" t="s">
        <v>613</v>
      </c>
      <c r="BB1598" s="64">
        <v>24000</v>
      </c>
      <c r="BC1598" s="64">
        <v>26400</v>
      </c>
      <c r="BD1598" s="60" t="s">
        <v>4182</v>
      </c>
      <c r="BG1598" s="64">
        <v>0</v>
      </c>
      <c r="BK1598" s="64">
        <v>0</v>
      </c>
      <c r="BS1598" s="64">
        <v>0</v>
      </c>
      <c r="BV1598" s="65">
        <v>88000</v>
      </c>
      <c r="BW1598" s="65">
        <v>26400</v>
      </c>
      <c r="BX1598" s="65">
        <v>44792</v>
      </c>
      <c r="BY1598" s="65">
        <v>61600</v>
      </c>
      <c r="BZ1598" s="81">
        <v>70</v>
      </c>
    </row>
    <row r="1599" spans="1:78" x14ac:dyDescent="0.15">
      <c r="A1599" s="60">
        <v>2</v>
      </c>
      <c r="B1599" s="61">
        <v>44805</v>
      </c>
      <c r="C1599" s="61">
        <v>44834</v>
      </c>
      <c r="E1599" s="61">
        <v>44828</v>
      </c>
      <c r="F1599" s="61" t="s">
        <v>309</v>
      </c>
      <c r="G1599" s="61">
        <v>44821</v>
      </c>
      <c r="H1599" s="61" t="s">
        <v>309</v>
      </c>
      <c r="I1599" s="60" t="s">
        <v>511</v>
      </c>
      <c r="J1599" s="60">
        <v>1</v>
      </c>
      <c r="L1599" s="60">
        <v>0</v>
      </c>
      <c r="M1599" s="61">
        <v>44792</v>
      </c>
      <c r="O1599" s="62" t="s">
        <v>331</v>
      </c>
      <c r="P1599" s="60" t="s">
        <v>26</v>
      </c>
      <c r="Q1599" s="62" t="s">
        <v>118</v>
      </c>
      <c r="R1599" s="62" t="s">
        <v>4627</v>
      </c>
      <c r="S1599" s="63" t="s">
        <v>3852</v>
      </c>
      <c r="T1599" s="63" t="s">
        <v>485</v>
      </c>
      <c r="U1599" s="64">
        <v>95000</v>
      </c>
      <c r="V1599" s="64">
        <v>104500</v>
      </c>
      <c r="W1599" s="64">
        <v>80000</v>
      </c>
      <c r="X1599" s="64">
        <v>88000</v>
      </c>
      <c r="Y1599" s="64">
        <v>15000</v>
      </c>
      <c r="Z1599" s="64">
        <v>16500</v>
      </c>
      <c r="AA1599" s="61">
        <v>44820</v>
      </c>
      <c r="AB1599" s="61">
        <v>44821</v>
      </c>
      <c r="AD1599" s="60">
        <v>0</v>
      </c>
      <c r="AG1599" s="60">
        <v>0</v>
      </c>
      <c r="AJ1599" s="60">
        <v>0</v>
      </c>
      <c r="AM1599" s="60" t="s">
        <v>4613</v>
      </c>
      <c r="AQ1599" s="60" t="s">
        <v>4441</v>
      </c>
      <c r="AR1599" s="61">
        <v>44797</v>
      </c>
      <c r="AS1599" s="60">
        <v>6002065191</v>
      </c>
      <c r="AT1599" s="61">
        <v>44798</v>
      </c>
      <c r="AU1599" s="60" t="s">
        <v>4503</v>
      </c>
      <c r="AV1599" s="61">
        <v>44834</v>
      </c>
      <c r="AW1599" s="91">
        <v>44834</v>
      </c>
      <c r="AX1599" s="91">
        <v>44854</v>
      </c>
      <c r="AY1599" s="99">
        <v>91200</v>
      </c>
      <c r="AZ1599" s="99">
        <f>ROUNDDOWN(AY1599+(AY1599*MASTER!$A$2/100),0)</f>
        <v>100320</v>
      </c>
      <c r="BA1599" s="60" t="s">
        <v>582</v>
      </c>
      <c r="BB1599" s="64">
        <v>38000</v>
      </c>
      <c r="BC1599" s="64">
        <v>41800</v>
      </c>
      <c r="BD1599" s="60" t="s">
        <v>4182</v>
      </c>
      <c r="BG1599" s="64">
        <v>0</v>
      </c>
      <c r="BK1599" s="64">
        <v>0</v>
      </c>
      <c r="BS1599" s="64">
        <v>0</v>
      </c>
      <c r="BV1599" s="65">
        <v>88000</v>
      </c>
      <c r="BW1599" s="65">
        <v>41800</v>
      </c>
      <c r="BX1599" s="65">
        <v>44792</v>
      </c>
      <c r="BY1599" s="65">
        <v>46200</v>
      </c>
      <c r="BZ1599" s="81">
        <v>52.5</v>
      </c>
    </row>
    <row r="1600" spans="1:78" x14ac:dyDescent="0.15">
      <c r="A1600" s="60">
        <v>2</v>
      </c>
      <c r="B1600" s="61">
        <v>44805</v>
      </c>
      <c r="C1600" s="61">
        <v>44834</v>
      </c>
      <c r="E1600" s="61">
        <v>44817</v>
      </c>
      <c r="F1600" s="61" t="s">
        <v>309</v>
      </c>
      <c r="G1600" s="61">
        <v>44816</v>
      </c>
      <c r="H1600" s="61" t="s">
        <v>309</v>
      </c>
      <c r="I1600" s="60" t="s">
        <v>511</v>
      </c>
      <c r="J1600" s="60">
        <v>1</v>
      </c>
      <c r="L1600" s="60">
        <v>0</v>
      </c>
      <c r="M1600" s="61">
        <v>44792</v>
      </c>
      <c r="O1600" s="62" t="s">
        <v>331</v>
      </c>
      <c r="P1600" s="60" t="s">
        <v>26</v>
      </c>
      <c r="Q1600" s="62" t="s">
        <v>118</v>
      </c>
      <c r="R1600" s="62" t="s">
        <v>4628</v>
      </c>
      <c r="S1600" s="63" t="s">
        <v>3583</v>
      </c>
      <c r="T1600" s="63" t="s">
        <v>485</v>
      </c>
      <c r="U1600" s="64">
        <v>95000</v>
      </c>
      <c r="V1600" s="64">
        <v>104500</v>
      </c>
      <c r="W1600" s="64">
        <v>80000</v>
      </c>
      <c r="X1600" s="64">
        <v>88000</v>
      </c>
      <c r="Y1600" s="64">
        <v>15000</v>
      </c>
      <c r="Z1600" s="64">
        <v>16500</v>
      </c>
      <c r="AA1600" s="61">
        <v>44815</v>
      </c>
      <c r="AB1600" s="61">
        <v>44816</v>
      </c>
      <c r="AD1600" s="60">
        <v>0</v>
      </c>
      <c r="AG1600" s="60">
        <v>0</v>
      </c>
      <c r="AJ1600" s="60">
        <v>0</v>
      </c>
      <c r="AM1600" s="60" t="s">
        <v>4613</v>
      </c>
      <c r="AQ1600" s="60" t="s">
        <v>4441</v>
      </c>
      <c r="AR1600" s="61">
        <v>44797</v>
      </c>
      <c r="AS1600" s="60">
        <v>6002065191</v>
      </c>
      <c r="AT1600" s="61">
        <v>44798</v>
      </c>
      <c r="AU1600" s="60" t="s">
        <v>4503</v>
      </c>
      <c r="AV1600" s="61">
        <v>44834</v>
      </c>
      <c r="AW1600" s="91">
        <v>44834</v>
      </c>
      <c r="AX1600" s="91">
        <v>44854</v>
      </c>
      <c r="AY1600" s="99">
        <v>91200</v>
      </c>
      <c r="AZ1600" s="99">
        <f>ROUNDDOWN(AY1600+(AY1600*MASTER!$A$2/100),0)</f>
        <v>100320</v>
      </c>
      <c r="BA1600" s="60" t="s">
        <v>318</v>
      </c>
      <c r="BB1600" s="64">
        <v>24000</v>
      </c>
      <c r="BC1600" s="64">
        <v>26400</v>
      </c>
      <c r="BD1600" s="60" t="s">
        <v>4182</v>
      </c>
      <c r="BG1600" s="64">
        <v>0</v>
      </c>
      <c r="BK1600" s="64">
        <v>0</v>
      </c>
      <c r="BS1600" s="64">
        <v>0</v>
      </c>
      <c r="BV1600" s="65">
        <v>88000</v>
      </c>
      <c r="BW1600" s="65">
        <v>26400</v>
      </c>
      <c r="BX1600" s="65">
        <v>44792</v>
      </c>
      <c r="BY1600" s="65">
        <v>61600</v>
      </c>
      <c r="BZ1600" s="81">
        <v>70</v>
      </c>
    </row>
    <row r="1601" spans="1:78" x14ac:dyDescent="0.15">
      <c r="A1601" s="60">
        <v>2</v>
      </c>
      <c r="B1601" s="61">
        <v>44805</v>
      </c>
      <c r="C1601" s="61">
        <v>44834</v>
      </c>
      <c r="E1601" s="61">
        <v>44828</v>
      </c>
      <c r="F1601" s="61" t="s">
        <v>309</v>
      </c>
      <c r="G1601" s="61">
        <v>44819</v>
      </c>
      <c r="H1601" s="61" t="s">
        <v>309</v>
      </c>
      <c r="I1601" s="60" t="s">
        <v>511</v>
      </c>
      <c r="J1601" s="60">
        <v>1</v>
      </c>
      <c r="L1601" s="60">
        <v>0</v>
      </c>
      <c r="M1601" s="61">
        <v>44792</v>
      </c>
      <c r="O1601" s="62" t="s">
        <v>331</v>
      </c>
      <c r="P1601" s="60" t="s">
        <v>26</v>
      </c>
      <c r="Q1601" s="62" t="s">
        <v>118</v>
      </c>
      <c r="R1601" s="62" t="s">
        <v>4629</v>
      </c>
      <c r="S1601" s="63" t="s">
        <v>1221</v>
      </c>
      <c r="T1601" s="63" t="s">
        <v>485</v>
      </c>
      <c r="U1601" s="64">
        <v>95000</v>
      </c>
      <c r="V1601" s="64">
        <v>104500</v>
      </c>
      <c r="W1601" s="64">
        <v>80000</v>
      </c>
      <c r="X1601" s="64">
        <v>88000</v>
      </c>
      <c r="Y1601" s="64">
        <v>15000</v>
      </c>
      <c r="Z1601" s="64">
        <v>16500</v>
      </c>
      <c r="AA1601" s="61">
        <v>44817</v>
      </c>
      <c r="AB1601" s="61">
        <v>44818</v>
      </c>
      <c r="AD1601" s="60">
        <v>0</v>
      </c>
      <c r="AG1601" s="60">
        <v>0</v>
      </c>
      <c r="AJ1601" s="60">
        <v>0</v>
      </c>
      <c r="AM1601" s="60" t="s">
        <v>4613</v>
      </c>
      <c r="AQ1601" s="60" t="s">
        <v>4441</v>
      </c>
      <c r="AR1601" s="61">
        <v>44797</v>
      </c>
      <c r="AS1601" s="60">
        <v>6002065191</v>
      </c>
      <c r="AT1601" s="61">
        <v>44798</v>
      </c>
      <c r="AU1601" s="60" t="s">
        <v>4503</v>
      </c>
      <c r="AV1601" s="61">
        <v>44834</v>
      </c>
      <c r="AW1601" s="91">
        <v>44834</v>
      </c>
      <c r="AX1601" s="91">
        <v>44854</v>
      </c>
      <c r="AY1601" s="99">
        <v>91200</v>
      </c>
      <c r="AZ1601" s="99">
        <f>ROUNDDOWN(AY1601+(AY1601*MASTER!$A$2/100),0)</f>
        <v>100320</v>
      </c>
      <c r="BA1601" s="60" t="s">
        <v>318</v>
      </c>
      <c r="BB1601" s="64">
        <v>46000</v>
      </c>
      <c r="BC1601" s="64">
        <v>50600</v>
      </c>
      <c r="BD1601" s="60" t="s">
        <v>4182</v>
      </c>
      <c r="BG1601" s="64">
        <v>0</v>
      </c>
      <c r="BK1601" s="64">
        <v>0</v>
      </c>
      <c r="BS1601" s="64">
        <v>0</v>
      </c>
      <c r="BV1601" s="65">
        <v>88000</v>
      </c>
      <c r="BW1601" s="65">
        <v>50600</v>
      </c>
      <c r="BX1601" s="65">
        <v>44792</v>
      </c>
      <c r="BY1601" s="65">
        <v>37400</v>
      </c>
      <c r="BZ1601" s="81">
        <v>42.5</v>
      </c>
    </row>
    <row r="1602" spans="1:78" x14ac:dyDescent="0.15">
      <c r="A1602" s="60">
        <v>2</v>
      </c>
      <c r="B1602" s="61">
        <v>44809</v>
      </c>
      <c r="C1602" s="61">
        <v>44809</v>
      </c>
      <c r="E1602" s="61">
        <v>44810</v>
      </c>
      <c r="F1602" s="61" t="s">
        <v>309</v>
      </c>
      <c r="G1602" s="61">
        <v>44811</v>
      </c>
      <c r="H1602" s="61" t="s">
        <v>309</v>
      </c>
      <c r="I1602" s="60" t="s">
        <v>774</v>
      </c>
      <c r="J1602" s="60">
        <v>1</v>
      </c>
      <c r="L1602" s="60">
        <v>0</v>
      </c>
      <c r="M1602" s="61">
        <v>44795</v>
      </c>
      <c r="O1602" s="62" t="s">
        <v>331</v>
      </c>
      <c r="P1602" s="60" t="s">
        <v>26</v>
      </c>
      <c r="Q1602" s="62" t="s">
        <v>118</v>
      </c>
      <c r="R1602" s="62" t="s">
        <v>4697</v>
      </c>
      <c r="S1602" s="63" t="s">
        <v>1023</v>
      </c>
      <c r="T1602" s="63" t="s">
        <v>4698</v>
      </c>
      <c r="U1602" s="64">
        <v>170500</v>
      </c>
      <c r="V1602" s="64">
        <v>187550</v>
      </c>
      <c r="W1602" s="64">
        <v>78000</v>
      </c>
      <c r="X1602" s="64">
        <v>85800</v>
      </c>
      <c r="Y1602" s="64">
        <v>92500</v>
      </c>
      <c r="Z1602" s="64">
        <v>101750</v>
      </c>
      <c r="AA1602" s="61">
        <v>44808</v>
      </c>
      <c r="AB1602" s="61">
        <v>44809</v>
      </c>
      <c r="AD1602" s="60">
        <v>0</v>
      </c>
      <c r="AG1602" s="60">
        <v>0</v>
      </c>
      <c r="AJ1602" s="60">
        <v>0</v>
      </c>
      <c r="AM1602" s="60" t="s">
        <v>273</v>
      </c>
      <c r="AN1602" s="60" t="s">
        <v>4699</v>
      </c>
      <c r="AQ1602" s="60" t="s">
        <v>4667</v>
      </c>
      <c r="AR1602" s="61">
        <v>44805</v>
      </c>
      <c r="AS1602" s="60">
        <v>6002067843</v>
      </c>
      <c r="AT1602" s="61">
        <v>44806</v>
      </c>
      <c r="AU1602" s="60" t="s">
        <v>4683</v>
      </c>
      <c r="AV1602" s="61">
        <v>44809</v>
      </c>
      <c r="AW1602" s="91">
        <v>44834</v>
      </c>
      <c r="AX1602" s="91">
        <v>44854</v>
      </c>
      <c r="AY1602" s="99">
        <v>163680</v>
      </c>
      <c r="AZ1602" s="99">
        <f>ROUNDDOWN(AY1602+(AY1602*MASTER!$A$2/100),0)</f>
        <v>180048</v>
      </c>
      <c r="BA1602" s="60" t="s">
        <v>317</v>
      </c>
      <c r="BB1602" s="64">
        <v>35000</v>
      </c>
      <c r="BC1602" s="64">
        <v>38500</v>
      </c>
      <c r="BD1602" s="60" t="s">
        <v>4182</v>
      </c>
      <c r="BG1602" s="64">
        <v>0</v>
      </c>
      <c r="BK1602" s="64">
        <v>0</v>
      </c>
      <c r="BS1602" s="64">
        <v>0</v>
      </c>
      <c r="BV1602" s="65">
        <v>85800</v>
      </c>
      <c r="BW1602" s="65">
        <v>38500</v>
      </c>
      <c r="BX1602" s="65">
        <v>44795</v>
      </c>
      <c r="BY1602" s="65">
        <v>47300</v>
      </c>
      <c r="BZ1602" s="81">
        <v>55.128205128205131</v>
      </c>
    </row>
    <row r="1603" spans="1:78" x14ac:dyDescent="0.15">
      <c r="A1603" s="60">
        <v>2</v>
      </c>
      <c r="B1603" s="61">
        <v>44805</v>
      </c>
      <c r="C1603" s="61">
        <v>44806</v>
      </c>
      <c r="D1603" s="61">
        <v>44802</v>
      </c>
      <c r="E1603" s="61">
        <v>44802</v>
      </c>
      <c r="F1603" s="61" t="s">
        <v>309</v>
      </c>
      <c r="G1603" s="61">
        <v>44802</v>
      </c>
      <c r="H1603" s="61" t="s">
        <v>309</v>
      </c>
      <c r="I1603" s="60" t="s">
        <v>766</v>
      </c>
      <c r="J1603" s="60">
        <v>2</v>
      </c>
      <c r="L1603" s="60">
        <v>0</v>
      </c>
      <c r="M1603" s="61">
        <v>44795</v>
      </c>
      <c r="O1603" s="62" t="s">
        <v>331</v>
      </c>
      <c r="P1603" s="60" t="s">
        <v>6</v>
      </c>
      <c r="Q1603" s="62" t="s">
        <v>118</v>
      </c>
      <c r="R1603" s="62" t="s">
        <v>4588</v>
      </c>
      <c r="S1603" s="63" t="s">
        <v>4088</v>
      </c>
      <c r="T1603" s="63" t="s">
        <v>364</v>
      </c>
      <c r="U1603" s="64">
        <v>51000</v>
      </c>
      <c r="V1603" s="64">
        <v>56100</v>
      </c>
      <c r="W1603" s="64">
        <v>51000</v>
      </c>
      <c r="X1603" s="64">
        <v>56100</v>
      </c>
      <c r="Z1603" s="64">
        <v>0</v>
      </c>
      <c r="AA1603" s="61">
        <v>44799</v>
      </c>
      <c r="AB1603" s="61">
        <v>44799</v>
      </c>
      <c r="AD1603" s="60">
        <v>0</v>
      </c>
      <c r="AG1603" s="60">
        <v>0</v>
      </c>
      <c r="AJ1603" s="60">
        <v>0</v>
      </c>
      <c r="AN1603" s="60" t="s">
        <v>309</v>
      </c>
      <c r="AQ1603" s="60" t="s">
        <v>4586</v>
      </c>
      <c r="AR1603" s="61">
        <v>44803</v>
      </c>
      <c r="AS1603" s="60">
        <v>6002066885</v>
      </c>
      <c r="AT1603" s="61">
        <v>44803</v>
      </c>
      <c r="AU1603" s="60" t="s">
        <v>4595</v>
      </c>
      <c r="AV1603" s="61">
        <v>44806</v>
      </c>
      <c r="AW1603" s="91">
        <v>44834</v>
      </c>
      <c r="AX1603" s="91">
        <v>44854</v>
      </c>
      <c r="AY1603" s="99">
        <v>48960</v>
      </c>
      <c r="AZ1603" s="99">
        <f>ROUNDDOWN(AY1603+(AY1603*MASTER!$A$2/100),0)</f>
        <v>53856</v>
      </c>
      <c r="BA1603" s="60" t="s">
        <v>765</v>
      </c>
      <c r="BC1603" s="64">
        <v>0</v>
      </c>
      <c r="BG1603" s="64">
        <v>0</v>
      </c>
      <c r="BK1603" s="64">
        <v>0</v>
      </c>
      <c r="BS1603" s="64">
        <v>0</v>
      </c>
      <c r="BV1603" s="65">
        <v>56100</v>
      </c>
      <c r="BW1603" s="65">
        <v>0</v>
      </c>
      <c r="BX1603" s="65">
        <v>44795</v>
      </c>
      <c r="BY1603" s="65">
        <v>56100</v>
      </c>
      <c r="BZ1603" s="81">
        <v>100</v>
      </c>
    </row>
    <row r="1604" spans="1:78" x14ac:dyDescent="0.15">
      <c r="A1604" s="60">
        <v>2</v>
      </c>
      <c r="B1604" s="61">
        <v>44809</v>
      </c>
      <c r="C1604" s="61">
        <v>44809</v>
      </c>
      <c r="D1604" s="61">
        <v>44805</v>
      </c>
      <c r="E1604" s="61">
        <v>44805</v>
      </c>
      <c r="F1604" s="61" t="s">
        <v>309</v>
      </c>
      <c r="G1604" s="61">
        <v>44805</v>
      </c>
      <c r="H1604" s="61" t="s">
        <v>309</v>
      </c>
      <c r="I1604" s="60" t="s">
        <v>766</v>
      </c>
      <c r="J1604" s="60">
        <v>2</v>
      </c>
      <c r="L1604" s="60">
        <v>0</v>
      </c>
      <c r="M1604" s="61">
        <v>44795</v>
      </c>
      <c r="O1604" s="62" t="s">
        <v>331</v>
      </c>
      <c r="P1604" s="60" t="s">
        <v>6</v>
      </c>
      <c r="Q1604" s="62" t="s">
        <v>118</v>
      </c>
      <c r="R1604" s="62" t="s">
        <v>4669</v>
      </c>
      <c r="S1604" s="63" t="s">
        <v>517</v>
      </c>
      <c r="T1604" s="63" t="s">
        <v>364</v>
      </c>
      <c r="U1604" s="64">
        <v>51000</v>
      </c>
      <c r="V1604" s="64">
        <v>56100</v>
      </c>
      <c r="W1604" s="64">
        <v>51000</v>
      </c>
      <c r="X1604" s="64">
        <v>56100</v>
      </c>
      <c r="Z1604" s="64">
        <v>0</v>
      </c>
      <c r="AA1604" s="61">
        <v>44804</v>
      </c>
      <c r="AB1604" s="61">
        <v>44804</v>
      </c>
      <c r="AD1604" s="60">
        <v>0</v>
      </c>
      <c r="AG1604" s="60">
        <v>0</v>
      </c>
      <c r="AJ1604" s="60">
        <v>0</v>
      </c>
      <c r="AN1604" s="60" t="s">
        <v>309</v>
      </c>
      <c r="AQ1604" s="60" t="s">
        <v>4664</v>
      </c>
      <c r="AR1604" s="61">
        <v>44805</v>
      </c>
      <c r="AS1604" s="60">
        <v>6002067843</v>
      </c>
      <c r="AT1604" s="61">
        <v>44806</v>
      </c>
      <c r="AU1604" s="60" t="s">
        <v>4683</v>
      </c>
      <c r="AV1604" s="61">
        <v>44809</v>
      </c>
      <c r="AW1604" s="91">
        <v>44834</v>
      </c>
      <c r="AX1604" s="91">
        <v>44854</v>
      </c>
      <c r="AY1604" s="99">
        <v>48960</v>
      </c>
      <c r="AZ1604" s="99">
        <f>ROUNDDOWN(AY1604+(AY1604*MASTER!$A$2/100),0)</f>
        <v>53856</v>
      </c>
      <c r="BA1604" s="60" t="s">
        <v>317</v>
      </c>
      <c r="BB1604" s="64">
        <v>24000</v>
      </c>
      <c r="BC1604" s="64">
        <v>26400</v>
      </c>
      <c r="BD1604" s="60" t="s">
        <v>3940</v>
      </c>
      <c r="BG1604" s="64">
        <v>0</v>
      </c>
      <c r="BK1604" s="64">
        <v>0</v>
      </c>
      <c r="BS1604" s="64">
        <v>0</v>
      </c>
      <c r="BV1604" s="65">
        <v>56100</v>
      </c>
      <c r="BW1604" s="65">
        <v>26400</v>
      </c>
      <c r="BX1604" s="65">
        <v>44795</v>
      </c>
      <c r="BY1604" s="65">
        <v>29700</v>
      </c>
      <c r="BZ1604" s="81">
        <v>52.941176470588239</v>
      </c>
    </row>
    <row r="1605" spans="1:78" x14ac:dyDescent="0.15">
      <c r="A1605" s="60">
        <v>2</v>
      </c>
      <c r="B1605" s="61">
        <v>44799</v>
      </c>
      <c r="C1605" s="61">
        <v>44803</v>
      </c>
      <c r="F1605" s="61" t="s">
        <v>309</v>
      </c>
      <c r="H1605" s="61" t="s">
        <v>309</v>
      </c>
      <c r="J1605" s="60">
        <v>1</v>
      </c>
      <c r="L1605" s="60">
        <v>0</v>
      </c>
      <c r="M1605" s="61">
        <v>44795</v>
      </c>
      <c r="O1605" s="62" t="s">
        <v>331</v>
      </c>
      <c r="P1605" s="60" t="s">
        <v>6</v>
      </c>
      <c r="Q1605" s="62" t="s">
        <v>118</v>
      </c>
      <c r="R1605" s="62" t="s">
        <v>4510</v>
      </c>
      <c r="S1605" s="63" t="s">
        <v>848</v>
      </c>
      <c r="T1605" s="63" t="s">
        <v>364</v>
      </c>
      <c r="U1605" s="64">
        <v>53000</v>
      </c>
      <c r="V1605" s="64">
        <v>58300</v>
      </c>
      <c r="W1605" s="64">
        <v>35000</v>
      </c>
      <c r="X1605" s="64">
        <v>38500</v>
      </c>
      <c r="Y1605" s="64">
        <v>18000</v>
      </c>
      <c r="Z1605" s="64">
        <v>19800</v>
      </c>
      <c r="AA1605" s="61">
        <v>44802</v>
      </c>
      <c r="AB1605" s="61">
        <v>44802</v>
      </c>
      <c r="AD1605" s="60">
        <v>0</v>
      </c>
      <c r="AG1605" s="60">
        <v>0</v>
      </c>
      <c r="AJ1605" s="60">
        <v>0</v>
      </c>
      <c r="AN1605" s="60" t="s">
        <v>309</v>
      </c>
      <c r="AQ1605" s="60" t="s">
        <v>4288</v>
      </c>
      <c r="AR1605" s="61">
        <v>44796</v>
      </c>
      <c r="AS1605" s="60">
        <v>6002064018</v>
      </c>
      <c r="AT1605" s="61">
        <v>44797</v>
      </c>
      <c r="AU1605" s="60" t="s">
        <v>4427</v>
      </c>
      <c r="AV1605" s="61">
        <v>44803</v>
      </c>
      <c r="AW1605" s="91">
        <v>44804</v>
      </c>
      <c r="AX1605" s="91">
        <v>44824</v>
      </c>
      <c r="AY1605" s="99">
        <v>50880</v>
      </c>
      <c r="AZ1605" s="99">
        <f>ROUNDDOWN(AY1605+(AY1605*MASTER!$A$2/100),0)</f>
        <v>55968</v>
      </c>
      <c r="BA1605" s="60" t="s">
        <v>319</v>
      </c>
      <c r="BB1605" s="64">
        <v>21000</v>
      </c>
      <c r="BC1605" s="64">
        <v>23100</v>
      </c>
      <c r="BG1605" s="64">
        <v>0</v>
      </c>
      <c r="BI1605" s="60" t="s">
        <v>748</v>
      </c>
      <c r="BJ1605" s="64">
        <v>11700</v>
      </c>
      <c r="BK1605" s="64">
        <v>12870</v>
      </c>
      <c r="BL1605" s="60" t="s">
        <v>3940</v>
      </c>
      <c r="BS1605" s="64">
        <v>0</v>
      </c>
      <c r="BV1605" s="65">
        <v>38500</v>
      </c>
      <c r="BW1605" s="65">
        <v>35970</v>
      </c>
      <c r="BX1605" s="65">
        <v>44795</v>
      </c>
      <c r="BY1605" s="65">
        <v>2530</v>
      </c>
      <c r="BZ1605" s="81">
        <v>6.5714285714285712</v>
      </c>
    </row>
    <row r="1606" spans="1:78" x14ac:dyDescent="0.15">
      <c r="A1606" s="60">
        <v>1</v>
      </c>
      <c r="B1606" s="61">
        <v>44805</v>
      </c>
      <c r="C1606" s="61">
        <v>44810</v>
      </c>
      <c r="F1606" s="61" t="s">
        <v>309</v>
      </c>
      <c r="H1606" s="61" t="s">
        <v>309</v>
      </c>
      <c r="J1606" s="60">
        <v>2</v>
      </c>
      <c r="L1606" s="60">
        <v>0</v>
      </c>
      <c r="M1606" s="61">
        <v>44796</v>
      </c>
      <c r="O1606" s="62" t="s">
        <v>331</v>
      </c>
      <c r="P1606" s="60" t="s">
        <v>77</v>
      </c>
      <c r="Q1606" s="62" t="s">
        <v>118</v>
      </c>
      <c r="R1606" s="62" t="s">
        <v>4632</v>
      </c>
      <c r="S1606" s="63" t="s">
        <v>3583</v>
      </c>
      <c r="T1606" s="63" t="s">
        <v>1081</v>
      </c>
      <c r="U1606" s="64">
        <v>65000</v>
      </c>
      <c r="V1606" s="64">
        <v>71500</v>
      </c>
      <c r="W1606" s="64">
        <v>65000</v>
      </c>
      <c r="X1606" s="64">
        <v>71500</v>
      </c>
      <c r="Y1606" s="64">
        <v>0</v>
      </c>
      <c r="Z1606" s="64">
        <v>0</v>
      </c>
      <c r="AA1606" s="61" t="s">
        <v>4182</v>
      </c>
      <c r="AD1606" s="60">
        <v>0</v>
      </c>
      <c r="AG1606" s="60">
        <v>0</v>
      </c>
      <c r="AJ1606" s="60">
        <v>0</v>
      </c>
      <c r="AQ1606" s="60" t="s">
        <v>4421</v>
      </c>
      <c r="AR1606" s="61">
        <v>44797</v>
      </c>
      <c r="AS1606" s="60">
        <v>6002064873</v>
      </c>
      <c r="AT1606" s="61">
        <v>44797</v>
      </c>
      <c r="AU1606" s="60" t="s">
        <v>4439</v>
      </c>
      <c r="AV1606" s="61">
        <v>44810</v>
      </c>
      <c r="AW1606" s="91">
        <v>44834</v>
      </c>
      <c r="AX1606" s="91">
        <v>44854</v>
      </c>
      <c r="AY1606" s="107">
        <v>65000</v>
      </c>
      <c r="AZ1606" s="107">
        <f>ROUNDDOWN(AY1606+(AY1606*MASTER!$A$2/100),0)</f>
        <v>71500</v>
      </c>
      <c r="BC1606" s="64">
        <v>0</v>
      </c>
      <c r="BG1606" s="64">
        <v>0</v>
      </c>
      <c r="BK1606" s="64">
        <v>0</v>
      </c>
      <c r="BS1606" s="64">
        <v>0</v>
      </c>
      <c r="BV1606" s="65">
        <v>71500</v>
      </c>
      <c r="BW1606" s="65">
        <v>0</v>
      </c>
      <c r="BX1606" s="65">
        <v>44796</v>
      </c>
      <c r="BY1606" s="65">
        <v>71500</v>
      </c>
      <c r="BZ1606" s="81">
        <v>100</v>
      </c>
    </row>
    <row r="1607" spans="1:78" x14ac:dyDescent="0.15">
      <c r="A1607" s="60">
        <v>1</v>
      </c>
      <c r="B1607" s="61">
        <v>44805</v>
      </c>
      <c r="C1607" s="61">
        <v>44811</v>
      </c>
      <c r="F1607" s="61" t="s">
        <v>309</v>
      </c>
      <c r="H1607" s="61" t="s">
        <v>309</v>
      </c>
      <c r="J1607" s="60">
        <v>2</v>
      </c>
      <c r="L1607" s="60">
        <v>0</v>
      </c>
      <c r="M1607" s="61">
        <v>44796</v>
      </c>
      <c r="O1607" s="62" t="s">
        <v>331</v>
      </c>
      <c r="P1607" s="60" t="s">
        <v>77</v>
      </c>
      <c r="Q1607" s="62" t="s">
        <v>118</v>
      </c>
      <c r="R1607" s="62" t="s">
        <v>4633</v>
      </c>
      <c r="S1607" s="63" t="s">
        <v>3932</v>
      </c>
      <c r="T1607" s="63" t="s">
        <v>1081</v>
      </c>
      <c r="U1607" s="64">
        <v>65000</v>
      </c>
      <c r="V1607" s="64">
        <v>71500</v>
      </c>
      <c r="W1607" s="64">
        <v>65000</v>
      </c>
      <c r="X1607" s="64">
        <v>71500</v>
      </c>
      <c r="Y1607" s="64">
        <v>0</v>
      </c>
      <c r="Z1607" s="64">
        <v>0</v>
      </c>
      <c r="AA1607" s="61" t="s">
        <v>4182</v>
      </c>
      <c r="AD1607" s="60">
        <v>0</v>
      </c>
      <c r="AG1607" s="60">
        <v>0</v>
      </c>
      <c r="AJ1607" s="60">
        <v>0</v>
      </c>
      <c r="AQ1607" s="60" t="s">
        <v>4420</v>
      </c>
      <c r="AR1607" s="61">
        <v>44797</v>
      </c>
      <c r="AS1607" s="60">
        <v>6002064873</v>
      </c>
      <c r="AT1607" s="61">
        <v>44797</v>
      </c>
      <c r="AU1607" s="60" t="s">
        <v>4439</v>
      </c>
      <c r="AV1607" s="61">
        <v>44811</v>
      </c>
      <c r="AW1607" s="91">
        <v>44834</v>
      </c>
      <c r="AX1607" s="91">
        <v>44854</v>
      </c>
      <c r="AY1607" s="107">
        <v>65000</v>
      </c>
      <c r="AZ1607" s="107">
        <f>ROUNDDOWN(AY1607+(AY1607*MASTER!$A$2/100),0)</f>
        <v>71500</v>
      </c>
      <c r="BC1607" s="64">
        <v>0</v>
      </c>
      <c r="BG1607" s="64">
        <v>0</v>
      </c>
      <c r="BK1607" s="64">
        <v>0</v>
      </c>
      <c r="BS1607" s="64">
        <v>0</v>
      </c>
      <c r="BV1607" s="65">
        <v>71500</v>
      </c>
      <c r="BW1607" s="65">
        <v>0</v>
      </c>
      <c r="BX1607" s="65">
        <v>44796</v>
      </c>
      <c r="BY1607" s="65">
        <v>71500</v>
      </c>
      <c r="BZ1607" s="81">
        <v>100</v>
      </c>
    </row>
    <row r="1608" spans="1:78" x14ac:dyDescent="0.15">
      <c r="A1608" s="60">
        <v>1</v>
      </c>
      <c r="B1608" s="61">
        <v>44805</v>
      </c>
      <c r="C1608" s="61">
        <v>44834</v>
      </c>
      <c r="F1608" s="61" t="s">
        <v>309</v>
      </c>
      <c r="H1608" s="61" t="s">
        <v>309</v>
      </c>
      <c r="J1608" s="60">
        <v>2</v>
      </c>
      <c r="L1608" s="60">
        <v>0</v>
      </c>
      <c r="M1608" s="61">
        <v>44796</v>
      </c>
      <c r="O1608" s="62" t="s">
        <v>331</v>
      </c>
      <c r="P1608" s="60" t="s">
        <v>77</v>
      </c>
      <c r="Q1608" s="62" t="s">
        <v>118</v>
      </c>
      <c r="R1608" s="62" t="s">
        <v>4634</v>
      </c>
      <c r="S1608" s="63" t="s">
        <v>1061</v>
      </c>
      <c r="T1608" s="63" t="s">
        <v>1081</v>
      </c>
      <c r="U1608" s="64">
        <v>65000</v>
      </c>
      <c r="V1608" s="64">
        <v>71500</v>
      </c>
      <c r="W1608" s="64">
        <v>65000</v>
      </c>
      <c r="X1608" s="64">
        <v>71500</v>
      </c>
      <c r="Y1608" s="64">
        <v>0</v>
      </c>
      <c r="Z1608" s="64">
        <v>0</v>
      </c>
      <c r="AA1608" s="61" t="s">
        <v>4182</v>
      </c>
      <c r="AD1608" s="60">
        <v>0</v>
      </c>
      <c r="AG1608" s="60">
        <v>0</v>
      </c>
      <c r="AJ1608" s="60">
        <v>0</v>
      </c>
      <c r="AQ1608" s="60" t="s">
        <v>4421</v>
      </c>
      <c r="AR1608" s="61">
        <v>44797</v>
      </c>
      <c r="AS1608" s="60">
        <v>6002064873</v>
      </c>
      <c r="AT1608" s="61">
        <v>44797</v>
      </c>
      <c r="AU1608" s="60" t="s">
        <v>4439</v>
      </c>
      <c r="AV1608" s="61">
        <v>44834</v>
      </c>
      <c r="AW1608" s="91">
        <v>44834</v>
      </c>
      <c r="AX1608" s="91">
        <v>44854</v>
      </c>
      <c r="AY1608" s="107">
        <v>65000</v>
      </c>
      <c r="AZ1608" s="107">
        <f>ROUNDDOWN(AY1608+(AY1608*MASTER!$A$2/100),0)</f>
        <v>71500</v>
      </c>
      <c r="BC1608" s="64">
        <v>0</v>
      </c>
      <c r="BG1608" s="64">
        <v>0</v>
      </c>
      <c r="BK1608" s="64">
        <v>0</v>
      </c>
      <c r="BS1608" s="64">
        <v>0</v>
      </c>
      <c r="BV1608" s="65">
        <v>71500</v>
      </c>
      <c r="BW1608" s="65">
        <v>0</v>
      </c>
      <c r="BX1608" s="65">
        <v>44796</v>
      </c>
      <c r="BY1608" s="65">
        <v>71500</v>
      </c>
      <c r="BZ1608" s="81">
        <v>100</v>
      </c>
    </row>
    <row r="1609" spans="1:78" x14ac:dyDescent="0.15">
      <c r="A1609" s="60">
        <v>1</v>
      </c>
      <c r="B1609" s="61">
        <v>44805</v>
      </c>
      <c r="C1609" s="61">
        <v>44812</v>
      </c>
      <c r="F1609" s="61" t="s">
        <v>309</v>
      </c>
      <c r="H1609" s="61" t="s">
        <v>309</v>
      </c>
      <c r="J1609" s="60">
        <v>2</v>
      </c>
      <c r="L1609" s="60">
        <v>0</v>
      </c>
      <c r="M1609" s="61">
        <v>44796</v>
      </c>
      <c r="O1609" s="62" t="s">
        <v>331</v>
      </c>
      <c r="P1609" s="60" t="s">
        <v>77</v>
      </c>
      <c r="Q1609" s="62" t="s">
        <v>118</v>
      </c>
      <c r="R1609" s="62" t="s">
        <v>4635</v>
      </c>
      <c r="S1609" s="63" t="s">
        <v>1536</v>
      </c>
      <c r="T1609" s="63" t="s">
        <v>1081</v>
      </c>
      <c r="U1609" s="64">
        <v>65000</v>
      </c>
      <c r="V1609" s="64">
        <v>71500</v>
      </c>
      <c r="W1609" s="64">
        <v>65000</v>
      </c>
      <c r="X1609" s="64">
        <v>71500</v>
      </c>
      <c r="Y1609" s="64">
        <v>0</v>
      </c>
      <c r="Z1609" s="64">
        <v>0</v>
      </c>
      <c r="AA1609" s="61" t="s">
        <v>4182</v>
      </c>
      <c r="AD1609" s="60">
        <v>0</v>
      </c>
      <c r="AG1609" s="60">
        <v>0</v>
      </c>
      <c r="AJ1609" s="60">
        <v>0</v>
      </c>
      <c r="AQ1609" s="60" t="s">
        <v>4420</v>
      </c>
      <c r="AR1609" s="61">
        <v>44797</v>
      </c>
      <c r="AS1609" s="60">
        <v>6002064873</v>
      </c>
      <c r="AT1609" s="61">
        <v>44797</v>
      </c>
      <c r="AU1609" s="60" t="s">
        <v>4439</v>
      </c>
      <c r="AV1609" s="61">
        <v>44812</v>
      </c>
      <c r="AW1609" s="91">
        <v>44834</v>
      </c>
      <c r="AX1609" s="91">
        <v>44854</v>
      </c>
      <c r="AY1609" s="107">
        <v>65000</v>
      </c>
      <c r="AZ1609" s="107">
        <f>ROUNDDOWN(AY1609+(AY1609*MASTER!$A$2/100),0)</f>
        <v>71500</v>
      </c>
      <c r="BC1609" s="64">
        <v>0</v>
      </c>
      <c r="BG1609" s="64">
        <v>0</v>
      </c>
      <c r="BK1609" s="64">
        <v>0</v>
      </c>
      <c r="BS1609" s="64">
        <v>0</v>
      </c>
      <c r="BV1609" s="65">
        <v>71500</v>
      </c>
      <c r="BW1609" s="65">
        <v>0</v>
      </c>
      <c r="BX1609" s="65">
        <v>44796</v>
      </c>
      <c r="BY1609" s="65">
        <v>71500</v>
      </c>
      <c r="BZ1609" s="81">
        <v>100</v>
      </c>
    </row>
    <row r="1610" spans="1:78" x14ac:dyDescent="0.15">
      <c r="A1610" s="60">
        <v>1</v>
      </c>
      <c r="B1610" s="61">
        <v>44805</v>
      </c>
      <c r="C1610" s="61">
        <v>44834</v>
      </c>
      <c r="F1610" s="61" t="s">
        <v>309</v>
      </c>
      <c r="H1610" s="61" t="s">
        <v>309</v>
      </c>
      <c r="J1610" s="60">
        <v>2</v>
      </c>
      <c r="L1610" s="60">
        <v>0</v>
      </c>
      <c r="M1610" s="61">
        <v>44796</v>
      </c>
      <c r="O1610" s="62" t="s">
        <v>331</v>
      </c>
      <c r="P1610" s="60" t="s">
        <v>77</v>
      </c>
      <c r="Q1610" s="62" t="s">
        <v>118</v>
      </c>
      <c r="R1610" s="62" t="s">
        <v>4636</v>
      </c>
      <c r="S1610" s="63" t="s">
        <v>1062</v>
      </c>
      <c r="T1610" s="63" t="s">
        <v>1081</v>
      </c>
      <c r="U1610" s="64">
        <v>65000</v>
      </c>
      <c r="V1610" s="64">
        <v>71500</v>
      </c>
      <c r="W1610" s="64">
        <v>65000</v>
      </c>
      <c r="X1610" s="64">
        <v>71500</v>
      </c>
      <c r="Y1610" s="64">
        <v>0</v>
      </c>
      <c r="Z1610" s="64">
        <v>0</v>
      </c>
      <c r="AA1610" s="61" t="s">
        <v>4182</v>
      </c>
      <c r="AD1610" s="60">
        <v>0</v>
      </c>
      <c r="AG1610" s="60">
        <v>0</v>
      </c>
      <c r="AJ1610" s="60">
        <v>0</v>
      </c>
      <c r="AQ1610" s="60" t="s">
        <v>4421</v>
      </c>
      <c r="AR1610" s="61">
        <v>44797</v>
      </c>
      <c r="AS1610" s="60">
        <v>6002064873</v>
      </c>
      <c r="AT1610" s="61">
        <v>44797</v>
      </c>
      <c r="AU1610" s="60" t="s">
        <v>4439</v>
      </c>
      <c r="AV1610" s="61">
        <v>44834</v>
      </c>
      <c r="AW1610" s="91">
        <v>44834</v>
      </c>
      <c r="AX1610" s="91">
        <v>44854</v>
      </c>
      <c r="AY1610" s="107">
        <v>65000</v>
      </c>
      <c r="AZ1610" s="107">
        <f>ROUNDDOWN(AY1610+(AY1610*MASTER!$A$2/100),0)</f>
        <v>71500</v>
      </c>
      <c r="BC1610" s="64">
        <v>0</v>
      </c>
      <c r="BG1610" s="64">
        <v>0</v>
      </c>
      <c r="BK1610" s="64">
        <v>0</v>
      </c>
      <c r="BS1610" s="64">
        <v>0</v>
      </c>
      <c r="BV1610" s="65">
        <v>71500</v>
      </c>
      <c r="BW1610" s="65">
        <v>0</v>
      </c>
      <c r="BX1610" s="65">
        <v>44796</v>
      </c>
      <c r="BY1610" s="65">
        <v>71500</v>
      </c>
      <c r="BZ1610" s="81">
        <v>100</v>
      </c>
    </row>
    <row r="1611" spans="1:78" x14ac:dyDescent="0.15">
      <c r="A1611" s="60">
        <v>1</v>
      </c>
      <c r="B1611" s="61">
        <v>44805</v>
      </c>
      <c r="C1611" s="61">
        <v>44813</v>
      </c>
      <c r="F1611" s="61" t="s">
        <v>309</v>
      </c>
      <c r="H1611" s="61" t="s">
        <v>309</v>
      </c>
      <c r="J1611" s="60">
        <v>2</v>
      </c>
      <c r="L1611" s="60">
        <v>0</v>
      </c>
      <c r="M1611" s="61">
        <v>44796</v>
      </c>
      <c r="O1611" s="62" t="s">
        <v>331</v>
      </c>
      <c r="P1611" s="60" t="s">
        <v>77</v>
      </c>
      <c r="Q1611" s="62" t="s">
        <v>118</v>
      </c>
      <c r="R1611" s="62" t="s">
        <v>4637</v>
      </c>
      <c r="S1611" s="63" t="s">
        <v>1221</v>
      </c>
      <c r="T1611" s="63" t="s">
        <v>1081</v>
      </c>
      <c r="U1611" s="64">
        <v>65000</v>
      </c>
      <c r="V1611" s="64">
        <v>71500</v>
      </c>
      <c r="W1611" s="64">
        <v>65000</v>
      </c>
      <c r="X1611" s="64">
        <v>71500</v>
      </c>
      <c r="Y1611" s="64">
        <v>0</v>
      </c>
      <c r="Z1611" s="64">
        <v>0</v>
      </c>
      <c r="AA1611" s="61" t="s">
        <v>4182</v>
      </c>
      <c r="AD1611" s="60">
        <v>0</v>
      </c>
      <c r="AG1611" s="60">
        <v>0</v>
      </c>
      <c r="AJ1611" s="60">
        <v>0</v>
      </c>
      <c r="AQ1611" s="60" t="s">
        <v>4420</v>
      </c>
      <c r="AR1611" s="61">
        <v>44797</v>
      </c>
      <c r="AS1611" s="60">
        <v>6002064873</v>
      </c>
      <c r="AT1611" s="61">
        <v>44797</v>
      </c>
      <c r="AU1611" s="60" t="s">
        <v>4439</v>
      </c>
      <c r="AV1611" s="61">
        <v>44813</v>
      </c>
      <c r="AW1611" s="91">
        <v>44834</v>
      </c>
      <c r="AX1611" s="91">
        <v>44854</v>
      </c>
      <c r="AY1611" s="107">
        <v>65000</v>
      </c>
      <c r="AZ1611" s="107">
        <f>ROUNDDOWN(AY1611+(AY1611*MASTER!$A$2/100),0)</f>
        <v>71500</v>
      </c>
      <c r="BC1611" s="64">
        <v>0</v>
      </c>
      <c r="BG1611" s="64">
        <v>0</v>
      </c>
      <c r="BK1611" s="64">
        <v>0</v>
      </c>
      <c r="BS1611" s="64">
        <v>0</v>
      </c>
      <c r="BV1611" s="65">
        <v>71500</v>
      </c>
      <c r="BW1611" s="65">
        <v>0</v>
      </c>
      <c r="BX1611" s="65">
        <v>44796</v>
      </c>
      <c r="BY1611" s="65">
        <v>71500</v>
      </c>
      <c r="BZ1611" s="81">
        <v>100</v>
      </c>
    </row>
    <row r="1612" spans="1:78" x14ac:dyDescent="0.15">
      <c r="A1612" s="60">
        <v>1</v>
      </c>
      <c r="B1612" s="61">
        <v>44805</v>
      </c>
      <c r="C1612" s="61">
        <v>44813</v>
      </c>
      <c r="F1612" s="61" t="s">
        <v>309</v>
      </c>
      <c r="H1612" s="61" t="s">
        <v>309</v>
      </c>
      <c r="J1612" s="60">
        <v>2</v>
      </c>
      <c r="L1612" s="60">
        <v>0</v>
      </c>
      <c r="M1612" s="61">
        <v>44796</v>
      </c>
      <c r="O1612" s="62" t="s">
        <v>331</v>
      </c>
      <c r="P1612" s="60" t="s">
        <v>77</v>
      </c>
      <c r="Q1612" s="62" t="s">
        <v>118</v>
      </c>
      <c r="R1612" s="62" t="s">
        <v>4638</v>
      </c>
      <c r="S1612" s="63" t="s">
        <v>1063</v>
      </c>
      <c r="T1612" s="63" t="s">
        <v>1081</v>
      </c>
      <c r="U1612" s="64">
        <v>65000</v>
      </c>
      <c r="V1612" s="64">
        <v>71500</v>
      </c>
      <c r="W1612" s="64">
        <v>65000</v>
      </c>
      <c r="X1612" s="64">
        <v>71500</v>
      </c>
      <c r="Y1612" s="64">
        <v>0</v>
      </c>
      <c r="Z1612" s="64">
        <v>0</v>
      </c>
      <c r="AA1612" s="61" t="s">
        <v>4182</v>
      </c>
      <c r="AD1612" s="60">
        <v>0</v>
      </c>
      <c r="AG1612" s="60">
        <v>0</v>
      </c>
      <c r="AJ1612" s="60">
        <v>0</v>
      </c>
      <c r="AQ1612" s="60" t="s">
        <v>4421</v>
      </c>
      <c r="AR1612" s="61">
        <v>44797</v>
      </c>
      <c r="AS1612" s="60">
        <v>6002064873</v>
      </c>
      <c r="AT1612" s="61">
        <v>44797</v>
      </c>
      <c r="AU1612" s="60" t="s">
        <v>4439</v>
      </c>
      <c r="AV1612" s="61">
        <v>44813</v>
      </c>
      <c r="AW1612" s="91">
        <v>44834</v>
      </c>
      <c r="AX1612" s="91">
        <v>44854</v>
      </c>
      <c r="AY1612" s="107">
        <v>65000</v>
      </c>
      <c r="AZ1612" s="107">
        <f>ROUNDDOWN(AY1612+(AY1612*MASTER!$A$2/100),0)</f>
        <v>71500</v>
      </c>
      <c r="BC1612" s="64">
        <v>0</v>
      </c>
      <c r="BG1612" s="64">
        <v>0</v>
      </c>
      <c r="BK1612" s="64">
        <v>0</v>
      </c>
      <c r="BS1612" s="64">
        <v>0</v>
      </c>
      <c r="BV1612" s="65">
        <v>71500</v>
      </c>
      <c r="BW1612" s="65">
        <v>0</v>
      </c>
      <c r="BX1612" s="65">
        <v>44796</v>
      </c>
      <c r="BY1612" s="65">
        <v>71500</v>
      </c>
      <c r="BZ1612" s="81">
        <v>100</v>
      </c>
    </row>
    <row r="1613" spans="1:78" x14ac:dyDescent="0.15">
      <c r="A1613" s="60">
        <v>1</v>
      </c>
      <c r="B1613" s="61">
        <v>44805</v>
      </c>
      <c r="C1613" s="61">
        <v>44815</v>
      </c>
      <c r="F1613" s="61" t="s">
        <v>309</v>
      </c>
      <c r="H1613" s="61" t="s">
        <v>309</v>
      </c>
      <c r="J1613" s="60">
        <v>2</v>
      </c>
      <c r="L1613" s="60">
        <v>0</v>
      </c>
      <c r="M1613" s="61">
        <v>44796</v>
      </c>
      <c r="O1613" s="62" t="s">
        <v>331</v>
      </c>
      <c r="P1613" s="60" t="s">
        <v>77</v>
      </c>
      <c r="Q1613" s="62" t="s">
        <v>118</v>
      </c>
      <c r="R1613" s="62" t="s">
        <v>4639</v>
      </c>
      <c r="S1613" s="63" t="s">
        <v>1224</v>
      </c>
      <c r="T1613" s="63" t="s">
        <v>1081</v>
      </c>
      <c r="U1613" s="64">
        <v>65000</v>
      </c>
      <c r="V1613" s="64">
        <v>71500</v>
      </c>
      <c r="W1613" s="64">
        <v>65000</v>
      </c>
      <c r="X1613" s="64">
        <v>71500</v>
      </c>
      <c r="Y1613" s="64">
        <v>0</v>
      </c>
      <c r="Z1613" s="64">
        <v>0</v>
      </c>
      <c r="AA1613" s="61" t="s">
        <v>4182</v>
      </c>
      <c r="AD1613" s="60">
        <v>0</v>
      </c>
      <c r="AG1613" s="60">
        <v>0</v>
      </c>
      <c r="AJ1613" s="60">
        <v>0</v>
      </c>
      <c r="AQ1613" s="60" t="s">
        <v>4420</v>
      </c>
      <c r="AR1613" s="61">
        <v>44797</v>
      </c>
      <c r="AS1613" s="60">
        <v>6002064873</v>
      </c>
      <c r="AT1613" s="61">
        <v>44797</v>
      </c>
      <c r="AU1613" s="60" t="s">
        <v>4439</v>
      </c>
      <c r="AV1613" s="61">
        <v>44815</v>
      </c>
      <c r="AW1613" s="91">
        <v>44834</v>
      </c>
      <c r="AX1613" s="91">
        <v>44854</v>
      </c>
      <c r="AY1613" s="107">
        <v>65000</v>
      </c>
      <c r="AZ1613" s="107">
        <f>ROUNDDOWN(AY1613+(AY1613*MASTER!$A$2/100),0)</f>
        <v>71500</v>
      </c>
      <c r="BC1613" s="64">
        <v>0</v>
      </c>
      <c r="BG1613" s="64">
        <v>0</v>
      </c>
      <c r="BK1613" s="64">
        <v>0</v>
      </c>
      <c r="BS1613" s="64">
        <v>0</v>
      </c>
      <c r="BV1613" s="65">
        <v>71500</v>
      </c>
      <c r="BW1613" s="65">
        <v>0</v>
      </c>
      <c r="BX1613" s="65">
        <v>44796</v>
      </c>
      <c r="BY1613" s="65">
        <v>71500</v>
      </c>
      <c r="BZ1613" s="81">
        <v>100</v>
      </c>
    </row>
    <row r="1614" spans="1:78" x14ac:dyDescent="0.15">
      <c r="A1614" s="60">
        <v>1</v>
      </c>
      <c r="B1614" s="61">
        <v>44805</v>
      </c>
      <c r="C1614" s="61">
        <v>44815</v>
      </c>
      <c r="F1614" s="61" t="s">
        <v>309</v>
      </c>
      <c r="H1614" s="61" t="s">
        <v>309</v>
      </c>
      <c r="J1614" s="60">
        <v>2</v>
      </c>
      <c r="L1614" s="60">
        <v>0</v>
      </c>
      <c r="M1614" s="61">
        <v>44796</v>
      </c>
      <c r="O1614" s="62" t="s">
        <v>331</v>
      </c>
      <c r="P1614" s="60" t="s">
        <v>77</v>
      </c>
      <c r="Q1614" s="62" t="s">
        <v>118</v>
      </c>
      <c r="R1614" s="62" t="s">
        <v>4640</v>
      </c>
      <c r="S1614" s="63" t="s">
        <v>871</v>
      </c>
      <c r="T1614" s="63" t="s">
        <v>1081</v>
      </c>
      <c r="U1614" s="64">
        <v>65000</v>
      </c>
      <c r="V1614" s="64">
        <v>71500</v>
      </c>
      <c r="W1614" s="64">
        <v>65000</v>
      </c>
      <c r="X1614" s="64">
        <v>71500</v>
      </c>
      <c r="Y1614" s="64">
        <v>0</v>
      </c>
      <c r="Z1614" s="64">
        <v>0</v>
      </c>
      <c r="AA1614" s="61" t="s">
        <v>4182</v>
      </c>
      <c r="AD1614" s="60">
        <v>0</v>
      </c>
      <c r="AG1614" s="60">
        <v>0</v>
      </c>
      <c r="AJ1614" s="60">
        <v>0</v>
      </c>
      <c r="AQ1614" s="60" t="s">
        <v>4421</v>
      </c>
      <c r="AR1614" s="61">
        <v>44797</v>
      </c>
      <c r="AS1614" s="60">
        <v>6002064873</v>
      </c>
      <c r="AT1614" s="61">
        <v>44797</v>
      </c>
      <c r="AU1614" s="60" t="s">
        <v>4439</v>
      </c>
      <c r="AV1614" s="61">
        <v>44815</v>
      </c>
      <c r="AW1614" s="91">
        <v>44834</v>
      </c>
      <c r="AX1614" s="91">
        <v>44854</v>
      </c>
      <c r="AY1614" s="107">
        <v>65000</v>
      </c>
      <c r="AZ1614" s="107">
        <f>ROUNDDOWN(AY1614+(AY1614*MASTER!$A$2/100),0)</f>
        <v>71500</v>
      </c>
      <c r="BC1614" s="64">
        <v>0</v>
      </c>
      <c r="BG1614" s="64">
        <v>0</v>
      </c>
      <c r="BK1614" s="64">
        <v>0</v>
      </c>
      <c r="BS1614" s="64">
        <v>0</v>
      </c>
      <c r="BV1614" s="65">
        <v>71500</v>
      </c>
      <c r="BW1614" s="65">
        <v>0</v>
      </c>
      <c r="BX1614" s="65">
        <v>44796</v>
      </c>
      <c r="BY1614" s="65">
        <v>71500</v>
      </c>
      <c r="BZ1614" s="81">
        <v>100</v>
      </c>
    </row>
    <row r="1615" spans="1:78" x14ac:dyDescent="0.15">
      <c r="A1615" s="60">
        <v>1</v>
      </c>
      <c r="B1615" s="61">
        <v>44805</v>
      </c>
      <c r="C1615" s="61">
        <v>44816</v>
      </c>
      <c r="F1615" s="61" t="s">
        <v>309</v>
      </c>
      <c r="H1615" s="61" t="s">
        <v>309</v>
      </c>
      <c r="J1615" s="60">
        <v>2</v>
      </c>
      <c r="L1615" s="60">
        <v>0</v>
      </c>
      <c r="M1615" s="61">
        <v>44796</v>
      </c>
      <c r="O1615" s="62" t="s">
        <v>331</v>
      </c>
      <c r="P1615" s="60" t="s">
        <v>77</v>
      </c>
      <c r="Q1615" s="62" t="s">
        <v>118</v>
      </c>
      <c r="R1615" s="62" t="s">
        <v>4641</v>
      </c>
      <c r="S1615" s="63" t="s">
        <v>3996</v>
      </c>
      <c r="T1615" s="63" t="s">
        <v>1081</v>
      </c>
      <c r="U1615" s="64">
        <v>65000</v>
      </c>
      <c r="V1615" s="64">
        <v>71500</v>
      </c>
      <c r="W1615" s="64">
        <v>65000</v>
      </c>
      <c r="X1615" s="64">
        <v>71500</v>
      </c>
      <c r="Y1615" s="64">
        <v>0</v>
      </c>
      <c r="Z1615" s="64">
        <v>0</v>
      </c>
      <c r="AA1615" s="61" t="s">
        <v>4182</v>
      </c>
      <c r="AD1615" s="60">
        <v>0</v>
      </c>
      <c r="AG1615" s="60">
        <v>0</v>
      </c>
      <c r="AJ1615" s="60">
        <v>0</v>
      </c>
      <c r="AQ1615" s="60" t="s">
        <v>4421</v>
      </c>
      <c r="AR1615" s="61">
        <v>44797</v>
      </c>
      <c r="AS1615" s="60">
        <v>6002064873</v>
      </c>
      <c r="AT1615" s="61">
        <v>44797</v>
      </c>
      <c r="AU1615" s="60" t="s">
        <v>4439</v>
      </c>
      <c r="AV1615" s="61">
        <v>44816</v>
      </c>
      <c r="AW1615" s="91">
        <v>44834</v>
      </c>
      <c r="AX1615" s="91">
        <v>44854</v>
      </c>
      <c r="AY1615" s="107">
        <v>65000</v>
      </c>
      <c r="AZ1615" s="107">
        <f>ROUNDDOWN(AY1615+(AY1615*MASTER!$A$2/100),0)</f>
        <v>71500</v>
      </c>
      <c r="BC1615" s="64">
        <v>0</v>
      </c>
      <c r="BG1615" s="64">
        <v>0</v>
      </c>
      <c r="BK1615" s="64">
        <v>0</v>
      </c>
      <c r="BS1615" s="64">
        <v>0</v>
      </c>
      <c r="BV1615" s="65">
        <v>71500</v>
      </c>
      <c r="BW1615" s="65">
        <v>0</v>
      </c>
      <c r="BX1615" s="65">
        <v>44796</v>
      </c>
      <c r="BY1615" s="65">
        <v>71500</v>
      </c>
      <c r="BZ1615" s="81">
        <v>100</v>
      </c>
    </row>
    <row r="1616" spans="1:78" x14ac:dyDescent="0.15">
      <c r="A1616" s="60">
        <v>1</v>
      </c>
      <c r="B1616" s="61">
        <v>44805</v>
      </c>
      <c r="C1616" s="61">
        <v>44816</v>
      </c>
      <c r="F1616" s="61" t="s">
        <v>309</v>
      </c>
      <c r="H1616" s="61" t="s">
        <v>309</v>
      </c>
      <c r="J1616" s="60">
        <v>2</v>
      </c>
      <c r="L1616" s="60">
        <v>0</v>
      </c>
      <c r="M1616" s="61">
        <v>44796</v>
      </c>
      <c r="O1616" s="62" t="s">
        <v>331</v>
      </c>
      <c r="P1616" s="60" t="s">
        <v>77</v>
      </c>
      <c r="Q1616" s="62" t="s">
        <v>118</v>
      </c>
      <c r="R1616" s="62" t="s">
        <v>4642</v>
      </c>
      <c r="S1616" s="63" t="s">
        <v>1233</v>
      </c>
      <c r="T1616" s="63" t="s">
        <v>1081</v>
      </c>
      <c r="U1616" s="64">
        <v>65000</v>
      </c>
      <c r="V1616" s="64">
        <v>71500</v>
      </c>
      <c r="W1616" s="64">
        <v>65000</v>
      </c>
      <c r="X1616" s="64">
        <v>71500</v>
      </c>
      <c r="Y1616" s="64">
        <v>0</v>
      </c>
      <c r="Z1616" s="64">
        <v>0</v>
      </c>
      <c r="AA1616" s="61" t="s">
        <v>4182</v>
      </c>
      <c r="AD1616" s="60">
        <v>0</v>
      </c>
      <c r="AG1616" s="60">
        <v>0</v>
      </c>
      <c r="AJ1616" s="60">
        <v>0</v>
      </c>
      <c r="AQ1616" s="60" t="s">
        <v>4420</v>
      </c>
      <c r="AR1616" s="61">
        <v>44797</v>
      </c>
      <c r="AS1616" s="60">
        <v>6002064873</v>
      </c>
      <c r="AT1616" s="61">
        <v>44797</v>
      </c>
      <c r="AU1616" s="60" t="s">
        <v>4439</v>
      </c>
      <c r="AV1616" s="61">
        <v>44816</v>
      </c>
      <c r="AW1616" s="91">
        <v>44834</v>
      </c>
      <c r="AX1616" s="91">
        <v>44854</v>
      </c>
      <c r="AY1616" s="107">
        <v>65000</v>
      </c>
      <c r="AZ1616" s="107">
        <f>ROUNDDOWN(AY1616+(AY1616*MASTER!$A$2/100),0)</f>
        <v>71500</v>
      </c>
      <c r="BC1616" s="64">
        <v>0</v>
      </c>
      <c r="BG1616" s="64">
        <v>0</v>
      </c>
      <c r="BK1616" s="64">
        <v>0</v>
      </c>
      <c r="BS1616" s="64">
        <v>0</v>
      </c>
      <c r="BV1616" s="65">
        <v>71500</v>
      </c>
      <c r="BW1616" s="65">
        <v>0</v>
      </c>
      <c r="BX1616" s="65">
        <v>44796</v>
      </c>
      <c r="BY1616" s="65">
        <v>71500</v>
      </c>
      <c r="BZ1616" s="81">
        <v>100</v>
      </c>
    </row>
    <row r="1617" spans="1:89" x14ac:dyDescent="0.15">
      <c r="A1617" s="60">
        <v>1</v>
      </c>
      <c r="B1617" s="61">
        <v>44805</v>
      </c>
      <c r="C1617" s="61">
        <v>44817</v>
      </c>
      <c r="F1617" s="61" t="s">
        <v>309</v>
      </c>
      <c r="H1617" s="61" t="s">
        <v>309</v>
      </c>
      <c r="J1617" s="60">
        <v>2</v>
      </c>
      <c r="L1617" s="60">
        <v>0</v>
      </c>
      <c r="M1617" s="61">
        <v>44796</v>
      </c>
      <c r="O1617" s="62" t="s">
        <v>331</v>
      </c>
      <c r="P1617" s="60" t="s">
        <v>77</v>
      </c>
      <c r="Q1617" s="62" t="s">
        <v>118</v>
      </c>
      <c r="R1617" s="62" t="s">
        <v>4643</v>
      </c>
      <c r="S1617" s="63" t="s">
        <v>2295</v>
      </c>
      <c r="T1617" s="63" t="s">
        <v>1081</v>
      </c>
      <c r="U1617" s="64">
        <v>65000</v>
      </c>
      <c r="V1617" s="64">
        <v>71500</v>
      </c>
      <c r="W1617" s="64">
        <v>65000</v>
      </c>
      <c r="X1617" s="64">
        <v>71500</v>
      </c>
      <c r="Y1617" s="64">
        <v>0</v>
      </c>
      <c r="Z1617" s="64">
        <v>0</v>
      </c>
      <c r="AA1617" s="61" t="s">
        <v>4182</v>
      </c>
      <c r="AD1617" s="60">
        <v>0</v>
      </c>
      <c r="AG1617" s="60">
        <v>0</v>
      </c>
      <c r="AJ1617" s="60">
        <v>0</v>
      </c>
      <c r="AQ1617" s="60" t="s">
        <v>4421</v>
      </c>
      <c r="AR1617" s="61">
        <v>44797</v>
      </c>
      <c r="AS1617" s="60">
        <v>6002064873</v>
      </c>
      <c r="AT1617" s="61">
        <v>44797</v>
      </c>
      <c r="AU1617" s="60" t="s">
        <v>4439</v>
      </c>
      <c r="AV1617" s="61">
        <v>44817</v>
      </c>
      <c r="AW1617" s="91">
        <v>44834</v>
      </c>
      <c r="AX1617" s="91">
        <v>44854</v>
      </c>
      <c r="AY1617" s="107">
        <v>65000</v>
      </c>
      <c r="AZ1617" s="107">
        <f>ROUNDDOWN(AY1617+(AY1617*MASTER!$A$2/100),0)</f>
        <v>71500</v>
      </c>
      <c r="BC1617" s="64">
        <v>0</v>
      </c>
      <c r="BG1617" s="64">
        <v>0</v>
      </c>
      <c r="BK1617" s="64">
        <v>0</v>
      </c>
      <c r="BS1617" s="64">
        <v>0</v>
      </c>
      <c r="BV1617" s="65">
        <v>71500</v>
      </c>
      <c r="BW1617" s="65">
        <v>0</v>
      </c>
      <c r="BX1617" s="65">
        <v>44796</v>
      </c>
      <c r="BY1617" s="65">
        <v>71500</v>
      </c>
      <c r="BZ1617" s="81">
        <v>100</v>
      </c>
    </row>
    <row r="1618" spans="1:89" x14ac:dyDescent="0.15">
      <c r="A1618" s="60">
        <v>1</v>
      </c>
      <c r="B1618" s="61">
        <v>44805</v>
      </c>
      <c r="C1618" s="61">
        <v>44817</v>
      </c>
      <c r="F1618" s="61" t="s">
        <v>309</v>
      </c>
      <c r="H1618" s="61" t="s">
        <v>309</v>
      </c>
      <c r="J1618" s="60">
        <v>2</v>
      </c>
      <c r="L1618" s="60">
        <v>0</v>
      </c>
      <c r="M1618" s="61">
        <v>44796</v>
      </c>
      <c r="O1618" s="62" t="s">
        <v>331</v>
      </c>
      <c r="P1618" s="60" t="s">
        <v>77</v>
      </c>
      <c r="Q1618" s="62" t="s">
        <v>118</v>
      </c>
      <c r="R1618" s="62" t="s">
        <v>4644</v>
      </c>
      <c r="S1618" s="63" t="s">
        <v>1163</v>
      </c>
      <c r="T1618" s="63" t="s">
        <v>1081</v>
      </c>
      <c r="U1618" s="64">
        <v>65000</v>
      </c>
      <c r="V1618" s="64">
        <v>71500</v>
      </c>
      <c r="W1618" s="64">
        <v>65000</v>
      </c>
      <c r="X1618" s="64">
        <v>71500</v>
      </c>
      <c r="Y1618" s="64">
        <v>0</v>
      </c>
      <c r="Z1618" s="64">
        <v>0</v>
      </c>
      <c r="AA1618" s="61" t="s">
        <v>4182</v>
      </c>
      <c r="AD1618" s="60">
        <v>0</v>
      </c>
      <c r="AG1618" s="60">
        <v>0</v>
      </c>
      <c r="AJ1618" s="60">
        <v>0</v>
      </c>
      <c r="AQ1618" s="60" t="s">
        <v>4420</v>
      </c>
      <c r="AR1618" s="61">
        <v>44797</v>
      </c>
      <c r="AS1618" s="60">
        <v>6002064873</v>
      </c>
      <c r="AT1618" s="61">
        <v>44797</v>
      </c>
      <c r="AU1618" s="60" t="s">
        <v>4439</v>
      </c>
      <c r="AV1618" s="61">
        <v>44817</v>
      </c>
      <c r="AW1618" s="91">
        <v>44834</v>
      </c>
      <c r="AX1618" s="91">
        <v>44854</v>
      </c>
      <c r="AY1618" s="107">
        <v>65000</v>
      </c>
      <c r="AZ1618" s="107">
        <f>ROUNDDOWN(AY1618+(AY1618*MASTER!$A$2/100),0)</f>
        <v>71500</v>
      </c>
      <c r="BC1618" s="64">
        <v>0</v>
      </c>
      <c r="BG1618" s="64">
        <v>0</v>
      </c>
      <c r="BK1618" s="64">
        <v>0</v>
      </c>
      <c r="BS1618" s="64">
        <v>0</v>
      </c>
      <c r="BV1618" s="65">
        <v>71500</v>
      </c>
      <c r="BW1618" s="65">
        <v>0</v>
      </c>
      <c r="BX1618" s="65">
        <v>44796</v>
      </c>
      <c r="BY1618" s="65">
        <v>71500</v>
      </c>
      <c r="BZ1618" s="81">
        <v>100</v>
      </c>
    </row>
    <row r="1619" spans="1:89" x14ac:dyDescent="0.15">
      <c r="A1619" s="60">
        <v>1</v>
      </c>
      <c r="B1619" s="61">
        <v>44805</v>
      </c>
      <c r="C1619" s="61">
        <v>44818</v>
      </c>
      <c r="F1619" s="61" t="s">
        <v>309</v>
      </c>
      <c r="H1619" s="61" t="s">
        <v>309</v>
      </c>
      <c r="J1619" s="60">
        <v>2</v>
      </c>
      <c r="L1619" s="60">
        <v>0</v>
      </c>
      <c r="M1619" s="61">
        <v>44796</v>
      </c>
      <c r="O1619" s="62" t="s">
        <v>331</v>
      </c>
      <c r="P1619" s="60" t="s">
        <v>77</v>
      </c>
      <c r="Q1619" s="62" t="s">
        <v>118</v>
      </c>
      <c r="R1619" s="62" t="s">
        <v>4645</v>
      </c>
      <c r="S1619" s="63" t="s">
        <v>866</v>
      </c>
      <c r="T1619" s="63" t="s">
        <v>1081</v>
      </c>
      <c r="U1619" s="64">
        <v>65000</v>
      </c>
      <c r="V1619" s="64">
        <v>71500</v>
      </c>
      <c r="W1619" s="64">
        <v>65000</v>
      </c>
      <c r="X1619" s="64">
        <v>71500</v>
      </c>
      <c r="Y1619" s="64">
        <v>0</v>
      </c>
      <c r="Z1619" s="64">
        <v>0</v>
      </c>
      <c r="AA1619" s="61" t="s">
        <v>4182</v>
      </c>
      <c r="AD1619" s="60">
        <v>0</v>
      </c>
      <c r="AG1619" s="60">
        <v>0</v>
      </c>
      <c r="AJ1619" s="60">
        <v>0</v>
      </c>
      <c r="AQ1619" s="60" t="s">
        <v>4421</v>
      </c>
      <c r="AR1619" s="61">
        <v>44797</v>
      </c>
      <c r="AS1619" s="60">
        <v>6002064873</v>
      </c>
      <c r="AT1619" s="61">
        <v>44797</v>
      </c>
      <c r="AU1619" s="60" t="s">
        <v>4439</v>
      </c>
      <c r="AV1619" s="61">
        <v>44818</v>
      </c>
      <c r="AW1619" s="91">
        <v>44834</v>
      </c>
      <c r="AX1619" s="91">
        <v>44854</v>
      </c>
      <c r="AY1619" s="107">
        <v>65000</v>
      </c>
      <c r="AZ1619" s="107">
        <f>ROUNDDOWN(AY1619+(AY1619*MASTER!$A$2/100),0)</f>
        <v>71500</v>
      </c>
      <c r="BC1619" s="64">
        <v>0</v>
      </c>
      <c r="BG1619" s="64">
        <v>0</v>
      </c>
      <c r="BK1619" s="64">
        <v>0</v>
      </c>
      <c r="BS1619" s="64">
        <v>0</v>
      </c>
      <c r="BV1619" s="65">
        <v>71500</v>
      </c>
      <c r="BW1619" s="65">
        <v>0</v>
      </c>
      <c r="BX1619" s="65">
        <v>44796</v>
      </c>
      <c r="BY1619" s="65">
        <v>71500</v>
      </c>
      <c r="BZ1619" s="81">
        <v>100</v>
      </c>
    </row>
    <row r="1620" spans="1:89" x14ac:dyDescent="0.15">
      <c r="A1620" s="60">
        <v>1</v>
      </c>
      <c r="B1620" s="61">
        <v>44805</v>
      </c>
      <c r="C1620" s="61">
        <v>44818</v>
      </c>
      <c r="F1620" s="61" t="s">
        <v>309</v>
      </c>
      <c r="H1620" s="61" t="s">
        <v>309</v>
      </c>
      <c r="J1620" s="60">
        <v>2</v>
      </c>
      <c r="L1620" s="60">
        <v>0</v>
      </c>
      <c r="M1620" s="61">
        <v>44796</v>
      </c>
      <c r="O1620" s="62" t="s">
        <v>331</v>
      </c>
      <c r="P1620" s="60" t="s">
        <v>77</v>
      </c>
      <c r="Q1620" s="62" t="s">
        <v>118</v>
      </c>
      <c r="R1620" s="62" t="s">
        <v>4646</v>
      </c>
      <c r="S1620" s="63" t="s">
        <v>3341</v>
      </c>
      <c r="T1620" s="63" t="s">
        <v>1081</v>
      </c>
      <c r="U1620" s="64">
        <v>65000</v>
      </c>
      <c r="V1620" s="64">
        <v>71500</v>
      </c>
      <c r="W1620" s="64">
        <v>65000</v>
      </c>
      <c r="X1620" s="64">
        <v>71500</v>
      </c>
      <c r="Y1620" s="64">
        <v>0</v>
      </c>
      <c r="Z1620" s="64">
        <v>0</v>
      </c>
      <c r="AA1620" s="61" t="s">
        <v>4182</v>
      </c>
      <c r="AD1620" s="60">
        <v>0</v>
      </c>
      <c r="AG1620" s="60">
        <v>0</v>
      </c>
      <c r="AJ1620" s="60">
        <v>0</v>
      </c>
      <c r="AQ1620" s="60" t="s">
        <v>4420</v>
      </c>
      <c r="AR1620" s="61">
        <v>44797</v>
      </c>
      <c r="AS1620" s="60">
        <v>6002064873</v>
      </c>
      <c r="AT1620" s="61">
        <v>44797</v>
      </c>
      <c r="AU1620" s="60" t="s">
        <v>4439</v>
      </c>
      <c r="AV1620" s="61">
        <v>44818</v>
      </c>
      <c r="AW1620" s="91">
        <v>44834</v>
      </c>
      <c r="AX1620" s="91">
        <v>44854</v>
      </c>
      <c r="AY1620" s="107">
        <v>65000</v>
      </c>
      <c r="AZ1620" s="107">
        <f>ROUNDDOWN(AY1620+(AY1620*MASTER!$A$2/100),0)</f>
        <v>71500</v>
      </c>
      <c r="BC1620" s="64">
        <v>0</v>
      </c>
      <c r="BG1620" s="64">
        <v>0</v>
      </c>
      <c r="BK1620" s="64">
        <v>0</v>
      </c>
      <c r="BS1620" s="64">
        <v>0</v>
      </c>
      <c r="BV1620" s="65">
        <v>71500</v>
      </c>
      <c r="BW1620" s="65">
        <v>0</v>
      </c>
      <c r="BX1620" s="65">
        <v>44796</v>
      </c>
      <c r="BY1620" s="65">
        <v>71500</v>
      </c>
      <c r="BZ1620" s="81">
        <v>100</v>
      </c>
    </row>
    <row r="1621" spans="1:89" x14ac:dyDescent="0.15">
      <c r="A1621" s="60">
        <v>2</v>
      </c>
      <c r="B1621" s="61">
        <v>44813</v>
      </c>
      <c r="C1621" s="61">
        <v>44821</v>
      </c>
      <c r="D1621" s="61" t="s">
        <v>764</v>
      </c>
      <c r="E1621" s="61">
        <v>44828</v>
      </c>
      <c r="F1621" s="61" t="s">
        <v>309</v>
      </c>
      <c r="G1621" s="61">
        <v>44825</v>
      </c>
      <c r="H1621" s="61" t="s">
        <v>309</v>
      </c>
      <c r="I1621" s="60" t="s">
        <v>511</v>
      </c>
      <c r="J1621" s="60">
        <v>1</v>
      </c>
      <c r="L1621" s="60">
        <v>0</v>
      </c>
      <c r="M1621" s="61">
        <v>44796</v>
      </c>
      <c r="O1621" s="62" t="s">
        <v>331</v>
      </c>
      <c r="P1621" s="60" t="s">
        <v>26</v>
      </c>
      <c r="Q1621" s="62" t="s">
        <v>118</v>
      </c>
      <c r="R1621" s="62" t="s">
        <v>4780</v>
      </c>
      <c r="S1621" s="63" t="s">
        <v>4781</v>
      </c>
      <c r="T1621" s="63" t="s">
        <v>4782</v>
      </c>
      <c r="U1621" s="64">
        <v>23900</v>
      </c>
      <c r="V1621" s="64">
        <v>26290</v>
      </c>
      <c r="W1621" s="64">
        <v>14700</v>
      </c>
      <c r="X1621" s="64">
        <v>16170</v>
      </c>
      <c r="Y1621" s="64">
        <v>9200</v>
      </c>
      <c r="Z1621" s="64">
        <v>10120</v>
      </c>
      <c r="AA1621" s="61">
        <v>44820</v>
      </c>
      <c r="AB1621" s="61">
        <v>44821</v>
      </c>
      <c r="AD1621" s="60">
        <v>0</v>
      </c>
      <c r="AG1621" s="60">
        <v>0</v>
      </c>
      <c r="AJ1621" s="60">
        <v>0</v>
      </c>
      <c r="AM1621" s="60" t="s">
        <v>273</v>
      </c>
      <c r="AN1621" s="60" t="s">
        <v>4783</v>
      </c>
      <c r="AQ1621" s="60" t="s">
        <v>4757</v>
      </c>
      <c r="AR1621" s="61">
        <v>44812</v>
      </c>
      <c r="AS1621" s="60">
        <v>6002071158</v>
      </c>
      <c r="AT1621" s="61">
        <v>44812</v>
      </c>
      <c r="AU1621" s="60" t="s">
        <v>4773</v>
      </c>
      <c r="AV1621" s="61">
        <v>44821</v>
      </c>
      <c r="AW1621" s="91">
        <v>44834</v>
      </c>
      <c r="AX1621" s="91">
        <v>44854</v>
      </c>
      <c r="AY1621" s="99">
        <v>22944</v>
      </c>
      <c r="AZ1621" s="99">
        <f>ROUNDDOWN(AY1621+(AY1621*MASTER!$A$2/100),0)</f>
        <v>25238</v>
      </c>
      <c r="BA1621" s="60" t="s">
        <v>765</v>
      </c>
      <c r="BC1621" s="64">
        <v>0</v>
      </c>
      <c r="BG1621" s="64">
        <v>0</v>
      </c>
      <c r="BK1621" s="64">
        <v>0</v>
      </c>
      <c r="BS1621" s="64">
        <v>0</v>
      </c>
      <c r="BV1621" s="65">
        <v>16170</v>
      </c>
      <c r="BW1621" s="65">
        <v>0</v>
      </c>
      <c r="BX1621" s="65">
        <v>44796</v>
      </c>
      <c r="BY1621" s="65">
        <v>16170</v>
      </c>
      <c r="BZ1621" s="81">
        <v>100</v>
      </c>
    </row>
    <row r="1622" spans="1:89" x14ac:dyDescent="0.15">
      <c r="A1622" s="60">
        <v>2</v>
      </c>
      <c r="B1622" s="61">
        <v>44805</v>
      </c>
      <c r="C1622" s="61">
        <v>44820</v>
      </c>
      <c r="E1622" s="61">
        <v>44810</v>
      </c>
      <c r="F1622" s="61" t="s">
        <v>309</v>
      </c>
      <c r="G1622" s="61">
        <v>44809</v>
      </c>
      <c r="H1622" s="61" t="s">
        <v>309</v>
      </c>
      <c r="I1622" s="60" t="s">
        <v>511</v>
      </c>
      <c r="J1622" s="60">
        <v>2</v>
      </c>
      <c r="L1622" s="60">
        <v>0</v>
      </c>
      <c r="M1622" s="61">
        <v>44796</v>
      </c>
      <c r="O1622" s="62" t="s">
        <v>331</v>
      </c>
      <c r="P1622" s="60" t="s">
        <v>26</v>
      </c>
      <c r="Q1622" s="62" t="s">
        <v>118</v>
      </c>
      <c r="R1622" s="62" t="s">
        <v>4591</v>
      </c>
      <c r="S1622" s="63" t="s">
        <v>4183</v>
      </c>
      <c r="T1622" s="63" t="s">
        <v>4592</v>
      </c>
      <c r="U1622" s="64">
        <v>1165000</v>
      </c>
      <c r="V1622" s="64">
        <v>1281500</v>
      </c>
      <c r="W1622" s="64">
        <v>1165000</v>
      </c>
      <c r="X1622" s="64">
        <v>1281500</v>
      </c>
      <c r="Y1622" s="64">
        <v>0</v>
      </c>
      <c r="Z1622" s="64">
        <v>0</v>
      </c>
      <c r="AA1622" s="61">
        <v>44804</v>
      </c>
      <c r="AB1622" s="61">
        <v>44805</v>
      </c>
      <c r="AD1622" s="60">
        <v>0</v>
      </c>
      <c r="AG1622" s="60">
        <v>0</v>
      </c>
      <c r="AJ1622" s="60">
        <v>0</v>
      </c>
      <c r="AM1622" s="60" t="s">
        <v>273</v>
      </c>
      <c r="AN1622" s="60" t="s">
        <v>4593</v>
      </c>
      <c r="AQ1622" s="60" t="s">
        <v>4601</v>
      </c>
      <c r="AR1622" s="61">
        <v>44804</v>
      </c>
      <c r="AS1622" s="60">
        <v>6002067420</v>
      </c>
      <c r="AT1622" s="61">
        <v>44804</v>
      </c>
      <c r="AU1622" s="60" t="s">
        <v>4607</v>
      </c>
      <c r="AV1622" s="61">
        <v>44820</v>
      </c>
      <c r="AW1622" s="91">
        <v>44834</v>
      </c>
      <c r="AX1622" s="91">
        <v>44854</v>
      </c>
      <c r="AY1622" s="99">
        <v>1118400</v>
      </c>
      <c r="AZ1622" s="99">
        <f>ROUNDDOWN(AY1622+(AY1622*MASTER!$A$2/100),0)</f>
        <v>1230240</v>
      </c>
      <c r="BA1622" s="60" t="s">
        <v>318</v>
      </c>
      <c r="BB1622" s="64">
        <v>323000</v>
      </c>
      <c r="BC1622" s="64">
        <v>355300</v>
      </c>
      <c r="BD1622" s="60" t="s">
        <v>4182</v>
      </c>
      <c r="BG1622" s="64">
        <v>0</v>
      </c>
      <c r="BK1622" s="64">
        <v>0</v>
      </c>
      <c r="BS1622" s="64">
        <v>0</v>
      </c>
      <c r="BV1622" s="65">
        <v>1281500</v>
      </c>
      <c r="BW1622" s="65">
        <v>355300</v>
      </c>
      <c r="BX1622" s="65">
        <v>44796</v>
      </c>
      <c r="BY1622" s="65">
        <v>926200</v>
      </c>
      <c r="BZ1622" s="81">
        <v>72.274678111587988</v>
      </c>
    </row>
    <row r="1623" spans="1:89" x14ac:dyDescent="0.15">
      <c r="A1623" s="60">
        <v>1</v>
      </c>
      <c r="B1623" s="61">
        <v>44813</v>
      </c>
      <c r="C1623" s="61">
        <v>44813</v>
      </c>
      <c r="F1623" s="61" t="s">
        <v>309</v>
      </c>
      <c r="H1623" s="61" t="s">
        <v>309</v>
      </c>
      <c r="J1623" s="60">
        <v>2</v>
      </c>
      <c r="L1623" s="60">
        <v>0</v>
      </c>
      <c r="M1623" s="61">
        <v>44796</v>
      </c>
      <c r="O1623" s="62" t="s">
        <v>331</v>
      </c>
      <c r="P1623" s="60" t="s">
        <v>6</v>
      </c>
      <c r="Q1623" s="62" t="s">
        <v>118</v>
      </c>
      <c r="R1623" s="62" t="s">
        <v>4746</v>
      </c>
      <c r="S1623" s="63" t="s">
        <v>1588</v>
      </c>
      <c r="T1623" s="63" t="s">
        <v>364</v>
      </c>
      <c r="U1623" s="64">
        <v>35000</v>
      </c>
      <c r="V1623" s="64">
        <v>38500</v>
      </c>
      <c r="W1623" s="64">
        <v>35000</v>
      </c>
      <c r="X1623" s="64">
        <v>38500</v>
      </c>
      <c r="Y1623" s="64">
        <v>0</v>
      </c>
      <c r="Z1623" s="64">
        <v>0</v>
      </c>
      <c r="AA1623" s="61">
        <v>44795</v>
      </c>
      <c r="AB1623" s="61">
        <v>44795</v>
      </c>
      <c r="AD1623" s="60">
        <v>0</v>
      </c>
      <c r="AG1623" s="60">
        <v>0</v>
      </c>
      <c r="AJ1623" s="60">
        <v>0</v>
      </c>
      <c r="AN1623" s="60" t="s">
        <v>309</v>
      </c>
      <c r="AQ1623" s="60" t="s">
        <v>4747</v>
      </c>
      <c r="AR1623" s="61">
        <v>44811</v>
      </c>
      <c r="AS1623" s="60">
        <v>6002070643</v>
      </c>
      <c r="AT1623" s="61">
        <v>44811</v>
      </c>
      <c r="AU1623" s="60" t="s">
        <v>4751</v>
      </c>
      <c r="AV1623" s="61">
        <v>44813</v>
      </c>
      <c r="AW1623" s="91">
        <v>44834</v>
      </c>
      <c r="AX1623" s="91">
        <v>44854</v>
      </c>
      <c r="AY1623" s="99">
        <v>33600</v>
      </c>
      <c r="AZ1623" s="99">
        <f>ROUNDDOWN(AY1623+(AY1623*MASTER!$A$2/100),0)</f>
        <v>36960</v>
      </c>
      <c r="BC1623" s="64">
        <v>0</v>
      </c>
      <c r="BG1623" s="64">
        <v>0</v>
      </c>
      <c r="BK1623" s="64">
        <v>0</v>
      </c>
      <c r="BS1623" s="64">
        <v>0</v>
      </c>
      <c r="BV1623" s="65">
        <v>38500</v>
      </c>
      <c r="BW1623" s="65">
        <v>0</v>
      </c>
      <c r="BX1623" s="65">
        <v>44796</v>
      </c>
      <c r="BY1623" s="65">
        <v>38500</v>
      </c>
      <c r="BZ1623" s="81">
        <v>100</v>
      </c>
    </row>
    <row r="1624" spans="1:89" x14ac:dyDescent="0.15">
      <c r="A1624" s="60">
        <v>1</v>
      </c>
      <c r="B1624" s="61">
        <v>44831</v>
      </c>
      <c r="C1624" s="61">
        <v>44834</v>
      </c>
      <c r="F1624" s="61" t="s">
        <v>309</v>
      </c>
      <c r="G1624" s="61">
        <v>44831</v>
      </c>
      <c r="H1624" s="61" t="s">
        <v>309</v>
      </c>
      <c r="J1624" s="60">
        <v>2</v>
      </c>
      <c r="L1624" s="60">
        <v>0</v>
      </c>
      <c r="M1624" s="61">
        <v>44796</v>
      </c>
      <c r="O1624" s="62" t="s">
        <v>331</v>
      </c>
      <c r="P1624" s="60" t="s">
        <v>6</v>
      </c>
      <c r="Q1624" s="62" t="s">
        <v>118</v>
      </c>
      <c r="R1624" s="62" t="s">
        <v>4411</v>
      </c>
      <c r="S1624" s="63" t="s">
        <v>1588</v>
      </c>
      <c r="T1624" s="63" t="s">
        <v>364</v>
      </c>
      <c r="U1624" s="64">
        <v>65000</v>
      </c>
      <c r="V1624" s="64">
        <v>71500</v>
      </c>
      <c r="W1624" s="64">
        <v>65000</v>
      </c>
      <c r="X1624" s="64">
        <v>71500</v>
      </c>
      <c r="Y1624" s="64">
        <v>0</v>
      </c>
      <c r="Z1624" s="64">
        <v>0</v>
      </c>
      <c r="AA1624" s="61">
        <v>44795</v>
      </c>
      <c r="AB1624" s="61">
        <v>44795</v>
      </c>
      <c r="AD1624" s="60">
        <v>0</v>
      </c>
      <c r="AG1624" s="60">
        <v>0</v>
      </c>
      <c r="AJ1624" s="60">
        <v>0</v>
      </c>
      <c r="AN1624" s="60" t="s">
        <v>309</v>
      </c>
      <c r="AQ1624" s="60" t="s">
        <v>4744</v>
      </c>
      <c r="AR1624" s="61">
        <v>44811</v>
      </c>
      <c r="AS1624" s="60">
        <v>6002070643</v>
      </c>
      <c r="AT1624" s="61">
        <v>44811</v>
      </c>
      <c r="AU1624" s="60" t="s">
        <v>4751</v>
      </c>
      <c r="AV1624" s="61">
        <v>44834</v>
      </c>
      <c r="AW1624" s="91">
        <v>44834</v>
      </c>
      <c r="AX1624" s="91">
        <v>44854</v>
      </c>
      <c r="AY1624" s="99">
        <v>62400</v>
      </c>
      <c r="AZ1624" s="99">
        <f>ROUNDDOWN(AY1624+(AY1624*MASTER!$A$2/100),0)</f>
        <v>68640</v>
      </c>
      <c r="BA1624" s="60" t="s">
        <v>613</v>
      </c>
      <c r="BB1624" s="64">
        <v>31000</v>
      </c>
      <c r="BC1624" s="64">
        <v>34100</v>
      </c>
      <c r="BD1624" s="60" t="s">
        <v>3940</v>
      </c>
      <c r="BG1624" s="64">
        <v>0</v>
      </c>
      <c r="BK1624" s="64">
        <v>0</v>
      </c>
      <c r="BS1624" s="64">
        <v>0</v>
      </c>
      <c r="BV1624" s="65">
        <v>71500</v>
      </c>
      <c r="BW1624" s="65">
        <v>34100</v>
      </c>
      <c r="BX1624" s="65">
        <v>44796</v>
      </c>
      <c r="BY1624" s="65">
        <v>37400</v>
      </c>
      <c r="BZ1624" s="81">
        <v>52.307692307692314</v>
      </c>
    </row>
    <row r="1625" spans="1:89" x14ac:dyDescent="0.15">
      <c r="A1625" s="60">
        <v>1</v>
      </c>
      <c r="B1625" s="61">
        <v>44826</v>
      </c>
      <c r="C1625" s="61">
        <v>44834</v>
      </c>
      <c r="F1625" s="61" t="s">
        <v>309</v>
      </c>
      <c r="H1625" s="61" t="s">
        <v>309</v>
      </c>
      <c r="J1625" s="60">
        <v>1</v>
      </c>
      <c r="L1625" s="60">
        <v>0</v>
      </c>
      <c r="M1625" s="61">
        <v>44796</v>
      </c>
      <c r="O1625" s="62" t="s">
        <v>331</v>
      </c>
      <c r="P1625" s="60" t="s">
        <v>26</v>
      </c>
      <c r="Q1625" s="62" t="s">
        <v>118</v>
      </c>
      <c r="R1625" s="62" t="s">
        <v>4913</v>
      </c>
      <c r="S1625" s="63" t="s">
        <v>1221</v>
      </c>
      <c r="T1625" s="63" t="s">
        <v>4914</v>
      </c>
      <c r="U1625" s="64">
        <v>59000</v>
      </c>
      <c r="V1625" s="64">
        <v>64900</v>
      </c>
      <c r="W1625" s="64">
        <v>47000</v>
      </c>
      <c r="X1625" s="64">
        <v>51700</v>
      </c>
      <c r="Y1625" s="64">
        <v>12000</v>
      </c>
      <c r="Z1625" s="64">
        <v>13200</v>
      </c>
      <c r="AA1625" s="61">
        <v>44830</v>
      </c>
      <c r="AB1625" s="61">
        <v>44831</v>
      </c>
      <c r="AD1625" s="60">
        <v>0</v>
      </c>
      <c r="AG1625" s="60">
        <v>0</v>
      </c>
      <c r="AJ1625" s="60">
        <v>0</v>
      </c>
      <c r="AM1625" s="60" t="s">
        <v>273</v>
      </c>
      <c r="AN1625" s="60" t="s">
        <v>4033</v>
      </c>
      <c r="AQ1625" s="60" t="s">
        <v>4761</v>
      </c>
      <c r="AR1625" s="61">
        <v>44812</v>
      </c>
      <c r="AS1625" s="60">
        <v>6002071158</v>
      </c>
      <c r="AT1625" s="61">
        <v>44812</v>
      </c>
      <c r="AU1625" s="60" t="s">
        <v>4773</v>
      </c>
      <c r="AV1625" s="61">
        <v>44834</v>
      </c>
      <c r="AW1625" s="91">
        <v>44834</v>
      </c>
      <c r="AX1625" s="91">
        <v>44854</v>
      </c>
      <c r="AY1625" s="99">
        <v>56640</v>
      </c>
      <c r="AZ1625" s="99">
        <f>ROUNDDOWN(AY1625+(AY1625*MASTER!$A$2/100),0)</f>
        <v>62304</v>
      </c>
      <c r="BA1625" s="60" t="s">
        <v>603</v>
      </c>
      <c r="BB1625" s="64">
        <v>46000</v>
      </c>
      <c r="BC1625" s="64">
        <v>50600</v>
      </c>
      <c r="BD1625" s="60" t="s">
        <v>4383</v>
      </c>
      <c r="BG1625" s="64">
        <v>0</v>
      </c>
      <c r="BK1625" s="64">
        <v>0</v>
      </c>
      <c r="BS1625" s="64">
        <v>0</v>
      </c>
      <c r="BV1625" s="65">
        <v>51700</v>
      </c>
      <c r="BW1625" s="65">
        <v>50600</v>
      </c>
      <c r="BX1625" s="65">
        <v>44796</v>
      </c>
      <c r="BY1625" s="65">
        <v>1100</v>
      </c>
      <c r="BZ1625" s="81">
        <v>2.1276595744680851</v>
      </c>
    </row>
    <row r="1626" spans="1:89" x14ac:dyDescent="0.15">
      <c r="A1626" s="60">
        <v>1</v>
      </c>
      <c r="B1626" s="61">
        <v>44805</v>
      </c>
      <c r="C1626" s="61">
        <v>44834</v>
      </c>
      <c r="F1626" s="61" t="s">
        <v>309</v>
      </c>
      <c r="H1626" s="61" t="s">
        <v>309</v>
      </c>
      <c r="J1626" s="60">
        <v>2</v>
      </c>
      <c r="L1626" s="60">
        <v>0</v>
      </c>
      <c r="M1626" s="61">
        <v>44796</v>
      </c>
      <c r="O1626" s="62" t="s">
        <v>331</v>
      </c>
      <c r="P1626" s="60" t="s">
        <v>77</v>
      </c>
      <c r="Q1626" s="62" t="s">
        <v>118</v>
      </c>
      <c r="R1626" s="62" t="s">
        <v>4647</v>
      </c>
      <c r="S1626" s="63" t="s">
        <v>2290</v>
      </c>
      <c r="T1626" s="63" t="s">
        <v>4415</v>
      </c>
      <c r="U1626" s="64">
        <v>65000</v>
      </c>
      <c r="V1626" s="64">
        <v>71500</v>
      </c>
      <c r="W1626" s="64">
        <v>65000</v>
      </c>
      <c r="X1626" s="64">
        <v>71500</v>
      </c>
      <c r="Y1626" s="64">
        <v>0</v>
      </c>
      <c r="Z1626" s="64">
        <v>0</v>
      </c>
      <c r="AA1626" s="61" t="s">
        <v>4182</v>
      </c>
      <c r="AD1626" s="60">
        <v>0</v>
      </c>
      <c r="AG1626" s="60">
        <v>0</v>
      </c>
      <c r="AJ1626" s="60">
        <v>0</v>
      </c>
      <c r="AQ1626" s="60" t="s">
        <v>4451</v>
      </c>
      <c r="AR1626" s="61">
        <v>44797</v>
      </c>
      <c r="AS1626" s="60">
        <v>6002065333</v>
      </c>
      <c r="AT1626" s="61">
        <v>44798</v>
      </c>
      <c r="AU1626" s="60" t="s">
        <v>4502</v>
      </c>
      <c r="AV1626" s="61">
        <v>44834</v>
      </c>
      <c r="AW1626" s="91">
        <v>44834</v>
      </c>
      <c r="AX1626" s="91">
        <v>44854</v>
      </c>
      <c r="AY1626" s="107">
        <v>65000</v>
      </c>
      <c r="AZ1626" s="107">
        <f>ROUNDDOWN(AY1626+(AY1626*MASTER!$A$2/100),0)</f>
        <v>71500</v>
      </c>
      <c r="BC1626" s="64">
        <v>0</v>
      </c>
      <c r="BG1626" s="64">
        <v>0</v>
      </c>
      <c r="BK1626" s="64">
        <v>0</v>
      </c>
      <c r="BS1626" s="64">
        <v>0</v>
      </c>
      <c r="BV1626" s="65">
        <v>71500</v>
      </c>
      <c r="BW1626" s="65">
        <v>0</v>
      </c>
      <c r="BX1626" s="65">
        <v>44796</v>
      </c>
      <c r="BY1626" s="65">
        <v>71500</v>
      </c>
      <c r="BZ1626" s="81">
        <v>100</v>
      </c>
    </row>
    <row r="1627" spans="1:89" x14ac:dyDescent="0.15">
      <c r="A1627" s="60">
        <v>1</v>
      </c>
      <c r="B1627" s="61">
        <v>44805</v>
      </c>
      <c r="C1627" s="61">
        <v>44834</v>
      </c>
      <c r="F1627" s="61" t="s">
        <v>309</v>
      </c>
      <c r="H1627" s="61" t="s">
        <v>309</v>
      </c>
      <c r="J1627" s="60">
        <v>2</v>
      </c>
      <c r="L1627" s="60">
        <v>0</v>
      </c>
      <c r="M1627" s="61">
        <v>44796</v>
      </c>
      <c r="O1627" s="62" t="s">
        <v>331</v>
      </c>
      <c r="P1627" s="60" t="s">
        <v>77</v>
      </c>
      <c r="Q1627" s="62" t="s">
        <v>118</v>
      </c>
      <c r="R1627" s="62" t="s">
        <v>4648</v>
      </c>
      <c r="S1627" s="63" t="s">
        <v>1221</v>
      </c>
      <c r="T1627" s="63" t="s">
        <v>4415</v>
      </c>
      <c r="U1627" s="64">
        <v>65000</v>
      </c>
      <c r="V1627" s="64">
        <v>71500</v>
      </c>
      <c r="W1627" s="64">
        <v>65000</v>
      </c>
      <c r="X1627" s="64">
        <v>71500</v>
      </c>
      <c r="Y1627" s="64">
        <v>0</v>
      </c>
      <c r="Z1627" s="64">
        <v>0</v>
      </c>
      <c r="AA1627" s="61" t="s">
        <v>4182</v>
      </c>
      <c r="AD1627" s="60">
        <v>0</v>
      </c>
      <c r="AG1627" s="60">
        <v>0</v>
      </c>
      <c r="AJ1627" s="60">
        <v>0</v>
      </c>
      <c r="AQ1627" s="60" t="s">
        <v>4451</v>
      </c>
      <c r="AR1627" s="61">
        <v>44797</v>
      </c>
      <c r="AS1627" s="60">
        <v>6002065333</v>
      </c>
      <c r="AT1627" s="61">
        <v>44798</v>
      </c>
      <c r="AU1627" s="60" t="s">
        <v>4502</v>
      </c>
      <c r="AV1627" s="61">
        <v>44834</v>
      </c>
      <c r="AW1627" s="91">
        <v>44834</v>
      </c>
      <c r="AX1627" s="91">
        <v>44854</v>
      </c>
      <c r="AY1627" s="107">
        <v>65000</v>
      </c>
      <c r="AZ1627" s="107">
        <f>ROUNDDOWN(AY1627+(AY1627*MASTER!$A$2/100),0)</f>
        <v>71500</v>
      </c>
      <c r="BC1627" s="64">
        <v>0</v>
      </c>
      <c r="BG1627" s="64">
        <v>0</v>
      </c>
      <c r="BK1627" s="64">
        <v>0</v>
      </c>
      <c r="BS1627" s="64">
        <v>0</v>
      </c>
      <c r="BV1627" s="65">
        <v>71500</v>
      </c>
      <c r="BW1627" s="65">
        <v>0</v>
      </c>
      <c r="BX1627" s="65">
        <v>44796</v>
      </c>
      <c r="BY1627" s="65">
        <v>71500</v>
      </c>
      <c r="BZ1627" s="81">
        <v>100</v>
      </c>
    </row>
    <row r="1628" spans="1:89" x14ac:dyDescent="0.15">
      <c r="A1628" s="60">
        <v>1</v>
      </c>
      <c r="B1628" s="61">
        <v>44805</v>
      </c>
      <c r="C1628" s="61">
        <v>44834</v>
      </c>
      <c r="F1628" s="61" t="s">
        <v>309</v>
      </c>
      <c r="H1628" s="61" t="s">
        <v>309</v>
      </c>
      <c r="J1628" s="60">
        <v>2</v>
      </c>
      <c r="L1628" s="60">
        <v>0</v>
      </c>
      <c r="M1628" s="61">
        <v>44796</v>
      </c>
      <c r="O1628" s="62" t="s">
        <v>331</v>
      </c>
      <c r="P1628" s="60" t="s">
        <v>77</v>
      </c>
      <c r="Q1628" s="62" t="s">
        <v>118</v>
      </c>
      <c r="R1628" s="62" t="s">
        <v>4649</v>
      </c>
      <c r="S1628" s="63" t="s">
        <v>2252</v>
      </c>
      <c r="T1628" s="63" t="s">
        <v>4415</v>
      </c>
      <c r="U1628" s="64">
        <v>65000</v>
      </c>
      <c r="V1628" s="64">
        <v>71500</v>
      </c>
      <c r="W1628" s="64">
        <v>65000</v>
      </c>
      <c r="X1628" s="64">
        <v>71500</v>
      </c>
      <c r="Y1628" s="64">
        <v>0</v>
      </c>
      <c r="Z1628" s="64">
        <v>0</v>
      </c>
      <c r="AA1628" s="61" t="s">
        <v>4182</v>
      </c>
      <c r="AD1628" s="60">
        <v>0</v>
      </c>
      <c r="AG1628" s="60">
        <v>0</v>
      </c>
      <c r="AJ1628" s="60">
        <v>0</v>
      </c>
      <c r="AQ1628" s="60" t="s">
        <v>4451</v>
      </c>
      <c r="AR1628" s="61">
        <v>44797</v>
      </c>
      <c r="AS1628" s="60">
        <v>6002065333</v>
      </c>
      <c r="AT1628" s="61">
        <v>44798</v>
      </c>
      <c r="AU1628" s="60" t="s">
        <v>4502</v>
      </c>
      <c r="AV1628" s="61">
        <v>44834</v>
      </c>
      <c r="AW1628" s="91">
        <v>44834</v>
      </c>
      <c r="AX1628" s="91">
        <v>44854</v>
      </c>
      <c r="AY1628" s="107">
        <v>65000</v>
      </c>
      <c r="AZ1628" s="107">
        <f>ROUNDDOWN(AY1628+(AY1628*MASTER!$A$2/100),0)</f>
        <v>71500</v>
      </c>
      <c r="BC1628" s="64">
        <v>0</v>
      </c>
      <c r="BG1628" s="64">
        <v>0</v>
      </c>
      <c r="BK1628" s="64">
        <v>0</v>
      </c>
      <c r="BS1628" s="64">
        <v>0</v>
      </c>
      <c r="BV1628" s="65">
        <v>71500</v>
      </c>
      <c r="BW1628" s="65">
        <v>0</v>
      </c>
      <c r="BX1628" s="65">
        <v>44796</v>
      </c>
      <c r="BY1628" s="65">
        <v>71500</v>
      </c>
      <c r="BZ1628" s="81">
        <v>100</v>
      </c>
    </row>
    <row r="1629" spans="1:89" x14ac:dyDescent="0.15">
      <c r="A1629" s="60">
        <v>1</v>
      </c>
      <c r="B1629" s="61">
        <v>44805</v>
      </c>
      <c r="C1629" s="61">
        <v>44834</v>
      </c>
      <c r="F1629" s="61" t="s">
        <v>309</v>
      </c>
      <c r="H1629" s="61" t="s">
        <v>309</v>
      </c>
      <c r="J1629" s="60">
        <v>2</v>
      </c>
      <c r="L1629" s="60">
        <v>0</v>
      </c>
      <c r="M1629" s="61">
        <v>44796</v>
      </c>
      <c r="O1629" s="62" t="s">
        <v>331</v>
      </c>
      <c r="P1629" s="60" t="s">
        <v>77</v>
      </c>
      <c r="Q1629" s="62" t="s">
        <v>118</v>
      </c>
      <c r="R1629" s="62" t="s">
        <v>4650</v>
      </c>
      <c r="S1629" s="63" t="s">
        <v>2285</v>
      </c>
      <c r="T1629" s="63" t="s">
        <v>4415</v>
      </c>
      <c r="U1629" s="64">
        <v>65000</v>
      </c>
      <c r="V1629" s="64">
        <v>71500</v>
      </c>
      <c r="W1629" s="64">
        <v>65000</v>
      </c>
      <c r="X1629" s="64">
        <v>71500</v>
      </c>
      <c r="Y1629" s="64">
        <v>0</v>
      </c>
      <c r="Z1629" s="64">
        <v>0</v>
      </c>
      <c r="AA1629" s="61" t="s">
        <v>4182</v>
      </c>
      <c r="AD1629" s="60">
        <v>0</v>
      </c>
      <c r="AG1629" s="60">
        <v>0</v>
      </c>
      <c r="AJ1629" s="60">
        <v>0</v>
      </c>
      <c r="AQ1629" s="60" t="s">
        <v>4451</v>
      </c>
      <c r="AR1629" s="61">
        <v>44797</v>
      </c>
      <c r="AS1629" s="60">
        <v>6002065333</v>
      </c>
      <c r="AT1629" s="61">
        <v>44798</v>
      </c>
      <c r="AU1629" s="60" t="s">
        <v>4502</v>
      </c>
      <c r="AV1629" s="61">
        <v>44834</v>
      </c>
      <c r="AW1629" s="91">
        <v>44834</v>
      </c>
      <c r="AX1629" s="91">
        <v>44854</v>
      </c>
      <c r="AY1629" s="107">
        <v>65000</v>
      </c>
      <c r="AZ1629" s="107">
        <f>ROUNDDOWN(AY1629+(AY1629*MASTER!$A$2/100),0)</f>
        <v>71500</v>
      </c>
      <c r="BC1629" s="64">
        <v>0</v>
      </c>
      <c r="BG1629" s="64">
        <v>0</v>
      </c>
      <c r="BK1629" s="64">
        <v>0</v>
      </c>
      <c r="BS1629" s="64">
        <v>0</v>
      </c>
      <c r="BV1629" s="65">
        <v>71500</v>
      </c>
      <c r="BW1629" s="65">
        <v>0</v>
      </c>
      <c r="BX1629" s="65">
        <v>44796</v>
      </c>
      <c r="BY1629" s="65">
        <v>71500</v>
      </c>
      <c r="BZ1629" s="81">
        <v>100</v>
      </c>
    </row>
    <row r="1630" spans="1:89" x14ac:dyDescent="0.15">
      <c r="A1630" s="60">
        <v>1</v>
      </c>
      <c r="B1630" s="61">
        <v>44805</v>
      </c>
      <c r="C1630" s="61">
        <v>44834</v>
      </c>
      <c r="F1630" s="61" t="s">
        <v>309</v>
      </c>
      <c r="H1630" s="61" t="s">
        <v>309</v>
      </c>
      <c r="J1630" s="60">
        <v>2</v>
      </c>
      <c r="L1630" s="60">
        <v>0</v>
      </c>
      <c r="M1630" s="61">
        <v>44796</v>
      </c>
      <c r="O1630" s="62" t="s">
        <v>331</v>
      </c>
      <c r="P1630" s="60" t="s">
        <v>77</v>
      </c>
      <c r="Q1630" s="62" t="s">
        <v>118</v>
      </c>
      <c r="R1630" s="62" t="s">
        <v>4651</v>
      </c>
      <c r="S1630" s="63" t="s">
        <v>1072</v>
      </c>
      <c r="T1630" s="63" t="s">
        <v>4415</v>
      </c>
      <c r="U1630" s="64">
        <v>65000</v>
      </c>
      <c r="V1630" s="64">
        <v>71500</v>
      </c>
      <c r="W1630" s="64">
        <v>65000</v>
      </c>
      <c r="X1630" s="64">
        <v>71500</v>
      </c>
      <c r="Y1630" s="64">
        <v>0</v>
      </c>
      <c r="Z1630" s="64">
        <v>0</v>
      </c>
      <c r="AA1630" s="61" t="s">
        <v>4182</v>
      </c>
      <c r="AD1630" s="60">
        <v>0</v>
      </c>
      <c r="AG1630" s="60">
        <v>0</v>
      </c>
      <c r="AJ1630" s="60">
        <v>0</v>
      </c>
      <c r="AQ1630" s="60" t="s">
        <v>4451</v>
      </c>
      <c r="AR1630" s="61">
        <v>44797</v>
      </c>
      <c r="AS1630" s="60">
        <v>6002065333</v>
      </c>
      <c r="AT1630" s="61">
        <v>44798</v>
      </c>
      <c r="AU1630" s="60" t="s">
        <v>4502</v>
      </c>
      <c r="AV1630" s="61">
        <v>44834</v>
      </c>
      <c r="AW1630" s="91">
        <v>44834</v>
      </c>
      <c r="AX1630" s="91">
        <v>44854</v>
      </c>
      <c r="AY1630" s="107">
        <v>65000</v>
      </c>
      <c r="AZ1630" s="107">
        <f>ROUNDDOWN(AY1630+(AY1630*MASTER!$A$2/100),0)</f>
        <v>71500</v>
      </c>
      <c r="BC1630" s="64">
        <v>0</v>
      </c>
      <c r="BG1630" s="64">
        <v>0</v>
      </c>
      <c r="BK1630" s="64">
        <v>0</v>
      </c>
      <c r="BS1630" s="64">
        <v>0</v>
      </c>
      <c r="BV1630" s="65">
        <v>71500</v>
      </c>
      <c r="BW1630" s="65">
        <v>0</v>
      </c>
      <c r="BX1630" s="65">
        <v>44796</v>
      </c>
      <c r="BY1630" s="65">
        <v>71500</v>
      </c>
      <c r="BZ1630" s="81">
        <v>100</v>
      </c>
    </row>
    <row r="1631" spans="1:89" s="152" customFormat="1" x14ac:dyDescent="0.15">
      <c r="A1631" s="142">
        <v>3</v>
      </c>
      <c r="B1631" s="143"/>
      <c r="C1631" s="143" t="s">
        <v>309</v>
      </c>
      <c r="D1631" s="143"/>
      <c r="E1631" s="143"/>
      <c r="F1631" s="143" t="s">
        <v>309</v>
      </c>
      <c r="G1631" s="143"/>
      <c r="H1631" s="143" t="s">
        <v>309</v>
      </c>
      <c r="I1631" s="142"/>
      <c r="J1631" s="142">
        <v>2</v>
      </c>
      <c r="K1631" s="143"/>
      <c r="L1631" s="142">
        <v>0</v>
      </c>
      <c r="M1631" s="143">
        <v>44797</v>
      </c>
      <c r="N1631" s="143"/>
      <c r="O1631" s="144" t="s">
        <v>331</v>
      </c>
      <c r="P1631" s="142" t="s">
        <v>77</v>
      </c>
      <c r="Q1631" s="144" t="s">
        <v>118</v>
      </c>
      <c r="R1631" s="144" t="s">
        <v>4582</v>
      </c>
      <c r="S1631" s="145" t="s">
        <v>520</v>
      </c>
      <c r="T1631" s="145" t="s">
        <v>1081</v>
      </c>
      <c r="U1631" s="146">
        <v>65000</v>
      </c>
      <c r="V1631" s="146">
        <v>71500</v>
      </c>
      <c r="W1631" s="146">
        <v>65000</v>
      </c>
      <c r="X1631" s="146">
        <v>71500</v>
      </c>
      <c r="Y1631" s="146">
        <v>0</v>
      </c>
      <c r="Z1631" s="146">
        <v>0</v>
      </c>
      <c r="AA1631" s="143" t="s">
        <v>4182</v>
      </c>
      <c r="AB1631" s="143"/>
      <c r="AC1631" s="143"/>
      <c r="AD1631" s="142">
        <v>0</v>
      </c>
      <c r="AE1631" s="142"/>
      <c r="AF1631" s="142"/>
      <c r="AG1631" s="142">
        <v>0</v>
      </c>
      <c r="AH1631" s="142"/>
      <c r="AI1631" s="142"/>
      <c r="AJ1631" s="142">
        <v>0</v>
      </c>
      <c r="AK1631" s="142"/>
      <c r="AL1631" s="142"/>
      <c r="AM1631" s="142"/>
      <c r="AN1631" s="142"/>
      <c r="AO1631" s="143"/>
      <c r="AP1631" s="142"/>
      <c r="AQ1631" s="142" t="s">
        <v>4492</v>
      </c>
      <c r="AR1631" s="143"/>
      <c r="AS1631" s="142"/>
      <c r="AT1631" s="143"/>
      <c r="AU1631" s="142"/>
      <c r="AV1631" s="143"/>
      <c r="AW1631" s="147"/>
      <c r="AX1631" s="147"/>
      <c r="AY1631" s="154">
        <v>65000</v>
      </c>
      <c r="AZ1631" s="154">
        <f>ROUNDDOWN(AY1631+(AY1631*MASTER!$A$2/100),0)</f>
        <v>71500</v>
      </c>
      <c r="BA1631" s="142"/>
      <c r="BB1631" s="146"/>
      <c r="BC1631" s="146">
        <v>0</v>
      </c>
      <c r="BD1631" s="142"/>
      <c r="BE1631" s="142"/>
      <c r="BF1631" s="146"/>
      <c r="BG1631" s="146">
        <v>0</v>
      </c>
      <c r="BH1631" s="142"/>
      <c r="BI1631" s="142"/>
      <c r="BJ1631" s="146"/>
      <c r="BK1631" s="146">
        <v>0</v>
      </c>
      <c r="BL1631" s="142"/>
      <c r="BM1631" s="146"/>
      <c r="BN1631" s="146"/>
      <c r="BO1631" s="146"/>
      <c r="BP1631" s="146"/>
      <c r="BQ1631" s="146"/>
      <c r="BR1631" s="146"/>
      <c r="BS1631" s="146">
        <v>0</v>
      </c>
      <c r="BT1631" s="149"/>
      <c r="BU1631" s="149"/>
      <c r="BV1631" s="150">
        <v>71500</v>
      </c>
      <c r="BW1631" s="150">
        <v>0</v>
      </c>
      <c r="BX1631" s="150">
        <v>44797</v>
      </c>
      <c r="BY1631" s="150">
        <v>71500</v>
      </c>
      <c r="BZ1631" s="151">
        <v>100</v>
      </c>
      <c r="CA1631" s="142"/>
      <c r="CB1631" s="142"/>
      <c r="CC1631" s="142"/>
      <c r="CD1631" s="145" t="s">
        <v>4583</v>
      </c>
      <c r="CE1631" s="143"/>
      <c r="CF1631" s="143"/>
      <c r="CG1631" s="143"/>
      <c r="CH1631" s="143"/>
      <c r="CI1631" s="143"/>
      <c r="CJ1631" s="143"/>
      <c r="CK1631" s="146"/>
    </row>
    <row r="1632" spans="1:89" s="152" customFormat="1" x14ac:dyDescent="0.15">
      <c r="A1632" s="142">
        <v>3</v>
      </c>
      <c r="B1632" s="143"/>
      <c r="C1632" s="143" t="s">
        <v>309</v>
      </c>
      <c r="D1632" s="143"/>
      <c r="E1632" s="143"/>
      <c r="F1632" s="143" t="s">
        <v>309</v>
      </c>
      <c r="G1632" s="143"/>
      <c r="H1632" s="143" t="s">
        <v>309</v>
      </c>
      <c r="I1632" s="142"/>
      <c r="J1632" s="142">
        <v>2</v>
      </c>
      <c r="K1632" s="143"/>
      <c r="L1632" s="142">
        <v>0</v>
      </c>
      <c r="M1632" s="143">
        <v>44797</v>
      </c>
      <c r="N1632" s="143"/>
      <c r="O1632" s="144" t="s">
        <v>335</v>
      </c>
      <c r="P1632" s="142" t="s">
        <v>77</v>
      </c>
      <c r="Q1632" s="144" t="s">
        <v>4189</v>
      </c>
      <c r="R1632" s="144" t="s">
        <v>4430</v>
      </c>
      <c r="S1632" s="145" t="s">
        <v>1989</v>
      </c>
      <c r="T1632" s="145" t="s">
        <v>1081</v>
      </c>
      <c r="U1632" s="146">
        <v>65000</v>
      </c>
      <c r="V1632" s="146">
        <v>71500</v>
      </c>
      <c r="W1632" s="146">
        <v>65000</v>
      </c>
      <c r="X1632" s="146">
        <v>71500</v>
      </c>
      <c r="Y1632" s="146">
        <v>0</v>
      </c>
      <c r="Z1632" s="146">
        <v>0</v>
      </c>
      <c r="AA1632" s="143" t="s">
        <v>285</v>
      </c>
      <c r="AB1632" s="143"/>
      <c r="AC1632" s="143"/>
      <c r="AD1632" s="142"/>
      <c r="AE1632" s="142"/>
      <c r="AF1632" s="142"/>
      <c r="AG1632" s="142"/>
      <c r="AH1632" s="142"/>
      <c r="AI1632" s="142"/>
      <c r="AJ1632" s="142"/>
      <c r="AK1632" s="142"/>
      <c r="AL1632" s="142"/>
      <c r="AM1632" s="142"/>
      <c r="AN1632" s="142"/>
      <c r="AO1632" s="143"/>
      <c r="AP1632" s="142"/>
      <c r="AQ1632" s="142" t="s">
        <v>4492</v>
      </c>
      <c r="AR1632" s="143"/>
      <c r="AS1632" s="142"/>
      <c r="AT1632" s="143"/>
      <c r="AU1632" s="142"/>
      <c r="AV1632" s="143"/>
      <c r="AW1632" s="147"/>
      <c r="AX1632" s="147"/>
      <c r="AY1632" s="154">
        <f t="shared" ref="AY1632:AY1641" si="6">U1632</f>
        <v>65000</v>
      </c>
      <c r="AZ1632" s="154">
        <f>ROUNDDOWN(AY1632+(AY1632*MASTER!$A$2/100),0)</f>
        <v>71500</v>
      </c>
      <c r="BA1632" s="142"/>
      <c r="BB1632" s="146"/>
      <c r="BC1632" s="146"/>
      <c r="BD1632" s="142"/>
      <c r="BE1632" s="142"/>
      <c r="BF1632" s="146"/>
      <c r="BG1632" s="146"/>
      <c r="BH1632" s="142"/>
      <c r="BI1632" s="142"/>
      <c r="BJ1632" s="146"/>
      <c r="BK1632" s="146"/>
      <c r="BL1632" s="142"/>
      <c r="BM1632" s="146"/>
      <c r="BN1632" s="146"/>
      <c r="BO1632" s="146"/>
      <c r="BP1632" s="146"/>
      <c r="BQ1632" s="146"/>
      <c r="BR1632" s="146"/>
      <c r="BS1632" s="146"/>
      <c r="BT1632" s="149"/>
      <c r="BU1632" s="149"/>
      <c r="BV1632" s="150"/>
      <c r="BW1632" s="150"/>
      <c r="BX1632" s="150"/>
      <c r="BY1632" s="150"/>
      <c r="BZ1632" s="151"/>
      <c r="CA1632" s="142"/>
      <c r="CB1632" s="142"/>
      <c r="CC1632" s="142"/>
      <c r="CD1632" s="145" t="s">
        <v>4583</v>
      </c>
      <c r="CE1632" s="143"/>
      <c r="CF1632" s="143"/>
      <c r="CG1632" s="143"/>
      <c r="CH1632" s="143"/>
      <c r="CI1632" s="143"/>
      <c r="CJ1632" s="143"/>
      <c r="CK1632" s="146"/>
    </row>
    <row r="1633" spans="1:89" s="152" customFormat="1" x14ac:dyDescent="0.15">
      <c r="A1633" s="142">
        <v>3</v>
      </c>
      <c r="B1633" s="143"/>
      <c r="C1633" s="143" t="s">
        <v>309</v>
      </c>
      <c r="D1633" s="143"/>
      <c r="E1633" s="143"/>
      <c r="F1633" s="143" t="s">
        <v>309</v>
      </c>
      <c r="G1633" s="143"/>
      <c r="H1633" s="143" t="s">
        <v>309</v>
      </c>
      <c r="I1633" s="142"/>
      <c r="J1633" s="142">
        <v>2</v>
      </c>
      <c r="K1633" s="143"/>
      <c r="L1633" s="142">
        <v>0</v>
      </c>
      <c r="M1633" s="143">
        <v>44797</v>
      </c>
      <c r="N1633" s="143"/>
      <c r="O1633" s="144" t="s">
        <v>335</v>
      </c>
      <c r="P1633" s="142" t="s">
        <v>77</v>
      </c>
      <c r="Q1633" s="144" t="s">
        <v>4189</v>
      </c>
      <c r="R1633" s="144" t="s">
        <v>4431</v>
      </c>
      <c r="S1633" s="145" t="s">
        <v>1381</v>
      </c>
      <c r="T1633" s="145" t="s">
        <v>1081</v>
      </c>
      <c r="U1633" s="146">
        <v>65000</v>
      </c>
      <c r="V1633" s="146">
        <v>71500</v>
      </c>
      <c r="W1633" s="146">
        <v>65000</v>
      </c>
      <c r="X1633" s="146">
        <v>71500</v>
      </c>
      <c r="Y1633" s="146">
        <v>0</v>
      </c>
      <c r="Z1633" s="146">
        <v>0</v>
      </c>
      <c r="AA1633" s="143" t="s">
        <v>285</v>
      </c>
      <c r="AB1633" s="143"/>
      <c r="AC1633" s="143"/>
      <c r="AD1633" s="142"/>
      <c r="AE1633" s="142"/>
      <c r="AF1633" s="142"/>
      <c r="AG1633" s="142"/>
      <c r="AH1633" s="142"/>
      <c r="AI1633" s="142"/>
      <c r="AJ1633" s="142"/>
      <c r="AK1633" s="142"/>
      <c r="AL1633" s="142"/>
      <c r="AM1633" s="142"/>
      <c r="AN1633" s="142"/>
      <c r="AO1633" s="143"/>
      <c r="AP1633" s="142"/>
      <c r="AQ1633" s="142" t="s">
        <v>4492</v>
      </c>
      <c r="AR1633" s="143"/>
      <c r="AS1633" s="142"/>
      <c r="AT1633" s="143"/>
      <c r="AU1633" s="142"/>
      <c r="AV1633" s="143"/>
      <c r="AW1633" s="147"/>
      <c r="AX1633" s="147"/>
      <c r="AY1633" s="154">
        <f t="shared" si="6"/>
        <v>65000</v>
      </c>
      <c r="AZ1633" s="154">
        <f>ROUNDDOWN(AY1633+(AY1633*MASTER!$A$2/100),0)</f>
        <v>71500</v>
      </c>
      <c r="BA1633" s="142"/>
      <c r="BB1633" s="146"/>
      <c r="BC1633" s="146"/>
      <c r="BD1633" s="142"/>
      <c r="BE1633" s="142"/>
      <c r="BF1633" s="146"/>
      <c r="BG1633" s="146"/>
      <c r="BH1633" s="142"/>
      <c r="BI1633" s="142"/>
      <c r="BJ1633" s="146"/>
      <c r="BK1633" s="146"/>
      <c r="BL1633" s="142"/>
      <c r="BM1633" s="146"/>
      <c r="BN1633" s="146"/>
      <c r="BO1633" s="146"/>
      <c r="BP1633" s="146"/>
      <c r="BQ1633" s="146"/>
      <c r="BR1633" s="146"/>
      <c r="BS1633" s="146"/>
      <c r="BT1633" s="149"/>
      <c r="BU1633" s="149"/>
      <c r="BV1633" s="150"/>
      <c r="BW1633" s="150"/>
      <c r="BX1633" s="150"/>
      <c r="BY1633" s="150"/>
      <c r="BZ1633" s="151"/>
      <c r="CA1633" s="142"/>
      <c r="CB1633" s="142"/>
      <c r="CC1633" s="142"/>
      <c r="CD1633" s="145" t="s">
        <v>4583</v>
      </c>
      <c r="CE1633" s="143"/>
      <c r="CF1633" s="143"/>
      <c r="CG1633" s="143"/>
      <c r="CH1633" s="143"/>
      <c r="CI1633" s="143"/>
      <c r="CJ1633" s="143"/>
      <c r="CK1633" s="146"/>
    </row>
    <row r="1634" spans="1:89" s="152" customFormat="1" x14ac:dyDescent="0.15">
      <c r="A1634" s="142">
        <v>3</v>
      </c>
      <c r="B1634" s="143"/>
      <c r="C1634" s="143" t="s">
        <v>309</v>
      </c>
      <c r="D1634" s="143"/>
      <c r="E1634" s="143"/>
      <c r="F1634" s="143" t="s">
        <v>309</v>
      </c>
      <c r="G1634" s="143"/>
      <c r="H1634" s="143" t="s">
        <v>309</v>
      </c>
      <c r="I1634" s="142"/>
      <c r="J1634" s="142">
        <v>2</v>
      </c>
      <c r="K1634" s="143"/>
      <c r="L1634" s="142">
        <v>0</v>
      </c>
      <c r="M1634" s="143">
        <v>44797</v>
      </c>
      <c r="N1634" s="143"/>
      <c r="O1634" s="144" t="s">
        <v>335</v>
      </c>
      <c r="P1634" s="142" t="s">
        <v>77</v>
      </c>
      <c r="Q1634" s="144" t="s">
        <v>4189</v>
      </c>
      <c r="R1634" s="144" t="s">
        <v>4432</v>
      </c>
      <c r="S1634" s="145" t="s">
        <v>1819</v>
      </c>
      <c r="T1634" s="145" t="s">
        <v>1081</v>
      </c>
      <c r="U1634" s="146">
        <v>65000</v>
      </c>
      <c r="V1634" s="146">
        <v>71500</v>
      </c>
      <c r="W1634" s="146">
        <v>65000</v>
      </c>
      <c r="X1634" s="146">
        <v>71500</v>
      </c>
      <c r="Y1634" s="146">
        <v>0</v>
      </c>
      <c r="Z1634" s="146">
        <v>0</v>
      </c>
      <c r="AA1634" s="143" t="s">
        <v>285</v>
      </c>
      <c r="AB1634" s="143"/>
      <c r="AC1634" s="143"/>
      <c r="AD1634" s="142"/>
      <c r="AE1634" s="142"/>
      <c r="AF1634" s="142"/>
      <c r="AG1634" s="142"/>
      <c r="AH1634" s="142"/>
      <c r="AI1634" s="142"/>
      <c r="AJ1634" s="142"/>
      <c r="AK1634" s="142"/>
      <c r="AL1634" s="142"/>
      <c r="AM1634" s="142"/>
      <c r="AN1634" s="142"/>
      <c r="AO1634" s="143"/>
      <c r="AP1634" s="142"/>
      <c r="AQ1634" s="142" t="s">
        <v>4492</v>
      </c>
      <c r="AR1634" s="143"/>
      <c r="AS1634" s="142"/>
      <c r="AT1634" s="143"/>
      <c r="AU1634" s="142"/>
      <c r="AV1634" s="143"/>
      <c r="AW1634" s="147"/>
      <c r="AX1634" s="147"/>
      <c r="AY1634" s="154">
        <f t="shared" si="6"/>
        <v>65000</v>
      </c>
      <c r="AZ1634" s="154">
        <f>ROUNDDOWN(AY1634+(AY1634*MASTER!$A$2/100),0)</f>
        <v>71500</v>
      </c>
      <c r="BA1634" s="142"/>
      <c r="BB1634" s="146"/>
      <c r="BC1634" s="146"/>
      <c r="BD1634" s="142"/>
      <c r="BE1634" s="142"/>
      <c r="BF1634" s="146"/>
      <c r="BG1634" s="146"/>
      <c r="BH1634" s="142"/>
      <c r="BI1634" s="142"/>
      <c r="BJ1634" s="146"/>
      <c r="BK1634" s="146"/>
      <c r="BL1634" s="142"/>
      <c r="BM1634" s="146"/>
      <c r="BN1634" s="146"/>
      <c r="BO1634" s="146"/>
      <c r="BP1634" s="146"/>
      <c r="BQ1634" s="146"/>
      <c r="BR1634" s="146"/>
      <c r="BS1634" s="146"/>
      <c r="BT1634" s="149"/>
      <c r="BU1634" s="149"/>
      <c r="BV1634" s="150"/>
      <c r="BW1634" s="150"/>
      <c r="BX1634" s="150"/>
      <c r="BY1634" s="150"/>
      <c r="BZ1634" s="151"/>
      <c r="CA1634" s="142"/>
      <c r="CB1634" s="142"/>
      <c r="CC1634" s="142"/>
      <c r="CD1634" s="145" t="s">
        <v>4583</v>
      </c>
      <c r="CE1634" s="143"/>
      <c r="CF1634" s="143"/>
      <c r="CG1634" s="143"/>
      <c r="CH1634" s="143"/>
      <c r="CI1634" s="143"/>
      <c r="CJ1634" s="143"/>
      <c r="CK1634" s="146"/>
    </row>
    <row r="1635" spans="1:89" x14ac:dyDescent="0.15">
      <c r="A1635" s="60">
        <v>1</v>
      </c>
      <c r="B1635" s="61">
        <v>44805</v>
      </c>
      <c r="C1635" s="61">
        <v>44834</v>
      </c>
      <c r="F1635" s="61" t="s">
        <v>309</v>
      </c>
      <c r="H1635" s="61" t="s">
        <v>309</v>
      </c>
      <c r="J1635" s="60">
        <v>2</v>
      </c>
      <c r="L1635" s="60">
        <v>0</v>
      </c>
      <c r="M1635" s="61">
        <v>44797</v>
      </c>
      <c r="O1635" s="62" t="s">
        <v>331</v>
      </c>
      <c r="P1635" s="60" t="s">
        <v>77</v>
      </c>
      <c r="Q1635" s="62" t="s">
        <v>118</v>
      </c>
      <c r="R1635" s="62" t="s">
        <v>4652</v>
      </c>
      <c r="S1635" s="63" t="s">
        <v>509</v>
      </c>
      <c r="T1635" s="63" t="s">
        <v>1081</v>
      </c>
      <c r="U1635" s="64">
        <v>65000</v>
      </c>
      <c r="V1635" s="64">
        <v>71500</v>
      </c>
      <c r="W1635" s="64">
        <v>65000</v>
      </c>
      <c r="X1635" s="64">
        <v>71500</v>
      </c>
      <c r="Y1635" s="64">
        <v>0</v>
      </c>
      <c r="Z1635" s="64">
        <v>0</v>
      </c>
      <c r="AA1635" s="61" t="s">
        <v>4182</v>
      </c>
      <c r="AD1635" s="60">
        <v>0</v>
      </c>
      <c r="AG1635" s="60">
        <v>0</v>
      </c>
      <c r="AJ1635" s="60">
        <v>0</v>
      </c>
      <c r="AQ1635" s="60" t="s">
        <v>4492</v>
      </c>
      <c r="AR1635" s="61">
        <v>44803</v>
      </c>
      <c r="AS1635" s="60">
        <v>6002066884</v>
      </c>
      <c r="AT1635" s="61">
        <v>44803</v>
      </c>
      <c r="AU1635" s="60" t="s">
        <v>4594</v>
      </c>
      <c r="AV1635" s="61">
        <v>44834</v>
      </c>
      <c r="AW1635" s="91">
        <v>44834</v>
      </c>
      <c r="AX1635" s="91">
        <v>44854</v>
      </c>
      <c r="AY1635" s="107">
        <v>65000</v>
      </c>
      <c r="AZ1635" s="107">
        <f>ROUNDDOWN(AY1635+(AY1635*MASTER!$A$2/100),0)</f>
        <v>71500</v>
      </c>
      <c r="BC1635" s="64">
        <v>0</v>
      </c>
      <c r="BG1635" s="64">
        <v>0</v>
      </c>
      <c r="BK1635" s="64">
        <v>0</v>
      </c>
      <c r="BS1635" s="64">
        <v>0</v>
      </c>
      <c r="BV1635" s="65">
        <v>71500</v>
      </c>
      <c r="BW1635" s="65">
        <v>0</v>
      </c>
      <c r="BX1635" s="65">
        <v>44797</v>
      </c>
      <c r="BY1635" s="65">
        <v>71500</v>
      </c>
      <c r="BZ1635" s="81">
        <v>100</v>
      </c>
    </row>
    <row r="1636" spans="1:89" s="152" customFormat="1" x14ac:dyDescent="0.15">
      <c r="A1636" s="142">
        <v>3</v>
      </c>
      <c r="B1636" s="143"/>
      <c r="C1636" s="143" t="s">
        <v>309</v>
      </c>
      <c r="D1636" s="143"/>
      <c r="E1636" s="143"/>
      <c r="F1636" s="143" t="s">
        <v>309</v>
      </c>
      <c r="G1636" s="143"/>
      <c r="H1636" s="143" t="s">
        <v>309</v>
      </c>
      <c r="I1636" s="142"/>
      <c r="J1636" s="142">
        <v>2</v>
      </c>
      <c r="K1636" s="143"/>
      <c r="L1636" s="142">
        <v>0</v>
      </c>
      <c r="M1636" s="143">
        <v>44797</v>
      </c>
      <c r="N1636" s="143"/>
      <c r="O1636" s="144" t="s">
        <v>335</v>
      </c>
      <c r="P1636" s="142" t="s">
        <v>77</v>
      </c>
      <c r="Q1636" s="144" t="s">
        <v>4189</v>
      </c>
      <c r="R1636" s="144" t="s">
        <v>4433</v>
      </c>
      <c r="S1636" s="145" t="s">
        <v>4428</v>
      </c>
      <c r="T1636" s="145" t="s">
        <v>1081</v>
      </c>
      <c r="U1636" s="146">
        <v>65000</v>
      </c>
      <c r="V1636" s="146">
        <v>71500</v>
      </c>
      <c r="W1636" s="146">
        <v>65000</v>
      </c>
      <c r="X1636" s="146">
        <v>71500</v>
      </c>
      <c r="Y1636" s="146">
        <v>0</v>
      </c>
      <c r="Z1636" s="146">
        <v>0</v>
      </c>
      <c r="AA1636" s="143" t="s">
        <v>285</v>
      </c>
      <c r="AB1636" s="143"/>
      <c r="AC1636" s="143"/>
      <c r="AD1636" s="142"/>
      <c r="AE1636" s="142"/>
      <c r="AF1636" s="142"/>
      <c r="AG1636" s="142"/>
      <c r="AH1636" s="142"/>
      <c r="AI1636" s="142"/>
      <c r="AJ1636" s="142"/>
      <c r="AK1636" s="142"/>
      <c r="AL1636" s="142"/>
      <c r="AM1636" s="142"/>
      <c r="AN1636" s="142"/>
      <c r="AO1636" s="143"/>
      <c r="AP1636" s="142"/>
      <c r="AQ1636" s="142" t="s">
        <v>4492</v>
      </c>
      <c r="AR1636" s="143"/>
      <c r="AS1636" s="142"/>
      <c r="AT1636" s="143"/>
      <c r="AU1636" s="142"/>
      <c r="AV1636" s="143"/>
      <c r="AW1636" s="147"/>
      <c r="AX1636" s="147"/>
      <c r="AY1636" s="154">
        <f t="shared" si="6"/>
        <v>65000</v>
      </c>
      <c r="AZ1636" s="154">
        <f>ROUNDDOWN(AY1636+(AY1636*MASTER!$A$2/100),0)</f>
        <v>71500</v>
      </c>
      <c r="BA1636" s="142"/>
      <c r="BB1636" s="146"/>
      <c r="BC1636" s="146"/>
      <c r="BD1636" s="142"/>
      <c r="BE1636" s="142"/>
      <c r="BF1636" s="146"/>
      <c r="BG1636" s="146"/>
      <c r="BH1636" s="142"/>
      <c r="BI1636" s="142"/>
      <c r="BJ1636" s="146"/>
      <c r="BK1636" s="146"/>
      <c r="BL1636" s="142"/>
      <c r="BM1636" s="146"/>
      <c r="BN1636" s="146"/>
      <c r="BO1636" s="146"/>
      <c r="BP1636" s="146"/>
      <c r="BQ1636" s="146"/>
      <c r="BR1636" s="146"/>
      <c r="BS1636" s="146"/>
      <c r="BT1636" s="149"/>
      <c r="BU1636" s="149"/>
      <c r="BV1636" s="150"/>
      <c r="BW1636" s="150"/>
      <c r="BX1636" s="150"/>
      <c r="BY1636" s="150"/>
      <c r="BZ1636" s="151"/>
      <c r="CA1636" s="142"/>
      <c r="CB1636" s="142"/>
      <c r="CC1636" s="142"/>
      <c r="CD1636" s="145" t="s">
        <v>4583</v>
      </c>
      <c r="CE1636" s="143"/>
      <c r="CF1636" s="143"/>
      <c r="CG1636" s="143"/>
      <c r="CH1636" s="143"/>
      <c r="CI1636" s="143"/>
      <c r="CJ1636" s="143"/>
      <c r="CK1636" s="146"/>
    </row>
    <row r="1637" spans="1:89" s="152" customFormat="1" x14ac:dyDescent="0.15">
      <c r="A1637" s="142">
        <v>3</v>
      </c>
      <c r="B1637" s="143"/>
      <c r="C1637" s="143" t="s">
        <v>309</v>
      </c>
      <c r="D1637" s="143"/>
      <c r="E1637" s="143"/>
      <c r="F1637" s="143" t="s">
        <v>309</v>
      </c>
      <c r="G1637" s="143"/>
      <c r="H1637" s="143" t="s">
        <v>309</v>
      </c>
      <c r="I1637" s="142"/>
      <c r="J1637" s="142">
        <v>2</v>
      </c>
      <c r="K1637" s="143"/>
      <c r="L1637" s="142">
        <v>0</v>
      </c>
      <c r="M1637" s="143">
        <v>44797</v>
      </c>
      <c r="N1637" s="143"/>
      <c r="O1637" s="144" t="s">
        <v>335</v>
      </c>
      <c r="P1637" s="142" t="s">
        <v>77</v>
      </c>
      <c r="Q1637" s="144" t="s">
        <v>4189</v>
      </c>
      <c r="R1637" s="144" t="s">
        <v>4434</v>
      </c>
      <c r="S1637" s="145" t="s">
        <v>4429</v>
      </c>
      <c r="T1637" s="145" t="s">
        <v>1081</v>
      </c>
      <c r="U1637" s="146">
        <v>65000</v>
      </c>
      <c r="V1637" s="146">
        <v>71500</v>
      </c>
      <c r="W1637" s="146">
        <v>65000</v>
      </c>
      <c r="X1637" s="146">
        <v>71500</v>
      </c>
      <c r="Y1637" s="146">
        <v>0</v>
      </c>
      <c r="Z1637" s="146">
        <v>0</v>
      </c>
      <c r="AA1637" s="143" t="s">
        <v>285</v>
      </c>
      <c r="AB1637" s="143"/>
      <c r="AC1637" s="143"/>
      <c r="AD1637" s="142"/>
      <c r="AE1637" s="142"/>
      <c r="AF1637" s="142"/>
      <c r="AG1637" s="142"/>
      <c r="AH1637" s="142"/>
      <c r="AI1637" s="142"/>
      <c r="AJ1637" s="142"/>
      <c r="AK1637" s="142"/>
      <c r="AL1637" s="142"/>
      <c r="AM1637" s="142"/>
      <c r="AN1637" s="142"/>
      <c r="AO1637" s="143"/>
      <c r="AP1637" s="142"/>
      <c r="AQ1637" s="142" t="s">
        <v>4492</v>
      </c>
      <c r="AR1637" s="143"/>
      <c r="AS1637" s="142"/>
      <c r="AT1637" s="143"/>
      <c r="AU1637" s="142"/>
      <c r="AV1637" s="143"/>
      <c r="AW1637" s="147"/>
      <c r="AX1637" s="147"/>
      <c r="AY1637" s="154">
        <f t="shared" si="6"/>
        <v>65000</v>
      </c>
      <c r="AZ1637" s="154">
        <f>ROUNDDOWN(AY1637+(AY1637*MASTER!$A$2/100),0)</f>
        <v>71500</v>
      </c>
      <c r="BA1637" s="142"/>
      <c r="BB1637" s="146"/>
      <c r="BC1637" s="146"/>
      <c r="BD1637" s="142"/>
      <c r="BE1637" s="142"/>
      <c r="BF1637" s="146"/>
      <c r="BG1637" s="146"/>
      <c r="BH1637" s="142"/>
      <c r="BI1637" s="142"/>
      <c r="BJ1637" s="146"/>
      <c r="BK1637" s="146"/>
      <c r="BL1637" s="142"/>
      <c r="BM1637" s="146"/>
      <c r="BN1637" s="146"/>
      <c r="BO1637" s="146"/>
      <c r="BP1637" s="146"/>
      <c r="BQ1637" s="146"/>
      <c r="BR1637" s="146"/>
      <c r="BS1637" s="146"/>
      <c r="BT1637" s="149"/>
      <c r="BU1637" s="149"/>
      <c r="BV1637" s="150"/>
      <c r="BW1637" s="150"/>
      <c r="BX1637" s="150"/>
      <c r="BY1637" s="150"/>
      <c r="BZ1637" s="151"/>
      <c r="CA1637" s="142"/>
      <c r="CB1637" s="142"/>
      <c r="CC1637" s="142"/>
      <c r="CD1637" s="145" t="s">
        <v>4583</v>
      </c>
      <c r="CE1637" s="143"/>
      <c r="CF1637" s="143"/>
      <c r="CG1637" s="143"/>
      <c r="CH1637" s="143"/>
      <c r="CI1637" s="143"/>
      <c r="CJ1637" s="143"/>
      <c r="CK1637" s="146"/>
    </row>
    <row r="1638" spans="1:89" s="152" customFormat="1" x14ac:dyDescent="0.15">
      <c r="A1638" s="142">
        <v>3</v>
      </c>
      <c r="B1638" s="143"/>
      <c r="C1638" s="143" t="s">
        <v>309</v>
      </c>
      <c r="D1638" s="143"/>
      <c r="E1638" s="143"/>
      <c r="F1638" s="143" t="s">
        <v>309</v>
      </c>
      <c r="G1638" s="143"/>
      <c r="H1638" s="143" t="s">
        <v>309</v>
      </c>
      <c r="I1638" s="142"/>
      <c r="J1638" s="142">
        <v>2</v>
      </c>
      <c r="K1638" s="143"/>
      <c r="L1638" s="142">
        <v>0</v>
      </c>
      <c r="M1638" s="143">
        <v>44797</v>
      </c>
      <c r="N1638" s="143"/>
      <c r="O1638" s="144" t="s">
        <v>335</v>
      </c>
      <c r="P1638" s="142" t="s">
        <v>77</v>
      </c>
      <c r="Q1638" s="144" t="s">
        <v>4189</v>
      </c>
      <c r="R1638" s="144" t="s">
        <v>4435</v>
      </c>
      <c r="S1638" s="145" t="s">
        <v>3119</v>
      </c>
      <c r="T1638" s="145" t="s">
        <v>1081</v>
      </c>
      <c r="U1638" s="146">
        <v>65000</v>
      </c>
      <c r="V1638" s="146">
        <v>71500</v>
      </c>
      <c r="W1638" s="146">
        <v>65000</v>
      </c>
      <c r="X1638" s="146">
        <v>71500</v>
      </c>
      <c r="Y1638" s="146">
        <v>0</v>
      </c>
      <c r="Z1638" s="146">
        <v>0</v>
      </c>
      <c r="AA1638" s="143" t="s">
        <v>285</v>
      </c>
      <c r="AB1638" s="143"/>
      <c r="AC1638" s="143"/>
      <c r="AD1638" s="142"/>
      <c r="AE1638" s="142"/>
      <c r="AF1638" s="142"/>
      <c r="AG1638" s="142"/>
      <c r="AH1638" s="142"/>
      <c r="AI1638" s="142"/>
      <c r="AJ1638" s="142"/>
      <c r="AK1638" s="142"/>
      <c r="AL1638" s="142"/>
      <c r="AM1638" s="142"/>
      <c r="AN1638" s="142"/>
      <c r="AO1638" s="143"/>
      <c r="AP1638" s="142"/>
      <c r="AQ1638" s="142" t="s">
        <v>4492</v>
      </c>
      <c r="AR1638" s="143"/>
      <c r="AS1638" s="142"/>
      <c r="AT1638" s="143"/>
      <c r="AU1638" s="142"/>
      <c r="AV1638" s="143"/>
      <c r="AW1638" s="147"/>
      <c r="AX1638" s="147"/>
      <c r="AY1638" s="154">
        <f t="shared" si="6"/>
        <v>65000</v>
      </c>
      <c r="AZ1638" s="154">
        <f>ROUNDDOWN(AY1638+(AY1638*MASTER!$A$2/100),0)</f>
        <v>71500</v>
      </c>
      <c r="BA1638" s="142"/>
      <c r="BB1638" s="146"/>
      <c r="BC1638" s="146"/>
      <c r="BD1638" s="142"/>
      <c r="BE1638" s="142"/>
      <c r="BF1638" s="146"/>
      <c r="BG1638" s="146"/>
      <c r="BH1638" s="142"/>
      <c r="BI1638" s="142"/>
      <c r="BJ1638" s="146"/>
      <c r="BK1638" s="146"/>
      <c r="BL1638" s="142"/>
      <c r="BM1638" s="146"/>
      <c r="BN1638" s="146"/>
      <c r="BO1638" s="146"/>
      <c r="BP1638" s="146"/>
      <c r="BQ1638" s="146"/>
      <c r="BR1638" s="146"/>
      <c r="BS1638" s="146"/>
      <c r="BT1638" s="149"/>
      <c r="BU1638" s="149"/>
      <c r="BV1638" s="150"/>
      <c r="BW1638" s="150"/>
      <c r="BX1638" s="150"/>
      <c r="BY1638" s="150"/>
      <c r="BZ1638" s="151"/>
      <c r="CA1638" s="142"/>
      <c r="CB1638" s="142"/>
      <c r="CC1638" s="142"/>
      <c r="CD1638" s="145" t="s">
        <v>4583</v>
      </c>
      <c r="CE1638" s="143"/>
      <c r="CF1638" s="143"/>
      <c r="CG1638" s="143"/>
      <c r="CH1638" s="143"/>
      <c r="CI1638" s="143"/>
      <c r="CJ1638" s="143"/>
      <c r="CK1638" s="146"/>
    </row>
    <row r="1639" spans="1:89" s="152" customFormat="1" x14ac:dyDescent="0.15">
      <c r="A1639" s="142">
        <v>3</v>
      </c>
      <c r="B1639" s="143"/>
      <c r="C1639" s="143" t="s">
        <v>309</v>
      </c>
      <c r="D1639" s="143"/>
      <c r="E1639" s="143"/>
      <c r="F1639" s="143" t="s">
        <v>309</v>
      </c>
      <c r="G1639" s="143"/>
      <c r="H1639" s="143" t="s">
        <v>309</v>
      </c>
      <c r="I1639" s="142"/>
      <c r="J1639" s="142">
        <v>2</v>
      </c>
      <c r="K1639" s="143"/>
      <c r="L1639" s="142">
        <v>0</v>
      </c>
      <c r="M1639" s="143">
        <v>44797</v>
      </c>
      <c r="N1639" s="143"/>
      <c r="O1639" s="144" t="s">
        <v>335</v>
      </c>
      <c r="P1639" s="142" t="s">
        <v>77</v>
      </c>
      <c r="Q1639" s="144" t="s">
        <v>4189</v>
      </c>
      <c r="R1639" s="144" t="s">
        <v>4436</v>
      </c>
      <c r="S1639" s="145" t="s">
        <v>361</v>
      </c>
      <c r="T1639" s="145" t="s">
        <v>1081</v>
      </c>
      <c r="U1639" s="146">
        <v>65000</v>
      </c>
      <c r="V1639" s="146">
        <v>71500</v>
      </c>
      <c r="W1639" s="146">
        <v>65000</v>
      </c>
      <c r="X1639" s="146">
        <v>71500</v>
      </c>
      <c r="Y1639" s="146">
        <v>0</v>
      </c>
      <c r="Z1639" s="146">
        <v>0</v>
      </c>
      <c r="AA1639" s="143" t="s">
        <v>285</v>
      </c>
      <c r="AB1639" s="143"/>
      <c r="AC1639" s="143"/>
      <c r="AD1639" s="142"/>
      <c r="AE1639" s="142"/>
      <c r="AF1639" s="142"/>
      <c r="AG1639" s="142"/>
      <c r="AH1639" s="142"/>
      <c r="AI1639" s="142"/>
      <c r="AJ1639" s="142"/>
      <c r="AK1639" s="142"/>
      <c r="AL1639" s="142"/>
      <c r="AM1639" s="142"/>
      <c r="AN1639" s="142"/>
      <c r="AO1639" s="143"/>
      <c r="AP1639" s="142"/>
      <c r="AQ1639" s="142" t="s">
        <v>4492</v>
      </c>
      <c r="AR1639" s="143"/>
      <c r="AS1639" s="142"/>
      <c r="AT1639" s="143"/>
      <c r="AU1639" s="142"/>
      <c r="AV1639" s="143"/>
      <c r="AW1639" s="147"/>
      <c r="AX1639" s="147"/>
      <c r="AY1639" s="154">
        <f t="shared" si="6"/>
        <v>65000</v>
      </c>
      <c r="AZ1639" s="154">
        <f>ROUNDDOWN(AY1639+(AY1639*MASTER!$A$2/100),0)</f>
        <v>71500</v>
      </c>
      <c r="BA1639" s="142"/>
      <c r="BB1639" s="146"/>
      <c r="BC1639" s="146"/>
      <c r="BD1639" s="142"/>
      <c r="BE1639" s="142"/>
      <c r="BF1639" s="146"/>
      <c r="BG1639" s="146"/>
      <c r="BH1639" s="142"/>
      <c r="BI1639" s="142"/>
      <c r="BJ1639" s="146"/>
      <c r="BK1639" s="146"/>
      <c r="BL1639" s="142"/>
      <c r="BM1639" s="146"/>
      <c r="BN1639" s="146"/>
      <c r="BO1639" s="146"/>
      <c r="BP1639" s="146"/>
      <c r="BQ1639" s="146"/>
      <c r="BR1639" s="146"/>
      <c r="BS1639" s="146"/>
      <c r="BT1639" s="149"/>
      <c r="BU1639" s="149"/>
      <c r="BV1639" s="150"/>
      <c r="BW1639" s="150"/>
      <c r="BX1639" s="150"/>
      <c r="BY1639" s="150"/>
      <c r="BZ1639" s="151"/>
      <c r="CA1639" s="142"/>
      <c r="CB1639" s="142"/>
      <c r="CC1639" s="142"/>
      <c r="CD1639" s="145" t="s">
        <v>4583</v>
      </c>
      <c r="CE1639" s="143"/>
      <c r="CF1639" s="143"/>
      <c r="CG1639" s="143"/>
      <c r="CH1639" s="143"/>
      <c r="CI1639" s="143"/>
      <c r="CJ1639" s="143"/>
      <c r="CK1639" s="146"/>
    </row>
    <row r="1640" spans="1:89" s="152" customFormat="1" x14ac:dyDescent="0.15">
      <c r="A1640" s="142">
        <v>3</v>
      </c>
      <c r="B1640" s="143"/>
      <c r="C1640" s="143" t="s">
        <v>309</v>
      </c>
      <c r="D1640" s="143"/>
      <c r="E1640" s="143"/>
      <c r="F1640" s="143" t="s">
        <v>309</v>
      </c>
      <c r="G1640" s="143"/>
      <c r="H1640" s="143" t="s">
        <v>309</v>
      </c>
      <c r="I1640" s="142"/>
      <c r="J1640" s="142">
        <v>2</v>
      </c>
      <c r="K1640" s="143"/>
      <c r="L1640" s="142">
        <v>0</v>
      </c>
      <c r="M1640" s="143">
        <v>44797</v>
      </c>
      <c r="N1640" s="143"/>
      <c r="O1640" s="144" t="s">
        <v>335</v>
      </c>
      <c r="P1640" s="142" t="s">
        <v>77</v>
      </c>
      <c r="Q1640" s="144" t="s">
        <v>4189</v>
      </c>
      <c r="R1640" s="144" t="s">
        <v>4437</v>
      </c>
      <c r="S1640" s="145" t="s">
        <v>3613</v>
      </c>
      <c r="T1640" s="145" t="s">
        <v>1081</v>
      </c>
      <c r="U1640" s="146">
        <v>65000</v>
      </c>
      <c r="V1640" s="146">
        <v>71500</v>
      </c>
      <c r="W1640" s="146">
        <v>65000</v>
      </c>
      <c r="X1640" s="146">
        <v>71500</v>
      </c>
      <c r="Y1640" s="146">
        <v>0</v>
      </c>
      <c r="Z1640" s="146">
        <v>0</v>
      </c>
      <c r="AA1640" s="143" t="s">
        <v>285</v>
      </c>
      <c r="AB1640" s="143"/>
      <c r="AC1640" s="143"/>
      <c r="AD1640" s="142"/>
      <c r="AE1640" s="142"/>
      <c r="AF1640" s="142"/>
      <c r="AG1640" s="142"/>
      <c r="AH1640" s="142"/>
      <c r="AI1640" s="142"/>
      <c r="AJ1640" s="142"/>
      <c r="AK1640" s="142"/>
      <c r="AL1640" s="142"/>
      <c r="AM1640" s="142"/>
      <c r="AN1640" s="142"/>
      <c r="AO1640" s="143"/>
      <c r="AP1640" s="142"/>
      <c r="AQ1640" s="142" t="s">
        <v>4492</v>
      </c>
      <c r="AR1640" s="143"/>
      <c r="AS1640" s="142"/>
      <c r="AT1640" s="143"/>
      <c r="AU1640" s="142"/>
      <c r="AV1640" s="143"/>
      <c r="AW1640" s="147"/>
      <c r="AX1640" s="147"/>
      <c r="AY1640" s="154">
        <f t="shared" si="6"/>
        <v>65000</v>
      </c>
      <c r="AZ1640" s="154">
        <f>ROUNDDOWN(AY1640+(AY1640*MASTER!$A$2/100),0)</f>
        <v>71500</v>
      </c>
      <c r="BA1640" s="142"/>
      <c r="BB1640" s="146"/>
      <c r="BC1640" s="146"/>
      <c r="BD1640" s="142"/>
      <c r="BE1640" s="142"/>
      <c r="BF1640" s="146"/>
      <c r="BG1640" s="146"/>
      <c r="BH1640" s="142"/>
      <c r="BI1640" s="142"/>
      <c r="BJ1640" s="146"/>
      <c r="BK1640" s="146"/>
      <c r="BL1640" s="142"/>
      <c r="BM1640" s="146"/>
      <c r="BN1640" s="146"/>
      <c r="BO1640" s="146"/>
      <c r="BP1640" s="146"/>
      <c r="BQ1640" s="146"/>
      <c r="BR1640" s="146"/>
      <c r="BS1640" s="146"/>
      <c r="BT1640" s="149"/>
      <c r="BU1640" s="149"/>
      <c r="BV1640" s="150"/>
      <c r="BW1640" s="150"/>
      <c r="BX1640" s="150"/>
      <c r="BY1640" s="150"/>
      <c r="BZ1640" s="151"/>
      <c r="CA1640" s="142"/>
      <c r="CB1640" s="142"/>
      <c r="CC1640" s="142"/>
      <c r="CD1640" s="145" t="s">
        <v>4583</v>
      </c>
      <c r="CE1640" s="143"/>
      <c r="CF1640" s="143"/>
      <c r="CG1640" s="143"/>
      <c r="CH1640" s="143"/>
      <c r="CI1640" s="143"/>
      <c r="CJ1640" s="143"/>
      <c r="CK1640" s="146"/>
    </row>
    <row r="1641" spans="1:89" s="152" customFormat="1" x14ac:dyDescent="0.15">
      <c r="A1641" s="142">
        <v>3</v>
      </c>
      <c r="B1641" s="143"/>
      <c r="C1641" s="143" t="s">
        <v>309</v>
      </c>
      <c r="D1641" s="143"/>
      <c r="E1641" s="143"/>
      <c r="F1641" s="143" t="s">
        <v>309</v>
      </c>
      <c r="G1641" s="143"/>
      <c r="H1641" s="143" t="s">
        <v>309</v>
      </c>
      <c r="I1641" s="142"/>
      <c r="J1641" s="142">
        <v>2</v>
      </c>
      <c r="K1641" s="143"/>
      <c r="L1641" s="142">
        <v>0</v>
      </c>
      <c r="M1641" s="143">
        <v>44797</v>
      </c>
      <c r="N1641" s="143"/>
      <c r="O1641" s="144" t="s">
        <v>335</v>
      </c>
      <c r="P1641" s="142" t="s">
        <v>77</v>
      </c>
      <c r="Q1641" s="144" t="s">
        <v>4189</v>
      </c>
      <c r="R1641" s="144" t="s">
        <v>4438</v>
      </c>
      <c r="S1641" s="145" t="s">
        <v>3933</v>
      </c>
      <c r="T1641" s="145" t="s">
        <v>1081</v>
      </c>
      <c r="U1641" s="146">
        <v>65000</v>
      </c>
      <c r="V1641" s="146">
        <v>71500</v>
      </c>
      <c r="W1641" s="146">
        <v>65000</v>
      </c>
      <c r="X1641" s="146">
        <v>71500</v>
      </c>
      <c r="Y1641" s="146">
        <v>0</v>
      </c>
      <c r="Z1641" s="146">
        <v>0</v>
      </c>
      <c r="AA1641" s="143" t="s">
        <v>285</v>
      </c>
      <c r="AB1641" s="143"/>
      <c r="AC1641" s="143"/>
      <c r="AD1641" s="142"/>
      <c r="AE1641" s="142"/>
      <c r="AF1641" s="142"/>
      <c r="AG1641" s="142"/>
      <c r="AH1641" s="142"/>
      <c r="AI1641" s="142"/>
      <c r="AJ1641" s="142"/>
      <c r="AK1641" s="142"/>
      <c r="AL1641" s="142"/>
      <c r="AM1641" s="142"/>
      <c r="AN1641" s="142"/>
      <c r="AO1641" s="143"/>
      <c r="AP1641" s="142"/>
      <c r="AQ1641" s="142" t="s">
        <v>4492</v>
      </c>
      <c r="AR1641" s="143"/>
      <c r="AS1641" s="142"/>
      <c r="AT1641" s="143"/>
      <c r="AU1641" s="142"/>
      <c r="AV1641" s="143"/>
      <c r="AW1641" s="147"/>
      <c r="AX1641" s="147"/>
      <c r="AY1641" s="154">
        <f t="shared" si="6"/>
        <v>65000</v>
      </c>
      <c r="AZ1641" s="154">
        <f>ROUNDDOWN(AY1641+(AY1641*MASTER!$A$2/100),0)</f>
        <v>71500</v>
      </c>
      <c r="BA1641" s="142"/>
      <c r="BB1641" s="146"/>
      <c r="BC1641" s="146"/>
      <c r="BD1641" s="142"/>
      <c r="BE1641" s="142"/>
      <c r="BF1641" s="146"/>
      <c r="BG1641" s="146"/>
      <c r="BH1641" s="142"/>
      <c r="BI1641" s="142"/>
      <c r="BJ1641" s="146"/>
      <c r="BK1641" s="146"/>
      <c r="BL1641" s="142"/>
      <c r="BM1641" s="146"/>
      <c r="BN1641" s="146"/>
      <c r="BO1641" s="146"/>
      <c r="BP1641" s="146"/>
      <c r="BQ1641" s="146"/>
      <c r="BR1641" s="146"/>
      <c r="BS1641" s="146"/>
      <c r="BT1641" s="149"/>
      <c r="BU1641" s="149"/>
      <c r="BV1641" s="150"/>
      <c r="BW1641" s="150"/>
      <c r="BX1641" s="150"/>
      <c r="BY1641" s="150"/>
      <c r="BZ1641" s="151"/>
      <c r="CA1641" s="142"/>
      <c r="CB1641" s="142"/>
      <c r="CC1641" s="142"/>
      <c r="CD1641" s="145" t="s">
        <v>4583</v>
      </c>
      <c r="CE1641" s="143"/>
      <c r="CF1641" s="143"/>
      <c r="CG1641" s="143"/>
      <c r="CH1641" s="143"/>
      <c r="CI1641" s="143"/>
      <c r="CJ1641" s="143"/>
      <c r="CK1641" s="146"/>
    </row>
    <row r="1642" spans="1:89" x14ac:dyDescent="0.15">
      <c r="A1642" s="60">
        <v>1</v>
      </c>
      <c r="B1642" s="61">
        <v>44805</v>
      </c>
      <c r="C1642" s="61">
        <v>44834</v>
      </c>
      <c r="F1642" s="61" t="s">
        <v>309</v>
      </c>
      <c r="H1642" s="61" t="s">
        <v>309</v>
      </c>
      <c r="J1642" s="60">
        <v>2</v>
      </c>
      <c r="L1642" s="60">
        <v>0</v>
      </c>
      <c r="M1642" s="61">
        <v>44797</v>
      </c>
      <c r="O1642" s="62" t="s">
        <v>331</v>
      </c>
      <c r="P1642" s="60" t="s">
        <v>77</v>
      </c>
      <c r="Q1642" s="62" t="s">
        <v>118</v>
      </c>
      <c r="R1642" s="62" t="s">
        <v>4653</v>
      </c>
      <c r="S1642" s="63" t="s">
        <v>567</v>
      </c>
      <c r="T1642" s="63" t="s">
        <v>1081</v>
      </c>
      <c r="U1642" s="64">
        <v>65000</v>
      </c>
      <c r="V1642" s="64">
        <v>71500</v>
      </c>
      <c r="W1642" s="64">
        <v>65000</v>
      </c>
      <c r="X1642" s="64">
        <v>71500</v>
      </c>
      <c r="Y1642" s="64">
        <v>0</v>
      </c>
      <c r="Z1642" s="64">
        <v>0</v>
      </c>
      <c r="AA1642" s="61" t="s">
        <v>4182</v>
      </c>
      <c r="AD1642" s="60">
        <v>0</v>
      </c>
      <c r="AG1642" s="60">
        <v>0</v>
      </c>
      <c r="AJ1642" s="60">
        <v>0</v>
      </c>
      <c r="AQ1642" s="60" t="s">
        <v>4492</v>
      </c>
      <c r="AR1642" s="61">
        <v>44803</v>
      </c>
      <c r="AS1642" s="60">
        <v>6002066884</v>
      </c>
      <c r="AT1642" s="61">
        <v>44803</v>
      </c>
      <c r="AU1642" s="60" t="s">
        <v>4594</v>
      </c>
      <c r="AV1642" s="61">
        <v>44834</v>
      </c>
      <c r="AW1642" s="91">
        <v>44834</v>
      </c>
      <c r="AX1642" s="91">
        <v>44854</v>
      </c>
      <c r="AY1642" s="107">
        <v>65000</v>
      </c>
      <c r="AZ1642" s="107">
        <f>ROUNDDOWN(AY1642+(AY1642*MASTER!$A$2/100),0)</f>
        <v>71500</v>
      </c>
      <c r="BC1642" s="64">
        <v>0</v>
      </c>
      <c r="BG1642" s="64">
        <v>0</v>
      </c>
      <c r="BK1642" s="64">
        <v>0</v>
      </c>
      <c r="BS1642" s="64">
        <v>0</v>
      </c>
      <c r="BV1642" s="65">
        <v>71500</v>
      </c>
      <c r="BW1642" s="65">
        <v>0</v>
      </c>
      <c r="BX1642" s="65">
        <v>44797</v>
      </c>
      <c r="BY1642" s="65">
        <v>71500</v>
      </c>
      <c r="BZ1642" s="81">
        <v>100</v>
      </c>
    </row>
    <row r="1643" spans="1:89" x14ac:dyDescent="0.15">
      <c r="A1643" s="60">
        <v>1</v>
      </c>
      <c r="B1643" s="61">
        <v>44805</v>
      </c>
      <c r="C1643" s="61">
        <v>44834</v>
      </c>
      <c r="F1643" s="61" t="s">
        <v>309</v>
      </c>
      <c r="H1643" s="61" t="s">
        <v>309</v>
      </c>
      <c r="J1643" s="60">
        <v>2</v>
      </c>
      <c r="L1643" s="60">
        <v>0</v>
      </c>
      <c r="M1643" s="61">
        <v>44797</v>
      </c>
      <c r="O1643" s="62" t="s">
        <v>331</v>
      </c>
      <c r="P1643" s="60" t="s">
        <v>77</v>
      </c>
      <c r="Q1643" s="62" t="s">
        <v>118</v>
      </c>
      <c r="R1643" s="62" t="s">
        <v>4654</v>
      </c>
      <c r="S1643" s="63" t="s">
        <v>731</v>
      </c>
      <c r="T1643" s="63" t="s">
        <v>1081</v>
      </c>
      <c r="U1643" s="64">
        <v>65000</v>
      </c>
      <c r="V1643" s="64">
        <v>71500</v>
      </c>
      <c r="W1643" s="64">
        <v>65000</v>
      </c>
      <c r="X1643" s="64">
        <v>71500</v>
      </c>
      <c r="Y1643" s="64">
        <v>0</v>
      </c>
      <c r="Z1643" s="64">
        <v>0</v>
      </c>
      <c r="AA1643" s="61" t="s">
        <v>4182</v>
      </c>
      <c r="AD1643" s="60">
        <v>0</v>
      </c>
      <c r="AG1643" s="60">
        <v>0</v>
      </c>
      <c r="AJ1643" s="60">
        <v>0</v>
      </c>
      <c r="AQ1643" s="60" t="s">
        <v>4492</v>
      </c>
      <c r="AR1643" s="61">
        <v>44803</v>
      </c>
      <c r="AS1643" s="60">
        <v>6002066884</v>
      </c>
      <c r="AT1643" s="61">
        <v>44803</v>
      </c>
      <c r="AU1643" s="60" t="s">
        <v>4594</v>
      </c>
      <c r="AV1643" s="61">
        <v>44834</v>
      </c>
      <c r="AW1643" s="91">
        <v>44834</v>
      </c>
      <c r="AX1643" s="91">
        <v>44854</v>
      </c>
      <c r="AY1643" s="107">
        <v>65000</v>
      </c>
      <c r="AZ1643" s="107">
        <f>ROUNDDOWN(AY1643+(AY1643*MASTER!$A$2/100),0)</f>
        <v>71500</v>
      </c>
      <c r="BC1643" s="64">
        <v>0</v>
      </c>
      <c r="BG1643" s="64">
        <v>0</v>
      </c>
      <c r="BK1643" s="64">
        <v>0</v>
      </c>
      <c r="BS1643" s="64">
        <v>0</v>
      </c>
      <c r="BV1643" s="65">
        <v>71500</v>
      </c>
      <c r="BW1643" s="65">
        <v>0</v>
      </c>
      <c r="BX1643" s="65">
        <v>44797</v>
      </c>
      <c r="BY1643" s="65">
        <v>71500</v>
      </c>
      <c r="BZ1643" s="81">
        <v>100</v>
      </c>
    </row>
    <row r="1644" spans="1:89" x14ac:dyDescent="0.15">
      <c r="A1644" s="60">
        <v>2</v>
      </c>
      <c r="B1644" s="61">
        <v>44818</v>
      </c>
      <c r="C1644" s="61">
        <v>44834</v>
      </c>
      <c r="E1644" s="61">
        <v>44828</v>
      </c>
      <c r="F1644" s="61" t="s">
        <v>309</v>
      </c>
      <c r="G1644" s="61">
        <v>44825</v>
      </c>
      <c r="H1644" s="61" t="s">
        <v>309</v>
      </c>
      <c r="I1644" s="60" t="s">
        <v>511</v>
      </c>
      <c r="J1644" s="60">
        <v>1</v>
      </c>
      <c r="L1644" s="60">
        <v>0</v>
      </c>
      <c r="M1644" s="61">
        <v>44798</v>
      </c>
      <c r="O1644" s="62" t="s">
        <v>331</v>
      </c>
      <c r="P1644" s="60" t="s">
        <v>26</v>
      </c>
      <c r="Q1644" s="62" t="s">
        <v>118</v>
      </c>
      <c r="R1644" s="62" t="s">
        <v>4450</v>
      </c>
      <c r="S1644" s="63" t="s">
        <v>617</v>
      </c>
      <c r="T1644" s="63" t="s">
        <v>4836</v>
      </c>
      <c r="U1644" s="64">
        <v>95000</v>
      </c>
      <c r="V1644" s="64">
        <v>104500</v>
      </c>
      <c r="W1644" s="64">
        <v>80000</v>
      </c>
      <c r="X1644" s="64">
        <v>88000</v>
      </c>
      <c r="Y1644" s="64">
        <v>15000</v>
      </c>
      <c r="Z1644" s="64">
        <v>16500</v>
      </c>
      <c r="AA1644" s="61">
        <v>44823</v>
      </c>
      <c r="AB1644" s="61">
        <v>44823</v>
      </c>
      <c r="AD1644" s="60">
        <v>0</v>
      </c>
      <c r="AG1644" s="60">
        <v>0</v>
      </c>
      <c r="AJ1644" s="60">
        <v>0</v>
      </c>
      <c r="AQ1644" s="60" t="s">
        <v>4509</v>
      </c>
      <c r="AR1644" s="61">
        <v>44799</v>
      </c>
      <c r="AS1644" s="60">
        <v>6002066015</v>
      </c>
      <c r="AT1644" s="61">
        <v>44802</v>
      </c>
      <c r="AU1644" s="60" t="s">
        <v>4545</v>
      </c>
      <c r="AV1644" s="61">
        <v>44834</v>
      </c>
      <c r="AW1644" s="91">
        <v>44834</v>
      </c>
      <c r="AX1644" s="91">
        <v>44854</v>
      </c>
      <c r="AY1644" s="99">
        <v>91200</v>
      </c>
      <c r="AZ1644" s="99">
        <f>ROUNDDOWN(AY1644+(AY1644*MASTER!$A$2/100),0)</f>
        <v>100320</v>
      </c>
      <c r="BA1644" s="60" t="s">
        <v>613</v>
      </c>
      <c r="BB1644" s="64">
        <v>26000</v>
      </c>
      <c r="BC1644" s="64">
        <v>28600</v>
      </c>
      <c r="BD1644" s="60" t="s">
        <v>4182</v>
      </c>
      <c r="BG1644" s="64">
        <v>0</v>
      </c>
      <c r="BK1644" s="64">
        <v>0</v>
      </c>
      <c r="BS1644" s="64">
        <v>0</v>
      </c>
      <c r="BV1644" s="65">
        <v>88000</v>
      </c>
      <c r="BW1644" s="65">
        <v>28600</v>
      </c>
      <c r="BX1644" s="65">
        <v>44798</v>
      </c>
      <c r="BY1644" s="65">
        <v>59400</v>
      </c>
      <c r="BZ1644" s="81">
        <v>67.5</v>
      </c>
    </row>
    <row r="1645" spans="1:89" x14ac:dyDescent="0.15">
      <c r="A1645" s="60">
        <v>2</v>
      </c>
      <c r="B1645" s="61">
        <v>44805</v>
      </c>
      <c r="C1645" s="61">
        <v>44834</v>
      </c>
      <c r="D1645" s="61">
        <v>44816</v>
      </c>
      <c r="F1645" s="61" t="s">
        <v>309</v>
      </c>
      <c r="H1645" s="61" t="s">
        <v>309</v>
      </c>
      <c r="I1645" s="60" t="s">
        <v>774</v>
      </c>
      <c r="J1645" s="60">
        <v>2</v>
      </c>
      <c r="L1645" s="60">
        <v>0</v>
      </c>
      <c r="M1645" s="61">
        <v>44798</v>
      </c>
      <c r="O1645" s="62" t="s">
        <v>331</v>
      </c>
      <c r="P1645" s="60" t="s">
        <v>77</v>
      </c>
      <c r="Q1645" s="62" t="s">
        <v>118</v>
      </c>
      <c r="R1645" s="62" t="s">
        <v>4655</v>
      </c>
      <c r="S1645" s="63" t="s">
        <v>2659</v>
      </c>
      <c r="T1645" s="63" t="s">
        <v>1081</v>
      </c>
      <c r="U1645" s="64">
        <v>65000</v>
      </c>
      <c r="V1645" s="64">
        <v>71500</v>
      </c>
      <c r="W1645" s="64">
        <v>65000</v>
      </c>
      <c r="X1645" s="64">
        <v>71500</v>
      </c>
      <c r="Y1645" s="64">
        <v>0</v>
      </c>
      <c r="Z1645" s="64">
        <v>0</v>
      </c>
      <c r="AA1645" s="61">
        <v>44806</v>
      </c>
      <c r="AB1645" s="61">
        <v>44807</v>
      </c>
      <c r="AD1645" s="60">
        <v>0</v>
      </c>
      <c r="AG1645" s="60">
        <v>0</v>
      </c>
      <c r="AJ1645" s="60">
        <v>0</v>
      </c>
      <c r="AQ1645" s="60" t="s">
        <v>4493</v>
      </c>
      <c r="AR1645" s="61">
        <v>44803</v>
      </c>
      <c r="AS1645" s="60">
        <v>6002066884</v>
      </c>
      <c r="AT1645" s="61">
        <v>44803</v>
      </c>
      <c r="AU1645" s="60" t="s">
        <v>4594</v>
      </c>
      <c r="AV1645" s="61">
        <v>44834</v>
      </c>
      <c r="AW1645" s="91">
        <v>44834</v>
      </c>
      <c r="AX1645" s="91">
        <v>44854</v>
      </c>
      <c r="AY1645" s="107">
        <v>65000</v>
      </c>
      <c r="AZ1645" s="107">
        <f>ROUNDDOWN(AY1645+(AY1645*MASTER!$A$2/100),0)</f>
        <v>71500</v>
      </c>
      <c r="BA1645" s="60" t="s">
        <v>765</v>
      </c>
      <c r="BC1645" s="64">
        <v>0</v>
      </c>
      <c r="BG1645" s="64">
        <v>0</v>
      </c>
      <c r="BK1645" s="64">
        <v>0</v>
      </c>
      <c r="BS1645" s="64">
        <v>0</v>
      </c>
      <c r="BV1645" s="65">
        <v>71500</v>
      </c>
      <c r="BW1645" s="65">
        <v>0</v>
      </c>
      <c r="BX1645" s="65">
        <v>44798</v>
      </c>
      <c r="BY1645" s="65">
        <v>71500</v>
      </c>
      <c r="BZ1645" s="81">
        <v>100</v>
      </c>
    </row>
    <row r="1646" spans="1:89" x14ac:dyDescent="0.15">
      <c r="A1646" s="60">
        <v>2</v>
      </c>
      <c r="B1646" s="61">
        <v>44805</v>
      </c>
      <c r="C1646" s="61">
        <v>44834</v>
      </c>
      <c r="D1646" s="61">
        <v>44816</v>
      </c>
      <c r="F1646" s="61" t="s">
        <v>309</v>
      </c>
      <c r="H1646" s="61" t="s">
        <v>309</v>
      </c>
      <c r="I1646" s="60" t="s">
        <v>774</v>
      </c>
      <c r="J1646" s="60">
        <v>2</v>
      </c>
      <c r="L1646" s="60">
        <v>0</v>
      </c>
      <c r="M1646" s="61">
        <v>44798</v>
      </c>
      <c r="O1646" s="62" t="s">
        <v>331</v>
      </c>
      <c r="P1646" s="60" t="s">
        <v>77</v>
      </c>
      <c r="Q1646" s="62" t="s">
        <v>118</v>
      </c>
      <c r="R1646" s="62" t="s">
        <v>4656</v>
      </c>
      <c r="S1646" s="63" t="s">
        <v>456</v>
      </c>
      <c r="T1646" s="63" t="s">
        <v>1081</v>
      </c>
      <c r="U1646" s="64">
        <v>65000</v>
      </c>
      <c r="V1646" s="64">
        <v>71500</v>
      </c>
      <c r="W1646" s="64">
        <v>65000</v>
      </c>
      <c r="X1646" s="64">
        <v>71500</v>
      </c>
      <c r="Y1646" s="64">
        <v>0</v>
      </c>
      <c r="Z1646" s="64">
        <v>0</v>
      </c>
      <c r="AA1646" s="61">
        <v>44805</v>
      </c>
      <c r="AB1646" s="61">
        <v>44806</v>
      </c>
      <c r="AD1646" s="60">
        <v>0</v>
      </c>
      <c r="AG1646" s="60">
        <v>0</v>
      </c>
      <c r="AJ1646" s="60">
        <v>0</v>
      </c>
      <c r="AQ1646" s="60" t="s">
        <v>4493</v>
      </c>
      <c r="AR1646" s="61">
        <v>44803</v>
      </c>
      <c r="AS1646" s="60">
        <v>6002066884</v>
      </c>
      <c r="AT1646" s="61">
        <v>44803</v>
      </c>
      <c r="AU1646" s="60" t="s">
        <v>4594</v>
      </c>
      <c r="AV1646" s="61">
        <v>44834</v>
      </c>
      <c r="AW1646" s="91">
        <v>44834</v>
      </c>
      <c r="AX1646" s="91">
        <v>44854</v>
      </c>
      <c r="AY1646" s="107">
        <v>65000</v>
      </c>
      <c r="AZ1646" s="107">
        <f>ROUNDDOWN(AY1646+(AY1646*MASTER!$A$2/100),0)</f>
        <v>71500</v>
      </c>
      <c r="BA1646" s="60" t="s">
        <v>765</v>
      </c>
      <c r="BC1646" s="64">
        <v>0</v>
      </c>
      <c r="BG1646" s="64">
        <v>0</v>
      </c>
      <c r="BK1646" s="64">
        <v>0</v>
      </c>
      <c r="BS1646" s="64">
        <v>0</v>
      </c>
      <c r="BV1646" s="65">
        <v>71500</v>
      </c>
      <c r="BW1646" s="65">
        <v>0</v>
      </c>
      <c r="BX1646" s="65">
        <v>44798</v>
      </c>
      <c r="BY1646" s="65">
        <v>71500</v>
      </c>
      <c r="BZ1646" s="81">
        <v>100</v>
      </c>
    </row>
    <row r="1647" spans="1:89" x14ac:dyDescent="0.15">
      <c r="A1647" s="60">
        <v>2</v>
      </c>
      <c r="B1647" s="61">
        <v>44805</v>
      </c>
      <c r="C1647" s="61">
        <v>44834</v>
      </c>
      <c r="D1647" s="61">
        <v>44816</v>
      </c>
      <c r="F1647" s="61" t="s">
        <v>309</v>
      </c>
      <c r="H1647" s="61" t="s">
        <v>309</v>
      </c>
      <c r="I1647" s="60" t="s">
        <v>774</v>
      </c>
      <c r="J1647" s="60">
        <v>2</v>
      </c>
      <c r="L1647" s="60">
        <v>0</v>
      </c>
      <c r="M1647" s="61">
        <v>44798</v>
      </c>
      <c r="O1647" s="62" t="s">
        <v>331</v>
      </c>
      <c r="P1647" s="60" t="s">
        <v>77</v>
      </c>
      <c r="Q1647" s="62" t="s">
        <v>118</v>
      </c>
      <c r="R1647" s="62" t="s">
        <v>4801</v>
      </c>
      <c r="S1647" s="63" t="s">
        <v>3938</v>
      </c>
      <c r="T1647" s="63" t="s">
        <v>1081</v>
      </c>
      <c r="U1647" s="64">
        <v>65000</v>
      </c>
      <c r="V1647" s="64">
        <v>71500</v>
      </c>
      <c r="W1647" s="64">
        <v>65000</v>
      </c>
      <c r="X1647" s="64">
        <v>71500</v>
      </c>
      <c r="Y1647" s="64">
        <v>0</v>
      </c>
      <c r="Z1647" s="64">
        <v>0</v>
      </c>
      <c r="AA1647" s="61">
        <v>44810</v>
      </c>
      <c r="AB1647" s="61">
        <v>44811</v>
      </c>
      <c r="AD1647" s="60">
        <v>0</v>
      </c>
      <c r="AG1647" s="60">
        <v>0</v>
      </c>
      <c r="AJ1647" s="60">
        <v>0</v>
      </c>
      <c r="AQ1647" s="60" t="s">
        <v>4493</v>
      </c>
      <c r="AR1647" s="61">
        <v>44803</v>
      </c>
      <c r="AS1647" s="60">
        <v>6002066884</v>
      </c>
      <c r="AT1647" s="61">
        <v>44803</v>
      </c>
      <c r="AU1647" s="60" t="s">
        <v>4594</v>
      </c>
      <c r="AV1647" s="61">
        <v>44834</v>
      </c>
      <c r="AW1647" s="91">
        <v>44834</v>
      </c>
      <c r="AX1647" s="91">
        <v>44854</v>
      </c>
      <c r="AY1647" s="107">
        <v>65000</v>
      </c>
      <c r="AZ1647" s="107">
        <f>ROUNDDOWN(AY1647+(AY1647*MASTER!$A$2/100),0)</f>
        <v>71500</v>
      </c>
      <c r="BA1647" s="60" t="s">
        <v>765</v>
      </c>
      <c r="BC1647" s="64">
        <v>0</v>
      </c>
      <c r="BG1647" s="64">
        <v>0</v>
      </c>
      <c r="BK1647" s="64">
        <v>0</v>
      </c>
      <c r="BS1647" s="64">
        <v>0</v>
      </c>
      <c r="BV1647" s="65">
        <v>71500</v>
      </c>
      <c r="BW1647" s="65">
        <v>0</v>
      </c>
      <c r="BX1647" s="65">
        <v>44798</v>
      </c>
      <c r="BY1647" s="65">
        <v>71500</v>
      </c>
      <c r="BZ1647" s="81">
        <v>100</v>
      </c>
    </row>
    <row r="1648" spans="1:89" x14ac:dyDescent="0.15">
      <c r="A1648" s="60">
        <v>1</v>
      </c>
      <c r="B1648" s="61">
        <v>44805</v>
      </c>
      <c r="C1648" s="61">
        <v>44834</v>
      </c>
      <c r="F1648" s="61" t="s">
        <v>309</v>
      </c>
      <c r="H1648" s="61" t="s">
        <v>309</v>
      </c>
      <c r="J1648" s="60">
        <v>2</v>
      </c>
      <c r="L1648" s="60">
        <v>0</v>
      </c>
      <c r="M1648" s="61">
        <v>44798</v>
      </c>
      <c r="O1648" s="62" t="s">
        <v>331</v>
      </c>
      <c r="P1648" s="60" t="s">
        <v>77</v>
      </c>
      <c r="Q1648" s="62" t="s">
        <v>118</v>
      </c>
      <c r="R1648" s="62" t="s">
        <v>4466</v>
      </c>
      <c r="S1648" s="63" t="s">
        <v>4461</v>
      </c>
      <c r="T1648" s="63" t="s">
        <v>1081</v>
      </c>
      <c r="U1648" s="64">
        <v>65000</v>
      </c>
      <c r="V1648" s="64">
        <v>71500</v>
      </c>
      <c r="W1648" s="64">
        <v>65000</v>
      </c>
      <c r="X1648" s="64">
        <v>71500</v>
      </c>
      <c r="Y1648" s="64">
        <v>0</v>
      </c>
      <c r="Z1648" s="64">
        <v>0</v>
      </c>
      <c r="AA1648" s="61" t="s">
        <v>285</v>
      </c>
      <c r="AQ1648" s="60" t="s">
        <v>4493</v>
      </c>
      <c r="AR1648" s="61">
        <v>44803</v>
      </c>
      <c r="AS1648" s="60">
        <v>6002066884</v>
      </c>
      <c r="AT1648" s="61">
        <v>44803</v>
      </c>
      <c r="AU1648" s="60" t="s">
        <v>4594</v>
      </c>
      <c r="AV1648" s="61">
        <v>44834</v>
      </c>
      <c r="AW1648" s="91">
        <v>44834</v>
      </c>
      <c r="AX1648" s="91">
        <v>44854</v>
      </c>
      <c r="AY1648" s="107">
        <f t="shared" ref="AY1648:AY1689" si="7">U1648</f>
        <v>65000</v>
      </c>
      <c r="AZ1648" s="107">
        <f>ROUNDDOWN(AY1648+(AY1648*MASTER!$A$2/100),0)</f>
        <v>71500</v>
      </c>
    </row>
    <row r="1649" spans="1:78" x14ac:dyDescent="0.15">
      <c r="A1649" s="60">
        <v>1</v>
      </c>
      <c r="B1649" s="61">
        <v>44805</v>
      </c>
      <c r="C1649" s="61">
        <v>44834</v>
      </c>
      <c r="F1649" s="61" t="s">
        <v>309</v>
      </c>
      <c r="H1649" s="61" t="s">
        <v>309</v>
      </c>
      <c r="J1649" s="60">
        <v>2</v>
      </c>
      <c r="L1649" s="60">
        <v>0</v>
      </c>
      <c r="M1649" s="61">
        <v>44798</v>
      </c>
      <c r="O1649" s="62" t="s">
        <v>331</v>
      </c>
      <c r="P1649" s="60" t="s">
        <v>77</v>
      </c>
      <c r="Q1649" s="62" t="s">
        <v>118</v>
      </c>
      <c r="R1649" s="62" t="s">
        <v>4658</v>
      </c>
      <c r="S1649" s="63" t="s">
        <v>1991</v>
      </c>
      <c r="T1649" s="63" t="s">
        <v>1081</v>
      </c>
      <c r="U1649" s="64">
        <v>65000</v>
      </c>
      <c r="V1649" s="64">
        <v>71500</v>
      </c>
      <c r="W1649" s="64">
        <v>65000</v>
      </c>
      <c r="X1649" s="64">
        <v>71500</v>
      </c>
      <c r="Y1649" s="64">
        <v>0</v>
      </c>
      <c r="Z1649" s="64">
        <v>0</v>
      </c>
      <c r="AA1649" s="61" t="s">
        <v>4182</v>
      </c>
      <c r="AD1649" s="60">
        <v>0</v>
      </c>
      <c r="AG1649" s="60">
        <v>0</v>
      </c>
      <c r="AJ1649" s="60">
        <v>0</v>
      </c>
      <c r="AQ1649" s="60" t="s">
        <v>4493</v>
      </c>
      <c r="AR1649" s="61">
        <v>44803</v>
      </c>
      <c r="AS1649" s="60">
        <v>6002066884</v>
      </c>
      <c r="AT1649" s="61">
        <v>44803</v>
      </c>
      <c r="AU1649" s="60" t="s">
        <v>4594</v>
      </c>
      <c r="AV1649" s="61">
        <v>44834</v>
      </c>
      <c r="AW1649" s="91">
        <v>44834</v>
      </c>
      <c r="AX1649" s="91">
        <v>44854</v>
      </c>
      <c r="AY1649" s="107">
        <v>65000</v>
      </c>
      <c r="AZ1649" s="107">
        <f>ROUNDDOWN(AY1649+(AY1649*MASTER!$A$2/100),0)</f>
        <v>71500</v>
      </c>
      <c r="BC1649" s="64">
        <v>0</v>
      </c>
      <c r="BG1649" s="64">
        <v>0</v>
      </c>
      <c r="BK1649" s="64">
        <v>0</v>
      </c>
      <c r="BS1649" s="64">
        <v>0</v>
      </c>
      <c r="BV1649" s="65">
        <v>71500</v>
      </c>
      <c r="BW1649" s="65">
        <v>0</v>
      </c>
      <c r="BX1649" s="65">
        <v>44798</v>
      </c>
      <c r="BY1649" s="65">
        <v>71500</v>
      </c>
      <c r="BZ1649" s="81">
        <v>100</v>
      </c>
    </row>
    <row r="1650" spans="1:78" x14ac:dyDescent="0.15">
      <c r="A1650" s="60">
        <v>1</v>
      </c>
      <c r="B1650" s="61">
        <v>44805</v>
      </c>
      <c r="C1650" s="61">
        <v>44834</v>
      </c>
      <c r="F1650" s="61" t="s">
        <v>309</v>
      </c>
      <c r="H1650" s="61" t="s">
        <v>309</v>
      </c>
      <c r="J1650" s="60">
        <v>2</v>
      </c>
      <c r="L1650" s="60">
        <v>0</v>
      </c>
      <c r="M1650" s="61">
        <v>44798</v>
      </c>
      <c r="O1650" s="62" t="s">
        <v>331</v>
      </c>
      <c r="P1650" s="60" t="s">
        <v>77</v>
      </c>
      <c r="Q1650" s="62" t="s">
        <v>118</v>
      </c>
      <c r="R1650" s="62" t="s">
        <v>4467</v>
      </c>
      <c r="S1650" s="63" t="s">
        <v>4453</v>
      </c>
      <c r="T1650" s="63" t="s">
        <v>1081</v>
      </c>
      <c r="U1650" s="64">
        <v>65000</v>
      </c>
      <c r="V1650" s="64">
        <v>71500</v>
      </c>
      <c r="W1650" s="64">
        <v>65000</v>
      </c>
      <c r="X1650" s="64">
        <v>71500</v>
      </c>
      <c r="Y1650" s="64">
        <v>0</v>
      </c>
      <c r="Z1650" s="64">
        <v>0</v>
      </c>
      <c r="AA1650" s="61" t="s">
        <v>285</v>
      </c>
      <c r="AQ1650" s="60" t="s">
        <v>4493</v>
      </c>
      <c r="AR1650" s="61">
        <v>44803</v>
      </c>
      <c r="AS1650" s="60">
        <v>6002066884</v>
      </c>
      <c r="AT1650" s="61">
        <v>44803</v>
      </c>
      <c r="AU1650" s="60" t="s">
        <v>4594</v>
      </c>
      <c r="AV1650" s="61">
        <v>44834</v>
      </c>
      <c r="AW1650" s="91">
        <v>44834</v>
      </c>
      <c r="AX1650" s="91">
        <v>44854</v>
      </c>
      <c r="AY1650" s="107">
        <f t="shared" si="7"/>
        <v>65000</v>
      </c>
      <c r="AZ1650" s="107">
        <f>ROUNDDOWN(AY1650+(AY1650*MASTER!$A$2/100),0)</f>
        <v>71500</v>
      </c>
    </row>
    <row r="1651" spans="1:78" x14ac:dyDescent="0.15">
      <c r="A1651" s="60">
        <v>2</v>
      </c>
      <c r="B1651" s="61">
        <v>44805</v>
      </c>
      <c r="C1651" s="61">
        <v>44834</v>
      </c>
      <c r="D1651" s="61">
        <v>44823</v>
      </c>
      <c r="F1651" s="61" t="s">
        <v>309</v>
      </c>
      <c r="H1651" s="61" t="s">
        <v>309</v>
      </c>
      <c r="I1651" s="60" t="s">
        <v>1630</v>
      </c>
      <c r="J1651" s="60">
        <v>2</v>
      </c>
      <c r="L1651" s="60">
        <v>0</v>
      </c>
      <c r="M1651" s="61">
        <v>44798</v>
      </c>
      <c r="O1651" s="62" t="s">
        <v>331</v>
      </c>
      <c r="P1651" s="60" t="s">
        <v>77</v>
      </c>
      <c r="Q1651" s="62" t="s">
        <v>118</v>
      </c>
      <c r="R1651" s="62" t="s">
        <v>4869</v>
      </c>
      <c r="S1651" s="63" t="s">
        <v>1990</v>
      </c>
      <c r="T1651" s="63" t="s">
        <v>1081</v>
      </c>
      <c r="U1651" s="64">
        <v>65000</v>
      </c>
      <c r="V1651" s="64">
        <v>71500</v>
      </c>
      <c r="W1651" s="64">
        <v>65000</v>
      </c>
      <c r="X1651" s="64">
        <v>71500</v>
      </c>
      <c r="Y1651" s="64">
        <v>0</v>
      </c>
      <c r="Z1651" s="64">
        <v>0</v>
      </c>
      <c r="AA1651" s="61">
        <v>44820</v>
      </c>
      <c r="AB1651" s="61">
        <v>44821</v>
      </c>
      <c r="AD1651" s="60">
        <v>0</v>
      </c>
      <c r="AG1651" s="60">
        <v>0</v>
      </c>
      <c r="AJ1651" s="60">
        <v>0</v>
      </c>
      <c r="AQ1651" s="60" t="s">
        <v>4493</v>
      </c>
      <c r="AR1651" s="61">
        <v>44803</v>
      </c>
      <c r="AS1651" s="60">
        <v>6002066884</v>
      </c>
      <c r="AT1651" s="61">
        <v>44803</v>
      </c>
      <c r="AU1651" s="60" t="s">
        <v>4594</v>
      </c>
      <c r="AV1651" s="61">
        <v>44834</v>
      </c>
      <c r="AW1651" s="91">
        <v>44834</v>
      </c>
      <c r="AX1651" s="91">
        <v>44854</v>
      </c>
      <c r="AY1651" s="107">
        <v>65000</v>
      </c>
      <c r="AZ1651" s="107">
        <f>ROUNDDOWN(AY1651+(AY1651*MASTER!$A$2/100),0)</f>
        <v>71500</v>
      </c>
      <c r="BA1651" s="60" t="s">
        <v>107</v>
      </c>
      <c r="BC1651" s="64">
        <v>0</v>
      </c>
      <c r="BG1651" s="64">
        <v>0</v>
      </c>
      <c r="BK1651" s="64">
        <v>0</v>
      </c>
      <c r="BS1651" s="64">
        <v>0</v>
      </c>
      <c r="BV1651" s="65">
        <v>71500</v>
      </c>
      <c r="BW1651" s="65">
        <v>0</v>
      </c>
      <c r="BX1651" s="65">
        <v>44798</v>
      </c>
      <c r="BY1651" s="65">
        <v>71500</v>
      </c>
      <c r="BZ1651" s="81">
        <v>100</v>
      </c>
    </row>
    <row r="1652" spans="1:78" x14ac:dyDescent="0.15">
      <c r="A1652" s="60">
        <v>1</v>
      </c>
      <c r="B1652" s="61">
        <v>44805</v>
      </c>
      <c r="C1652" s="61">
        <v>44834</v>
      </c>
      <c r="F1652" s="61" t="s">
        <v>309</v>
      </c>
      <c r="H1652" s="61" t="s">
        <v>309</v>
      </c>
      <c r="J1652" s="60">
        <v>2</v>
      </c>
      <c r="L1652" s="60">
        <v>0</v>
      </c>
      <c r="M1652" s="61">
        <v>44798</v>
      </c>
      <c r="O1652" s="62" t="s">
        <v>331</v>
      </c>
      <c r="P1652" s="60" t="s">
        <v>77</v>
      </c>
      <c r="Q1652" s="62" t="s">
        <v>118</v>
      </c>
      <c r="R1652" s="62" t="s">
        <v>4468</v>
      </c>
      <c r="S1652" s="63" t="s">
        <v>4454</v>
      </c>
      <c r="T1652" s="63" t="s">
        <v>1081</v>
      </c>
      <c r="U1652" s="64">
        <v>65000</v>
      </c>
      <c r="V1652" s="64">
        <v>71500</v>
      </c>
      <c r="W1652" s="64">
        <v>65000</v>
      </c>
      <c r="X1652" s="64">
        <v>71500</v>
      </c>
      <c r="Y1652" s="64">
        <v>0</v>
      </c>
      <c r="Z1652" s="64">
        <v>0</v>
      </c>
      <c r="AA1652" s="61" t="s">
        <v>285</v>
      </c>
      <c r="AQ1652" s="60" t="s">
        <v>4494</v>
      </c>
      <c r="AR1652" s="61">
        <v>44803</v>
      </c>
      <c r="AS1652" s="60">
        <v>6002066884</v>
      </c>
      <c r="AT1652" s="61">
        <v>44803</v>
      </c>
      <c r="AU1652" s="60" t="s">
        <v>4594</v>
      </c>
      <c r="AV1652" s="61">
        <v>44834</v>
      </c>
      <c r="AW1652" s="91">
        <v>44834</v>
      </c>
      <c r="AX1652" s="91">
        <v>44854</v>
      </c>
      <c r="AY1652" s="107">
        <f t="shared" si="7"/>
        <v>65000</v>
      </c>
      <c r="AZ1652" s="107">
        <f>ROUNDDOWN(AY1652+(AY1652*MASTER!$A$2/100),0)</f>
        <v>71500</v>
      </c>
    </row>
    <row r="1653" spans="1:78" x14ac:dyDescent="0.15">
      <c r="A1653" s="60">
        <v>1</v>
      </c>
      <c r="B1653" s="61">
        <v>44805</v>
      </c>
      <c r="C1653" s="61">
        <v>44834</v>
      </c>
      <c r="F1653" s="61" t="s">
        <v>309</v>
      </c>
      <c r="H1653" s="61" t="s">
        <v>309</v>
      </c>
      <c r="J1653" s="60">
        <v>2</v>
      </c>
      <c r="L1653" s="60">
        <v>0</v>
      </c>
      <c r="M1653" s="61">
        <v>44798</v>
      </c>
      <c r="O1653" s="62" t="s">
        <v>331</v>
      </c>
      <c r="P1653" s="60" t="s">
        <v>77</v>
      </c>
      <c r="Q1653" s="62" t="s">
        <v>118</v>
      </c>
      <c r="R1653" s="62" t="s">
        <v>4469</v>
      </c>
      <c r="S1653" s="63" t="s">
        <v>4455</v>
      </c>
      <c r="T1653" s="63" t="s">
        <v>1081</v>
      </c>
      <c r="U1653" s="64">
        <v>65000</v>
      </c>
      <c r="V1653" s="64">
        <v>71500</v>
      </c>
      <c r="W1653" s="64">
        <v>65000</v>
      </c>
      <c r="X1653" s="64">
        <v>71500</v>
      </c>
      <c r="Y1653" s="64">
        <v>0</v>
      </c>
      <c r="Z1653" s="64">
        <v>0</v>
      </c>
      <c r="AA1653" s="61" t="s">
        <v>285</v>
      </c>
      <c r="AQ1653" s="60" t="s">
        <v>4494</v>
      </c>
      <c r="AR1653" s="61">
        <v>44803</v>
      </c>
      <c r="AS1653" s="60">
        <v>6002066884</v>
      </c>
      <c r="AT1653" s="61">
        <v>44803</v>
      </c>
      <c r="AU1653" s="60" t="s">
        <v>4594</v>
      </c>
      <c r="AV1653" s="61">
        <v>44834</v>
      </c>
      <c r="AW1653" s="91">
        <v>44834</v>
      </c>
      <c r="AX1653" s="91">
        <v>44854</v>
      </c>
      <c r="AY1653" s="107">
        <f t="shared" si="7"/>
        <v>65000</v>
      </c>
      <c r="AZ1653" s="107">
        <f>ROUNDDOWN(AY1653+(AY1653*MASTER!$A$2/100),0)</f>
        <v>71500</v>
      </c>
    </row>
    <row r="1654" spans="1:78" x14ac:dyDescent="0.15">
      <c r="A1654" s="60">
        <v>1</v>
      </c>
      <c r="B1654" s="61">
        <v>44805</v>
      </c>
      <c r="C1654" s="61">
        <v>44834</v>
      </c>
      <c r="F1654" s="61" t="s">
        <v>309</v>
      </c>
      <c r="H1654" s="61" t="s">
        <v>309</v>
      </c>
      <c r="J1654" s="60">
        <v>2</v>
      </c>
      <c r="L1654" s="60">
        <v>0</v>
      </c>
      <c r="M1654" s="61">
        <v>44798</v>
      </c>
      <c r="O1654" s="62" t="s">
        <v>331</v>
      </c>
      <c r="P1654" s="60" t="s">
        <v>77</v>
      </c>
      <c r="Q1654" s="62" t="s">
        <v>118</v>
      </c>
      <c r="R1654" s="62" t="s">
        <v>4470</v>
      </c>
      <c r="S1654" s="63" t="s">
        <v>4456</v>
      </c>
      <c r="T1654" s="63" t="s">
        <v>1081</v>
      </c>
      <c r="U1654" s="64">
        <v>65000</v>
      </c>
      <c r="V1654" s="64">
        <v>71500</v>
      </c>
      <c r="W1654" s="64">
        <v>65000</v>
      </c>
      <c r="X1654" s="64">
        <v>71500</v>
      </c>
      <c r="Y1654" s="64">
        <v>0</v>
      </c>
      <c r="Z1654" s="64">
        <v>0</v>
      </c>
      <c r="AA1654" s="61" t="s">
        <v>285</v>
      </c>
      <c r="AQ1654" s="60" t="s">
        <v>4494</v>
      </c>
      <c r="AR1654" s="61">
        <v>44803</v>
      </c>
      <c r="AS1654" s="60">
        <v>6002066884</v>
      </c>
      <c r="AT1654" s="61">
        <v>44803</v>
      </c>
      <c r="AU1654" s="60" t="s">
        <v>4594</v>
      </c>
      <c r="AV1654" s="61">
        <v>44834</v>
      </c>
      <c r="AW1654" s="91">
        <v>44834</v>
      </c>
      <c r="AX1654" s="91">
        <v>44854</v>
      </c>
      <c r="AY1654" s="107">
        <f t="shared" si="7"/>
        <v>65000</v>
      </c>
      <c r="AZ1654" s="107">
        <f>ROUNDDOWN(AY1654+(AY1654*MASTER!$A$2/100),0)</f>
        <v>71500</v>
      </c>
    </row>
    <row r="1655" spans="1:78" x14ac:dyDescent="0.15">
      <c r="A1655" s="60">
        <v>1</v>
      </c>
      <c r="B1655" s="61">
        <v>44805</v>
      </c>
      <c r="C1655" s="61">
        <v>44834</v>
      </c>
      <c r="F1655" s="61" t="s">
        <v>309</v>
      </c>
      <c r="H1655" s="61" t="s">
        <v>309</v>
      </c>
      <c r="J1655" s="60">
        <v>2</v>
      </c>
      <c r="L1655" s="60">
        <v>0</v>
      </c>
      <c r="M1655" s="61">
        <v>44798</v>
      </c>
      <c r="O1655" s="62" t="s">
        <v>331</v>
      </c>
      <c r="P1655" s="60" t="s">
        <v>77</v>
      </c>
      <c r="Q1655" s="62" t="s">
        <v>118</v>
      </c>
      <c r="R1655" s="62" t="s">
        <v>4471</v>
      </c>
      <c r="S1655" s="63" t="s">
        <v>4457</v>
      </c>
      <c r="T1655" s="63" t="s">
        <v>1081</v>
      </c>
      <c r="U1655" s="64">
        <v>65000</v>
      </c>
      <c r="V1655" s="64">
        <v>71500</v>
      </c>
      <c r="W1655" s="64">
        <v>65000</v>
      </c>
      <c r="X1655" s="64">
        <v>71500</v>
      </c>
      <c r="Y1655" s="64">
        <v>0</v>
      </c>
      <c r="Z1655" s="64">
        <v>0</v>
      </c>
      <c r="AA1655" s="61" t="s">
        <v>285</v>
      </c>
      <c r="AQ1655" s="60" t="s">
        <v>4494</v>
      </c>
      <c r="AR1655" s="61">
        <v>44803</v>
      </c>
      <c r="AS1655" s="60">
        <v>6002066884</v>
      </c>
      <c r="AT1655" s="61">
        <v>44803</v>
      </c>
      <c r="AU1655" s="60" t="s">
        <v>4594</v>
      </c>
      <c r="AV1655" s="61">
        <v>44834</v>
      </c>
      <c r="AW1655" s="91">
        <v>44834</v>
      </c>
      <c r="AX1655" s="91">
        <v>44854</v>
      </c>
      <c r="AY1655" s="107">
        <f t="shared" si="7"/>
        <v>65000</v>
      </c>
      <c r="AZ1655" s="107">
        <f>ROUNDDOWN(AY1655+(AY1655*MASTER!$A$2/100),0)</f>
        <v>71500</v>
      </c>
    </row>
    <row r="1656" spans="1:78" x14ac:dyDescent="0.15">
      <c r="A1656" s="60">
        <v>2</v>
      </c>
      <c r="B1656" s="61">
        <v>44805</v>
      </c>
      <c r="C1656" s="61">
        <v>44834</v>
      </c>
      <c r="D1656" s="61">
        <v>44816</v>
      </c>
      <c r="F1656" s="61" t="s">
        <v>309</v>
      </c>
      <c r="H1656" s="61" t="s">
        <v>309</v>
      </c>
      <c r="I1656" s="60" t="s">
        <v>774</v>
      </c>
      <c r="J1656" s="60">
        <v>2</v>
      </c>
      <c r="L1656" s="60">
        <v>0</v>
      </c>
      <c r="M1656" s="61">
        <v>44798</v>
      </c>
      <c r="O1656" s="62" t="s">
        <v>331</v>
      </c>
      <c r="P1656" s="60" t="s">
        <v>77</v>
      </c>
      <c r="Q1656" s="62" t="s">
        <v>118</v>
      </c>
      <c r="R1656" s="62" t="s">
        <v>4804</v>
      </c>
      <c r="S1656" s="63" t="s">
        <v>980</v>
      </c>
      <c r="T1656" s="63" t="s">
        <v>1081</v>
      </c>
      <c r="U1656" s="64">
        <v>65000</v>
      </c>
      <c r="V1656" s="64">
        <v>71500</v>
      </c>
      <c r="W1656" s="64">
        <v>65000</v>
      </c>
      <c r="X1656" s="64">
        <v>71500</v>
      </c>
      <c r="Y1656" s="64">
        <v>0</v>
      </c>
      <c r="Z1656" s="64">
        <v>0</v>
      </c>
      <c r="AA1656" s="61">
        <v>44812</v>
      </c>
      <c r="AB1656" s="61">
        <v>44813</v>
      </c>
      <c r="AD1656" s="60">
        <v>0</v>
      </c>
      <c r="AG1656" s="60">
        <v>0</v>
      </c>
      <c r="AJ1656" s="60">
        <v>0</v>
      </c>
      <c r="AQ1656" s="60" t="s">
        <v>4494</v>
      </c>
      <c r="AR1656" s="61">
        <v>44803</v>
      </c>
      <c r="AS1656" s="60">
        <v>6002066884</v>
      </c>
      <c r="AT1656" s="61">
        <v>44803</v>
      </c>
      <c r="AU1656" s="60" t="s">
        <v>4594</v>
      </c>
      <c r="AV1656" s="61">
        <v>44834</v>
      </c>
      <c r="AW1656" s="91">
        <v>44834</v>
      </c>
      <c r="AX1656" s="91">
        <v>44854</v>
      </c>
      <c r="AY1656" s="107">
        <v>65000</v>
      </c>
      <c r="AZ1656" s="107">
        <f>ROUNDDOWN(AY1656+(AY1656*MASTER!$A$2/100),0)</f>
        <v>71500</v>
      </c>
      <c r="BA1656" s="60" t="s">
        <v>765</v>
      </c>
      <c r="BC1656" s="64">
        <v>0</v>
      </c>
      <c r="BG1656" s="64">
        <v>0</v>
      </c>
      <c r="BK1656" s="64">
        <v>0</v>
      </c>
      <c r="BS1656" s="64">
        <v>0</v>
      </c>
      <c r="BV1656" s="65">
        <v>71500</v>
      </c>
      <c r="BW1656" s="65">
        <v>0</v>
      </c>
      <c r="BX1656" s="65">
        <v>44798</v>
      </c>
      <c r="BY1656" s="65">
        <v>71500</v>
      </c>
      <c r="BZ1656" s="81">
        <v>100</v>
      </c>
    </row>
    <row r="1657" spans="1:78" x14ac:dyDescent="0.15">
      <c r="A1657" s="60">
        <v>1</v>
      </c>
      <c r="B1657" s="61">
        <v>44805</v>
      </c>
      <c r="C1657" s="61">
        <v>44834</v>
      </c>
      <c r="F1657" s="61" t="s">
        <v>309</v>
      </c>
      <c r="H1657" s="61" t="s">
        <v>309</v>
      </c>
      <c r="J1657" s="60">
        <v>2</v>
      </c>
      <c r="L1657" s="60">
        <v>0</v>
      </c>
      <c r="M1657" s="61">
        <v>44798</v>
      </c>
      <c r="O1657" s="62" t="s">
        <v>331</v>
      </c>
      <c r="P1657" s="60" t="s">
        <v>77</v>
      </c>
      <c r="Q1657" s="62" t="s">
        <v>118</v>
      </c>
      <c r="R1657" s="62" t="s">
        <v>4472</v>
      </c>
      <c r="S1657" s="63" t="s">
        <v>4465</v>
      </c>
      <c r="T1657" s="63" t="s">
        <v>1081</v>
      </c>
      <c r="U1657" s="64">
        <v>65000</v>
      </c>
      <c r="V1657" s="64">
        <v>71500</v>
      </c>
      <c r="W1657" s="64">
        <v>65000</v>
      </c>
      <c r="X1657" s="64">
        <v>71500</v>
      </c>
      <c r="Y1657" s="64">
        <v>0</v>
      </c>
      <c r="Z1657" s="64">
        <v>0</v>
      </c>
      <c r="AA1657" s="61" t="s">
        <v>285</v>
      </c>
      <c r="AQ1657" s="60" t="s">
        <v>4494</v>
      </c>
      <c r="AR1657" s="61">
        <v>44803</v>
      </c>
      <c r="AS1657" s="60">
        <v>6002066884</v>
      </c>
      <c r="AT1657" s="61">
        <v>44803</v>
      </c>
      <c r="AU1657" s="60" t="s">
        <v>4594</v>
      </c>
      <c r="AV1657" s="61">
        <v>44834</v>
      </c>
      <c r="AW1657" s="91">
        <v>44834</v>
      </c>
      <c r="AX1657" s="91">
        <v>44854</v>
      </c>
      <c r="AY1657" s="107">
        <f t="shared" si="7"/>
        <v>65000</v>
      </c>
      <c r="AZ1657" s="107">
        <f>ROUNDDOWN(AY1657+(AY1657*MASTER!$A$2/100),0)</f>
        <v>71500</v>
      </c>
    </row>
    <row r="1658" spans="1:78" x14ac:dyDescent="0.15">
      <c r="A1658" s="60">
        <v>1</v>
      </c>
      <c r="B1658" s="61">
        <v>44805</v>
      </c>
      <c r="C1658" s="61">
        <v>44834</v>
      </c>
      <c r="F1658" s="61" t="s">
        <v>309</v>
      </c>
      <c r="H1658" s="61" t="s">
        <v>309</v>
      </c>
      <c r="J1658" s="60">
        <v>2</v>
      </c>
      <c r="L1658" s="60">
        <v>0</v>
      </c>
      <c r="M1658" s="61">
        <v>44798</v>
      </c>
      <c r="O1658" s="62" t="s">
        <v>331</v>
      </c>
      <c r="P1658" s="60" t="s">
        <v>77</v>
      </c>
      <c r="Q1658" s="62" t="s">
        <v>118</v>
      </c>
      <c r="R1658" s="62" t="s">
        <v>4473</v>
      </c>
      <c r="S1658" s="63" t="s">
        <v>4464</v>
      </c>
      <c r="T1658" s="63" t="s">
        <v>1081</v>
      </c>
      <c r="U1658" s="64">
        <v>65000</v>
      </c>
      <c r="V1658" s="64">
        <v>71500</v>
      </c>
      <c r="W1658" s="64">
        <v>65000</v>
      </c>
      <c r="X1658" s="64">
        <v>71500</v>
      </c>
      <c r="Y1658" s="64">
        <v>0</v>
      </c>
      <c r="Z1658" s="64">
        <v>0</v>
      </c>
      <c r="AA1658" s="61" t="s">
        <v>285</v>
      </c>
      <c r="AQ1658" s="60" t="s">
        <v>4494</v>
      </c>
      <c r="AR1658" s="61">
        <v>44803</v>
      </c>
      <c r="AS1658" s="60">
        <v>6002066884</v>
      </c>
      <c r="AT1658" s="61">
        <v>44803</v>
      </c>
      <c r="AU1658" s="60" t="s">
        <v>4594</v>
      </c>
      <c r="AV1658" s="61">
        <v>44834</v>
      </c>
      <c r="AW1658" s="91">
        <v>44834</v>
      </c>
      <c r="AX1658" s="91">
        <v>44854</v>
      </c>
      <c r="AY1658" s="107">
        <f t="shared" si="7"/>
        <v>65000</v>
      </c>
      <c r="AZ1658" s="107">
        <f>ROUNDDOWN(AY1658+(AY1658*MASTER!$A$2/100),0)</f>
        <v>71500</v>
      </c>
    </row>
    <row r="1659" spans="1:78" x14ac:dyDescent="0.15">
      <c r="A1659" s="60">
        <v>1</v>
      </c>
      <c r="B1659" s="61">
        <v>44805</v>
      </c>
      <c r="C1659" s="61">
        <v>44834</v>
      </c>
      <c r="F1659" s="61" t="s">
        <v>309</v>
      </c>
      <c r="H1659" s="61" t="s">
        <v>309</v>
      </c>
      <c r="J1659" s="60">
        <v>2</v>
      </c>
      <c r="L1659" s="60">
        <v>0</v>
      </c>
      <c r="M1659" s="61">
        <v>44798</v>
      </c>
      <c r="O1659" s="62" t="s">
        <v>331</v>
      </c>
      <c r="P1659" s="60" t="s">
        <v>77</v>
      </c>
      <c r="Q1659" s="62" t="s">
        <v>118</v>
      </c>
      <c r="R1659" s="62" t="s">
        <v>4474</v>
      </c>
      <c r="S1659" s="63" t="s">
        <v>4458</v>
      </c>
      <c r="T1659" s="63" t="s">
        <v>1081</v>
      </c>
      <c r="U1659" s="64">
        <v>65000</v>
      </c>
      <c r="V1659" s="64">
        <v>71500</v>
      </c>
      <c r="W1659" s="64">
        <v>65000</v>
      </c>
      <c r="X1659" s="64">
        <v>71500</v>
      </c>
      <c r="Y1659" s="64">
        <v>0</v>
      </c>
      <c r="Z1659" s="64">
        <v>0</v>
      </c>
      <c r="AA1659" s="61" t="s">
        <v>285</v>
      </c>
      <c r="AQ1659" s="60" t="s">
        <v>4495</v>
      </c>
      <c r="AR1659" s="61">
        <v>44803</v>
      </c>
      <c r="AS1659" s="60">
        <v>6002066884</v>
      </c>
      <c r="AT1659" s="61">
        <v>44803</v>
      </c>
      <c r="AU1659" s="60" t="s">
        <v>4594</v>
      </c>
      <c r="AV1659" s="61">
        <v>44834</v>
      </c>
      <c r="AW1659" s="91">
        <v>44834</v>
      </c>
      <c r="AX1659" s="91">
        <v>44854</v>
      </c>
      <c r="AY1659" s="107">
        <f t="shared" si="7"/>
        <v>65000</v>
      </c>
      <c r="AZ1659" s="107">
        <f>ROUNDDOWN(AY1659+(AY1659*MASTER!$A$2/100),0)</f>
        <v>71500</v>
      </c>
    </row>
    <row r="1660" spans="1:78" x14ac:dyDescent="0.15">
      <c r="A1660" s="60">
        <v>2</v>
      </c>
      <c r="B1660" s="61">
        <v>44805</v>
      </c>
      <c r="C1660" s="61">
        <v>44834</v>
      </c>
      <c r="D1660" s="61">
        <v>44816</v>
      </c>
      <c r="F1660" s="61" t="s">
        <v>309</v>
      </c>
      <c r="H1660" s="61" t="s">
        <v>309</v>
      </c>
      <c r="I1660" s="60" t="s">
        <v>774</v>
      </c>
      <c r="J1660" s="60">
        <v>2</v>
      </c>
      <c r="L1660" s="60">
        <v>0</v>
      </c>
      <c r="M1660" s="61">
        <v>44798</v>
      </c>
      <c r="O1660" s="62" t="s">
        <v>331</v>
      </c>
      <c r="P1660" s="60" t="s">
        <v>77</v>
      </c>
      <c r="Q1660" s="62" t="s">
        <v>118</v>
      </c>
      <c r="R1660" s="62" t="s">
        <v>4802</v>
      </c>
      <c r="S1660" s="63" t="s">
        <v>1129</v>
      </c>
      <c r="T1660" s="63" t="s">
        <v>1081</v>
      </c>
      <c r="U1660" s="64">
        <v>65000</v>
      </c>
      <c r="V1660" s="64">
        <v>71500</v>
      </c>
      <c r="W1660" s="64">
        <v>65000</v>
      </c>
      <c r="X1660" s="64">
        <v>71500</v>
      </c>
      <c r="Y1660" s="64">
        <v>0</v>
      </c>
      <c r="Z1660" s="64">
        <v>0</v>
      </c>
      <c r="AA1660" s="61">
        <v>44809</v>
      </c>
      <c r="AB1660" s="61">
        <v>44810</v>
      </c>
      <c r="AD1660" s="60">
        <v>0</v>
      </c>
      <c r="AG1660" s="60">
        <v>0</v>
      </c>
      <c r="AJ1660" s="60">
        <v>0</v>
      </c>
      <c r="AQ1660" s="60" t="s">
        <v>4495</v>
      </c>
      <c r="AR1660" s="61">
        <v>44803</v>
      </c>
      <c r="AS1660" s="60">
        <v>6002066884</v>
      </c>
      <c r="AT1660" s="61">
        <v>44803</v>
      </c>
      <c r="AU1660" s="60" t="s">
        <v>4594</v>
      </c>
      <c r="AV1660" s="61">
        <v>44834</v>
      </c>
      <c r="AW1660" s="91">
        <v>44834</v>
      </c>
      <c r="AX1660" s="91">
        <v>44854</v>
      </c>
      <c r="AY1660" s="107">
        <v>65000</v>
      </c>
      <c r="AZ1660" s="107">
        <f>ROUNDDOWN(AY1660+(AY1660*MASTER!$A$2/100),0)</f>
        <v>71500</v>
      </c>
      <c r="BA1660" s="60" t="s">
        <v>765</v>
      </c>
      <c r="BC1660" s="64">
        <v>0</v>
      </c>
      <c r="BG1660" s="64">
        <v>0</v>
      </c>
      <c r="BK1660" s="64">
        <v>0</v>
      </c>
      <c r="BS1660" s="64">
        <v>0</v>
      </c>
      <c r="BV1660" s="65">
        <v>71500</v>
      </c>
      <c r="BW1660" s="65">
        <v>0</v>
      </c>
      <c r="BX1660" s="65">
        <v>44798</v>
      </c>
      <c r="BY1660" s="65">
        <v>71500</v>
      </c>
      <c r="BZ1660" s="81">
        <v>100</v>
      </c>
    </row>
    <row r="1661" spans="1:78" x14ac:dyDescent="0.15">
      <c r="A1661" s="60">
        <v>1</v>
      </c>
      <c r="B1661" s="61">
        <v>44805</v>
      </c>
      <c r="C1661" s="61">
        <v>44834</v>
      </c>
      <c r="F1661" s="61" t="s">
        <v>309</v>
      </c>
      <c r="H1661" s="61" t="s">
        <v>309</v>
      </c>
      <c r="J1661" s="60">
        <v>2</v>
      </c>
      <c r="L1661" s="60">
        <v>0</v>
      </c>
      <c r="M1661" s="61">
        <v>44798</v>
      </c>
      <c r="O1661" s="62" t="s">
        <v>331</v>
      </c>
      <c r="P1661" s="60" t="s">
        <v>77</v>
      </c>
      <c r="Q1661" s="62" t="s">
        <v>118</v>
      </c>
      <c r="R1661" s="62" t="s">
        <v>4475</v>
      </c>
      <c r="S1661" s="63" t="s">
        <v>4459</v>
      </c>
      <c r="T1661" s="63" t="s">
        <v>1081</v>
      </c>
      <c r="U1661" s="64">
        <v>65000</v>
      </c>
      <c r="V1661" s="64">
        <v>71500</v>
      </c>
      <c r="W1661" s="64">
        <v>65000</v>
      </c>
      <c r="X1661" s="64">
        <v>71500</v>
      </c>
      <c r="Y1661" s="64">
        <v>0</v>
      </c>
      <c r="Z1661" s="64">
        <v>0</v>
      </c>
      <c r="AA1661" s="61" t="s">
        <v>285</v>
      </c>
      <c r="AQ1661" s="60" t="s">
        <v>4495</v>
      </c>
      <c r="AR1661" s="61">
        <v>44803</v>
      </c>
      <c r="AS1661" s="60">
        <v>6002066884</v>
      </c>
      <c r="AT1661" s="61">
        <v>44803</v>
      </c>
      <c r="AU1661" s="60" t="s">
        <v>4594</v>
      </c>
      <c r="AV1661" s="61">
        <v>44834</v>
      </c>
      <c r="AW1661" s="91">
        <v>44834</v>
      </c>
      <c r="AX1661" s="91">
        <v>44854</v>
      </c>
      <c r="AY1661" s="107">
        <f t="shared" si="7"/>
        <v>65000</v>
      </c>
      <c r="AZ1661" s="107">
        <f>ROUNDDOWN(AY1661+(AY1661*MASTER!$A$2/100),0)</f>
        <v>71500</v>
      </c>
    </row>
    <row r="1662" spans="1:78" x14ac:dyDescent="0.15">
      <c r="A1662" s="60">
        <v>2</v>
      </c>
      <c r="B1662" s="61">
        <v>44805</v>
      </c>
      <c r="C1662" s="61">
        <v>44834</v>
      </c>
      <c r="E1662" s="61">
        <v>44817</v>
      </c>
      <c r="F1662" s="61" t="s">
        <v>309</v>
      </c>
      <c r="H1662" s="61" t="s">
        <v>309</v>
      </c>
      <c r="I1662" s="60" t="s">
        <v>1630</v>
      </c>
      <c r="J1662" s="60">
        <v>2</v>
      </c>
      <c r="L1662" s="60">
        <v>0</v>
      </c>
      <c r="M1662" s="61">
        <v>44798</v>
      </c>
      <c r="O1662" s="62" t="s">
        <v>331</v>
      </c>
      <c r="P1662" s="60" t="s">
        <v>77</v>
      </c>
      <c r="Q1662" s="62" t="s">
        <v>118</v>
      </c>
      <c r="R1662" s="62" t="s">
        <v>4815</v>
      </c>
      <c r="S1662" s="63" t="s">
        <v>986</v>
      </c>
      <c r="T1662" s="63" t="s">
        <v>1081</v>
      </c>
      <c r="U1662" s="64">
        <v>65000</v>
      </c>
      <c r="V1662" s="64">
        <v>71500</v>
      </c>
      <c r="W1662" s="64">
        <v>65000</v>
      </c>
      <c r="X1662" s="64">
        <v>71500</v>
      </c>
      <c r="Y1662" s="64">
        <v>0</v>
      </c>
      <c r="Z1662" s="64">
        <v>0</v>
      </c>
      <c r="AA1662" s="61">
        <v>44816</v>
      </c>
      <c r="AB1662" s="61">
        <v>44817</v>
      </c>
      <c r="AD1662" s="60">
        <v>0</v>
      </c>
      <c r="AG1662" s="60">
        <v>0</v>
      </c>
      <c r="AJ1662" s="60">
        <v>0</v>
      </c>
      <c r="AQ1662" s="60" t="s">
        <v>4495</v>
      </c>
      <c r="AR1662" s="61">
        <v>44803</v>
      </c>
      <c r="AS1662" s="60">
        <v>6002066884</v>
      </c>
      <c r="AT1662" s="61">
        <v>44803</v>
      </c>
      <c r="AU1662" s="60" t="s">
        <v>4594</v>
      </c>
      <c r="AV1662" s="61">
        <v>44834</v>
      </c>
      <c r="AW1662" s="91">
        <v>44834</v>
      </c>
      <c r="AX1662" s="91">
        <v>44854</v>
      </c>
      <c r="AY1662" s="107">
        <v>65000</v>
      </c>
      <c r="AZ1662" s="107">
        <f>ROUNDDOWN(AY1662+(AY1662*MASTER!$A$2/100),0)</f>
        <v>71500</v>
      </c>
      <c r="BA1662" s="60" t="s">
        <v>107</v>
      </c>
      <c r="BC1662" s="64">
        <v>0</v>
      </c>
      <c r="BG1662" s="64">
        <v>0</v>
      </c>
      <c r="BK1662" s="64">
        <v>0</v>
      </c>
      <c r="BS1662" s="64">
        <v>0</v>
      </c>
      <c r="BV1662" s="65">
        <v>71500</v>
      </c>
      <c r="BW1662" s="65">
        <v>0</v>
      </c>
      <c r="BX1662" s="65">
        <v>44798</v>
      </c>
      <c r="BY1662" s="65">
        <v>71500</v>
      </c>
      <c r="BZ1662" s="81">
        <v>100</v>
      </c>
    </row>
    <row r="1663" spans="1:78" x14ac:dyDescent="0.15">
      <c r="A1663" s="60">
        <v>1</v>
      </c>
      <c r="B1663" s="61">
        <v>44805</v>
      </c>
      <c r="C1663" s="61">
        <v>44834</v>
      </c>
      <c r="F1663" s="61" t="s">
        <v>309</v>
      </c>
      <c r="H1663" s="61" t="s">
        <v>309</v>
      </c>
      <c r="J1663" s="60">
        <v>2</v>
      </c>
      <c r="L1663" s="60">
        <v>0</v>
      </c>
      <c r="M1663" s="61">
        <v>44798</v>
      </c>
      <c r="O1663" s="62" t="s">
        <v>331</v>
      </c>
      <c r="P1663" s="60" t="s">
        <v>77</v>
      </c>
      <c r="Q1663" s="62" t="s">
        <v>118</v>
      </c>
      <c r="R1663" s="62" t="s">
        <v>4476</v>
      </c>
      <c r="S1663" s="63" t="s">
        <v>4188</v>
      </c>
      <c r="T1663" s="63" t="s">
        <v>1081</v>
      </c>
      <c r="U1663" s="64">
        <v>65000</v>
      </c>
      <c r="V1663" s="64">
        <v>71500</v>
      </c>
      <c r="W1663" s="64">
        <v>65000</v>
      </c>
      <c r="X1663" s="64">
        <v>71500</v>
      </c>
      <c r="Y1663" s="64">
        <v>0</v>
      </c>
      <c r="Z1663" s="64">
        <v>0</v>
      </c>
      <c r="AA1663" s="61" t="s">
        <v>285</v>
      </c>
      <c r="AQ1663" s="60" t="s">
        <v>4495</v>
      </c>
      <c r="AR1663" s="61">
        <v>44803</v>
      </c>
      <c r="AS1663" s="60">
        <v>6002066884</v>
      </c>
      <c r="AT1663" s="61">
        <v>44803</v>
      </c>
      <c r="AU1663" s="60" t="s">
        <v>4594</v>
      </c>
      <c r="AV1663" s="61">
        <v>44834</v>
      </c>
      <c r="AW1663" s="91">
        <v>44834</v>
      </c>
      <c r="AX1663" s="91">
        <v>44854</v>
      </c>
      <c r="AY1663" s="107">
        <f t="shared" si="7"/>
        <v>65000</v>
      </c>
      <c r="AZ1663" s="107">
        <f>ROUNDDOWN(AY1663+(AY1663*MASTER!$A$2/100),0)</f>
        <v>71500</v>
      </c>
    </row>
    <row r="1664" spans="1:78" x14ac:dyDescent="0.15">
      <c r="A1664" s="60">
        <v>2</v>
      </c>
      <c r="B1664" s="61">
        <v>44805</v>
      </c>
      <c r="C1664" s="61">
        <v>44834</v>
      </c>
      <c r="D1664" s="61">
        <v>44816</v>
      </c>
      <c r="F1664" s="61" t="s">
        <v>309</v>
      </c>
      <c r="H1664" s="61" t="s">
        <v>309</v>
      </c>
      <c r="I1664" s="60" t="s">
        <v>774</v>
      </c>
      <c r="J1664" s="60">
        <v>2</v>
      </c>
      <c r="L1664" s="60">
        <v>0</v>
      </c>
      <c r="M1664" s="61">
        <v>44798</v>
      </c>
      <c r="O1664" s="62" t="s">
        <v>331</v>
      </c>
      <c r="P1664" s="60" t="s">
        <v>77</v>
      </c>
      <c r="Q1664" s="62" t="s">
        <v>118</v>
      </c>
      <c r="R1664" s="62" t="s">
        <v>4805</v>
      </c>
      <c r="S1664" s="63" t="s">
        <v>1993</v>
      </c>
      <c r="T1664" s="63" t="s">
        <v>1081</v>
      </c>
      <c r="U1664" s="64">
        <v>65000</v>
      </c>
      <c r="V1664" s="64">
        <v>71500</v>
      </c>
      <c r="W1664" s="64">
        <v>65000</v>
      </c>
      <c r="X1664" s="64">
        <v>71500</v>
      </c>
      <c r="Y1664" s="64">
        <v>0</v>
      </c>
      <c r="Z1664" s="64">
        <v>0</v>
      </c>
      <c r="AA1664" s="61">
        <v>44807</v>
      </c>
      <c r="AB1664" s="61">
        <v>44808</v>
      </c>
      <c r="AD1664" s="60">
        <v>0</v>
      </c>
      <c r="AG1664" s="60">
        <v>0</v>
      </c>
      <c r="AJ1664" s="60">
        <v>0</v>
      </c>
      <c r="AQ1664" s="60" t="s">
        <v>4495</v>
      </c>
      <c r="AR1664" s="61">
        <v>44803</v>
      </c>
      <c r="AS1664" s="60">
        <v>6002066884</v>
      </c>
      <c r="AT1664" s="61">
        <v>44803</v>
      </c>
      <c r="AU1664" s="60" t="s">
        <v>4594</v>
      </c>
      <c r="AV1664" s="61">
        <v>44834</v>
      </c>
      <c r="AW1664" s="91">
        <v>44834</v>
      </c>
      <c r="AX1664" s="91">
        <v>44854</v>
      </c>
      <c r="AY1664" s="107">
        <v>65000</v>
      </c>
      <c r="AZ1664" s="107">
        <f>ROUNDDOWN(AY1664+(AY1664*MASTER!$A$2/100),0)</f>
        <v>71500</v>
      </c>
      <c r="BA1664" s="60" t="s">
        <v>765</v>
      </c>
      <c r="BC1664" s="64">
        <v>0</v>
      </c>
      <c r="BG1664" s="64">
        <v>0</v>
      </c>
      <c r="BK1664" s="64">
        <v>0</v>
      </c>
      <c r="BS1664" s="64">
        <v>0</v>
      </c>
      <c r="BV1664" s="65">
        <v>71500</v>
      </c>
      <c r="BW1664" s="65">
        <v>0</v>
      </c>
      <c r="BX1664" s="65">
        <v>44798</v>
      </c>
      <c r="BY1664" s="65">
        <v>71500</v>
      </c>
      <c r="BZ1664" s="81">
        <v>100</v>
      </c>
    </row>
    <row r="1665" spans="1:78" x14ac:dyDescent="0.15">
      <c r="A1665" s="60">
        <v>1</v>
      </c>
      <c r="B1665" s="61">
        <v>44805</v>
      </c>
      <c r="C1665" s="61">
        <v>44834</v>
      </c>
      <c r="F1665" s="61" t="s">
        <v>309</v>
      </c>
      <c r="H1665" s="61" t="s">
        <v>309</v>
      </c>
      <c r="J1665" s="60">
        <v>2</v>
      </c>
      <c r="L1665" s="60">
        <v>0</v>
      </c>
      <c r="M1665" s="61">
        <v>44798</v>
      </c>
      <c r="O1665" s="62" t="s">
        <v>331</v>
      </c>
      <c r="P1665" s="60" t="s">
        <v>77</v>
      </c>
      <c r="Q1665" s="62" t="s">
        <v>118</v>
      </c>
      <c r="R1665" s="62" t="s">
        <v>4657</v>
      </c>
      <c r="S1665" s="63" t="s">
        <v>554</v>
      </c>
      <c r="T1665" s="63" t="s">
        <v>1081</v>
      </c>
      <c r="U1665" s="64">
        <v>65000</v>
      </c>
      <c r="V1665" s="64">
        <v>71500</v>
      </c>
      <c r="W1665" s="64">
        <v>65000</v>
      </c>
      <c r="X1665" s="64">
        <v>71500</v>
      </c>
      <c r="Y1665" s="64">
        <v>0</v>
      </c>
      <c r="Z1665" s="64">
        <v>0</v>
      </c>
      <c r="AA1665" s="61" t="s">
        <v>4182</v>
      </c>
      <c r="AD1665" s="60">
        <v>0</v>
      </c>
      <c r="AG1665" s="60">
        <v>0</v>
      </c>
      <c r="AJ1665" s="60">
        <v>0</v>
      </c>
      <c r="AQ1665" s="60" t="s">
        <v>4496</v>
      </c>
      <c r="AR1665" s="61">
        <v>44803</v>
      </c>
      <c r="AS1665" s="60">
        <v>6002066884</v>
      </c>
      <c r="AT1665" s="61">
        <v>44803</v>
      </c>
      <c r="AU1665" s="60" t="s">
        <v>4594</v>
      </c>
      <c r="AV1665" s="61">
        <v>44834</v>
      </c>
      <c r="AW1665" s="91">
        <v>44834</v>
      </c>
      <c r="AX1665" s="91">
        <v>44854</v>
      </c>
      <c r="AY1665" s="107">
        <v>65000</v>
      </c>
      <c r="AZ1665" s="107">
        <f>ROUNDDOWN(AY1665+(AY1665*MASTER!$A$2/100),0)</f>
        <v>71500</v>
      </c>
      <c r="BC1665" s="64">
        <v>0</v>
      </c>
      <c r="BG1665" s="64">
        <v>0</v>
      </c>
      <c r="BK1665" s="64">
        <v>0</v>
      </c>
      <c r="BS1665" s="64">
        <v>0</v>
      </c>
      <c r="BV1665" s="65">
        <v>71500</v>
      </c>
      <c r="BW1665" s="65">
        <v>0</v>
      </c>
      <c r="BX1665" s="65">
        <v>44798</v>
      </c>
      <c r="BY1665" s="65">
        <v>71500</v>
      </c>
      <c r="BZ1665" s="81">
        <v>100</v>
      </c>
    </row>
    <row r="1666" spans="1:78" x14ac:dyDescent="0.15">
      <c r="A1666" s="60">
        <v>1</v>
      </c>
      <c r="B1666" s="61">
        <v>44805</v>
      </c>
      <c r="C1666" s="61">
        <v>44834</v>
      </c>
      <c r="F1666" s="61" t="s">
        <v>309</v>
      </c>
      <c r="H1666" s="61" t="s">
        <v>309</v>
      </c>
      <c r="J1666" s="60">
        <v>2</v>
      </c>
      <c r="L1666" s="60">
        <v>0</v>
      </c>
      <c r="M1666" s="61">
        <v>44798</v>
      </c>
      <c r="O1666" s="62" t="s">
        <v>331</v>
      </c>
      <c r="P1666" s="60" t="s">
        <v>77</v>
      </c>
      <c r="Q1666" s="62" t="s">
        <v>118</v>
      </c>
      <c r="R1666" s="62" t="s">
        <v>4477</v>
      </c>
      <c r="S1666" s="63" t="s">
        <v>4463</v>
      </c>
      <c r="T1666" s="63" t="s">
        <v>1081</v>
      </c>
      <c r="U1666" s="64">
        <v>65000</v>
      </c>
      <c r="V1666" s="64">
        <v>71500</v>
      </c>
      <c r="W1666" s="64">
        <v>65000</v>
      </c>
      <c r="X1666" s="64">
        <v>71500</v>
      </c>
      <c r="Y1666" s="64">
        <v>0</v>
      </c>
      <c r="Z1666" s="64">
        <v>0</v>
      </c>
      <c r="AA1666" s="61" t="s">
        <v>285</v>
      </c>
      <c r="AQ1666" s="60" t="s">
        <v>4496</v>
      </c>
      <c r="AR1666" s="61">
        <v>44803</v>
      </c>
      <c r="AS1666" s="60">
        <v>6002066884</v>
      </c>
      <c r="AT1666" s="61">
        <v>44803</v>
      </c>
      <c r="AU1666" s="60" t="s">
        <v>4594</v>
      </c>
      <c r="AV1666" s="61">
        <v>44834</v>
      </c>
      <c r="AW1666" s="91">
        <v>44834</v>
      </c>
      <c r="AX1666" s="91">
        <v>44854</v>
      </c>
      <c r="AY1666" s="107">
        <f t="shared" si="7"/>
        <v>65000</v>
      </c>
      <c r="AZ1666" s="107">
        <f>ROUNDDOWN(AY1666+(AY1666*MASTER!$A$2/100),0)</f>
        <v>71500</v>
      </c>
    </row>
    <row r="1667" spans="1:78" x14ac:dyDescent="0.15">
      <c r="A1667" s="60">
        <v>2</v>
      </c>
      <c r="B1667" s="61">
        <v>44805</v>
      </c>
      <c r="C1667" s="61">
        <v>44834</v>
      </c>
      <c r="D1667" s="61">
        <v>44826</v>
      </c>
      <c r="F1667" s="61" t="s">
        <v>309</v>
      </c>
      <c r="H1667" s="61" t="s">
        <v>309</v>
      </c>
      <c r="I1667" s="60" t="s">
        <v>1630</v>
      </c>
      <c r="J1667" s="60">
        <v>2</v>
      </c>
      <c r="L1667" s="60">
        <v>0</v>
      </c>
      <c r="M1667" s="61">
        <v>44798</v>
      </c>
      <c r="O1667" s="62" t="s">
        <v>331</v>
      </c>
      <c r="P1667" s="60" t="s">
        <v>77</v>
      </c>
      <c r="Q1667" s="62" t="s">
        <v>118</v>
      </c>
      <c r="R1667" s="62" t="s">
        <v>4955</v>
      </c>
      <c r="S1667" s="63" t="s">
        <v>984</v>
      </c>
      <c r="T1667" s="63" t="s">
        <v>1081</v>
      </c>
      <c r="U1667" s="64">
        <v>65000</v>
      </c>
      <c r="V1667" s="64">
        <v>71500</v>
      </c>
      <c r="W1667" s="64">
        <v>65000</v>
      </c>
      <c r="X1667" s="64">
        <v>71500</v>
      </c>
      <c r="Y1667" s="64">
        <v>0</v>
      </c>
      <c r="Z1667" s="64">
        <v>0</v>
      </c>
      <c r="AA1667" s="61">
        <v>44825</v>
      </c>
      <c r="AB1667" s="61">
        <v>44825</v>
      </c>
      <c r="AD1667" s="60">
        <v>0</v>
      </c>
      <c r="AG1667" s="60">
        <v>0</v>
      </c>
      <c r="AJ1667" s="60">
        <v>0</v>
      </c>
      <c r="AQ1667" s="60" t="s">
        <v>4496</v>
      </c>
      <c r="AR1667" s="61">
        <v>44803</v>
      </c>
      <c r="AS1667" s="60">
        <v>6002066884</v>
      </c>
      <c r="AT1667" s="61">
        <v>44803</v>
      </c>
      <c r="AU1667" s="60" t="s">
        <v>4594</v>
      </c>
      <c r="AV1667" s="61">
        <v>44834</v>
      </c>
      <c r="AW1667" s="91">
        <v>44834</v>
      </c>
      <c r="AX1667" s="91">
        <v>44854</v>
      </c>
      <c r="AY1667" s="107">
        <v>65000</v>
      </c>
      <c r="AZ1667" s="107">
        <f>ROUNDDOWN(AY1667+(AY1667*MASTER!$A$2/100),0)</f>
        <v>71500</v>
      </c>
      <c r="BA1667" s="60" t="s">
        <v>107</v>
      </c>
      <c r="BC1667" s="64">
        <v>0</v>
      </c>
      <c r="BG1667" s="64">
        <v>0</v>
      </c>
      <c r="BK1667" s="64">
        <v>0</v>
      </c>
      <c r="BS1667" s="64">
        <v>0</v>
      </c>
      <c r="BV1667" s="65">
        <v>71500</v>
      </c>
      <c r="BW1667" s="65">
        <v>0</v>
      </c>
      <c r="BX1667" s="65">
        <v>44798</v>
      </c>
      <c r="BY1667" s="65">
        <v>71500</v>
      </c>
      <c r="BZ1667" s="81">
        <v>100</v>
      </c>
    </row>
    <row r="1668" spans="1:78" x14ac:dyDescent="0.15">
      <c r="A1668" s="60">
        <v>1</v>
      </c>
      <c r="B1668" s="61">
        <v>44805</v>
      </c>
      <c r="C1668" s="61">
        <v>44834</v>
      </c>
      <c r="F1668" s="61" t="s">
        <v>309</v>
      </c>
      <c r="H1668" s="61" t="s">
        <v>309</v>
      </c>
      <c r="J1668" s="60">
        <v>2</v>
      </c>
      <c r="L1668" s="60">
        <v>0</v>
      </c>
      <c r="M1668" s="61">
        <v>44798</v>
      </c>
      <c r="O1668" s="62" t="s">
        <v>331</v>
      </c>
      <c r="P1668" s="60" t="s">
        <v>77</v>
      </c>
      <c r="Q1668" s="62" t="s">
        <v>118</v>
      </c>
      <c r="R1668" s="62" t="s">
        <v>4478</v>
      </c>
      <c r="S1668" s="63" t="s">
        <v>1606</v>
      </c>
      <c r="T1668" s="63" t="s">
        <v>1081</v>
      </c>
      <c r="U1668" s="64">
        <v>65000</v>
      </c>
      <c r="V1668" s="64">
        <v>71500</v>
      </c>
      <c r="W1668" s="64">
        <v>65000</v>
      </c>
      <c r="X1668" s="64">
        <v>71500</v>
      </c>
      <c r="Y1668" s="64">
        <v>0</v>
      </c>
      <c r="Z1668" s="64">
        <v>0</v>
      </c>
      <c r="AA1668" s="61" t="s">
        <v>285</v>
      </c>
      <c r="AQ1668" s="60" t="s">
        <v>4496</v>
      </c>
      <c r="AR1668" s="61">
        <v>44803</v>
      </c>
      <c r="AS1668" s="60">
        <v>6002066884</v>
      </c>
      <c r="AT1668" s="61">
        <v>44803</v>
      </c>
      <c r="AU1668" s="60" t="s">
        <v>4594</v>
      </c>
      <c r="AV1668" s="61">
        <v>44834</v>
      </c>
      <c r="AW1668" s="91">
        <v>44834</v>
      </c>
      <c r="AX1668" s="91">
        <v>44854</v>
      </c>
      <c r="AY1668" s="107">
        <f t="shared" si="7"/>
        <v>65000</v>
      </c>
      <c r="AZ1668" s="107">
        <f>ROUNDDOWN(AY1668+(AY1668*MASTER!$A$2/100),0)</f>
        <v>71500</v>
      </c>
    </row>
    <row r="1669" spans="1:78" x14ac:dyDescent="0.15">
      <c r="A1669" s="60">
        <v>1</v>
      </c>
      <c r="B1669" s="61">
        <v>44805</v>
      </c>
      <c r="C1669" s="61">
        <v>44834</v>
      </c>
      <c r="F1669" s="61" t="s">
        <v>309</v>
      </c>
      <c r="H1669" s="61" t="s">
        <v>309</v>
      </c>
      <c r="J1669" s="60">
        <v>2</v>
      </c>
      <c r="L1669" s="60">
        <v>0</v>
      </c>
      <c r="M1669" s="61">
        <v>44798</v>
      </c>
      <c r="O1669" s="62" t="s">
        <v>331</v>
      </c>
      <c r="P1669" s="60" t="s">
        <v>77</v>
      </c>
      <c r="Q1669" s="62" t="s">
        <v>118</v>
      </c>
      <c r="R1669" s="62" t="s">
        <v>4479</v>
      </c>
      <c r="S1669" s="63" t="s">
        <v>1922</v>
      </c>
      <c r="T1669" s="63" t="s">
        <v>1081</v>
      </c>
      <c r="U1669" s="64">
        <v>65000</v>
      </c>
      <c r="V1669" s="64">
        <v>71500</v>
      </c>
      <c r="W1669" s="64">
        <v>65000</v>
      </c>
      <c r="X1669" s="64">
        <v>71500</v>
      </c>
      <c r="Y1669" s="64">
        <v>0</v>
      </c>
      <c r="Z1669" s="64">
        <v>0</v>
      </c>
      <c r="AA1669" s="61" t="s">
        <v>285</v>
      </c>
      <c r="AQ1669" s="60" t="s">
        <v>4496</v>
      </c>
      <c r="AR1669" s="61">
        <v>44803</v>
      </c>
      <c r="AS1669" s="60">
        <v>6002066884</v>
      </c>
      <c r="AT1669" s="61">
        <v>44803</v>
      </c>
      <c r="AU1669" s="60" t="s">
        <v>4594</v>
      </c>
      <c r="AV1669" s="61">
        <v>44834</v>
      </c>
      <c r="AW1669" s="91">
        <v>44834</v>
      </c>
      <c r="AX1669" s="91">
        <v>44854</v>
      </c>
      <c r="AY1669" s="107">
        <f t="shared" si="7"/>
        <v>65000</v>
      </c>
      <c r="AZ1669" s="107">
        <f>ROUNDDOWN(AY1669+(AY1669*MASTER!$A$2/100),0)</f>
        <v>71500</v>
      </c>
    </row>
    <row r="1670" spans="1:78" x14ac:dyDescent="0.15">
      <c r="A1670" s="60">
        <v>2</v>
      </c>
      <c r="B1670" s="61">
        <v>44805</v>
      </c>
      <c r="C1670" s="61">
        <v>44834</v>
      </c>
      <c r="D1670" s="61">
        <v>44820</v>
      </c>
      <c r="F1670" s="61" t="s">
        <v>309</v>
      </c>
      <c r="H1670" s="61" t="s">
        <v>309</v>
      </c>
      <c r="I1670" s="60" t="s">
        <v>774</v>
      </c>
      <c r="J1670" s="60">
        <v>2</v>
      </c>
      <c r="L1670" s="60">
        <v>0</v>
      </c>
      <c r="M1670" s="61">
        <v>44798</v>
      </c>
      <c r="O1670" s="62" t="s">
        <v>331</v>
      </c>
      <c r="P1670" s="60" t="s">
        <v>77</v>
      </c>
      <c r="Q1670" s="62" t="s">
        <v>118</v>
      </c>
      <c r="R1670" s="62" t="s">
        <v>4843</v>
      </c>
      <c r="S1670" s="63" t="s">
        <v>4786</v>
      </c>
      <c r="T1670" s="63" t="s">
        <v>1081</v>
      </c>
      <c r="U1670" s="64">
        <v>65000</v>
      </c>
      <c r="V1670" s="64">
        <v>71500</v>
      </c>
      <c r="W1670" s="64">
        <v>65000</v>
      </c>
      <c r="X1670" s="64">
        <v>71500</v>
      </c>
      <c r="Y1670" s="64">
        <v>0</v>
      </c>
      <c r="Z1670" s="64">
        <v>0</v>
      </c>
      <c r="AA1670" s="61">
        <v>44817</v>
      </c>
      <c r="AB1670" s="61">
        <v>44818</v>
      </c>
      <c r="AD1670" s="60">
        <v>0</v>
      </c>
      <c r="AG1670" s="60">
        <v>0</v>
      </c>
      <c r="AJ1670" s="60">
        <v>0</v>
      </c>
      <c r="AQ1670" s="60" t="s">
        <v>4496</v>
      </c>
      <c r="AR1670" s="61">
        <v>44803</v>
      </c>
      <c r="AS1670" s="60">
        <v>6002066884</v>
      </c>
      <c r="AT1670" s="61">
        <v>44803</v>
      </c>
      <c r="AU1670" s="60" t="s">
        <v>4594</v>
      </c>
      <c r="AV1670" s="61">
        <v>44834</v>
      </c>
      <c r="AW1670" s="91">
        <v>44834</v>
      </c>
      <c r="AX1670" s="91">
        <v>44854</v>
      </c>
      <c r="AY1670" s="107">
        <v>65000</v>
      </c>
      <c r="AZ1670" s="107">
        <f>ROUNDDOWN(AY1670+(AY1670*MASTER!$A$2/100),0)</f>
        <v>71500</v>
      </c>
      <c r="BA1670" s="60" t="s">
        <v>765</v>
      </c>
      <c r="BC1670" s="64">
        <v>0</v>
      </c>
      <c r="BG1670" s="64">
        <v>0</v>
      </c>
      <c r="BK1670" s="64">
        <v>0</v>
      </c>
      <c r="BS1670" s="64">
        <v>0</v>
      </c>
      <c r="BV1670" s="65">
        <v>71500</v>
      </c>
      <c r="BW1670" s="65">
        <v>0</v>
      </c>
      <c r="BX1670" s="65">
        <v>44798</v>
      </c>
      <c r="BY1670" s="65">
        <v>71500</v>
      </c>
      <c r="BZ1670" s="81">
        <v>100</v>
      </c>
    </row>
    <row r="1671" spans="1:78" x14ac:dyDescent="0.15">
      <c r="A1671" s="60">
        <v>1</v>
      </c>
      <c r="B1671" s="61">
        <v>44805</v>
      </c>
      <c r="C1671" s="61">
        <v>44834</v>
      </c>
      <c r="F1671" s="61" t="s">
        <v>309</v>
      </c>
      <c r="H1671" s="61" t="s">
        <v>309</v>
      </c>
      <c r="J1671" s="60">
        <v>2</v>
      </c>
      <c r="L1671" s="60">
        <v>0</v>
      </c>
      <c r="M1671" s="61">
        <v>44798</v>
      </c>
      <c r="O1671" s="62" t="s">
        <v>331</v>
      </c>
      <c r="P1671" s="60" t="s">
        <v>77</v>
      </c>
      <c r="Q1671" s="62" t="s">
        <v>118</v>
      </c>
      <c r="R1671" s="62" t="s">
        <v>4480</v>
      </c>
      <c r="S1671" s="63" t="s">
        <v>1458</v>
      </c>
      <c r="T1671" s="63" t="s">
        <v>1081</v>
      </c>
      <c r="U1671" s="64">
        <v>65000</v>
      </c>
      <c r="V1671" s="64">
        <v>71500</v>
      </c>
      <c r="W1671" s="64">
        <v>65000</v>
      </c>
      <c r="X1671" s="64">
        <v>71500</v>
      </c>
      <c r="Y1671" s="64">
        <v>0</v>
      </c>
      <c r="Z1671" s="64">
        <v>0</v>
      </c>
      <c r="AA1671" s="61" t="s">
        <v>285</v>
      </c>
      <c r="AQ1671" s="60" t="s">
        <v>4497</v>
      </c>
      <c r="AR1671" s="61">
        <v>44803</v>
      </c>
      <c r="AS1671" s="60">
        <v>6002066884</v>
      </c>
      <c r="AT1671" s="61">
        <v>44803</v>
      </c>
      <c r="AU1671" s="60" t="s">
        <v>4594</v>
      </c>
      <c r="AV1671" s="61">
        <v>44834</v>
      </c>
      <c r="AW1671" s="91">
        <v>44834</v>
      </c>
      <c r="AX1671" s="91">
        <v>44854</v>
      </c>
      <c r="AY1671" s="107">
        <f t="shared" si="7"/>
        <v>65000</v>
      </c>
      <c r="AZ1671" s="107">
        <f>ROUNDDOWN(AY1671+(AY1671*MASTER!$A$2/100),0)</f>
        <v>71500</v>
      </c>
    </row>
    <row r="1672" spans="1:78" x14ac:dyDescent="0.15">
      <c r="A1672" s="60">
        <v>1</v>
      </c>
      <c r="B1672" s="61">
        <v>44805</v>
      </c>
      <c r="C1672" s="61">
        <v>44834</v>
      </c>
      <c r="F1672" s="61" t="s">
        <v>309</v>
      </c>
      <c r="H1672" s="61" t="s">
        <v>309</v>
      </c>
      <c r="J1672" s="60">
        <v>2</v>
      </c>
      <c r="L1672" s="60">
        <v>0</v>
      </c>
      <c r="M1672" s="61">
        <v>44798</v>
      </c>
      <c r="O1672" s="62" t="s">
        <v>331</v>
      </c>
      <c r="P1672" s="60" t="s">
        <v>77</v>
      </c>
      <c r="Q1672" s="62" t="s">
        <v>118</v>
      </c>
      <c r="R1672" s="62" t="s">
        <v>4481</v>
      </c>
      <c r="S1672" s="63" t="s">
        <v>1664</v>
      </c>
      <c r="T1672" s="63" t="s">
        <v>1081</v>
      </c>
      <c r="U1672" s="64">
        <v>65000</v>
      </c>
      <c r="V1672" s="64">
        <v>71500</v>
      </c>
      <c r="W1672" s="64">
        <v>65000</v>
      </c>
      <c r="X1672" s="64">
        <v>71500</v>
      </c>
      <c r="Y1672" s="64">
        <v>0</v>
      </c>
      <c r="Z1672" s="64">
        <v>0</v>
      </c>
      <c r="AA1672" s="61" t="s">
        <v>285</v>
      </c>
      <c r="AQ1672" s="60" t="s">
        <v>4497</v>
      </c>
      <c r="AR1672" s="61">
        <v>44803</v>
      </c>
      <c r="AS1672" s="60">
        <v>6002066884</v>
      </c>
      <c r="AT1672" s="61">
        <v>44803</v>
      </c>
      <c r="AU1672" s="60" t="s">
        <v>4594</v>
      </c>
      <c r="AV1672" s="61">
        <v>44834</v>
      </c>
      <c r="AW1672" s="91">
        <v>44834</v>
      </c>
      <c r="AX1672" s="91">
        <v>44854</v>
      </c>
      <c r="AY1672" s="107">
        <f t="shared" si="7"/>
        <v>65000</v>
      </c>
      <c r="AZ1672" s="107">
        <f>ROUNDDOWN(AY1672+(AY1672*MASTER!$A$2/100),0)</f>
        <v>71500</v>
      </c>
    </row>
    <row r="1673" spans="1:78" x14ac:dyDescent="0.15">
      <c r="A1673" s="60">
        <v>1</v>
      </c>
      <c r="B1673" s="61">
        <v>44805</v>
      </c>
      <c r="C1673" s="61">
        <v>44834</v>
      </c>
      <c r="F1673" s="61" t="s">
        <v>309</v>
      </c>
      <c r="H1673" s="61" t="s">
        <v>309</v>
      </c>
      <c r="J1673" s="60">
        <v>2</v>
      </c>
      <c r="L1673" s="60">
        <v>0</v>
      </c>
      <c r="M1673" s="61">
        <v>44798</v>
      </c>
      <c r="O1673" s="62" t="s">
        <v>331</v>
      </c>
      <c r="P1673" s="60" t="s">
        <v>77</v>
      </c>
      <c r="Q1673" s="62" t="s">
        <v>118</v>
      </c>
      <c r="R1673" s="62" t="s">
        <v>4482</v>
      </c>
      <c r="S1673" s="63" t="s">
        <v>579</v>
      </c>
      <c r="T1673" s="63" t="s">
        <v>1081</v>
      </c>
      <c r="U1673" s="64">
        <v>65000</v>
      </c>
      <c r="V1673" s="64">
        <v>71500</v>
      </c>
      <c r="W1673" s="64">
        <v>65000</v>
      </c>
      <c r="X1673" s="64">
        <v>71500</v>
      </c>
      <c r="Y1673" s="64">
        <v>0</v>
      </c>
      <c r="Z1673" s="64">
        <v>0</v>
      </c>
      <c r="AA1673" s="61" t="s">
        <v>285</v>
      </c>
      <c r="AQ1673" s="60" t="s">
        <v>4497</v>
      </c>
      <c r="AR1673" s="61">
        <v>44803</v>
      </c>
      <c r="AS1673" s="60">
        <v>6002066884</v>
      </c>
      <c r="AT1673" s="61">
        <v>44803</v>
      </c>
      <c r="AU1673" s="60" t="s">
        <v>4594</v>
      </c>
      <c r="AV1673" s="61">
        <v>44834</v>
      </c>
      <c r="AW1673" s="91">
        <v>44834</v>
      </c>
      <c r="AX1673" s="91">
        <v>44854</v>
      </c>
      <c r="AY1673" s="107">
        <f t="shared" si="7"/>
        <v>65000</v>
      </c>
      <c r="AZ1673" s="107">
        <f>ROUNDDOWN(AY1673+(AY1673*MASTER!$A$2/100),0)</f>
        <v>71500</v>
      </c>
    </row>
    <row r="1674" spans="1:78" x14ac:dyDescent="0.15">
      <c r="A1674" s="60">
        <v>2</v>
      </c>
      <c r="B1674" s="61">
        <v>44805</v>
      </c>
      <c r="C1674" s="61">
        <v>44834</v>
      </c>
      <c r="D1674" s="61">
        <v>44819</v>
      </c>
      <c r="F1674" s="61" t="s">
        <v>309</v>
      </c>
      <c r="H1674" s="61" t="s">
        <v>309</v>
      </c>
      <c r="I1674" s="60" t="s">
        <v>1630</v>
      </c>
      <c r="J1674" s="60">
        <v>2</v>
      </c>
      <c r="L1674" s="60">
        <v>0</v>
      </c>
      <c r="M1674" s="61">
        <v>44798</v>
      </c>
      <c r="O1674" s="62" t="s">
        <v>331</v>
      </c>
      <c r="P1674" s="60" t="s">
        <v>77</v>
      </c>
      <c r="Q1674" s="62" t="s">
        <v>118</v>
      </c>
      <c r="R1674" s="62" t="s">
        <v>4837</v>
      </c>
      <c r="S1674" s="63" t="s">
        <v>3937</v>
      </c>
      <c r="T1674" s="63" t="s">
        <v>1081</v>
      </c>
      <c r="U1674" s="64">
        <v>65000</v>
      </c>
      <c r="V1674" s="64">
        <v>71500</v>
      </c>
      <c r="W1674" s="64">
        <v>65000</v>
      </c>
      <c r="X1674" s="64">
        <v>71500</v>
      </c>
      <c r="Y1674" s="64">
        <v>0</v>
      </c>
      <c r="Z1674" s="64">
        <v>0</v>
      </c>
      <c r="AA1674" s="61">
        <v>44818</v>
      </c>
      <c r="AB1674" s="61">
        <v>44819</v>
      </c>
      <c r="AD1674" s="60">
        <v>0</v>
      </c>
      <c r="AG1674" s="60">
        <v>0</v>
      </c>
      <c r="AJ1674" s="60">
        <v>0</v>
      </c>
      <c r="AQ1674" s="60" t="s">
        <v>4497</v>
      </c>
      <c r="AR1674" s="61">
        <v>44803</v>
      </c>
      <c r="AS1674" s="60">
        <v>6002066884</v>
      </c>
      <c r="AT1674" s="61">
        <v>44803</v>
      </c>
      <c r="AU1674" s="60" t="s">
        <v>4594</v>
      </c>
      <c r="AV1674" s="61">
        <v>44834</v>
      </c>
      <c r="AW1674" s="91">
        <v>44834</v>
      </c>
      <c r="AX1674" s="91">
        <v>44854</v>
      </c>
      <c r="AY1674" s="107">
        <v>65000</v>
      </c>
      <c r="AZ1674" s="107">
        <f>ROUNDDOWN(AY1674+(AY1674*MASTER!$A$2/100),0)</f>
        <v>71500</v>
      </c>
      <c r="BA1674" s="60" t="s">
        <v>107</v>
      </c>
      <c r="BC1674" s="64">
        <v>0</v>
      </c>
      <c r="BG1674" s="64">
        <v>0</v>
      </c>
      <c r="BK1674" s="64">
        <v>0</v>
      </c>
      <c r="BS1674" s="64">
        <v>0</v>
      </c>
      <c r="BV1674" s="65">
        <v>71500</v>
      </c>
      <c r="BW1674" s="65">
        <v>0</v>
      </c>
      <c r="BX1674" s="65">
        <v>44798</v>
      </c>
      <c r="BY1674" s="65">
        <v>71500</v>
      </c>
      <c r="BZ1674" s="81">
        <v>100</v>
      </c>
    </row>
    <row r="1675" spans="1:78" x14ac:dyDescent="0.15">
      <c r="A1675" s="60">
        <v>1</v>
      </c>
      <c r="B1675" s="61">
        <v>44805</v>
      </c>
      <c r="C1675" s="61">
        <v>44834</v>
      </c>
      <c r="F1675" s="61" t="s">
        <v>309</v>
      </c>
      <c r="H1675" s="61" t="s">
        <v>309</v>
      </c>
      <c r="J1675" s="60">
        <v>2</v>
      </c>
      <c r="L1675" s="60">
        <v>0</v>
      </c>
      <c r="M1675" s="61">
        <v>44798</v>
      </c>
      <c r="O1675" s="62" t="s">
        <v>331</v>
      </c>
      <c r="P1675" s="60" t="s">
        <v>77</v>
      </c>
      <c r="Q1675" s="62" t="s">
        <v>118</v>
      </c>
      <c r="R1675" s="62" t="s">
        <v>4483</v>
      </c>
      <c r="S1675" s="63" t="s">
        <v>2011</v>
      </c>
      <c r="T1675" s="63" t="s">
        <v>1081</v>
      </c>
      <c r="U1675" s="64">
        <v>65000</v>
      </c>
      <c r="V1675" s="64">
        <v>71500</v>
      </c>
      <c r="W1675" s="64">
        <v>65000</v>
      </c>
      <c r="X1675" s="64">
        <v>71500</v>
      </c>
      <c r="Y1675" s="64">
        <v>0</v>
      </c>
      <c r="Z1675" s="64">
        <v>0</v>
      </c>
      <c r="AA1675" s="61" t="s">
        <v>285</v>
      </c>
      <c r="AQ1675" s="60" t="s">
        <v>4497</v>
      </c>
      <c r="AR1675" s="61">
        <v>44803</v>
      </c>
      <c r="AS1675" s="60">
        <v>6002066884</v>
      </c>
      <c r="AT1675" s="61">
        <v>44803</v>
      </c>
      <c r="AU1675" s="60" t="s">
        <v>4594</v>
      </c>
      <c r="AV1675" s="61">
        <v>44834</v>
      </c>
      <c r="AW1675" s="91">
        <v>44834</v>
      </c>
      <c r="AX1675" s="91">
        <v>44854</v>
      </c>
      <c r="AY1675" s="107">
        <f t="shared" si="7"/>
        <v>65000</v>
      </c>
      <c r="AZ1675" s="107">
        <f>ROUNDDOWN(AY1675+(AY1675*MASTER!$A$2/100),0)</f>
        <v>71500</v>
      </c>
    </row>
    <row r="1676" spans="1:78" x14ac:dyDescent="0.15">
      <c r="A1676" s="60">
        <v>2</v>
      </c>
      <c r="B1676" s="61">
        <v>44805</v>
      </c>
      <c r="C1676" s="61">
        <v>44834</v>
      </c>
      <c r="D1676" s="61">
        <v>44820</v>
      </c>
      <c r="F1676" s="61" t="s">
        <v>309</v>
      </c>
      <c r="H1676" s="61" t="s">
        <v>309</v>
      </c>
      <c r="I1676" s="60" t="s">
        <v>1630</v>
      </c>
      <c r="J1676" s="60">
        <v>2</v>
      </c>
      <c r="L1676" s="60">
        <v>0</v>
      </c>
      <c r="M1676" s="61">
        <v>44798</v>
      </c>
      <c r="O1676" s="62" t="s">
        <v>331</v>
      </c>
      <c r="P1676" s="60" t="s">
        <v>77</v>
      </c>
      <c r="Q1676" s="62" t="s">
        <v>118</v>
      </c>
      <c r="R1676" s="62" t="s">
        <v>4844</v>
      </c>
      <c r="S1676" s="63" t="s">
        <v>2744</v>
      </c>
      <c r="T1676" s="63" t="s">
        <v>1081</v>
      </c>
      <c r="U1676" s="64">
        <v>65000</v>
      </c>
      <c r="V1676" s="64">
        <v>71500</v>
      </c>
      <c r="W1676" s="64">
        <v>65000</v>
      </c>
      <c r="X1676" s="64">
        <v>71500</v>
      </c>
      <c r="Y1676" s="64">
        <v>0</v>
      </c>
      <c r="Z1676" s="64">
        <v>0</v>
      </c>
      <c r="AA1676" s="61">
        <v>44819</v>
      </c>
      <c r="AB1676" s="61">
        <v>44820</v>
      </c>
      <c r="AD1676" s="60">
        <v>0</v>
      </c>
      <c r="AG1676" s="60">
        <v>0</v>
      </c>
      <c r="AJ1676" s="60">
        <v>0</v>
      </c>
      <c r="AQ1676" s="60" t="s">
        <v>4497</v>
      </c>
      <c r="AR1676" s="61">
        <v>44803</v>
      </c>
      <c r="AS1676" s="60">
        <v>6002066884</v>
      </c>
      <c r="AT1676" s="61">
        <v>44803</v>
      </c>
      <c r="AU1676" s="60" t="s">
        <v>4594</v>
      </c>
      <c r="AV1676" s="61">
        <v>44834</v>
      </c>
      <c r="AW1676" s="91">
        <v>44834</v>
      </c>
      <c r="AX1676" s="91">
        <v>44854</v>
      </c>
      <c r="AY1676" s="107">
        <v>65000</v>
      </c>
      <c r="AZ1676" s="107">
        <f>ROUNDDOWN(AY1676+(AY1676*MASTER!$A$2/100),0)</f>
        <v>71500</v>
      </c>
      <c r="BA1676" s="60" t="s">
        <v>107</v>
      </c>
      <c r="BC1676" s="64">
        <v>0</v>
      </c>
      <c r="BG1676" s="64">
        <v>0</v>
      </c>
      <c r="BK1676" s="64">
        <v>0</v>
      </c>
      <c r="BS1676" s="64">
        <v>0</v>
      </c>
      <c r="BV1676" s="65">
        <v>71500</v>
      </c>
      <c r="BW1676" s="65">
        <v>0</v>
      </c>
      <c r="BX1676" s="65">
        <v>44798</v>
      </c>
      <c r="BY1676" s="65">
        <v>71500</v>
      </c>
      <c r="BZ1676" s="81">
        <v>100</v>
      </c>
    </row>
    <row r="1677" spans="1:78" x14ac:dyDescent="0.15">
      <c r="A1677" s="60">
        <v>1</v>
      </c>
      <c r="B1677" s="61">
        <v>44805</v>
      </c>
      <c r="C1677" s="61">
        <v>44834</v>
      </c>
      <c r="F1677" s="61" t="s">
        <v>309</v>
      </c>
      <c r="H1677" s="61" t="s">
        <v>309</v>
      </c>
      <c r="J1677" s="60">
        <v>2</v>
      </c>
      <c r="L1677" s="60">
        <v>0</v>
      </c>
      <c r="M1677" s="61">
        <v>44798</v>
      </c>
      <c r="O1677" s="62" t="s">
        <v>331</v>
      </c>
      <c r="P1677" s="60" t="s">
        <v>77</v>
      </c>
      <c r="Q1677" s="62" t="s">
        <v>118</v>
      </c>
      <c r="R1677" s="62" t="s">
        <v>4484</v>
      </c>
      <c r="S1677" s="63" t="s">
        <v>1598</v>
      </c>
      <c r="T1677" s="63" t="s">
        <v>1081</v>
      </c>
      <c r="U1677" s="64">
        <v>65000</v>
      </c>
      <c r="V1677" s="64">
        <v>71500</v>
      </c>
      <c r="W1677" s="64">
        <v>65000</v>
      </c>
      <c r="X1677" s="64">
        <v>71500</v>
      </c>
      <c r="Y1677" s="64">
        <v>0</v>
      </c>
      <c r="Z1677" s="64">
        <v>0</v>
      </c>
      <c r="AA1677" s="61" t="s">
        <v>285</v>
      </c>
      <c r="AQ1677" s="60" t="s">
        <v>4498</v>
      </c>
      <c r="AR1677" s="61">
        <v>44803</v>
      </c>
      <c r="AS1677" s="60">
        <v>6002066884</v>
      </c>
      <c r="AT1677" s="61">
        <v>44803</v>
      </c>
      <c r="AU1677" s="60" t="s">
        <v>4594</v>
      </c>
      <c r="AV1677" s="61">
        <v>44834</v>
      </c>
      <c r="AW1677" s="91">
        <v>44834</v>
      </c>
      <c r="AX1677" s="91">
        <v>44854</v>
      </c>
      <c r="AY1677" s="107">
        <f t="shared" si="7"/>
        <v>65000</v>
      </c>
      <c r="AZ1677" s="107">
        <f>ROUNDDOWN(AY1677+(AY1677*MASTER!$A$2/100),0)</f>
        <v>71500</v>
      </c>
    </row>
    <row r="1678" spans="1:78" x14ac:dyDescent="0.15">
      <c r="A1678" s="60">
        <v>2</v>
      </c>
      <c r="B1678" s="61">
        <v>44805</v>
      </c>
      <c r="C1678" s="61">
        <v>44834</v>
      </c>
      <c r="D1678" s="61">
        <v>44826</v>
      </c>
      <c r="F1678" s="61" t="s">
        <v>309</v>
      </c>
      <c r="H1678" s="61" t="s">
        <v>309</v>
      </c>
      <c r="I1678" s="60" t="s">
        <v>774</v>
      </c>
      <c r="J1678" s="60">
        <v>2</v>
      </c>
      <c r="L1678" s="60">
        <v>0</v>
      </c>
      <c r="M1678" s="61">
        <v>44798</v>
      </c>
      <c r="O1678" s="62" t="s">
        <v>331</v>
      </c>
      <c r="P1678" s="60" t="s">
        <v>77</v>
      </c>
      <c r="Q1678" s="62" t="s">
        <v>118</v>
      </c>
      <c r="R1678" s="62" t="s">
        <v>4954</v>
      </c>
      <c r="S1678" s="63" t="s">
        <v>1568</v>
      </c>
      <c r="T1678" s="63" t="s">
        <v>1081</v>
      </c>
      <c r="U1678" s="64">
        <v>65000</v>
      </c>
      <c r="V1678" s="64">
        <v>71500</v>
      </c>
      <c r="W1678" s="64">
        <v>65000</v>
      </c>
      <c r="X1678" s="64">
        <v>71500</v>
      </c>
      <c r="Y1678" s="64">
        <v>0</v>
      </c>
      <c r="Z1678" s="64">
        <v>0</v>
      </c>
      <c r="AA1678" s="61">
        <v>44825</v>
      </c>
      <c r="AB1678" s="61">
        <v>44826</v>
      </c>
      <c r="AD1678" s="60">
        <v>0</v>
      </c>
      <c r="AG1678" s="60">
        <v>0</v>
      </c>
      <c r="AJ1678" s="60">
        <v>0</v>
      </c>
      <c r="AQ1678" s="60" t="s">
        <v>4498</v>
      </c>
      <c r="AR1678" s="61">
        <v>44803</v>
      </c>
      <c r="AS1678" s="60">
        <v>6002066884</v>
      </c>
      <c r="AT1678" s="61">
        <v>44803</v>
      </c>
      <c r="AU1678" s="60" t="s">
        <v>4594</v>
      </c>
      <c r="AV1678" s="61">
        <v>44834</v>
      </c>
      <c r="AW1678" s="91">
        <v>44834</v>
      </c>
      <c r="AX1678" s="91">
        <v>44854</v>
      </c>
      <c r="AY1678" s="107">
        <v>65000</v>
      </c>
      <c r="AZ1678" s="107">
        <f>ROUNDDOWN(AY1678+(AY1678*MASTER!$A$2/100),0)</f>
        <v>71500</v>
      </c>
      <c r="BA1678" s="60" t="s">
        <v>765</v>
      </c>
      <c r="BC1678" s="64">
        <v>0</v>
      </c>
      <c r="BG1678" s="64">
        <v>0</v>
      </c>
      <c r="BK1678" s="64">
        <v>0</v>
      </c>
      <c r="BS1678" s="64">
        <v>0</v>
      </c>
      <c r="BV1678" s="65">
        <v>71500</v>
      </c>
      <c r="BW1678" s="65">
        <v>0</v>
      </c>
      <c r="BX1678" s="65">
        <v>44798</v>
      </c>
      <c r="BY1678" s="65">
        <v>71500</v>
      </c>
      <c r="BZ1678" s="81">
        <v>100</v>
      </c>
    </row>
    <row r="1679" spans="1:78" x14ac:dyDescent="0.15">
      <c r="A1679" s="60">
        <v>1</v>
      </c>
      <c r="B1679" s="61">
        <v>44805</v>
      </c>
      <c r="C1679" s="61">
        <v>44834</v>
      </c>
      <c r="F1679" s="61" t="s">
        <v>309</v>
      </c>
      <c r="H1679" s="61" t="s">
        <v>309</v>
      </c>
      <c r="J1679" s="60">
        <v>2</v>
      </c>
      <c r="L1679" s="60">
        <v>0</v>
      </c>
      <c r="M1679" s="61">
        <v>44798</v>
      </c>
      <c r="O1679" s="62" t="s">
        <v>331</v>
      </c>
      <c r="P1679" s="60" t="s">
        <v>77</v>
      </c>
      <c r="Q1679" s="62" t="s">
        <v>118</v>
      </c>
      <c r="R1679" s="62" t="s">
        <v>4485</v>
      </c>
      <c r="S1679" s="63" t="s">
        <v>1608</v>
      </c>
      <c r="T1679" s="63" t="s">
        <v>1081</v>
      </c>
      <c r="U1679" s="64">
        <v>65000</v>
      </c>
      <c r="V1679" s="64">
        <v>71500</v>
      </c>
      <c r="W1679" s="64">
        <v>65000</v>
      </c>
      <c r="X1679" s="64">
        <v>71500</v>
      </c>
      <c r="Y1679" s="64">
        <v>0</v>
      </c>
      <c r="Z1679" s="64">
        <v>0</v>
      </c>
      <c r="AA1679" s="61" t="s">
        <v>285</v>
      </c>
      <c r="AQ1679" s="60" t="s">
        <v>4498</v>
      </c>
      <c r="AR1679" s="61">
        <v>44803</v>
      </c>
      <c r="AS1679" s="60">
        <v>6002066884</v>
      </c>
      <c r="AT1679" s="61">
        <v>44803</v>
      </c>
      <c r="AU1679" s="60" t="s">
        <v>4594</v>
      </c>
      <c r="AV1679" s="61">
        <v>44834</v>
      </c>
      <c r="AW1679" s="91">
        <v>44834</v>
      </c>
      <c r="AX1679" s="91">
        <v>44854</v>
      </c>
      <c r="AY1679" s="107">
        <f t="shared" si="7"/>
        <v>65000</v>
      </c>
      <c r="AZ1679" s="107">
        <f>ROUNDDOWN(AY1679+(AY1679*MASTER!$A$2/100),0)</f>
        <v>71500</v>
      </c>
    </row>
    <row r="1680" spans="1:78" x14ac:dyDescent="0.15">
      <c r="A1680" s="60">
        <v>2</v>
      </c>
      <c r="B1680" s="61">
        <v>44805</v>
      </c>
      <c r="C1680" s="61">
        <v>44834</v>
      </c>
      <c r="D1680" s="61">
        <v>44826</v>
      </c>
      <c r="F1680" s="61" t="s">
        <v>309</v>
      </c>
      <c r="H1680" s="61" t="s">
        <v>309</v>
      </c>
      <c r="I1680" s="60" t="s">
        <v>774</v>
      </c>
      <c r="J1680" s="60">
        <v>2</v>
      </c>
      <c r="L1680" s="60">
        <v>0</v>
      </c>
      <c r="M1680" s="61">
        <v>44798</v>
      </c>
      <c r="O1680" s="62" t="s">
        <v>331</v>
      </c>
      <c r="P1680" s="60" t="s">
        <v>77</v>
      </c>
      <c r="Q1680" s="62" t="s">
        <v>118</v>
      </c>
      <c r="R1680" s="62" t="s">
        <v>4953</v>
      </c>
      <c r="S1680" s="63" t="s">
        <v>453</v>
      </c>
      <c r="T1680" s="63" t="s">
        <v>1081</v>
      </c>
      <c r="U1680" s="64">
        <v>65000</v>
      </c>
      <c r="V1680" s="64">
        <v>71500</v>
      </c>
      <c r="W1680" s="64">
        <v>65000</v>
      </c>
      <c r="X1680" s="64">
        <v>71500</v>
      </c>
      <c r="Y1680" s="64">
        <v>0</v>
      </c>
      <c r="Z1680" s="64">
        <v>0</v>
      </c>
      <c r="AA1680" s="61">
        <v>44824</v>
      </c>
      <c r="AB1680" s="61">
        <v>44825</v>
      </c>
      <c r="AD1680" s="60">
        <v>0</v>
      </c>
      <c r="AG1680" s="60">
        <v>0</v>
      </c>
      <c r="AJ1680" s="60">
        <v>0</v>
      </c>
      <c r="AQ1680" s="60" t="s">
        <v>4498</v>
      </c>
      <c r="AR1680" s="61">
        <v>44803</v>
      </c>
      <c r="AS1680" s="60">
        <v>6002066884</v>
      </c>
      <c r="AT1680" s="61">
        <v>44803</v>
      </c>
      <c r="AU1680" s="60" t="s">
        <v>4594</v>
      </c>
      <c r="AV1680" s="61">
        <v>44834</v>
      </c>
      <c r="AW1680" s="91">
        <v>44834</v>
      </c>
      <c r="AX1680" s="91">
        <v>44854</v>
      </c>
      <c r="AY1680" s="107">
        <v>65000</v>
      </c>
      <c r="AZ1680" s="107">
        <f>ROUNDDOWN(AY1680+(AY1680*MASTER!$A$2/100),0)</f>
        <v>71500</v>
      </c>
      <c r="BA1680" s="60" t="s">
        <v>765</v>
      </c>
      <c r="BC1680" s="64">
        <v>0</v>
      </c>
      <c r="BG1680" s="64">
        <v>0</v>
      </c>
      <c r="BK1680" s="64">
        <v>0</v>
      </c>
      <c r="BS1680" s="64">
        <v>0</v>
      </c>
      <c r="BV1680" s="65">
        <v>71500</v>
      </c>
      <c r="BW1680" s="65">
        <v>0</v>
      </c>
      <c r="BX1680" s="65">
        <v>44798</v>
      </c>
      <c r="BY1680" s="65">
        <v>71500</v>
      </c>
      <c r="BZ1680" s="81">
        <v>100</v>
      </c>
    </row>
    <row r="1681" spans="1:89" x14ac:dyDescent="0.15">
      <c r="A1681" s="60">
        <v>2</v>
      </c>
      <c r="B1681" s="61">
        <v>44805</v>
      </c>
      <c r="C1681" s="61">
        <v>44834</v>
      </c>
      <c r="D1681" s="61">
        <v>44828</v>
      </c>
      <c r="F1681" s="61" t="s">
        <v>309</v>
      </c>
      <c r="H1681" s="61" t="s">
        <v>309</v>
      </c>
      <c r="I1681" s="60" t="s">
        <v>774</v>
      </c>
      <c r="J1681" s="60">
        <v>2</v>
      </c>
      <c r="L1681" s="60">
        <v>0</v>
      </c>
      <c r="M1681" s="61">
        <v>44798</v>
      </c>
      <c r="O1681" s="62" t="s">
        <v>331</v>
      </c>
      <c r="P1681" s="60" t="s">
        <v>77</v>
      </c>
      <c r="Q1681" s="62" t="s">
        <v>118</v>
      </c>
      <c r="R1681" s="62" t="s">
        <v>5129</v>
      </c>
      <c r="S1681" s="63" t="s">
        <v>4186</v>
      </c>
      <c r="T1681" s="63" t="s">
        <v>1081</v>
      </c>
      <c r="U1681" s="64">
        <v>65000</v>
      </c>
      <c r="V1681" s="64">
        <v>71500</v>
      </c>
      <c r="W1681" s="64">
        <v>65000</v>
      </c>
      <c r="X1681" s="64">
        <v>71500</v>
      </c>
      <c r="Y1681" s="64">
        <v>0</v>
      </c>
      <c r="Z1681" s="64">
        <v>0</v>
      </c>
      <c r="AA1681" s="61">
        <v>44825</v>
      </c>
      <c r="AB1681" s="61">
        <v>44826</v>
      </c>
      <c r="AD1681" s="60">
        <v>0</v>
      </c>
      <c r="AG1681" s="60">
        <v>0</v>
      </c>
      <c r="AJ1681" s="60">
        <v>0</v>
      </c>
      <c r="AQ1681" s="60" t="s">
        <v>4498</v>
      </c>
      <c r="AR1681" s="61">
        <v>44803</v>
      </c>
      <c r="AS1681" s="60">
        <v>6002066884</v>
      </c>
      <c r="AT1681" s="61">
        <v>44803</v>
      </c>
      <c r="AU1681" s="60" t="s">
        <v>4594</v>
      </c>
      <c r="AV1681" s="61">
        <v>44834</v>
      </c>
      <c r="AW1681" s="91">
        <v>44834</v>
      </c>
      <c r="AX1681" s="91">
        <v>44854</v>
      </c>
      <c r="AY1681" s="107">
        <v>65000</v>
      </c>
      <c r="AZ1681" s="107">
        <f>ROUNDDOWN(AY1681+(AY1681*MASTER!$A$2/100),0)</f>
        <v>71500</v>
      </c>
      <c r="BA1681" s="60" t="s">
        <v>765</v>
      </c>
      <c r="BC1681" s="64">
        <v>0</v>
      </c>
      <c r="BG1681" s="64">
        <v>0</v>
      </c>
      <c r="BK1681" s="64">
        <v>0</v>
      </c>
      <c r="BS1681" s="64">
        <v>0</v>
      </c>
      <c r="BV1681" s="65">
        <v>71500</v>
      </c>
      <c r="BW1681" s="65">
        <v>0</v>
      </c>
      <c r="BX1681" s="65">
        <v>44798</v>
      </c>
      <c r="BY1681" s="65">
        <v>71500</v>
      </c>
      <c r="BZ1681" s="81">
        <v>100</v>
      </c>
    </row>
    <row r="1682" spans="1:89" x14ac:dyDescent="0.15">
      <c r="A1682" s="60">
        <v>1</v>
      </c>
      <c r="B1682" s="61">
        <v>44805</v>
      </c>
      <c r="C1682" s="61">
        <v>44834</v>
      </c>
      <c r="F1682" s="61" t="s">
        <v>309</v>
      </c>
      <c r="H1682" s="61" t="s">
        <v>309</v>
      </c>
      <c r="J1682" s="60">
        <v>2</v>
      </c>
      <c r="L1682" s="60">
        <v>0</v>
      </c>
      <c r="M1682" s="61">
        <v>44798</v>
      </c>
      <c r="O1682" s="62" t="s">
        <v>331</v>
      </c>
      <c r="P1682" s="60" t="s">
        <v>77</v>
      </c>
      <c r="Q1682" s="62" t="s">
        <v>118</v>
      </c>
      <c r="R1682" s="62" t="s">
        <v>4486</v>
      </c>
      <c r="S1682" s="63" t="s">
        <v>988</v>
      </c>
      <c r="T1682" s="63" t="s">
        <v>1081</v>
      </c>
      <c r="U1682" s="64">
        <v>65000</v>
      </c>
      <c r="V1682" s="64">
        <v>71500</v>
      </c>
      <c r="W1682" s="64">
        <v>65000</v>
      </c>
      <c r="X1682" s="64">
        <v>71500</v>
      </c>
      <c r="Y1682" s="64">
        <v>0</v>
      </c>
      <c r="Z1682" s="64">
        <v>0</v>
      </c>
      <c r="AA1682" s="61" t="s">
        <v>285</v>
      </c>
      <c r="AQ1682" s="60" t="s">
        <v>4499</v>
      </c>
      <c r="AR1682" s="61">
        <v>44803</v>
      </c>
      <c r="AS1682" s="60">
        <v>6002066884</v>
      </c>
      <c r="AT1682" s="61">
        <v>44803</v>
      </c>
      <c r="AU1682" s="60" t="s">
        <v>4594</v>
      </c>
      <c r="AV1682" s="61">
        <v>44834</v>
      </c>
      <c r="AW1682" s="91">
        <v>44834</v>
      </c>
      <c r="AX1682" s="91">
        <v>44854</v>
      </c>
      <c r="AY1682" s="107">
        <f t="shared" si="7"/>
        <v>65000</v>
      </c>
      <c r="AZ1682" s="107">
        <f>ROUNDDOWN(AY1682+(AY1682*MASTER!$A$2/100),0)</f>
        <v>71500</v>
      </c>
    </row>
    <row r="1683" spans="1:89" x14ac:dyDescent="0.15">
      <c r="A1683" s="60">
        <v>2</v>
      </c>
      <c r="B1683" s="61">
        <v>44805</v>
      </c>
      <c r="C1683" s="61">
        <v>44834</v>
      </c>
      <c r="D1683" s="61">
        <v>44828</v>
      </c>
      <c r="F1683" s="61" t="s">
        <v>309</v>
      </c>
      <c r="H1683" s="61" t="s">
        <v>309</v>
      </c>
      <c r="I1683" s="60" t="s">
        <v>1630</v>
      </c>
      <c r="J1683" s="60">
        <v>2</v>
      </c>
      <c r="L1683" s="60">
        <v>0</v>
      </c>
      <c r="M1683" s="61">
        <v>44798</v>
      </c>
      <c r="O1683" s="62" t="s">
        <v>331</v>
      </c>
      <c r="P1683" s="60" t="s">
        <v>77</v>
      </c>
      <c r="Q1683" s="62" t="s">
        <v>118</v>
      </c>
      <c r="R1683" s="62" t="s">
        <v>5130</v>
      </c>
      <c r="S1683" s="63" t="s">
        <v>2166</v>
      </c>
      <c r="T1683" s="63" t="s">
        <v>1081</v>
      </c>
      <c r="U1683" s="64">
        <v>65000</v>
      </c>
      <c r="V1683" s="64">
        <v>71500</v>
      </c>
      <c r="W1683" s="64">
        <v>65000</v>
      </c>
      <c r="X1683" s="64">
        <v>71500</v>
      </c>
      <c r="Y1683" s="64">
        <v>0</v>
      </c>
      <c r="Z1683" s="64">
        <v>0</v>
      </c>
      <c r="AA1683" s="61">
        <v>44826</v>
      </c>
      <c r="AB1683" s="61">
        <v>44827</v>
      </c>
      <c r="AD1683" s="60">
        <v>0</v>
      </c>
      <c r="AG1683" s="60">
        <v>0</v>
      </c>
      <c r="AJ1683" s="60">
        <v>0</v>
      </c>
      <c r="AQ1683" s="60" t="s">
        <v>4499</v>
      </c>
      <c r="AR1683" s="61">
        <v>44803</v>
      </c>
      <c r="AS1683" s="60">
        <v>6002066884</v>
      </c>
      <c r="AT1683" s="61">
        <v>44803</v>
      </c>
      <c r="AU1683" s="60" t="s">
        <v>4594</v>
      </c>
      <c r="AV1683" s="61">
        <v>44834</v>
      </c>
      <c r="AW1683" s="91">
        <v>44834</v>
      </c>
      <c r="AX1683" s="91">
        <v>44854</v>
      </c>
      <c r="AY1683" s="107">
        <v>65000</v>
      </c>
      <c r="AZ1683" s="107">
        <f>ROUNDDOWN(AY1683+(AY1683*MASTER!$A$2/100),0)</f>
        <v>71500</v>
      </c>
      <c r="BA1683" s="60" t="s">
        <v>107</v>
      </c>
      <c r="BC1683" s="64">
        <v>0</v>
      </c>
      <c r="BG1683" s="64">
        <v>0</v>
      </c>
      <c r="BK1683" s="64">
        <v>0</v>
      </c>
      <c r="BS1683" s="64">
        <v>0</v>
      </c>
      <c r="BV1683" s="65">
        <v>71500</v>
      </c>
      <c r="BW1683" s="65">
        <v>0</v>
      </c>
      <c r="BX1683" s="65">
        <v>44798</v>
      </c>
      <c r="BY1683" s="65">
        <v>71500</v>
      </c>
      <c r="BZ1683" s="81">
        <v>100</v>
      </c>
    </row>
    <row r="1684" spans="1:89" x14ac:dyDescent="0.15">
      <c r="A1684" s="60">
        <v>1</v>
      </c>
      <c r="B1684" s="61">
        <v>44805</v>
      </c>
      <c r="C1684" s="61">
        <v>44834</v>
      </c>
      <c r="F1684" s="61" t="s">
        <v>309</v>
      </c>
      <c r="H1684" s="61" t="s">
        <v>309</v>
      </c>
      <c r="J1684" s="60">
        <v>2</v>
      </c>
      <c r="L1684" s="60">
        <v>0</v>
      </c>
      <c r="M1684" s="61">
        <v>44798</v>
      </c>
      <c r="O1684" s="62" t="s">
        <v>331</v>
      </c>
      <c r="P1684" s="60" t="s">
        <v>77</v>
      </c>
      <c r="Q1684" s="62" t="s">
        <v>118</v>
      </c>
      <c r="R1684" s="62" t="s">
        <v>4487</v>
      </c>
      <c r="S1684" s="63" t="s">
        <v>4460</v>
      </c>
      <c r="T1684" s="63" t="s">
        <v>1081</v>
      </c>
      <c r="U1684" s="64">
        <v>65000</v>
      </c>
      <c r="V1684" s="64">
        <v>71500</v>
      </c>
      <c r="W1684" s="64">
        <v>65000</v>
      </c>
      <c r="X1684" s="64">
        <v>71500</v>
      </c>
      <c r="Y1684" s="64">
        <v>0</v>
      </c>
      <c r="Z1684" s="64">
        <v>0</v>
      </c>
      <c r="AA1684" s="61" t="s">
        <v>285</v>
      </c>
      <c r="AQ1684" s="60" t="s">
        <v>4499</v>
      </c>
      <c r="AR1684" s="61">
        <v>44803</v>
      </c>
      <c r="AS1684" s="60">
        <v>6002066884</v>
      </c>
      <c r="AT1684" s="61">
        <v>44803</v>
      </c>
      <c r="AU1684" s="60" t="s">
        <v>4594</v>
      </c>
      <c r="AV1684" s="61">
        <v>44834</v>
      </c>
      <c r="AW1684" s="91">
        <v>44834</v>
      </c>
      <c r="AX1684" s="91">
        <v>44854</v>
      </c>
      <c r="AY1684" s="107">
        <f t="shared" si="7"/>
        <v>65000</v>
      </c>
      <c r="AZ1684" s="107">
        <f>ROUNDDOWN(AY1684+(AY1684*MASTER!$A$2/100),0)</f>
        <v>71500</v>
      </c>
    </row>
    <row r="1685" spans="1:89" x14ac:dyDescent="0.15">
      <c r="A1685" s="60">
        <v>2</v>
      </c>
      <c r="B1685" s="61">
        <v>44805</v>
      </c>
      <c r="C1685" s="61">
        <v>44834</v>
      </c>
      <c r="D1685" s="61">
        <v>44816</v>
      </c>
      <c r="F1685" s="61" t="s">
        <v>309</v>
      </c>
      <c r="H1685" s="61" t="s">
        <v>309</v>
      </c>
      <c r="I1685" s="60" t="s">
        <v>774</v>
      </c>
      <c r="J1685" s="60">
        <v>2</v>
      </c>
      <c r="L1685" s="60">
        <v>0</v>
      </c>
      <c r="M1685" s="61">
        <v>44798</v>
      </c>
      <c r="O1685" s="62" t="s">
        <v>331</v>
      </c>
      <c r="P1685" s="60" t="s">
        <v>77</v>
      </c>
      <c r="Q1685" s="62" t="s">
        <v>118</v>
      </c>
      <c r="R1685" s="62" t="s">
        <v>4803</v>
      </c>
      <c r="S1685" s="63" t="s">
        <v>4185</v>
      </c>
      <c r="T1685" s="63" t="s">
        <v>1081</v>
      </c>
      <c r="U1685" s="64">
        <v>65000</v>
      </c>
      <c r="V1685" s="64">
        <v>71500</v>
      </c>
      <c r="W1685" s="64">
        <v>65000</v>
      </c>
      <c r="X1685" s="64">
        <v>71500</v>
      </c>
      <c r="Y1685" s="64">
        <v>0</v>
      </c>
      <c r="Z1685" s="64">
        <v>0</v>
      </c>
      <c r="AA1685" s="61">
        <v>44813</v>
      </c>
      <c r="AB1685" s="61">
        <v>44814</v>
      </c>
      <c r="AD1685" s="60">
        <v>0</v>
      </c>
      <c r="AG1685" s="60">
        <v>0</v>
      </c>
      <c r="AJ1685" s="60">
        <v>0</v>
      </c>
      <c r="AQ1685" s="60" t="s">
        <v>4499</v>
      </c>
      <c r="AR1685" s="61">
        <v>44803</v>
      </c>
      <c r="AS1685" s="60">
        <v>6002066884</v>
      </c>
      <c r="AT1685" s="61">
        <v>44803</v>
      </c>
      <c r="AU1685" s="60" t="s">
        <v>4594</v>
      </c>
      <c r="AV1685" s="61">
        <v>44834</v>
      </c>
      <c r="AW1685" s="91">
        <v>44834</v>
      </c>
      <c r="AX1685" s="91">
        <v>44854</v>
      </c>
      <c r="AY1685" s="107">
        <v>65000</v>
      </c>
      <c r="AZ1685" s="107">
        <f>ROUNDDOWN(AY1685+(AY1685*MASTER!$A$2/100),0)</f>
        <v>71500</v>
      </c>
      <c r="BA1685" s="60" t="s">
        <v>765</v>
      </c>
      <c r="BC1685" s="64">
        <v>0</v>
      </c>
      <c r="BG1685" s="64">
        <v>0</v>
      </c>
      <c r="BK1685" s="64">
        <v>0</v>
      </c>
      <c r="BS1685" s="64">
        <v>0</v>
      </c>
      <c r="BV1685" s="65">
        <v>71500</v>
      </c>
      <c r="BW1685" s="65">
        <v>0</v>
      </c>
      <c r="BX1685" s="65">
        <v>44798</v>
      </c>
      <c r="BY1685" s="65">
        <v>71500</v>
      </c>
      <c r="BZ1685" s="81">
        <v>100</v>
      </c>
    </row>
    <row r="1686" spans="1:89" s="152" customFormat="1" x14ac:dyDescent="0.15">
      <c r="A1686" s="142">
        <v>3</v>
      </c>
      <c r="B1686" s="143"/>
      <c r="C1686" s="143" t="s">
        <v>309</v>
      </c>
      <c r="D1686" s="143"/>
      <c r="E1686" s="143"/>
      <c r="F1686" s="143" t="s">
        <v>309</v>
      </c>
      <c r="G1686" s="143"/>
      <c r="H1686" s="143" t="s">
        <v>309</v>
      </c>
      <c r="I1686" s="142"/>
      <c r="J1686" s="142">
        <v>2</v>
      </c>
      <c r="K1686" s="143"/>
      <c r="L1686" s="142">
        <v>0</v>
      </c>
      <c r="M1686" s="143">
        <v>44798</v>
      </c>
      <c r="N1686" s="143"/>
      <c r="O1686" s="144" t="s">
        <v>331</v>
      </c>
      <c r="P1686" s="142" t="s">
        <v>77</v>
      </c>
      <c r="Q1686" s="144" t="s">
        <v>118</v>
      </c>
      <c r="R1686" s="144" t="s">
        <v>4692</v>
      </c>
      <c r="S1686" s="145" t="s">
        <v>1305</v>
      </c>
      <c r="T1686" s="145" t="s">
        <v>1081</v>
      </c>
      <c r="U1686" s="146">
        <v>65000</v>
      </c>
      <c r="V1686" s="146">
        <v>71500</v>
      </c>
      <c r="W1686" s="146">
        <v>65000</v>
      </c>
      <c r="X1686" s="146">
        <v>71500</v>
      </c>
      <c r="Y1686" s="146">
        <v>0</v>
      </c>
      <c r="Z1686" s="146">
        <v>0</v>
      </c>
      <c r="AA1686" s="143" t="s">
        <v>4182</v>
      </c>
      <c r="AB1686" s="143"/>
      <c r="AC1686" s="143"/>
      <c r="AD1686" s="142">
        <v>0</v>
      </c>
      <c r="AE1686" s="142"/>
      <c r="AF1686" s="142"/>
      <c r="AG1686" s="142">
        <v>0</v>
      </c>
      <c r="AH1686" s="142"/>
      <c r="AI1686" s="142"/>
      <c r="AJ1686" s="142">
        <v>0</v>
      </c>
      <c r="AK1686" s="142"/>
      <c r="AL1686" s="142"/>
      <c r="AM1686" s="142"/>
      <c r="AN1686" s="142"/>
      <c r="AO1686" s="143"/>
      <c r="AP1686" s="142"/>
      <c r="AQ1686" s="142" t="s">
        <v>4500</v>
      </c>
      <c r="AR1686" s="143"/>
      <c r="AS1686" s="142"/>
      <c r="AT1686" s="143"/>
      <c r="AU1686" s="142"/>
      <c r="AV1686" s="143"/>
      <c r="AW1686" s="147"/>
      <c r="AX1686" s="147"/>
      <c r="AY1686" s="154">
        <v>65000</v>
      </c>
      <c r="AZ1686" s="154">
        <f>ROUNDDOWN(AY1686+(AY1686*MASTER!$A$2/100),0)</f>
        <v>71500</v>
      </c>
      <c r="BA1686" s="142"/>
      <c r="BB1686" s="146"/>
      <c r="BC1686" s="146">
        <v>0</v>
      </c>
      <c r="BD1686" s="142"/>
      <c r="BE1686" s="142"/>
      <c r="BF1686" s="146"/>
      <c r="BG1686" s="146">
        <v>0</v>
      </c>
      <c r="BH1686" s="142"/>
      <c r="BI1686" s="142"/>
      <c r="BJ1686" s="146"/>
      <c r="BK1686" s="146">
        <v>0</v>
      </c>
      <c r="BL1686" s="142"/>
      <c r="BM1686" s="146"/>
      <c r="BN1686" s="146"/>
      <c r="BO1686" s="146"/>
      <c r="BP1686" s="146"/>
      <c r="BQ1686" s="146"/>
      <c r="BR1686" s="146"/>
      <c r="BS1686" s="146">
        <v>0</v>
      </c>
      <c r="BT1686" s="149"/>
      <c r="BU1686" s="149"/>
      <c r="BV1686" s="150">
        <v>71500</v>
      </c>
      <c r="BW1686" s="150">
        <v>0</v>
      </c>
      <c r="BX1686" s="150">
        <v>44798</v>
      </c>
      <c r="BY1686" s="150">
        <v>71500</v>
      </c>
      <c r="BZ1686" s="151">
        <v>100</v>
      </c>
      <c r="CA1686" s="142"/>
      <c r="CB1686" s="142"/>
      <c r="CC1686" s="142"/>
      <c r="CD1686" s="145" t="s">
        <v>4693</v>
      </c>
      <c r="CE1686" s="143"/>
      <c r="CF1686" s="143"/>
      <c r="CG1686" s="143"/>
      <c r="CH1686" s="143"/>
      <c r="CI1686" s="143"/>
      <c r="CJ1686" s="143"/>
      <c r="CK1686" s="146"/>
    </row>
    <row r="1687" spans="1:89" s="152" customFormat="1" x14ac:dyDescent="0.15">
      <c r="A1687" s="142">
        <v>3</v>
      </c>
      <c r="B1687" s="143"/>
      <c r="C1687" s="143" t="s">
        <v>309</v>
      </c>
      <c r="D1687" s="143"/>
      <c r="E1687" s="143"/>
      <c r="F1687" s="143" t="s">
        <v>309</v>
      </c>
      <c r="G1687" s="143"/>
      <c r="H1687" s="143" t="s">
        <v>309</v>
      </c>
      <c r="I1687" s="142"/>
      <c r="J1687" s="142">
        <v>2</v>
      </c>
      <c r="K1687" s="143"/>
      <c r="L1687" s="142">
        <v>0</v>
      </c>
      <c r="M1687" s="143">
        <v>44798</v>
      </c>
      <c r="N1687" s="143"/>
      <c r="O1687" s="144" t="s">
        <v>331</v>
      </c>
      <c r="P1687" s="142" t="s">
        <v>77</v>
      </c>
      <c r="Q1687" s="144" t="s">
        <v>118</v>
      </c>
      <c r="R1687" s="144" t="s">
        <v>4488</v>
      </c>
      <c r="S1687" s="145" t="s">
        <v>3934</v>
      </c>
      <c r="T1687" s="145" t="s">
        <v>1081</v>
      </c>
      <c r="U1687" s="146">
        <v>65000</v>
      </c>
      <c r="V1687" s="146">
        <v>71500</v>
      </c>
      <c r="W1687" s="146">
        <v>65000</v>
      </c>
      <c r="X1687" s="146">
        <v>71500</v>
      </c>
      <c r="Y1687" s="146">
        <v>0</v>
      </c>
      <c r="Z1687" s="146">
        <v>0</v>
      </c>
      <c r="AA1687" s="143" t="s">
        <v>285</v>
      </c>
      <c r="AB1687" s="143"/>
      <c r="AC1687" s="143"/>
      <c r="AD1687" s="142"/>
      <c r="AE1687" s="142"/>
      <c r="AF1687" s="142"/>
      <c r="AG1687" s="142"/>
      <c r="AH1687" s="142"/>
      <c r="AI1687" s="142"/>
      <c r="AJ1687" s="142"/>
      <c r="AK1687" s="142"/>
      <c r="AL1687" s="142"/>
      <c r="AM1687" s="142"/>
      <c r="AN1687" s="142"/>
      <c r="AO1687" s="143"/>
      <c r="AP1687" s="142"/>
      <c r="AQ1687" s="142" t="s">
        <v>4500</v>
      </c>
      <c r="AR1687" s="143"/>
      <c r="AS1687" s="142"/>
      <c r="AT1687" s="143"/>
      <c r="AU1687" s="142"/>
      <c r="AV1687" s="143"/>
      <c r="AW1687" s="147"/>
      <c r="AX1687" s="147"/>
      <c r="AY1687" s="154">
        <f t="shared" si="7"/>
        <v>65000</v>
      </c>
      <c r="AZ1687" s="154">
        <f>ROUNDDOWN(AY1687+(AY1687*MASTER!$A$2/100),0)</f>
        <v>71500</v>
      </c>
      <c r="BA1687" s="142"/>
      <c r="BB1687" s="146"/>
      <c r="BC1687" s="146"/>
      <c r="BD1687" s="142"/>
      <c r="BE1687" s="142"/>
      <c r="BF1687" s="146"/>
      <c r="BG1687" s="146"/>
      <c r="BH1687" s="142"/>
      <c r="BI1687" s="142"/>
      <c r="BJ1687" s="146"/>
      <c r="BK1687" s="146"/>
      <c r="BL1687" s="142"/>
      <c r="BM1687" s="146"/>
      <c r="BN1687" s="146"/>
      <c r="BO1687" s="146"/>
      <c r="BP1687" s="146"/>
      <c r="BQ1687" s="146"/>
      <c r="BR1687" s="146"/>
      <c r="BS1687" s="146"/>
      <c r="BT1687" s="149"/>
      <c r="BU1687" s="149"/>
      <c r="BV1687" s="150"/>
      <c r="BW1687" s="150"/>
      <c r="BX1687" s="150"/>
      <c r="BY1687" s="150"/>
      <c r="BZ1687" s="151"/>
      <c r="CA1687" s="142"/>
      <c r="CB1687" s="142"/>
      <c r="CC1687" s="142"/>
      <c r="CD1687" s="145" t="s">
        <v>4693</v>
      </c>
      <c r="CE1687" s="143"/>
      <c r="CF1687" s="143"/>
      <c r="CG1687" s="143"/>
      <c r="CH1687" s="143"/>
      <c r="CI1687" s="143"/>
      <c r="CJ1687" s="143"/>
      <c r="CK1687" s="146"/>
    </row>
    <row r="1688" spans="1:89" s="152" customFormat="1" x14ac:dyDescent="0.15">
      <c r="A1688" s="142">
        <v>3</v>
      </c>
      <c r="B1688" s="143"/>
      <c r="C1688" s="143" t="s">
        <v>309</v>
      </c>
      <c r="D1688" s="143"/>
      <c r="E1688" s="143"/>
      <c r="F1688" s="143" t="s">
        <v>309</v>
      </c>
      <c r="G1688" s="143"/>
      <c r="H1688" s="143" t="s">
        <v>309</v>
      </c>
      <c r="I1688" s="142"/>
      <c r="J1688" s="142">
        <v>2</v>
      </c>
      <c r="K1688" s="143"/>
      <c r="L1688" s="142">
        <v>0</v>
      </c>
      <c r="M1688" s="143">
        <v>44798</v>
      </c>
      <c r="N1688" s="143"/>
      <c r="O1688" s="144" t="s">
        <v>331</v>
      </c>
      <c r="P1688" s="142" t="s">
        <v>77</v>
      </c>
      <c r="Q1688" s="144" t="s">
        <v>118</v>
      </c>
      <c r="R1688" s="144" t="s">
        <v>4489</v>
      </c>
      <c r="S1688" s="145" t="s">
        <v>449</v>
      </c>
      <c r="T1688" s="145" t="s">
        <v>1081</v>
      </c>
      <c r="U1688" s="146">
        <v>65000</v>
      </c>
      <c r="V1688" s="146">
        <v>71500</v>
      </c>
      <c r="W1688" s="146">
        <v>65000</v>
      </c>
      <c r="X1688" s="146">
        <v>71500</v>
      </c>
      <c r="Y1688" s="146">
        <v>0</v>
      </c>
      <c r="Z1688" s="146">
        <v>0</v>
      </c>
      <c r="AA1688" s="143" t="s">
        <v>285</v>
      </c>
      <c r="AB1688" s="143"/>
      <c r="AC1688" s="143"/>
      <c r="AD1688" s="142"/>
      <c r="AE1688" s="142"/>
      <c r="AF1688" s="142"/>
      <c r="AG1688" s="142"/>
      <c r="AH1688" s="142"/>
      <c r="AI1688" s="142"/>
      <c r="AJ1688" s="142"/>
      <c r="AK1688" s="142"/>
      <c r="AL1688" s="142"/>
      <c r="AM1688" s="142"/>
      <c r="AN1688" s="142"/>
      <c r="AO1688" s="143"/>
      <c r="AP1688" s="142"/>
      <c r="AQ1688" s="142" t="s">
        <v>4500</v>
      </c>
      <c r="AR1688" s="143"/>
      <c r="AS1688" s="142"/>
      <c r="AT1688" s="143"/>
      <c r="AU1688" s="142"/>
      <c r="AV1688" s="143"/>
      <c r="AW1688" s="147"/>
      <c r="AX1688" s="147"/>
      <c r="AY1688" s="154">
        <f t="shared" si="7"/>
        <v>65000</v>
      </c>
      <c r="AZ1688" s="154">
        <f>ROUNDDOWN(AY1688+(AY1688*MASTER!$A$2/100),0)</f>
        <v>71500</v>
      </c>
      <c r="BA1688" s="142"/>
      <c r="BB1688" s="146"/>
      <c r="BC1688" s="146"/>
      <c r="BD1688" s="142"/>
      <c r="BE1688" s="142"/>
      <c r="BF1688" s="146"/>
      <c r="BG1688" s="146"/>
      <c r="BH1688" s="142"/>
      <c r="BI1688" s="142"/>
      <c r="BJ1688" s="146"/>
      <c r="BK1688" s="146"/>
      <c r="BL1688" s="142"/>
      <c r="BM1688" s="146"/>
      <c r="BN1688" s="146"/>
      <c r="BO1688" s="146"/>
      <c r="BP1688" s="146"/>
      <c r="BQ1688" s="146"/>
      <c r="BR1688" s="146"/>
      <c r="BS1688" s="146"/>
      <c r="BT1688" s="149"/>
      <c r="BU1688" s="149"/>
      <c r="BV1688" s="150"/>
      <c r="BW1688" s="150"/>
      <c r="BX1688" s="150"/>
      <c r="BY1688" s="150"/>
      <c r="BZ1688" s="151"/>
      <c r="CA1688" s="142"/>
      <c r="CB1688" s="142"/>
      <c r="CC1688" s="142"/>
      <c r="CD1688" s="145" t="s">
        <v>4693</v>
      </c>
      <c r="CE1688" s="143"/>
      <c r="CF1688" s="143"/>
      <c r="CG1688" s="143"/>
      <c r="CH1688" s="143"/>
      <c r="CI1688" s="143"/>
      <c r="CJ1688" s="143"/>
      <c r="CK1688" s="146"/>
    </row>
    <row r="1689" spans="1:89" s="152" customFormat="1" x14ac:dyDescent="0.15">
      <c r="A1689" s="142">
        <v>3</v>
      </c>
      <c r="B1689" s="143"/>
      <c r="C1689" s="143" t="s">
        <v>309</v>
      </c>
      <c r="D1689" s="143"/>
      <c r="E1689" s="143"/>
      <c r="F1689" s="143" t="s">
        <v>309</v>
      </c>
      <c r="G1689" s="143"/>
      <c r="H1689" s="143" t="s">
        <v>309</v>
      </c>
      <c r="I1689" s="142"/>
      <c r="J1689" s="142">
        <v>2</v>
      </c>
      <c r="K1689" s="143"/>
      <c r="L1689" s="142">
        <v>0</v>
      </c>
      <c r="M1689" s="143">
        <v>44798</v>
      </c>
      <c r="N1689" s="143"/>
      <c r="O1689" s="144" t="s">
        <v>331</v>
      </c>
      <c r="P1689" s="142" t="s">
        <v>77</v>
      </c>
      <c r="Q1689" s="144" t="s">
        <v>118</v>
      </c>
      <c r="R1689" s="144" t="s">
        <v>4490</v>
      </c>
      <c r="S1689" s="145" t="s">
        <v>4462</v>
      </c>
      <c r="T1689" s="145" t="s">
        <v>1081</v>
      </c>
      <c r="U1689" s="146">
        <v>65000</v>
      </c>
      <c r="V1689" s="146">
        <v>71500</v>
      </c>
      <c r="W1689" s="146">
        <v>65000</v>
      </c>
      <c r="X1689" s="146">
        <v>71500</v>
      </c>
      <c r="Y1689" s="146">
        <v>0</v>
      </c>
      <c r="Z1689" s="146">
        <v>0</v>
      </c>
      <c r="AA1689" s="143" t="s">
        <v>285</v>
      </c>
      <c r="AB1689" s="143"/>
      <c r="AC1689" s="143"/>
      <c r="AD1689" s="142"/>
      <c r="AE1689" s="142"/>
      <c r="AF1689" s="142"/>
      <c r="AG1689" s="142"/>
      <c r="AH1689" s="142"/>
      <c r="AI1689" s="142"/>
      <c r="AJ1689" s="142"/>
      <c r="AK1689" s="142"/>
      <c r="AL1689" s="142"/>
      <c r="AM1689" s="142"/>
      <c r="AN1689" s="142"/>
      <c r="AO1689" s="143"/>
      <c r="AP1689" s="142"/>
      <c r="AQ1689" s="142" t="s">
        <v>4500</v>
      </c>
      <c r="AR1689" s="143"/>
      <c r="AS1689" s="142"/>
      <c r="AT1689" s="143"/>
      <c r="AU1689" s="142"/>
      <c r="AV1689" s="143"/>
      <c r="AW1689" s="147"/>
      <c r="AX1689" s="147"/>
      <c r="AY1689" s="154">
        <f t="shared" si="7"/>
        <v>65000</v>
      </c>
      <c r="AZ1689" s="154">
        <f>ROUNDDOWN(AY1689+(AY1689*MASTER!$A$2/100),0)</f>
        <v>71500</v>
      </c>
      <c r="BA1689" s="142"/>
      <c r="BB1689" s="146"/>
      <c r="BC1689" s="146"/>
      <c r="BD1689" s="142"/>
      <c r="BE1689" s="142"/>
      <c r="BF1689" s="146"/>
      <c r="BG1689" s="146"/>
      <c r="BH1689" s="142"/>
      <c r="BI1689" s="142"/>
      <c r="BJ1689" s="146"/>
      <c r="BK1689" s="146"/>
      <c r="BL1689" s="142"/>
      <c r="BM1689" s="146"/>
      <c r="BN1689" s="146"/>
      <c r="BO1689" s="146"/>
      <c r="BP1689" s="146"/>
      <c r="BQ1689" s="146"/>
      <c r="BR1689" s="146"/>
      <c r="BS1689" s="146"/>
      <c r="BT1689" s="149"/>
      <c r="BU1689" s="149"/>
      <c r="BV1689" s="150"/>
      <c r="BW1689" s="150"/>
      <c r="BX1689" s="150"/>
      <c r="BY1689" s="150"/>
      <c r="BZ1689" s="151"/>
      <c r="CA1689" s="142"/>
      <c r="CB1689" s="142"/>
      <c r="CC1689" s="142"/>
      <c r="CD1689" s="145" t="s">
        <v>4693</v>
      </c>
      <c r="CE1689" s="143"/>
      <c r="CF1689" s="143"/>
      <c r="CG1689" s="143"/>
      <c r="CH1689" s="143"/>
      <c r="CI1689" s="143"/>
      <c r="CJ1689" s="143"/>
      <c r="CK1689" s="146"/>
    </row>
    <row r="1690" spans="1:89" s="152" customFormat="1" x14ac:dyDescent="0.15">
      <c r="A1690" s="142">
        <v>3</v>
      </c>
      <c r="B1690" s="143"/>
      <c r="C1690" s="143" t="s">
        <v>309</v>
      </c>
      <c r="D1690" s="143"/>
      <c r="E1690" s="143"/>
      <c r="F1690" s="143" t="s">
        <v>309</v>
      </c>
      <c r="G1690" s="143"/>
      <c r="H1690" s="143" t="s">
        <v>309</v>
      </c>
      <c r="I1690" s="142"/>
      <c r="J1690" s="142">
        <v>2</v>
      </c>
      <c r="K1690" s="143"/>
      <c r="L1690" s="142">
        <v>0</v>
      </c>
      <c r="M1690" s="143">
        <v>44798</v>
      </c>
      <c r="N1690" s="143"/>
      <c r="O1690" s="144" t="s">
        <v>331</v>
      </c>
      <c r="P1690" s="142" t="s">
        <v>77</v>
      </c>
      <c r="Q1690" s="144" t="s">
        <v>118</v>
      </c>
      <c r="R1690" s="144" t="s">
        <v>4491</v>
      </c>
      <c r="S1690" s="145" t="s">
        <v>454</v>
      </c>
      <c r="T1690" s="145" t="s">
        <v>1081</v>
      </c>
      <c r="U1690" s="146">
        <v>65000</v>
      </c>
      <c r="V1690" s="146">
        <v>71500</v>
      </c>
      <c r="W1690" s="146">
        <v>65000</v>
      </c>
      <c r="X1690" s="146">
        <v>71500</v>
      </c>
      <c r="Y1690" s="146">
        <v>0</v>
      </c>
      <c r="Z1690" s="146">
        <v>0</v>
      </c>
      <c r="AA1690" s="143" t="s">
        <v>285</v>
      </c>
      <c r="AB1690" s="143"/>
      <c r="AC1690" s="143"/>
      <c r="AD1690" s="142"/>
      <c r="AE1690" s="142"/>
      <c r="AF1690" s="142"/>
      <c r="AG1690" s="142"/>
      <c r="AH1690" s="142"/>
      <c r="AI1690" s="142"/>
      <c r="AJ1690" s="142"/>
      <c r="AK1690" s="142"/>
      <c r="AL1690" s="142"/>
      <c r="AM1690" s="142"/>
      <c r="AN1690" s="142"/>
      <c r="AO1690" s="143"/>
      <c r="AP1690" s="142"/>
      <c r="AQ1690" s="142" t="s">
        <v>4500</v>
      </c>
      <c r="AR1690" s="143"/>
      <c r="AS1690" s="142"/>
      <c r="AT1690" s="143"/>
      <c r="AU1690" s="142"/>
      <c r="AV1690" s="143"/>
      <c r="AW1690" s="147"/>
      <c r="AX1690" s="147"/>
      <c r="AY1690" s="154">
        <f>U1690</f>
        <v>65000</v>
      </c>
      <c r="AZ1690" s="154">
        <f>ROUNDDOWN(AY1690+(AY1690*MASTER!$A$2/100),0)</f>
        <v>71500</v>
      </c>
      <c r="BA1690" s="142"/>
      <c r="BB1690" s="146"/>
      <c r="BC1690" s="146"/>
      <c r="BD1690" s="142"/>
      <c r="BE1690" s="142"/>
      <c r="BF1690" s="146"/>
      <c r="BG1690" s="146"/>
      <c r="BH1690" s="142"/>
      <c r="BI1690" s="142"/>
      <c r="BJ1690" s="146"/>
      <c r="BK1690" s="146"/>
      <c r="BL1690" s="142"/>
      <c r="BM1690" s="146"/>
      <c r="BN1690" s="146"/>
      <c r="BO1690" s="146"/>
      <c r="BP1690" s="146"/>
      <c r="BQ1690" s="146"/>
      <c r="BR1690" s="146"/>
      <c r="BS1690" s="146"/>
      <c r="BT1690" s="149"/>
      <c r="BU1690" s="149"/>
      <c r="BV1690" s="150"/>
      <c r="BW1690" s="150"/>
      <c r="BX1690" s="150"/>
      <c r="BY1690" s="150"/>
      <c r="BZ1690" s="151"/>
      <c r="CA1690" s="142"/>
      <c r="CB1690" s="142"/>
      <c r="CC1690" s="142"/>
      <c r="CD1690" s="145" t="s">
        <v>4693</v>
      </c>
      <c r="CE1690" s="143"/>
      <c r="CF1690" s="143"/>
      <c r="CG1690" s="143"/>
      <c r="CH1690" s="143"/>
      <c r="CI1690" s="143"/>
      <c r="CJ1690" s="143"/>
      <c r="CK1690" s="146"/>
    </row>
    <row r="1691" spans="1:89" x14ac:dyDescent="0.15">
      <c r="A1691" s="60">
        <v>1</v>
      </c>
      <c r="C1691" s="61" t="s">
        <v>309</v>
      </c>
      <c r="F1691" s="61" t="s">
        <v>309</v>
      </c>
      <c r="H1691" s="61" t="s">
        <v>309</v>
      </c>
      <c r="J1691" s="60">
        <v>1</v>
      </c>
      <c r="K1691" s="61">
        <v>44802</v>
      </c>
      <c r="L1691" s="60" t="s">
        <v>4568</v>
      </c>
      <c r="M1691" s="61">
        <v>44798</v>
      </c>
      <c r="O1691" s="62" t="s">
        <v>331</v>
      </c>
      <c r="P1691" s="60" t="s">
        <v>26</v>
      </c>
      <c r="Q1691" s="62" t="s">
        <v>118</v>
      </c>
      <c r="R1691" s="62" t="s">
        <v>4567</v>
      </c>
      <c r="S1691" s="63" t="s">
        <v>1557</v>
      </c>
      <c r="T1691" s="63" t="s">
        <v>4569</v>
      </c>
      <c r="U1691" s="64">
        <v>147590</v>
      </c>
      <c r="V1691" s="64">
        <v>162349</v>
      </c>
      <c r="W1691" s="64">
        <v>127590</v>
      </c>
      <c r="X1691" s="64">
        <v>140349</v>
      </c>
      <c r="Y1691" s="64">
        <v>20000</v>
      </c>
      <c r="Z1691" s="64">
        <v>22000</v>
      </c>
      <c r="AD1691" s="60">
        <v>0</v>
      </c>
      <c r="AG1691" s="60">
        <v>0</v>
      </c>
      <c r="AJ1691" s="60">
        <v>0</v>
      </c>
      <c r="AM1691" s="60" t="s">
        <v>273</v>
      </c>
      <c r="AN1691" s="60" t="s">
        <v>4570</v>
      </c>
      <c r="AQ1691" s="60" t="s">
        <v>5145</v>
      </c>
      <c r="AR1691" s="61">
        <v>44830</v>
      </c>
      <c r="AS1691" s="60">
        <v>6002076239</v>
      </c>
      <c r="AT1691" s="61">
        <v>44830</v>
      </c>
      <c r="AU1691" s="60" t="s">
        <v>5173</v>
      </c>
      <c r="AV1691" s="61">
        <v>44838</v>
      </c>
      <c r="AY1691" s="99">
        <f>ROUNDDOWN((0.96*U1691),0)</f>
        <v>141686</v>
      </c>
      <c r="AZ1691" s="99">
        <f>ROUNDDOWN(AY1691+(AY1691*MASTER!$A$2/100),0)</f>
        <v>155854</v>
      </c>
      <c r="BC1691" s="64">
        <v>0</v>
      </c>
      <c r="BG1691" s="64">
        <v>0</v>
      </c>
      <c r="BK1691" s="64">
        <v>0</v>
      </c>
      <c r="BS1691" s="64">
        <v>0</v>
      </c>
      <c r="BV1691" s="65">
        <v>140349</v>
      </c>
      <c r="BW1691" s="65">
        <v>0</v>
      </c>
      <c r="BX1691" s="65">
        <v>0</v>
      </c>
      <c r="BY1691" s="65">
        <v>44802</v>
      </c>
      <c r="BZ1691" s="81">
        <v>100</v>
      </c>
    </row>
    <row r="1692" spans="1:89" x14ac:dyDescent="0.15">
      <c r="A1692" s="60">
        <v>2</v>
      </c>
      <c r="B1692" s="61">
        <v>44809</v>
      </c>
      <c r="C1692" s="61">
        <v>44834</v>
      </c>
      <c r="E1692" s="61">
        <v>44817</v>
      </c>
      <c r="F1692" s="61" t="s">
        <v>309</v>
      </c>
      <c r="G1692" s="61">
        <v>44816</v>
      </c>
      <c r="H1692" s="61" t="s">
        <v>309</v>
      </c>
      <c r="I1692" s="60" t="s">
        <v>511</v>
      </c>
      <c r="J1692" s="60">
        <v>1</v>
      </c>
      <c r="L1692" s="60">
        <v>0</v>
      </c>
      <c r="M1692" s="61">
        <v>44798</v>
      </c>
      <c r="O1692" s="62" t="s">
        <v>331</v>
      </c>
      <c r="P1692" s="60" t="s">
        <v>26</v>
      </c>
      <c r="Q1692" s="62" t="s">
        <v>118</v>
      </c>
      <c r="R1692" s="62" t="s">
        <v>4711</v>
      </c>
      <c r="S1692" s="63" t="s">
        <v>1590</v>
      </c>
      <c r="T1692" s="63" t="s">
        <v>756</v>
      </c>
      <c r="U1692" s="64">
        <v>162000</v>
      </c>
      <c r="V1692" s="64">
        <v>178200</v>
      </c>
      <c r="W1692" s="64">
        <v>97000</v>
      </c>
      <c r="X1692" s="64">
        <v>106700</v>
      </c>
      <c r="Y1692" s="64">
        <v>65000</v>
      </c>
      <c r="Z1692" s="64">
        <v>71500</v>
      </c>
      <c r="AA1692" s="61">
        <v>44815</v>
      </c>
      <c r="AB1692" s="61">
        <v>44816</v>
      </c>
      <c r="AD1692" s="60">
        <v>0</v>
      </c>
      <c r="AG1692" s="60">
        <v>0</v>
      </c>
      <c r="AJ1692" s="60">
        <v>0</v>
      </c>
      <c r="AQ1692" s="60" t="s">
        <v>4605</v>
      </c>
      <c r="AR1692" s="61">
        <v>44804</v>
      </c>
      <c r="AS1692" s="60">
        <v>6002067421</v>
      </c>
      <c r="AT1692" s="61">
        <v>44804</v>
      </c>
      <c r="AU1692" s="60" t="s">
        <v>4606</v>
      </c>
      <c r="AV1692" s="61">
        <v>44834</v>
      </c>
      <c r="AW1692" s="91">
        <v>44834</v>
      </c>
      <c r="AX1692" s="91">
        <v>44854</v>
      </c>
      <c r="AY1692" s="99">
        <v>155520</v>
      </c>
      <c r="AZ1692" s="99">
        <f>ROUNDDOWN(AY1692+(AY1692*MASTER!$A$2/100),0)</f>
        <v>171072</v>
      </c>
      <c r="BA1692" s="60" t="s">
        <v>613</v>
      </c>
      <c r="BB1692" s="64">
        <v>53000</v>
      </c>
      <c r="BC1692" s="64">
        <v>58300</v>
      </c>
      <c r="BD1692" s="60" t="s">
        <v>4182</v>
      </c>
      <c r="BG1692" s="64">
        <v>0</v>
      </c>
      <c r="BK1692" s="64">
        <v>0</v>
      </c>
      <c r="BS1692" s="64">
        <v>0</v>
      </c>
      <c r="BV1692" s="65">
        <v>106700</v>
      </c>
      <c r="BW1692" s="65">
        <v>58300</v>
      </c>
      <c r="BX1692" s="65">
        <v>44798</v>
      </c>
      <c r="BY1692" s="65">
        <v>48400</v>
      </c>
      <c r="BZ1692" s="81">
        <v>45.360824742268044</v>
      </c>
    </row>
    <row r="1693" spans="1:89" x14ac:dyDescent="0.15">
      <c r="A1693" s="60">
        <v>2</v>
      </c>
      <c r="B1693" s="61">
        <v>44809</v>
      </c>
      <c r="C1693" s="61">
        <v>44834</v>
      </c>
      <c r="E1693" s="61">
        <v>44828</v>
      </c>
      <c r="F1693" s="61" t="s">
        <v>309</v>
      </c>
      <c r="G1693" s="61">
        <v>44821</v>
      </c>
      <c r="H1693" s="61" t="s">
        <v>309</v>
      </c>
      <c r="I1693" s="60" t="s">
        <v>511</v>
      </c>
      <c r="J1693" s="60">
        <v>1</v>
      </c>
      <c r="L1693" s="60">
        <v>0</v>
      </c>
      <c r="M1693" s="61">
        <v>44798</v>
      </c>
      <c r="O1693" s="62" t="s">
        <v>331</v>
      </c>
      <c r="P1693" s="60" t="s">
        <v>26</v>
      </c>
      <c r="Q1693" s="62" t="s">
        <v>118</v>
      </c>
      <c r="R1693" s="62" t="s">
        <v>4723</v>
      </c>
      <c r="S1693" s="63" t="s">
        <v>4504</v>
      </c>
      <c r="T1693" s="63" t="s">
        <v>756</v>
      </c>
      <c r="U1693" s="64">
        <v>162000</v>
      </c>
      <c r="V1693" s="64">
        <v>178200</v>
      </c>
      <c r="W1693" s="64">
        <v>97000</v>
      </c>
      <c r="X1693" s="64">
        <v>106700</v>
      </c>
      <c r="Y1693" s="64">
        <v>65000</v>
      </c>
      <c r="Z1693" s="64">
        <v>71500</v>
      </c>
      <c r="AA1693" s="61">
        <v>44819</v>
      </c>
      <c r="AB1693" s="61">
        <v>44820</v>
      </c>
      <c r="AD1693" s="60">
        <v>0</v>
      </c>
      <c r="AG1693" s="60">
        <v>0</v>
      </c>
      <c r="AJ1693" s="60">
        <v>0</v>
      </c>
      <c r="AQ1693" s="60" t="s">
        <v>4605</v>
      </c>
      <c r="AR1693" s="61">
        <v>44804</v>
      </c>
      <c r="AS1693" s="60">
        <v>6002067421</v>
      </c>
      <c r="AT1693" s="61">
        <v>44804</v>
      </c>
      <c r="AU1693" s="60" t="s">
        <v>4606</v>
      </c>
      <c r="AV1693" s="61">
        <v>44834</v>
      </c>
      <c r="AW1693" s="91">
        <v>44834</v>
      </c>
      <c r="AX1693" s="91">
        <v>44854</v>
      </c>
      <c r="AY1693" s="99">
        <v>155520</v>
      </c>
      <c r="AZ1693" s="99">
        <f>ROUNDDOWN(AY1693+(AY1693*MASTER!$A$2/100),0)</f>
        <v>171072</v>
      </c>
      <c r="BA1693" s="60" t="s">
        <v>314</v>
      </c>
      <c r="BB1693" s="64">
        <v>49000</v>
      </c>
      <c r="BC1693" s="64">
        <v>53900</v>
      </c>
      <c r="BD1693" s="60" t="s">
        <v>4182</v>
      </c>
      <c r="BG1693" s="64">
        <v>0</v>
      </c>
      <c r="BK1693" s="64">
        <v>0</v>
      </c>
      <c r="BS1693" s="64">
        <v>0</v>
      </c>
      <c r="BV1693" s="65">
        <v>106700</v>
      </c>
      <c r="BW1693" s="65">
        <v>53900</v>
      </c>
      <c r="BX1693" s="65">
        <v>44798</v>
      </c>
      <c r="BY1693" s="65">
        <v>52800</v>
      </c>
      <c r="BZ1693" s="81">
        <v>49.484536082474229</v>
      </c>
    </row>
    <row r="1694" spans="1:89" x14ac:dyDescent="0.15">
      <c r="A1694" s="60">
        <v>1</v>
      </c>
      <c r="B1694" s="61">
        <v>44809</v>
      </c>
      <c r="C1694" s="61">
        <v>44834</v>
      </c>
      <c r="F1694" s="61" t="s">
        <v>309</v>
      </c>
      <c r="H1694" s="61" t="s">
        <v>309</v>
      </c>
      <c r="J1694" s="60">
        <v>1</v>
      </c>
      <c r="L1694" s="60">
        <v>0</v>
      </c>
      <c r="M1694" s="61">
        <v>44798</v>
      </c>
      <c r="O1694" s="62" t="s">
        <v>331</v>
      </c>
      <c r="P1694" s="60" t="s">
        <v>26</v>
      </c>
      <c r="Q1694" s="62" t="s">
        <v>118</v>
      </c>
      <c r="R1694" s="62" t="s">
        <v>4724</v>
      </c>
      <c r="S1694" s="63" t="s">
        <v>1586</v>
      </c>
      <c r="T1694" s="63" t="s">
        <v>756</v>
      </c>
      <c r="U1694" s="64">
        <v>162000</v>
      </c>
      <c r="V1694" s="64">
        <v>178200</v>
      </c>
      <c r="W1694" s="64">
        <v>97000</v>
      </c>
      <c r="X1694" s="64">
        <v>106700</v>
      </c>
      <c r="Y1694" s="64">
        <v>65000</v>
      </c>
      <c r="Z1694" s="64">
        <v>71500</v>
      </c>
      <c r="AA1694" s="61">
        <v>44832</v>
      </c>
      <c r="AB1694" s="61">
        <v>44833</v>
      </c>
      <c r="AD1694" s="60">
        <v>0</v>
      </c>
      <c r="AG1694" s="60">
        <v>0</v>
      </c>
      <c r="AJ1694" s="60">
        <v>0</v>
      </c>
      <c r="AQ1694" s="60" t="s">
        <v>4605</v>
      </c>
      <c r="AR1694" s="61">
        <v>44804</v>
      </c>
      <c r="AS1694" s="60">
        <v>6002067421</v>
      </c>
      <c r="AT1694" s="61">
        <v>44804</v>
      </c>
      <c r="AU1694" s="60" t="s">
        <v>4606</v>
      </c>
      <c r="AV1694" s="61">
        <v>44834</v>
      </c>
      <c r="AW1694" s="91">
        <v>44834</v>
      </c>
      <c r="AX1694" s="91">
        <v>44854</v>
      </c>
      <c r="AY1694" s="99">
        <v>155520</v>
      </c>
      <c r="AZ1694" s="99">
        <f>ROUNDDOWN(AY1694+(AY1694*MASTER!$A$2/100),0)</f>
        <v>171072</v>
      </c>
      <c r="BA1694" s="60" t="s">
        <v>492</v>
      </c>
      <c r="BB1694" s="64">
        <v>49000</v>
      </c>
      <c r="BC1694" s="64">
        <v>53900</v>
      </c>
      <c r="BD1694" s="60" t="s">
        <v>4383</v>
      </c>
      <c r="BG1694" s="64">
        <v>0</v>
      </c>
      <c r="BK1694" s="64">
        <v>0</v>
      </c>
      <c r="BS1694" s="64">
        <v>0</v>
      </c>
      <c r="BV1694" s="65">
        <v>106700</v>
      </c>
      <c r="BW1694" s="65">
        <v>53900</v>
      </c>
      <c r="BX1694" s="65">
        <v>44798</v>
      </c>
      <c r="BY1694" s="65">
        <v>52800</v>
      </c>
      <c r="BZ1694" s="81">
        <v>49.484536082474229</v>
      </c>
    </row>
    <row r="1695" spans="1:89" x14ac:dyDescent="0.15">
      <c r="A1695" s="60">
        <v>2</v>
      </c>
      <c r="B1695" s="61">
        <v>44805</v>
      </c>
      <c r="C1695" s="61">
        <v>44834</v>
      </c>
      <c r="E1695" s="61">
        <v>44828</v>
      </c>
      <c r="F1695" s="61" t="s">
        <v>309</v>
      </c>
      <c r="G1695" s="61">
        <v>44821</v>
      </c>
      <c r="H1695" s="61" t="s">
        <v>309</v>
      </c>
      <c r="I1695" s="60" t="s">
        <v>511</v>
      </c>
      <c r="J1695" s="60">
        <v>1</v>
      </c>
      <c r="L1695" s="60">
        <v>0</v>
      </c>
      <c r="M1695" s="61">
        <v>44798</v>
      </c>
      <c r="O1695" s="62" t="s">
        <v>331</v>
      </c>
      <c r="P1695" s="60" t="s">
        <v>26</v>
      </c>
      <c r="Q1695" s="62" t="s">
        <v>118</v>
      </c>
      <c r="R1695" s="62" t="s">
        <v>4577</v>
      </c>
      <c r="S1695" s="63" t="s">
        <v>1526</v>
      </c>
      <c r="T1695" s="63" t="s">
        <v>756</v>
      </c>
      <c r="U1695" s="64">
        <v>162000</v>
      </c>
      <c r="V1695" s="64">
        <v>178200</v>
      </c>
      <c r="W1695" s="64">
        <v>97000</v>
      </c>
      <c r="X1695" s="64">
        <v>106700</v>
      </c>
      <c r="Y1695" s="64">
        <v>65000</v>
      </c>
      <c r="Z1695" s="64">
        <v>71500</v>
      </c>
      <c r="AA1695" s="61">
        <v>44818</v>
      </c>
      <c r="AB1695" s="61">
        <v>44819</v>
      </c>
      <c r="AD1695" s="60">
        <v>0</v>
      </c>
      <c r="AG1695" s="60">
        <v>0</v>
      </c>
      <c r="AJ1695" s="60">
        <v>0</v>
      </c>
      <c r="AQ1695" s="60" t="s">
        <v>4605</v>
      </c>
      <c r="AR1695" s="61">
        <v>44804</v>
      </c>
      <c r="AS1695" s="60">
        <v>6002067421</v>
      </c>
      <c r="AT1695" s="61">
        <v>44804</v>
      </c>
      <c r="AU1695" s="60" t="s">
        <v>4606</v>
      </c>
      <c r="AV1695" s="61">
        <v>44834</v>
      </c>
      <c r="AW1695" s="91">
        <v>44834</v>
      </c>
      <c r="AX1695" s="91">
        <v>44854</v>
      </c>
      <c r="AY1695" s="99">
        <v>155520</v>
      </c>
      <c r="AZ1695" s="99">
        <f>ROUNDDOWN(AY1695+(AY1695*MASTER!$A$2/100),0)</f>
        <v>171072</v>
      </c>
      <c r="BA1695" s="60" t="s">
        <v>314</v>
      </c>
      <c r="BB1695" s="64">
        <v>49000</v>
      </c>
      <c r="BC1695" s="64">
        <v>53900</v>
      </c>
      <c r="BD1695" s="60" t="s">
        <v>4182</v>
      </c>
      <c r="BG1695" s="64">
        <v>0</v>
      </c>
      <c r="BK1695" s="64">
        <v>0</v>
      </c>
      <c r="BS1695" s="64">
        <v>0</v>
      </c>
      <c r="BV1695" s="65">
        <v>106700</v>
      </c>
      <c r="BW1695" s="65">
        <v>53900</v>
      </c>
      <c r="BX1695" s="65">
        <v>44798</v>
      </c>
      <c r="BY1695" s="65">
        <v>52800</v>
      </c>
      <c r="BZ1695" s="81">
        <v>49.484536082474229</v>
      </c>
    </row>
    <row r="1696" spans="1:89" x14ac:dyDescent="0.15">
      <c r="A1696" s="60">
        <v>2</v>
      </c>
      <c r="B1696" s="61">
        <v>44809</v>
      </c>
      <c r="C1696" s="61">
        <v>44834</v>
      </c>
      <c r="E1696" s="61">
        <v>44828</v>
      </c>
      <c r="F1696" s="61" t="s">
        <v>309</v>
      </c>
      <c r="G1696" s="61">
        <v>44820</v>
      </c>
      <c r="H1696" s="61" t="s">
        <v>309</v>
      </c>
      <c r="I1696" s="60" t="s">
        <v>511</v>
      </c>
      <c r="J1696" s="60">
        <v>1</v>
      </c>
      <c r="L1696" s="60">
        <v>0</v>
      </c>
      <c r="M1696" s="61">
        <v>44798</v>
      </c>
      <c r="O1696" s="62" t="s">
        <v>331</v>
      </c>
      <c r="P1696" s="60" t="s">
        <v>26</v>
      </c>
      <c r="Q1696" s="62" t="s">
        <v>118</v>
      </c>
      <c r="R1696" s="62" t="s">
        <v>4710</v>
      </c>
      <c r="S1696" s="63" t="s">
        <v>4505</v>
      </c>
      <c r="T1696" s="63" t="s">
        <v>756</v>
      </c>
      <c r="U1696" s="64">
        <v>162000</v>
      </c>
      <c r="V1696" s="64">
        <v>178200</v>
      </c>
      <c r="W1696" s="64">
        <v>97000</v>
      </c>
      <c r="X1696" s="64">
        <v>106700</v>
      </c>
      <c r="Y1696" s="64">
        <v>65000</v>
      </c>
      <c r="Z1696" s="64">
        <v>71500</v>
      </c>
      <c r="AA1696" s="61">
        <v>44817</v>
      </c>
      <c r="AB1696" s="61">
        <v>44818</v>
      </c>
      <c r="AD1696" s="60">
        <v>0</v>
      </c>
      <c r="AG1696" s="60">
        <v>0</v>
      </c>
      <c r="AJ1696" s="60">
        <v>0</v>
      </c>
      <c r="AQ1696" s="60" t="s">
        <v>4604</v>
      </c>
      <c r="AR1696" s="61">
        <v>44804</v>
      </c>
      <c r="AS1696" s="60">
        <v>6002067421</v>
      </c>
      <c r="AT1696" s="61">
        <v>44804</v>
      </c>
      <c r="AU1696" s="60" t="s">
        <v>4606</v>
      </c>
      <c r="AV1696" s="61">
        <v>44834</v>
      </c>
      <c r="AW1696" s="91">
        <v>44834</v>
      </c>
      <c r="AX1696" s="91">
        <v>44854</v>
      </c>
      <c r="AY1696" s="99">
        <v>155520</v>
      </c>
      <c r="AZ1696" s="99">
        <f>ROUNDDOWN(AY1696+(AY1696*MASTER!$A$2/100),0)</f>
        <v>171072</v>
      </c>
      <c r="BA1696" s="60" t="s">
        <v>613</v>
      </c>
      <c r="BB1696" s="64">
        <v>51000</v>
      </c>
      <c r="BC1696" s="64">
        <v>56100</v>
      </c>
      <c r="BD1696" s="60" t="s">
        <v>4182</v>
      </c>
      <c r="BG1696" s="64">
        <v>0</v>
      </c>
      <c r="BK1696" s="64">
        <v>0</v>
      </c>
      <c r="BS1696" s="64">
        <v>0</v>
      </c>
      <c r="BV1696" s="65">
        <v>106700</v>
      </c>
      <c r="BW1696" s="65">
        <v>56100</v>
      </c>
      <c r="BX1696" s="65">
        <v>44798</v>
      </c>
      <c r="BY1696" s="65">
        <v>50600</v>
      </c>
      <c r="BZ1696" s="81">
        <v>47.422680412371129</v>
      </c>
    </row>
    <row r="1697" spans="1:78" x14ac:dyDescent="0.15">
      <c r="A1697" s="60">
        <v>2</v>
      </c>
      <c r="B1697" s="61">
        <v>44809</v>
      </c>
      <c r="C1697" s="61">
        <v>44834</v>
      </c>
      <c r="E1697" s="61">
        <v>44828</v>
      </c>
      <c r="F1697" s="61" t="s">
        <v>309</v>
      </c>
      <c r="G1697" s="61">
        <v>44825</v>
      </c>
      <c r="H1697" s="61" t="s">
        <v>309</v>
      </c>
      <c r="I1697" s="60" t="s">
        <v>511</v>
      </c>
      <c r="J1697" s="60">
        <v>1</v>
      </c>
      <c r="L1697" s="60">
        <v>0</v>
      </c>
      <c r="M1697" s="61">
        <v>44798</v>
      </c>
      <c r="O1697" s="62" t="s">
        <v>331</v>
      </c>
      <c r="P1697" s="60" t="s">
        <v>26</v>
      </c>
      <c r="Q1697" s="62" t="s">
        <v>118</v>
      </c>
      <c r="R1697" s="62" t="s">
        <v>4709</v>
      </c>
      <c r="S1697" s="63" t="s">
        <v>4506</v>
      </c>
      <c r="T1697" s="63" t="s">
        <v>756</v>
      </c>
      <c r="U1697" s="64">
        <v>162000</v>
      </c>
      <c r="V1697" s="64">
        <v>178200</v>
      </c>
      <c r="W1697" s="64">
        <v>97000</v>
      </c>
      <c r="X1697" s="64">
        <v>106700</v>
      </c>
      <c r="Y1697" s="64">
        <v>65000</v>
      </c>
      <c r="Z1697" s="64">
        <v>71500</v>
      </c>
      <c r="AA1697" s="61">
        <v>44823</v>
      </c>
      <c r="AB1697" s="61">
        <v>44824</v>
      </c>
      <c r="AD1697" s="60">
        <v>0</v>
      </c>
      <c r="AG1697" s="60">
        <v>0</v>
      </c>
      <c r="AJ1697" s="60">
        <v>0</v>
      </c>
      <c r="AQ1697" s="60" t="s">
        <v>4604</v>
      </c>
      <c r="AR1697" s="61">
        <v>44804</v>
      </c>
      <c r="AS1697" s="60">
        <v>6002067421</v>
      </c>
      <c r="AT1697" s="61">
        <v>44804</v>
      </c>
      <c r="AU1697" s="60" t="s">
        <v>4606</v>
      </c>
      <c r="AV1697" s="61">
        <v>44834</v>
      </c>
      <c r="AW1697" s="91">
        <v>44834</v>
      </c>
      <c r="AX1697" s="91">
        <v>44854</v>
      </c>
      <c r="AY1697" s="99">
        <v>155520</v>
      </c>
      <c r="AZ1697" s="99">
        <f>ROUNDDOWN(AY1697+(AY1697*MASTER!$A$2/100),0)</f>
        <v>171072</v>
      </c>
      <c r="BA1697" s="60" t="s">
        <v>613</v>
      </c>
      <c r="BB1697" s="64">
        <v>51000</v>
      </c>
      <c r="BC1697" s="64">
        <v>56100</v>
      </c>
      <c r="BD1697" s="60" t="s">
        <v>4182</v>
      </c>
      <c r="BG1697" s="64">
        <v>0</v>
      </c>
      <c r="BK1697" s="64">
        <v>0</v>
      </c>
      <c r="BS1697" s="64">
        <v>0</v>
      </c>
      <c r="BV1697" s="65">
        <v>106700</v>
      </c>
      <c r="BW1697" s="65">
        <v>56100</v>
      </c>
      <c r="BX1697" s="65">
        <v>44798</v>
      </c>
      <c r="BY1697" s="65">
        <v>50600</v>
      </c>
      <c r="BZ1697" s="81">
        <v>47.422680412371129</v>
      </c>
    </row>
    <row r="1698" spans="1:78" x14ac:dyDescent="0.15">
      <c r="A1698" s="60">
        <v>1</v>
      </c>
      <c r="B1698" s="61">
        <v>44809</v>
      </c>
      <c r="C1698" s="61">
        <v>44834</v>
      </c>
      <c r="F1698" s="61" t="s">
        <v>309</v>
      </c>
      <c r="H1698" s="61" t="s">
        <v>309</v>
      </c>
      <c r="J1698" s="60">
        <v>1</v>
      </c>
      <c r="L1698" s="60">
        <v>0</v>
      </c>
      <c r="M1698" s="61">
        <v>44798</v>
      </c>
      <c r="O1698" s="62" t="s">
        <v>331</v>
      </c>
      <c r="P1698" s="60" t="s">
        <v>26</v>
      </c>
      <c r="Q1698" s="62" t="s">
        <v>118</v>
      </c>
      <c r="R1698" s="62" t="s">
        <v>4725</v>
      </c>
      <c r="S1698" s="63" t="s">
        <v>1557</v>
      </c>
      <c r="T1698" s="63" t="s">
        <v>756</v>
      </c>
      <c r="U1698" s="64">
        <v>162000</v>
      </c>
      <c r="V1698" s="64">
        <v>178200</v>
      </c>
      <c r="W1698" s="64">
        <v>97000</v>
      </c>
      <c r="X1698" s="64">
        <v>106700</v>
      </c>
      <c r="Y1698" s="64">
        <v>65000</v>
      </c>
      <c r="Z1698" s="64">
        <v>71500</v>
      </c>
      <c r="AA1698" s="61">
        <v>44833</v>
      </c>
      <c r="AB1698" s="61">
        <v>44834</v>
      </c>
      <c r="AD1698" s="60">
        <v>0</v>
      </c>
      <c r="AG1698" s="60">
        <v>0</v>
      </c>
      <c r="AJ1698" s="60">
        <v>0</v>
      </c>
      <c r="AQ1698" s="60" t="s">
        <v>4604</v>
      </c>
      <c r="AR1698" s="61">
        <v>44804</v>
      </c>
      <c r="AS1698" s="60">
        <v>6002067421</v>
      </c>
      <c r="AT1698" s="61">
        <v>44804</v>
      </c>
      <c r="AU1698" s="60" t="s">
        <v>4606</v>
      </c>
      <c r="AV1698" s="61">
        <v>44834</v>
      </c>
      <c r="AW1698" s="91">
        <v>44834</v>
      </c>
      <c r="AX1698" s="91">
        <v>44854</v>
      </c>
      <c r="AY1698" s="99">
        <v>155520</v>
      </c>
      <c r="AZ1698" s="99">
        <f>ROUNDDOWN(AY1698+(AY1698*MASTER!$A$2/100),0)</f>
        <v>171072</v>
      </c>
      <c r="BA1698" s="60" t="s">
        <v>314</v>
      </c>
      <c r="BB1698" s="64">
        <v>65000</v>
      </c>
      <c r="BC1698" s="64">
        <v>71500</v>
      </c>
      <c r="BD1698" s="60" t="s">
        <v>4182</v>
      </c>
      <c r="BG1698" s="64">
        <v>0</v>
      </c>
      <c r="BK1698" s="64">
        <v>0</v>
      </c>
      <c r="BS1698" s="64">
        <v>0</v>
      </c>
      <c r="BV1698" s="65">
        <v>106700</v>
      </c>
      <c r="BW1698" s="65">
        <v>71500</v>
      </c>
      <c r="BX1698" s="65">
        <v>44798</v>
      </c>
      <c r="BY1698" s="65">
        <v>35200</v>
      </c>
      <c r="BZ1698" s="81">
        <v>32.989690721649481</v>
      </c>
    </row>
    <row r="1699" spans="1:78" x14ac:dyDescent="0.15">
      <c r="A1699" s="60">
        <v>2</v>
      </c>
      <c r="B1699" s="61">
        <v>44809</v>
      </c>
      <c r="C1699" s="61">
        <v>44834</v>
      </c>
      <c r="E1699" s="61">
        <v>44828</v>
      </c>
      <c r="F1699" s="61" t="s">
        <v>309</v>
      </c>
      <c r="G1699" s="61">
        <v>44827</v>
      </c>
      <c r="H1699" s="61" t="s">
        <v>309</v>
      </c>
      <c r="I1699" s="60" t="s">
        <v>511</v>
      </c>
      <c r="J1699" s="60">
        <v>1</v>
      </c>
      <c r="L1699" s="60">
        <v>0</v>
      </c>
      <c r="M1699" s="61">
        <v>44798</v>
      </c>
      <c r="O1699" s="62" t="s">
        <v>331</v>
      </c>
      <c r="P1699" s="60" t="s">
        <v>26</v>
      </c>
      <c r="Q1699" s="62" t="s">
        <v>118</v>
      </c>
      <c r="R1699" s="62" t="s">
        <v>4708</v>
      </c>
      <c r="S1699" s="63" t="s">
        <v>786</v>
      </c>
      <c r="T1699" s="63" t="s">
        <v>756</v>
      </c>
      <c r="U1699" s="64">
        <v>162000</v>
      </c>
      <c r="V1699" s="64">
        <v>178200</v>
      </c>
      <c r="W1699" s="64">
        <v>97000</v>
      </c>
      <c r="X1699" s="64">
        <v>106700</v>
      </c>
      <c r="Y1699" s="64">
        <v>65000</v>
      </c>
      <c r="Z1699" s="64">
        <v>71500</v>
      </c>
      <c r="AA1699" s="61">
        <v>44825</v>
      </c>
      <c r="AB1699" s="61">
        <v>44826</v>
      </c>
      <c r="AD1699" s="60">
        <v>0</v>
      </c>
      <c r="AG1699" s="60">
        <v>0</v>
      </c>
      <c r="AJ1699" s="60">
        <v>0</v>
      </c>
      <c r="AQ1699" s="60" t="s">
        <v>4604</v>
      </c>
      <c r="AR1699" s="61">
        <v>44804</v>
      </c>
      <c r="AS1699" s="60">
        <v>6002067421</v>
      </c>
      <c r="AT1699" s="61">
        <v>44804</v>
      </c>
      <c r="AU1699" s="60" t="s">
        <v>4606</v>
      </c>
      <c r="AV1699" s="61">
        <v>44834</v>
      </c>
      <c r="AW1699" s="91">
        <v>44834</v>
      </c>
      <c r="AX1699" s="91">
        <v>44854</v>
      </c>
      <c r="AY1699" s="99">
        <v>155520</v>
      </c>
      <c r="AZ1699" s="99">
        <f>ROUNDDOWN(AY1699+(AY1699*MASTER!$A$2/100),0)</f>
        <v>171072</v>
      </c>
      <c r="BA1699" s="60" t="s">
        <v>613</v>
      </c>
      <c r="BB1699" s="64">
        <v>51000</v>
      </c>
      <c r="BC1699" s="64">
        <v>56100</v>
      </c>
      <c r="BD1699" s="60" t="s">
        <v>4182</v>
      </c>
      <c r="BG1699" s="64">
        <v>0</v>
      </c>
      <c r="BK1699" s="64">
        <v>0</v>
      </c>
      <c r="BS1699" s="64">
        <v>0</v>
      </c>
      <c r="BV1699" s="65">
        <v>106700</v>
      </c>
      <c r="BW1699" s="65">
        <v>56100</v>
      </c>
      <c r="BX1699" s="65">
        <v>44798</v>
      </c>
      <c r="BY1699" s="65">
        <v>50600</v>
      </c>
      <c r="BZ1699" s="81">
        <v>47.422680412371129</v>
      </c>
    </row>
    <row r="1700" spans="1:78" x14ac:dyDescent="0.15">
      <c r="A1700" s="60">
        <v>1</v>
      </c>
      <c r="B1700" s="61">
        <v>44811</v>
      </c>
      <c r="C1700" s="61">
        <v>44834</v>
      </c>
      <c r="F1700" s="61" t="s">
        <v>309</v>
      </c>
      <c r="H1700" s="61" t="s">
        <v>309</v>
      </c>
      <c r="J1700" s="60">
        <v>1</v>
      </c>
      <c r="L1700" s="60">
        <v>0</v>
      </c>
      <c r="M1700" s="61">
        <v>44798</v>
      </c>
      <c r="O1700" s="62" t="s">
        <v>331</v>
      </c>
      <c r="P1700" s="60" t="s">
        <v>26</v>
      </c>
      <c r="Q1700" s="62" t="s">
        <v>118</v>
      </c>
      <c r="R1700" s="62" t="s">
        <v>4756</v>
      </c>
      <c r="S1700" s="63" t="s">
        <v>4507</v>
      </c>
      <c r="T1700" s="63" t="s">
        <v>756</v>
      </c>
      <c r="U1700" s="64">
        <v>162000</v>
      </c>
      <c r="V1700" s="64">
        <v>178200</v>
      </c>
      <c r="W1700" s="64">
        <v>97000</v>
      </c>
      <c r="X1700" s="64">
        <v>106700</v>
      </c>
      <c r="Y1700" s="64">
        <v>65000</v>
      </c>
      <c r="Z1700" s="64">
        <v>71500</v>
      </c>
      <c r="AD1700" s="60">
        <v>0</v>
      </c>
      <c r="AG1700" s="60">
        <v>0</v>
      </c>
      <c r="AJ1700" s="60">
        <v>0</v>
      </c>
      <c r="AQ1700" s="60" t="s">
        <v>4602</v>
      </c>
      <c r="AR1700" s="61">
        <v>44804</v>
      </c>
      <c r="AS1700" s="60">
        <v>6002067421</v>
      </c>
      <c r="AT1700" s="61">
        <v>44804</v>
      </c>
      <c r="AU1700" s="60" t="s">
        <v>4606</v>
      </c>
      <c r="AV1700" s="61">
        <v>44834</v>
      </c>
      <c r="AW1700" s="91">
        <v>44834</v>
      </c>
      <c r="AX1700" s="91">
        <v>44854</v>
      </c>
      <c r="AY1700" s="99">
        <v>155520</v>
      </c>
      <c r="AZ1700" s="99">
        <f>ROUNDDOWN(AY1700+(AY1700*MASTER!$A$2/100),0)</f>
        <v>171072</v>
      </c>
      <c r="BC1700" s="64">
        <v>0</v>
      </c>
      <c r="BG1700" s="64">
        <v>0</v>
      </c>
      <c r="BK1700" s="64">
        <v>0</v>
      </c>
      <c r="BS1700" s="64">
        <v>0</v>
      </c>
      <c r="BV1700" s="65">
        <v>106700</v>
      </c>
      <c r="BW1700" s="65">
        <v>0</v>
      </c>
      <c r="BX1700" s="65">
        <v>44798</v>
      </c>
      <c r="BY1700" s="65">
        <v>106700</v>
      </c>
      <c r="BZ1700" s="81">
        <v>100</v>
      </c>
    </row>
    <row r="1701" spans="1:78" x14ac:dyDescent="0.15">
      <c r="A1701" s="60">
        <v>2</v>
      </c>
      <c r="B1701" s="61">
        <v>44809</v>
      </c>
      <c r="C1701" s="61">
        <v>44834</v>
      </c>
      <c r="E1701" s="61">
        <v>44828</v>
      </c>
      <c r="F1701" s="61" t="s">
        <v>309</v>
      </c>
      <c r="G1701" s="61">
        <v>44827</v>
      </c>
      <c r="H1701" s="61" t="s">
        <v>309</v>
      </c>
      <c r="I1701" s="60" t="s">
        <v>511</v>
      </c>
      <c r="J1701" s="60">
        <v>1</v>
      </c>
      <c r="L1701" s="60">
        <v>0</v>
      </c>
      <c r="M1701" s="61">
        <v>44798</v>
      </c>
      <c r="O1701" s="62" t="s">
        <v>331</v>
      </c>
      <c r="P1701" s="60" t="s">
        <v>26</v>
      </c>
      <c r="Q1701" s="62" t="s">
        <v>118</v>
      </c>
      <c r="R1701" s="62" t="s">
        <v>4726</v>
      </c>
      <c r="S1701" s="63" t="s">
        <v>915</v>
      </c>
      <c r="T1701" s="63" t="s">
        <v>756</v>
      </c>
      <c r="U1701" s="64">
        <v>162000</v>
      </c>
      <c r="V1701" s="64">
        <v>178200</v>
      </c>
      <c r="W1701" s="64">
        <v>97000</v>
      </c>
      <c r="X1701" s="64">
        <v>106700</v>
      </c>
      <c r="Y1701" s="64">
        <v>65000</v>
      </c>
      <c r="Z1701" s="64">
        <v>71500</v>
      </c>
      <c r="AA1701" s="61">
        <v>44825</v>
      </c>
      <c r="AB1701" s="61">
        <v>44826</v>
      </c>
      <c r="AD1701" s="60">
        <v>0</v>
      </c>
      <c r="AG1701" s="60">
        <v>0</v>
      </c>
      <c r="AJ1701" s="60">
        <v>0</v>
      </c>
      <c r="AQ1701" s="60" t="s">
        <v>4602</v>
      </c>
      <c r="AR1701" s="61">
        <v>44804</v>
      </c>
      <c r="AS1701" s="60">
        <v>6002067421</v>
      </c>
      <c r="AT1701" s="61">
        <v>44804</v>
      </c>
      <c r="AU1701" s="60" t="s">
        <v>4606</v>
      </c>
      <c r="AV1701" s="61">
        <v>44834</v>
      </c>
      <c r="AW1701" s="91">
        <v>44834</v>
      </c>
      <c r="AX1701" s="91">
        <v>44854</v>
      </c>
      <c r="AY1701" s="99">
        <v>155520</v>
      </c>
      <c r="AZ1701" s="99">
        <f>ROUNDDOWN(AY1701+(AY1701*MASTER!$A$2/100),0)</f>
        <v>171072</v>
      </c>
      <c r="BA1701" s="60" t="s">
        <v>319</v>
      </c>
      <c r="BB1701" s="64">
        <v>72000</v>
      </c>
      <c r="BC1701" s="64">
        <v>79200</v>
      </c>
      <c r="BD1701" s="60" t="s">
        <v>4182</v>
      </c>
      <c r="BG1701" s="64">
        <v>0</v>
      </c>
      <c r="BK1701" s="64">
        <v>0</v>
      </c>
      <c r="BS1701" s="64">
        <v>0</v>
      </c>
      <c r="BV1701" s="65">
        <v>106700</v>
      </c>
      <c r="BW1701" s="65">
        <v>79200</v>
      </c>
      <c r="BX1701" s="65">
        <v>44798</v>
      </c>
      <c r="BY1701" s="65">
        <v>27500</v>
      </c>
      <c r="BZ1701" s="81">
        <v>25.773195876288657</v>
      </c>
    </row>
    <row r="1702" spans="1:78" x14ac:dyDescent="0.15">
      <c r="A1702" s="60">
        <v>1</v>
      </c>
      <c r="B1702" s="61">
        <v>44805</v>
      </c>
      <c r="C1702" s="61">
        <v>44834</v>
      </c>
      <c r="F1702" s="61" t="s">
        <v>309</v>
      </c>
      <c r="H1702" s="61" t="s">
        <v>309</v>
      </c>
      <c r="J1702" s="60">
        <v>1</v>
      </c>
      <c r="L1702" s="60">
        <v>0</v>
      </c>
      <c r="M1702" s="61">
        <v>44798</v>
      </c>
      <c r="O1702" s="62" t="s">
        <v>331</v>
      </c>
      <c r="P1702" s="60" t="s">
        <v>26</v>
      </c>
      <c r="Q1702" s="62" t="s">
        <v>118</v>
      </c>
      <c r="R1702" s="62" t="s">
        <v>4581</v>
      </c>
      <c r="S1702" s="63" t="s">
        <v>1207</v>
      </c>
      <c r="T1702" s="63" t="s">
        <v>756</v>
      </c>
      <c r="U1702" s="64">
        <v>162000</v>
      </c>
      <c r="V1702" s="64">
        <v>178200</v>
      </c>
      <c r="W1702" s="64">
        <v>97000</v>
      </c>
      <c r="X1702" s="64">
        <v>106700</v>
      </c>
      <c r="Y1702" s="64">
        <v>65000</v>
      </c>
      <c r="Z1702" s="64">
        <v>71500</v>
      </c>
      <c r="AA1702" s="61">
        <v>44830</v>
      </c>
      <c r="AB1702" s="61">
        <v>44831</v>
      </c>
      <c r="AD1702" s="60">
        <v>0</v>
      </c>
      <c r="AG1702" s="60">
        <v>0</v>
      </c>
      <c r="AJ1702" s="60">
        <v>0</v>
      </c>
      <c r="AQ1702" s="60" t="s">
        <v>4602</v>
      </c>
      <c r="AR1702" s="61">
        <v>44804</v>
      </c>
      <c r="AS1702" s="60">
        <v>6002067421</v>
      </c>
      <c r="AT1702" s="61">
        <v>44804</v>
      </c>
      <c r="AU1702" s="60" t="s">
        <v>4606</v>
      </c>
      <c r="AV1702" s="61">
        <v>44834</v>
      </c>
      <c r="AW1702" s="91">
        <v>44834</v>
      </c>
      <c r="AX1702" s="91">
        <v>44854</v>
      </c>
      <c r="AY1702" s="99">
        <v>155520</v>
      </c>
      <c r="AZ1702" s="99">
        <f>ROUNDDOWN(AY1702+(AY1702*MASTER!$A$2/100),0)</f>
        <v>171072</v>
      </c>
      <c r="BA1702" s="60" t="s">
        <v>317</v>
      </c>
      <c r="BB1702" s="64">
        <v>61000</v>
      </c>
      <c r="BC1702" s="64">
        <v>67100</v>
      </c>
      <c r="BD1702" s="60" t="s">
        <v>4182</v>
      </c>
      <c r="BG1702" s="64">
        <v>0</v>
      </c>
      <c r="BK1702" s="64">
        <v>0</v>
      </c>
      <c r="BS1702" s="64">
        <v>0</v>
      </c>
      <c r="BV1702" s="65">
        <v>106700</v>
      </c>
      <c r="BW1702" s="65">
        <v>67100</v>
      </c>
      <c r="BX1702" s="65">
        <v>44798</v>
      </c>
      <c r="BY1702" s="65">
        <v>39600</v>
      </c>
      <c r="BZ1702" s="81">
        <v>37.113402061855673</v>
      </c>
    </row>
    <row r="1703" spans="1:78" x14ac:dyDescent="0.15">
      <c r="A1703" s="60">
        <v>1</v>
      </c>
      <c r="B1703" s="61">
        <v>44809</v>
      </c>
      <c r="C1703" s="61">
        <v>44834</v>
      </c>
      <c r="F1703" s="61" t="s">
        <v>309</v>
      </c>
      <c r="H1703" s="61" t="s">
        <v>309</v>
      </c>
      <c r="J1703" s="60">
        <v>1</v>
      </c>
      <c r="L1703" s="60">
        <v>0</v>
      </c>
      <c r="M1703" s="61">
        <v>44798</v>
      </c>
      <c r="O1703" s="62" t="s">
        <v>331</v>
      </c>
      <c r="P1703" s="60" t="s">
        <v>26</v>
      </c>
      <c r="Q1703" s="62" t="s">
        <v>118</v>
      </c>
      <c r="R1703" s="62" t="s">
        <v>4727</v>
      </c>
      <c r="S1703" s="63" t="s">
        <v>1497</v>
      </c>
      <c r="T1703" s="63" t="s">
        <v>756</v>
      </c>
      <c r="U1703" s="64">
        <v>162000</v>
      </c>
      <c r="V1703" s="64">
        <v>178200</v>
      </c>
      <c r="W1703" s="64">
        <v>97000</v>
      </c>
      <c r="X1703" s="64">
        <v>106700</v>
      </c>
      <c r="Y1703" s="64">
        <v>65000</v>
      </c>
      <c r="Z1703" s="64">
        <v>71500</v>
      </c>
      <c r="AA1703" s="61">
        <v>44829</v>
      </c>
      <c r="AB1703" s="61">
        <v>44830</v>
      </c>
      <c r="AD1703" s="60">
        <v>0</v>
      </c>
      <c r="AG1703" s="60">
        <v>0</v>
      </c>
      <c r="AJ1703" s="60">
        <v>0</v>
      </c>
      <c r="AQ1703" s="60" t="s">
        <v>4602</v>
      </c>
      <c r="AR1703" s="61">
        <v>44804</v>
      </c>
      <c r="AS1703" s="60">
        <v>6002067421</v>
      </c>
      <c r="AT1703" s="61">
        <v>44804</v>
      </c>
      <c r="AU1703" s="60" t="s">
        <v>4606</v>
      </c>
      <c r="AV1703" s="61">
        <v>44834</v>
      </c>
      <c r="AW1703" s="91">
        <v>44834</v>
      </c>
      <c r="AX1703" s="91">
        <v>44854</v>
      </c>
      <c r="AY1703" s="99">
        <v>155520</v>
      </c>
      <c r="AZ1703" s="99">
        <f>ROUNDDOWN(AY1703+(AY1703*MASTER!$A$2/100),0)</f>
        <v>171072</v>
      </c>
      <c r="BA1703" s="60" t="s">
        <v>3807</v>
      </c>
      <c r="BB1703" s="64">
        <v>55000</v>
      </c>
      <c r="BC1703" s="64">
        <v>60500</v>
      </c>
      <c r="BD1703" s="60" t="s">
        <v>4383</v>
      </c>
      <c r="BG1703" s="64">
        <v>0</v>
      </c>
      <c r="BK1703" s="64">
        <v>0</v>
      </c>
      <c r="BS1703" s="64">
        <v>0</v>
      </c>
      <c r="BV1703" s="65">
        <v>106700</v>
      </c>
      <c r="BW1703" s="65">
        <v>60500</v>
      </c>
      <c r="BX1703" s="65">
        <v>44798</v>
      </c>
      <c r="BY1703" s="65">
        <v>46200</v>
      </c>
      <c r="BZ1703" s="81">
        <v>43.298969072164951</v>
      </c>
    </row>
    <row r="1704" spans="1:78" x14ac:dyDescent="0.15">
      <c r="A1704" s="60">
        <v>2</v>
      </c>
      <c r="B1704" s="61">
        <v>44809</v>
      </c>
      <c r="C1704" s="61">
        <v>44834</v>
      </c>
      <c r="E1704" s="61">
        <v>44828</v>
      </c>
      <c r="F1704" s="61" t="s">
        <v>309</v>
      </c>
      <c r="G1704" s="61">
        <v>44820</v>
      </c>
      <c r="H1704" s="61" t="s">
        <v>309</v>
      </c>
      <c r="I1704" s="60" t="s">
        <v>511</v>
      </c>
      <c r="J1704" s="60">
        <v>1</v>
      </c>
      <c r="L1704" s="60">
        <v>0</v>
      </c>
      <c r="M1704" s="61">
        <v>44798</v>
      </c>
      <c r="O1704" s="62" t="s">
        <v>331</v>
      </c>
      <c r="P1704" s="60" t="s">
        <v>26</v>
      </c>
      <c r="Q1704" s="62" t="s">
        <v>118</v>
      </c>
      <c r="R1704" s="62" t="s">
        <v>4728</v>
      </c>
      <c r="S1704" s="63" t="s">
        <v>1070</v>
      </c>
      <c r="T1704" s="63" t="s">
        <v>756</v>
      </c>
      <c r="U1704" s="64">
        <v>162000</v>
      </c>
      <c r="V1704" s="64">
        <v>178200</v>
      </c>
      <c r="W1704" s="64">
        <v>97000</v>
      </c>
      <c r="X1704" s="64">
        <v>106700</v>
      </c>
      <c r="Y1704" s="64">
        <v>65000</v>
      </c>
      <c r="Z1704" s="64">
        <v>71500</v>
      </c>
      <c r="AA1704" s="61">
        <v>44818</v>
      </c>
      <c r="AB1704" s="61">
        <v>44819</v>
      </c>
      <c r="AD1704" s="60">
        <v>0</v>
      </c>
      <c r="AG1704" s="60">
        <v>0</v>
      </c>
      <c r="AJ1704" s="60">
        <v>0</v>
      </c>
      <c r="AQ1704" s="60" t="s">
        <v>4602</v>
      </c>
      <c r="AR1704" s="61">
        <v>44804</v>
      </c>
      <c r="AS1704" s="60">
        <v>6002067421</v>
      </c>
      <c r="AT1704" s="61">
        <v>44804</v>
      </c>
      <c r="AU1704" s="60" t="s">
        <v>4606</v>
      </c>
      <c r="AV1704" s="61">
        <v>44834</v>
      </c>
      <c r="AW1704" s="91">
        <v>44834</v>
      </c>
      <c r="AX1704" s="91">
        <v>44854</v>
      </c>
      <c r="AY1704" s="99">
        <v>155520</v>
      </c>
      <c r="AZ1704" s="99">
        <f>ROUNDDOWN(AY1704+(AY1704*MASTER!$A$2/100),0)</f>
        <v>171072</v>
      </c>
      <c r="BA1704" s="60" t="s">
        <v>765</v>
      </c>
      <c r="BC1704" s="64">
        <v>0</v>
      </c>
      <c r="BG1704" s="64">
        <v>0</v>
      </c>
      <c r="BK1704" s="64">
        <v>0</v>
      </c>
      <c r="BS1704" s="64">
        <v>0</v>
      </c>
      <c r="BV1704" s="65">
        <v>106700</v>
      </c>
      <c r="BW1704" s="65">
        <v>0</v>
      </c>
      <c r="BX1704" s="65">
        <v>44798</v>
      </c>
      <c r="BY1704" s="65">
        <v>106700</v>
      </c>
      <c r="BZ1704" s="81">
        <v>100</v>
      </c>
    </row>
    <row r="1705" spans="1:78" x14ac:dyDescent="0.15">
      <c r="A1705" s="60">
        <v>1</v>
      </c>
      <c r="B1705" s="61">
        <v>44811</v>
      </c>
      <c r="C1705" s="61">
        <v>44834</v>
      </c>
      <c r="F1705" s="61" t="s">
        <v>309</v>
      </c>
      <c r="H1705" s="61" t="s">
        <v>309</v>
      </c>
      <c r="J1705" s="60">
        <v>1</v>
      </c>
      <c r="L1705" s="60">
        <v>0</v>
      </c>
      <c r="M1705" s="61">
        <v>44798</v>
      </c>
      <c r="O1705" s="62" t="s">
        <v>331</v>
      </c>
      <c r="P1705" s="60" t="s">
        <v>26</v>
      </c>
      <c r="Q1705" s="62" t="s">
        <v>118</v>
      </c>
      <c r="R1705" s="62" t="s">
        <v>4755</v>
      </c>
      <c r="S1705" s="63" t="s">
        <v>1911</v>
      </c>
      <c r="T1705" s="63" t="s">
        <v>756</v>
      </c>
      <c r="U1705" s="64">
        <v>162000</v>
      </c>
      <c r="V1705" s="64">
        <v>178200</v>
      </c>
      <c r="W1705" s="64">
        <v>97000</v>
      </c>
      <c r="X1705" s="64">
        <v>106700</v>
      </c>
      <c r="Y1705" s="64">
        <v>65000</v>
      </c>
      <c r="Z1705" s="64">
        <v>71500</v>
      </c>
      <c r="AD1705" s="60">
        <v>0</v>
      </c>
      <c r="AG1705" s="60">
        <v>0</v>
      </c>
      <c r="AJ1705" s="60">
        <v>0</v>
      </c>
      <c r="AQ1705" s="60" t="s">
        <v>4603</v>
      </c>
      <c r="AR1705" s="61">
        <v>44804</v>
      </c>
      <c r="AS1705" s="60">
        <v>6002067421</v>
      </c>
      <c r="AT1705" s="61">
        <v>44804</v>
      </c>
      <c r="AU1705" s="60" t="s">
        <v>4606</v>
      </c>
      <c r="AV1705" s="61">
        <v>44834</v>
      </c>
      <c r="AW1705" s="91">
        <v>44834</v>
      </c>
      <c r="AX1705" s="91">
        <v>44854</v>
      </c>
      <c r="AY1705" s="99">
        <v>155520</v>
      </c>
      <c r="AZ1705" s="99">
        <f>ROUNDDOWN(AY1705+(AY1705*MASTER!$A$2/100),0)</f>
        <v>171072</v>
      </c>
      <c r="BC1705" s="64">
        <v>0</v>
      </c>
      <c r="BG1705" s="64">
        <v>0</v>
      </c>
      <c r="BK1705" s="64">
        <v>0</v>
      </c>
      <c r="BS1705" s="64">
        <v>0</v>
      </c>
      <c r="BV1705" s="65">
        <v>106700</v>
      </c>
      <c r="BW1705" s="65">
        <v>0</v>
      </c>
      <c r="BX1705" s="65">
        <v>44798</v>
      </c>
      <c r="BY1705" s="65">
        <v>106700</v>
      </c>
      <c r="BZ1705" s="81">
        <v>100</v>
      </c>
    </row>
    <row r="1706" spans="1:78" x14ac:dyDescent="0.15">
      <c r="A1706" s="60">
        <v>2</v>
      </c>
      <c r="B1706" s="61">
        <v>44805</v>
      </c>
      <c r="C1706" s="61">
        <v>44834</v>
      </c>
      <c r="E1706" s="61">
        <v>44828</v>
      </c>
      <c r="F1706" s="61" t="s">
        <v>309</v>
      </c>
      <c r="G1706" s="61">
        <v>44820</v>
      </c>
      <c r="H1706" s="61" t="s">
        <v>309</v>
      </c>
      <c r="I1706" s="60" t="s">
        <v>511</v>
      </c>
      <c r="J1706" s="60">
        <v>1</v>
      </c>
      <c r="L1706" s="60">
        <v>0</v>
      </c>
      <c r="M1706" s="61">
        <v>44798</v>
      </c>
      <c r="O1706" s="62" t="s">
        <v>331</v>
      </c>
      <c r="P1706" s="60" t="s">
        <v>26</v>
      </c>
      <c r="Q1706" s="62" t="s">
        <v>118</v>
      </c>
      <c r="R1706" s="62" t="s">
        <v>4578</v>
      </c>
      <c r="S1706" s="63" t="s">
        <v>1273</v>
      </c>
      <c r="T1706" s="63" t="s">
        <v>756</v>
      </c>
      <c r="U1706" s="64">
        <v>162000</v>
      </c>
      <c r="V1706" s="64">
        <v>178200</v>
      </c>
      <c r="W1706" s="64">
        <v>97000</v>
      </c>
      <c r="X1706" s="64">
        <v>106700</v>
      </c>
      <c r="Y1706" s="64">
        <v>65000</v>
      </c>
      <c r="Z1706" s="64">
        <v>71500</v>
      </c>
      <c r="AA1706" s="61">
        <v>44818</v>
      </c>
      <c r="AB1706" s="61">
        <v>44819</v>
      </c>
      <c r="AD1706" s="60">
        <v>0</v>
      </c>
      <c r="AG1706" s="60">
        <v>0</v>
      </c>
      <c r="AJ1706" s="60">
        <v>0</v>
      </c>
      <c r="AQ1706" s="60" t="s">
        <v>4603</v>
      </c>
      <c r="AR1706" s="61">
        <v>44804</v>
      </c>
      <c r="AS1706" s="60">
        <v>6002067421</v>
      </c>
      <c r="AT1706" s="61">
        <v>44804</v>
      </c>
      <c r="AU1706" s="60" t="s">
        <v>4606</v>
      </c>
      <c r="AV1706" s="61">
        <v>44834</v>
      </c>
      <c r="AW1706" s="91">
        <v>44834</v>
      </c>
      <c r="AX1706" s="91">
        <v>44854</v>
      </c>
      <c r="AY1706" s="99">
        <v>155520</v>
      </c>
      <c r="AZ1706" s="99">
        <f>ROUNDDOWN(AY1706+(AY1706*MASTER!$A$2/100),0)</f>
        <v>171072</v>
      </c>
      <c r="BA1706" s="60" t="s">
        <v>318</v>
      </c>
      <c r="BB1706" s="64">
        <v>69000</v>
      </c>
      <c r="BC1706" s="64">
        <v>75900</v>
      </c>
      <c r="BD1706" s="60" t="s">
        <v>4182</v>
      </c>
      <c r="BG1706" s="64">
        <v>0</v>
      </c>
      <c r="BK1706" s="64">
        <v>0</v>
      </c>
      <c r="BS1706" s="64">
        <v>0</v>
      </c>
      <c r="BV1706" s="65">
        <v>106700</v>
      </c>
      <c r="BW1706" s="65">
        <v>75900</v>
      </c>
      <c r="BX1706" s="65">
        <v>44798</v>
      </c>
      <c r="BY1706" s="65">
        <v>30800</v>
      </c>
      <c r="BZ1706" s="81">
        <v>28.865979381443296</v>
      </c>
    </row>
    <row r="1707" spans="1:78" x14ac:dyDescent="0.15">
      <c r="A1707" s="60">
        <v>2</v>
      </c>
      <c r="B1707" s="61">
        <v>44809</v>
      </c>
      <c r="C1707" s="61">
        <v>44834</v>
      </c>
      <c r="E1707" s="61">
        <v>44828</v>
      </c>
      <c r="F1707" s="61" t="s">
        <v>309</v>
      </c>
      <c r="G1707" s="61">
        <v>44825</v>
      </c>
      <c r="H1707" s="61" t="s">
        <v>309</v>
      </c>
      <c r="I1707" s="60" t="s">
        <v>511</v>
      </c>
      <c r="J1707" s="60">
        <v>1</v>
      </c>
      <c r="L1707" s="60">
        <v>0</v>
      </c>
      <c r="M1707" s="61">
        <v>44798</v>
      </c>
      <c r="O1707" s="62" t="s">
        <v>331</v>
      </c>
      <c r="P1707" s="60" t="s">
        <v>26</v>
      </c>
      <c r="Q1707" s="62" t="s">
        <v>118</v>
      </c>
      <c r="R1707" s="62" t="s">
        <v>4729</v>
      </c>
      <c r="S1707" s="63" t="s">
        <v>406</v>
      </c>
      <c r="T1707" s="63" t="s">
        <v>756</v>
      </c>
      <c r="U1707" s="64">
        <v>162000</v>
      </c>
      <c r="V1707" s="64">
        <v>178200</v>
      </c>
      <c r="W1707" s="64">
        <v>97000</v>
      </c>
      <c r="X1707" s="64">
        <v>106700</v>
      </c>
      <c r="Y1707" s="64">
        <v>65000</v>
      </c>
      <c r="Z1707" s="64">
        <v>71500</v>
      </c>
      <c r="AA1707" s="61">
        <v>44824</v>
      </c>
      <c r="AB1707" s="61">
        <v>44825</v>
      </c>
      <c r="AD1707" s="60">
        <v>0</v>
      </c>
      <c r="AG1707" s="60">
        <v>0</v>
      </c>
      <c r="AJ1707" s="60">
        <v>0</v>
      </c>
      <c r="AQ1707" s="60" t="s">
        <v>4603</v>
      </c>
      <c r="AR1707" s="61">
        <v>44804</v>
      </c>
      <c r="AS1707" s="60">
        <v>6002067421</v>
      </c>
      <c r="AT1707" s="61">
        <v>44804</v>
      </c>
      <c r="AU1707" s="60" t="s">
        <v>4606</v>
      </c>
      <c r="AV1707" s="61">
        <v>44834</v>
      </c>
      <c r="AW1707" s="91">
        <v>44834</v>
      </c>
      <c r="AX1707" s="91">
        <v>44854</v>
      </c>
      <c r="AY1707" s="99">
        <v>155520</v>
      </c>
      <c r="AZ1707" s="99">
        <f>ROUNDDOWN(AY1707+(AY1707*MASTER!$A$2/100),0)</f>
        <v>171072</v>
      </c>
      <c r="BA1707" s="60" t="s">
        <v>319</v>
      </c>
      <c r="BB1707" s="64">
        <v>71000</v>
      </c>
      <c r="BC1707" s="64">
        <v>78100</v>
      </c>
      <c r="BD1707" s="60" t="s">
        <v>4182</v>
      </c>
      <c r="BG1707" s="64">
        <v>0</v>
      </c>
      <c r="BK1707" s="64">
        <v>0</v>
      </c>
      <c r="BS1707" s="64">
        <v>0</v>
      </c>
      <c r="BV1707" s="65">
        <v>106700</v>
      </c>
      <c r="BW1707" s="65">
        <v>78100</v>
      </c>
      <c r="BX1707" s="65">
        <v>44798</v>
      </c>
      <c r="BY1707" s="65">
        <v>28600</v>
      </c>
      <c r="BZ1707" s="81">
        <v>26.804123711340207</v>
      </c>
    </row>
    <row r="1708" spans="1:78" x14ac:dyDescent="0.15">
      <c r="A1708" s="60">
        <v>2</v>
      </c>
      <c r="B1708" s="61">
        <v>44805</v>
      </c>
      <c r="C1708" s="61">
        <v>44834</v>
      </c>
      <c r="E1708" s="61">
        <v>44828</v>
      </c>
      <c r="F1708" s="61" t="s">
        <v>309</v>
      </c>
      <c r="G1708" s="61">
        <v>44825</v>
      </c>
      <c r="H1708" s="61" t="s">
        <v>309</v>
      </c>
      <c r="I1708" s="60" t="s">
        <v>511</v>
      </c>
      <c r="J1708" s="60">
        <v>1</v>
      </c>
      <c r="L1708" s="60">
        <v>0</v>
      </c>
      <c r="M1708" s="61">
        <v>44798</v>
      </c>
      <c r="O1708" s="62" t="s">
        <v>331</v>
      </c>
      <c r="P1708" s="60" t="s">
        <v>26</v>
      </c>
      <c r="Q1708" s="62" t="s">
        <v>118</v>
      </c>
      <c r="R1708" s="62" t="s">
        <v>4579</v>
      </c>
      <c r="S1708" s="63" t="s">
        <v>1584</v>
      </c>
      <c r="T1708" s="63" t="s">
        <v>756</v>
      </c>
      <c r="U1708" s="64">
        <v>162000</v>
      </c>
      <c r="V1708" s="64">
        <v>178200</v>
      </c>
      <c r="W1708" s="64">
        <v>97000</v>
      </c>
      <c r="X1708" s="64">
        <v>106700</v>
      </c>
      <c r="Y1708" s="64">
        <v>65000</v>
      </c>
      <c r="Z1708" s="64">
        <v>71500</v>
      </c>
      <c r="AA1708" s="61">
        <v>44824</v>
      </c>
      <c r="AB1708" s="61">
        <v>44825</v>
      </c>
      <c r="AD1708" s="60">
        <v>0</v>
      </c>
      <c r="AG1708" s="60">
        <v>0</v>
      </c>
      <c r="AJ1708" s="60">
        <v>0</v>
      </c>
      <c r="AQ1708" s="60" t="s">
        <v>4603</v>
      </c>
      <c r="AR1708" s="61">
        <v>44804</v>
      </c>
      <c r="AS1708" s="60">
        <v>6002067421</v>
      </c>
      <c r="AT1708" s="61">
        <v>44804</v>
      </c>
      <c r="AU1708" s="60" t="s">
        <v>4606</v>
      </c>
      <c r="AV1708" s="61">
        <v>44834</v>
      </c>
      <c r="AW1708" s="91">
        <v>44834</v>
      </c>
      <c r="AX1708" s="91">
        <v>44854</v>
      </c>
      <c r="AY1708" s="99">
        <v>155520</v>
      </c>
      <c r="AZ1708" s="99">
        <f>ROUNDDOWN(AY1708+(AY1708*MASTER!$A$2/100),0)</f>
        <v>171072</v>
      </c>
      <c r="BA1708" s="60" t="s">
        <v>318</v>
      </c>
      <c r="BB1708" s="64">
        <v>55000</v>
      </c>
      <c r="BC1708" s="64">
        <v>60500</v>
      </c>
      <c r="BD1708" s="60" t="s">
        <v>4182</v>
      </c>
      <c r="BG1708" s="64">
        <v>0</v>
      </c>
      <c r="BK1708" s="64">
        <v>0</v>
      </c>
      <c r="BS1708" s="64">
        <v>0</v>
      </c>
      <c r="BV1708" s="65">
        <v>106700</v>
      </c>
      <c r="BW1708" s="65">
        <v>60500</v>
      </c>
      <c r="BX1708" s="65">
        <v>44798</v>
      </c>
      <c r="BY1708" s="65">
        <v>46200</v>
      </c>
      <c r="BZ1708" s="81">
        <v>43.298969072164951</v>
      </c>
    </row>
    <row r="1709" spans="1:78" x14ac:dyDescent="0.15">
      <c r="A1709" s="60">
        <v>2</v>
      </c>
      <c r="B1709" s="61">
        <v>44805</v>
      </c>
      <c r="C1709" s="61">
        <v>44834</v>
      </c>
      <c r="E1709" s="61">
        <v>44828</v>
      </c>
      <c r="F1709" s="61" t="s">
        <v>309</v>
      </c>
      <c r="G1709" s="61">
        <v>44825</v>
      </c>
      <c r="H1709" s="61" t="s">
        <v>309</v>
      </c>
      <c r="I1709" s="60" t="s">
        <v>511</v>
      </c>
      <c r="J1709" s="60">
        <v>1</v>
      </c>
      <c r="L1709" s="60">
        <v>0</v>
      </c>
      <c r="M1709" s="61">
        <v>44798</v>
      </c>
      <c r="O1709" s="62" t="s">
        <v>331</v>
      </c>
      <c r="P1709" s="60" t="s">
        <v>26</v>
      </c>
      <c r="Q1709" s="62" t="s">
        <v>118</v>
      </c>
      <c r="R1709" s="62" t="s">
        <v>4580</v>
      </c>
      <c r="S1709" s="63" t="s">
        <v>414</v>
      </c>
      <c r="T1709" s="63" t="s">
        <v>756</v>
      </c>
      <c r="U1709" s="64">
        <v>162000</v>
      </c>
      <c r="V1709" s="64">
        <v>178200</v>
      </c>
      <c r="W1709" s="64">
        <v>97000</v>
      </c>
      <c r="X1709" s="64">
        <v>106700</v>
      </c>
      <c r="Y1709" s="64">
        <v>65000</v>
      </c>
      <c r="Z1709" s="64">
        <v>71500</v>
      </c>
      <c r="AA1709" s="61">
        <v>44824</v>
      </c>
      <c r="AB1709" s="61">
        <v>44825</v>
      </c>
      <c r="AD1709" s="60">
        <v>0</v>
      </c>
      <c r="AG1709" s="60">
        <v>0</v>
      </c>
      <c r="AJ1709" s="60">
        <v>0</v>
      </c>
      <c r="AQ1709" s="60" t="s">
        <v>4603</v>
      </c>
      <c r="AR1709" s="61">
        <v>44804</v>
      </c>
      <c r="AS1709" s="60">
        <v>6002067421</v>
      </c>
      <c r="AT1709" s="61">
        <v>44804</v>
      </c>
      <c r="AU1709" s="60" t="s">
        <v>4606</v>
      </c>
      <c r="AV1709" s="61">
        <v>44834</v>
      </c>
      <c r="AW1709" s="91">
        <v>44834</v>
      </c>
      <c r="AX1709" s="91">
        <v>44854</v>
      </c>
      <c r="AY1709" s="99">
        <v>155520</v>
      </c>
      <c r="AZ1709" s="99">
        <f>ROUNDDOWN(AY1709+(AY1709*MASTER!$A$2/100),0)</f>
        <v>171072</v>
      </c>
      <c r="BA1709" s="60" t="s">
        <v>317</v>
      </c>
      <c r="BB1709" s="64">
        <v>57000</v>
      </c>
      <c r="BC1709" s="64">
        <v>62700</v>
      </c>
      <c r="BD1709" s="60" t="s">
        <v>4182</v>
      </c>
      <c r="BG1709" s="64">
        <v>0</v>
      </c>
      <c r="BK1709" s="64">
        <v>0</v>
      </c>
      <c r="BS1709" s="64">
        <v>0</v>
      </c>
      <c r="BV1709" s="65">
        <v>106700</v>
      </c>
      <c r="BW1709" s="65">
        <v>62700</v>
      </c>
      <c r="BX1709" s="65">
        <v>44798</v>
      </c>
      <c r="BY1709" s="65">
        <v>44000</v>
      </c>
      <c r="BZ1709" s="81">
        <v>41.237113402061851</v>
      </c>
    </row>
    <row r="1710" spans="1:78" x14ac:dyDescent="0.15">
      <c r="A1710" s="60">
        <v>1</v>
      </c>
      <c r="B1710" s="61">
        <v>44826</v>
      </c>
      <c r="C1710" s="61">
        <v>44825</v>
      </c>
      <c r="F1710" s="61" t="s">
        <v>309</v>
      </c>
      <c r="G1710" s="61">
        <v>44826</v>
      </c>
      <c r="H1710" s="61" t="s">
        <v>309</v>
      </c>
      <c r="J1710" s="60">
        <v>2</v>
      </c>
      <c r="L1710" s="60">
        <v>0</v>
      </c>
      <c r="M1710" s="61">
        <v>44799</v>
      </c>
      <c r="O1710" s="62" t="s">
        <v>331</v>
      </c>
      <c r="P1710" s="60" t="s">
        <v>6</v>
      </c>
      <c r="Q1710" s="62" t="s">
        <v>118</v>
      </c>
      <c r="R1710" s="62" t="s">
        <v>4906</v>
      </c>
      <c r="S1710" s="63" t="s">
        <v>414</v>
      </c>
      <c r="T1710" s="63" t="s">
        <v>364</v>
      </c>
      <c r="U1710" s="64">
        <v>35000</v>
      </c>
      <c r="V1710" s="64">
        <v>38500</v>
      </c>
      <c r="W1710" s="64">
        <v>35000</v>
      </c>
      <c r="X1710" s="64">
        <v>38500</v>
      </c>
      <c r="Z1710" s="64">
        <v>0</v>
      </c>
      <c r="AA1710" s="61">
        <v>44824</v>
      </c>
      <c r="AB1710" s="61">
        <v>44824</v>
      </c>
      <c r="AD1710" s="60">
        <v>0</v>
      </c>
      <c r="AG1710" s="60">
        <v>0</v>
      </c>
      <c r="AJ1710" s="60">
        <v>0</v>
      </c>
      <c r="AN1710" s="60" t="s">
        <v>309</v>
      </c>
      <c r="AQ1710" s="60" t="s">
        <v>4663</v>
      </c>
      <c r="AR1710" s="61">
        <v>44805</v>
      </c>
      <c r="AS1710" s="60">
        <v>6002067843</v>
      </c>
      <c r="AT1710" s="61">
        <v>44806</v>
      </c>
      <c r="AU1710" s="60" t="s">
        <v>4683</v>
      </c>
      <c r="AV1710" s="61">
        <v>44825</v>
      </c>
      <c r="AW1710" s="91">
        <v>44834</v>
      </c>
      <c r="AX1710" s="91">
        <v>44854</v>
      </c>
      <c r="AY1710" s="99">
        <v>33600</v>
      </c>
      <c r="AZ1710" s="99">
        <f>ROUNDDOWN(AY1710+(AY1710*MASTER!$A$2/100),0)</f>
        <v>36960</v>
      </c>
      <c r="BA1710" s="60" t="s">
        <v>317</v>
      </c>
      <c r="BB1710" s="64">
        <v>33000</v>
      </c>
      <c r="BC1710" s="64">
        <v>36300</v>
      </c>
      <c r="BD1710" s="60" t="s">
        <v>4182</v>
      </c>
      <c r="BG1710" s="64">
        <v>0</v>
      </c>
      <c r="BK1710" s="64">
        <v>0</v>
      </c>
      <c r="BS1710" s="64">
        <v>0</v>
      </c>
      <c r="BV1710" s="65">
        <v>38500</v>
      </c>
      <c r="BW1710" s="65">
        <v>36300</v>
      </c>
      <c r="BX1710" s="65">
        <v>44799</v>
      </c>
      <c r="BY1710" s="65">
        <v>2200</v>
      </c>
      <c r="BZ1710" s="81">
        <v>5.7142857142857144</v>
      </c>
    </row>
    <row r="1711" spans="1:78" x14ac:dyDescent="0.15">
      <c r="A1711" s="60">
        <v>2</v>
      </c>
      <c r="B1711" s="61">
        <v>44809</v>
      </c>
      <c r="C1711" s="61">
        <v>44809</v>
      </c>
      <c r="D1711" s="61">
        <v>44799</v>
      </c>
      <c r="E1711" s="61">
        <v>44799</v>
      </c>
      <c r="F1711" s="61" t="s">
        <v>309</v>
      </c>
      <c r="G1711" s="61">
        <v>44799</v>
      </c>
      <c r="H1711" s="61" t="s">
        <v>309</v>
      </c>
      <c r="I1711" s="60" t="s">
        <v>766</v>
      </c>
      <c r="J1711" s="60">
        <v>2</v>
      </c>
      <c r="L1711" s="60">
        <v>0</v>
      </c>
      <c r="M1711" s="61">
        <v>44799</v>
      </c>
      <c r="O1711" s="62" t="s">
        <v>331</v>
      </c>
      <c r="P1711" s="60" t="s">
        <v>6</v>
      </c>
      <c r="Q1711" s="62" t="s">
        <v>118</v>
      </c>
      <c r="R1711" s="62" t="s">
        <v>4587</v>
      </c>
      <c r="S1711" s="63" t="s">
        <v>1767</v>
      </c>
      <c r="T1711" s="63" t="s">
        <v>364</v>
      </c>
      <c r="U1711" s="64">
        <v>35000</v>
      </c>
      <c r="V1711" s="64">
        <v>38500</v>
      </c>
      <c r="W1711" s="64">
        <v>35000</v>
      </c>
      <c r="X1711" s="64">
        <v>38500</v>
      </c>
      <c r="Z1711" s="64">
        <v>0</v>
      </c>
      <c r="AA1711" s="61">
        <v>44798</v>
      </c>
      <c r="AB1711" s="61">
        <v>44798</v>
      </c>
      <c r="AD1711" s="60">
        <v>0</v>
      </c>
      <c r="AG1711" s="60">
        <v>0</v>
      </c>
      <c r="AJ1711" s="60">
        <v>0</v>
      </c>
      <c r="AN1711" s="60" t="s">
        <v>309</v>
      </c>
      <c r="AQ1711" s="60" t="s">
        <v>4668</v>
      </c>
      <c r="AR1711" s="61">
        <v>44805</v>
      </c>
      <c r="AS1711" s="60">
        <v>6002067843</v>
      </c>
      <c r="AT1711" s="61">
        <v>44806</v>
      </c>
      <c r="AU1711" s="60" t="s">
        <v>4683</v>
      </c>
      <c r="AV1711" s="61">
        <v>44809</v>
      </c>
      <c r="AW1711" s="91">
        <v>44834</v>
      </c>
      <c r="AX1711" s="91">
        <v>44854</v>
      </c>
      <c r="AY1711" s="99">
        <v>33600</v>
      </c>
      <c r="AZ1711" s="99">
        <f>ROUNDDOWN(AY1711+(AY1711*MASTER!$A$2/100),0)</f>
        <v>36960</v>
      </c>
      <c r="BA1711" s="60" t="s">
        <v>314</v>
      </c>
      <c r="BB1711" s="64">
        <v>34000</v>
      </c>
      <c r="BC1711" s="64">
        <v>37400</v>
      </c>
      <c r="BD1711" s="60" t="s">
        <v>3940</v>
      </c>
      <c r="BG1711" s="64">
        <v>0</v>
      </c>
      <c r="BK1711" s="64">
        <v>0</v>
      </c>
      <c r="BS1711" s="64">
        <v>0</v>
      </c>
      <c r="BV1711" s="65">
        <v>38500</v>
      </c>
      <c r="BW1711" s="65">
        <v>37400</v>
      </c>
      <c r="BX1711" s="65">
        <v>44799</v>
      </c>
      <c r="BY1711" s="65">
        <v>1100</v>
      </c>
      <c r="BZ1711" s="81">
        <v>2.8571428571428572</v>
      </c>
    </row>
    <row r="1712" spans="1:78" x14ac:dyDescent="0.15">
      <c r="A1712" s="60">
        <v>1</v>
      </c>
      <c r="B1712" s="61">
        <v>44826</v>
      </c>
      <c r="C1712" s="61">
        <v>44830</v>
      </c>
      <c r="F1712" s="61" t="s">
        <v>309</v>
      </c>
      <c r="H1712" s="61" t="s">
        <v>309</v>
      </c>
      <c r="J1712" s="60">
        <v>1</v>
      </c>
      <c r="L1712" s="60">
        <v>0</v>
      </c>
      <c r="M1712" s="61">
        <v>44799</v>
      </c>
      <c r="O1712" s="62" t="s">
        <v>331</v>
      </c>
      <c r="P1712" s="60" t="s">
        <v>26</v>
      </c>
      <c r="Q1712" s="62" t="s">
        <v>118</v>
      </c>
      <c r="R1712" s="62" t="s">
        <v>4915</v>
      </c>
      <c r="S1712" s="63" t="s">
        <v>606</v>
      </c>
      <c r="T1712" s="63" t="s">
        <v>498</v>
      </c>
      <c r="U1712" s="64">
        <v>50000</v>
      </c>
      <c r="V1712" s="64">
        <v>55000</v>
      </c>
      <c r="W1712" s="64">
        <v>47000</v>
      </c>
      <c r="X1712" s="64">
        <v>51700</v>
      </c>
      <c r="Y1712" s="64">
        <v>3000</v>
      </c>
      <c r="Z1712" s="64">
        <v>3300</v>
      </c>
      <c r="AA1712" s="61">
        <v>44829</v>
      </c>
      <c r="AB1712" s="61">
        <v>44830</v>
      </c>
      <c r="AD1712" s="60">
        <v>0</v>
      </c>
      <c r="AG1712" s="60">
        <v>0</v>
      </c>
      <c r="AJ1712" s="60">
        <v>0</v>
      </c>
      <c r="AM1712" s="60" t="s">
        <v>273</v>
      </c>
      <c r="AN1712" s="60" t="s">
        <v>4916</v>
      </c>
      <c r="AQ1712" s="60" t="s">
        <v>4839</v>
      </c>
      <c r="AR1712" s="61">
        <v>44819</v>
      </c>
      <c r="AS1712" s="60">
        <v>6002073882</v>
      </c>
      <c r="AT1712" s="61">
        <v>44819</v>
      </c>
      <c r="AU1712" s="60" t="s">
        <v>4840</v>
      </c>
      <c r="AV1712" s="61">
        <v>44830</v>
      </c>
      <c r="AW1712" s="91">
        <v>44834</v>
      </c>
      <c r="AX1712" s="91">
        <v>44854</v>
      </c>
      <c r="AY1712" s="99">
        <v>48000</v>
      </c>
      <c r="AZ1712" s="99">
        <f>ROUNDDOWN(AY1712+(AY1712*MASTER!$A$2/100),0)</f>
        <v>52800</v>
      </c>
      <c r="BA1712" s="60" t="s">
        <v>314</v>
      </c>
      <c r="BB1712" s="64">
        <v>32000</v>
      </c>
      <c r="BC1712" s="64">
        <v>35200</v>
      </c>
      <c r="BD1712" s="60" t="s">
        <v>4182</v>
      </c>
      <c r="BG1712" s="64">
        <v>0</v>
      </c>
      <c r="BK1712" s="64">
        <v>0</v>
      </c>
      <c r="BS1712" s="64">
        <v>0</v>
      </c>
      <c r="BV1712" s="65">
        <v>51700</v>
      </c>
      <c r="BW1712" s="65">
        <v>35200</v>
      </c>
      <c r="BX1712" s="65">
        <v>44799</v>
      </c>
      <c r="BY1712" s="65">
        <v>16500</v>
      </c>
      <c r="BZ1712" s="81">
        <v>31.914893617021278</v>
      </c>
    </row>
    <row r="1713" spans="1:78" x14ac:dyDescent="0.15">
      <c r="A1713" s="60">
        <v>2</v>
      </c>
      <c r="C1713" s="61" t="s">
        <v>309</v>
      </c>
      <c r="F1713" s="61" t="s">
        <v>309</v>
      </c>
      <c r="H1713" s="61" t="s">
        <v>309</v>
      </c>
      <c r="J1713" s="60">
        <v>4</v>
      </c>
      <c r="L1713" s="60">
        <v>0</v>
      </c>
      <c r="M1713" s="61">
        <v>44800</v>
      </c>
      <c r="O1713" s="62" t="s">
        <v>331</v>
      </c>
      <c r="P1713" s="60" t="s">
        <v>263</v>
      </c>
      <c r="Q1713" s="62" t="s">
        <v>118</v>
      </c>
      <c r="R1713" s="62" t="s">
        <v>4701</v>
      </c>
      <c r="S1713" s="63" t="s">
        <v>354</v>
      </c>
      <c r="T1713" s="63" t="s">
        <v>4702</v>
      </c>
      <c r="U1713" s="64">
        <v>0</v>
      </c>
      <c r="V1713" s="64">
        <v>0</v>
      </c>
      <c r="W1713" s="64">
        <v>0</v>
      </c>
      <c r="X1713" s="64">
        <v>0</v>
      </c>
      <c r="Y1713" s="64">
        <v>0</v>
      </c>
      <c r="Z1713" s="64">
        <v>0</v>
      </c>
      <c r="AA1713" s="61">
        <v>44774</v>
      </c>
      <c r="AB1713" s="61">
        <v>44804</v>
      </c>
      <c r="AD1713" s="60">
        <v>0</v>
      </c>
      <c r="AG1713" s="60">
        <v>0</v>
      </c>
      <c r="AJ1713" s="60">
        <v>0</v>
      </c>
      <c r="AN1713" s="60" t="s">
        <v>309</v>
      </c>
      <c r="AY1713" s="99">
        <v>0</v>
      </c>
      <c r="AZ1713" s="99">
        <f>ROUNDDOWN(AY1713+(AY1713*MASTER!$A$2/100),0)</f>
        <v>0</v>
      </c>
      <c r="BA1713" s="60" t="s">
        <v>14</v>
      </c>
      <c r="BB1713" s="64">
        <v>485840</v>
      </c>
      <c r="BC1713" s="64">
        <v>534424</v>
      </c>
      <c r="BD1713" s="60" t="s">
        <v>4069</v>
      </c>
      <c r="BG1713" s="64">
        <v>0</v>
      </c>
      <c r="BK1713" s="64">
        <v>0</v>
      </c>
      <c r="BS1713" s="64">
        <v>0</v>
      </c>
      <c r="BV1713" s="65">
        <v>0</v>
      </c>
      <c r="BW1713" s="65">
        <v>534424</v>
      </c>
      <c r="BX1713" s="65">
        <v>44800</v>
      </c>
      <c r="BY1713" s="65">
        <v>-534424</v>
      </c>
      <c r="BZ1713" s="81" t="s">
        <v>309</v>
      </c>
    </row>
    <row r="1714" spans="1:78" x14ac:dyDescent="0.15">
      <c r="A1714" s="60">
        <v>2</v>
      </c>
      <c r="C1714" s="61" t="s">
        <v>309</v>
      </c>
      <c r="F1714" s="61" t="s">
        <v>309</v>
      </c>
      <c r="H1714" s="61" t="s">
        <v>309</v>
      </c>
      <c r="J1714" s="60">
        <v>4</v>
      </c>
      <c r="L1714" s="60">
        <v>0</v>
      </c>
      <c r="M1714" s="61">
        <v>44800</v>
      </c>
      <c r="O1714" s="62" t="s">
        <v>331</v>
      </c>
      <c r="P1714" s="60" t="s">
        <v>263</v>
      </c>
      <c r="Q1714" s="62" t="s">
        <v>118</v>
      </c>
      <c r="R1714" s="62" t="s">
        <v>5132</v>
      </c>
      <c r="S1714" s="63" t="s">
        <v>354</v>
      </c>
      <c r="T1714" s="63" t="s">
        <v>5133</v>
      </c>
      <c r="U1714" s="64">
        <v>0</v>
      </c>
      <c r="V1714" s="64">
        <v>0</v>
      </c>
      <c r="W1714" s="64">
        <v>0</v>
      </c>
      <c r="X1714" s="64">
        <v>0</v>
      </c>
      <c r="Y1714" s="64">
        <v>0</v>
      </c>
      <c r="Z1714" s="64">
        <v>0</v>
      </c>
      <c r="AA1714" s="61">
        <v>44805</v>
      </c>
      <c r="AB1714" s="61">
        <v>44834</v>
      </c>
      <c r="AD1714" s="60">
        <v>0</v>
      </c>
      <c r="AG1714" s="60">
        <v>0</v>
      </c>
      <c r="AJ1714" s="60">
        <v>0</v>
      </c>
      <c r="AN1714" s="60" t="s">
        <v>309</v>
      </c>
      <c r="AY1714" s="99">
        <v>0</v>
      </c>
      <c r="AZ1714" s="99">
        <f>ROUNDDOWN(AY1714+(AY1714*MASTER!$A$2/100),0)</f>
        <v>0</v>
      </c>
      <c r="BA1714" s="60" t="s">
        <v>317</v>
      </c>
      <c r="BB1714" s="64">
        <v>680000</v>
      </c>
      <c r="BC1714" s="64">
        <v>748000</v>
      </c>
      <c r="BD1714" s="60" t="s">
        <v>4383</v>
      </c>
      <c r="BG1714" s="64">
        <v>0</v>
      </c>
      <c r="BK1714" s="64">
        <v>0</v>
      </c>
      <c r="BS1714" s="64">
        <v>0</v>
      </c>
      <c r="BV1714" s="65">
        <v>0</v>
      </c>
      <c r="BW1714" s="65">
        <v>748000</v>
      </c>
      <c r="BX1714" s="65">
        <v>44800</v>
      </c>
      <c r="BY1714" s="65">
        <v>-748000</v>
      </c>
      <c r="BZ1714" s="81" t="s">
        <v>309</v>
      </c>
    </row>
    <row r="1715" spans="1:78" x14ac:dyDescent="0.15">
      <c r="A1715" s="60">
        <v>1</v>
      </c>
      <c r="C1715" s="61" t="s">
        <v>309</v>
      </c>
      <c r="D1715" s="61">
        <v>44809</v>
      </c>
      <c r="F1715" s="61" t="s">
        <v>309</v>
      </c>
      <c r="H1715" s="61" t="s">
        <v>309</v>
      </c>
      <c r="I1715" s="60" t="s">
        <v>1630</v>
      </c>
      <c r="J1715" s="60">
        <v>4</v>
      </c>
      <c r="L1715" s="60">
        <v>0</v>
      </c>
      <c r="M1715" s="61">
        <v>44800</v>
      </c>
      <c r="O1715" s="62" t="s">
        <v>331</v>
      </c>
      <c r="P1715" s="60" t="s">
        <v>77</v>
      </c>
      <c r="Q1715" s="62" t="s">
        <v>118</v>
      </c>
      <c r="R1715" s="62" t="s">
        <v>4706</v>
      </c>
      <c r="S1715" s="63" t="s">
        <v>354</v>
      </c>
      <c r="T1715" s="63" t="s">
        <v>4707</v>
      </c>
      <c r="U1715" s="64">
        <v>0</v>
      </c>
      <c r="V1715" s="64">
        <v>0</v>
      </c>
      <c r="W1715" s="64">
        <v>0</v>
      </c>
      <c r="X1715" s="64">
        <v>0</v>
      </c>
      <c r="Y1715" s="64">
        <v>0</v>
      </c>
      <c r="Z1715" s="64">
        <v>0</v>
      </c>
      <c r="AA1715" s="61">
        <v>44774</v>
      </c>
      <c r="AB1715" s="61">
        <v>44804</v>
      </c>
      <c r="AD1715" s="60">
        <v>0</v>
      </c>
      <c r="AG1715" s="60">
        <v>0</v>
      </c>
      <c r="AJ1715" s="60">
        <v>0</v>
      </c>
      <c r="AN1715" s="60" t="s">
        <v>309</v>
      </c>
      <c r="AY1715" s="99">
        <v>0</v>
      </c>
      <c r="AZ1715" s="99">
        <f>ROUNDDOWN(AY1715+(AY1715*MASTER!$A$2/100),0)</f>
        <v>0</v>
      </c>
      <c r="BA1715" s="60" t="s">
        <v>272</v>
      </c>
      <c r="BB1715" s="64">
        <v>324174</v>
      </c>
      <c r="BC1715" s="64">
        <v>356591.4</v>
      </c>
      <c r="BD1715" s="60" t="s">
        <v>3940</v>
      </c>
      <c r="BG1715" s="64">
        <v>0</v>
      </c>
      <c r="BK1715" s="64">
        <v>0</v>
      </c>
      <c r="BS1715" s="64">
        <v>0</v>
      </c>
      <c r="BV1715" s="65">
        <v>0</v>
      </c>
      <c r="BW1715" s="65">
        <v>356591.4</v>
      </c>
      <c r="BX1715" s="65">
        <v>44800</v>
      </c>
      <c r="BY1715" s="65">
        <v>-356591.4</v>
      </c>
      <c r="BZ1715" s="81" t="s">
        <v>309</v>
      </c>
    </row>
    <row r="1716" spans="1:78" x14ac:dyDescent="0.15">
      <c r="A1716" s="60">
        <v>1</v>
      </c>
      <c r="C1716" s="61" t="s">
        <v>309</v>
      </c>
      <c r="F1716" s="61" t="s">
        <v>309</v>
      </c>
      <c r="H1716" s="61" t="s">
        <v>309</v>
      </c>
      <c r="J1716" s="60">
        <v>4</v>
      </c>
      <c r="L1716" s="60">
        <v>0</v>
      </c>
      <c r="M1716" s="61">
        <v>44800</v>
      </c>
      <c r="O1716" s="62" t="s">
        <v>331</v>
      </c>
      <c r="P1716" s="60" t="s">
        <v>263</v>
      </c>
      <c r="Q1716" s="62" t="s">
        <v>118</v>
      </c>
      <c r="R1716" s="62" t="s">
        <v>4523</v>
      </c>
      <c r="S1716" s="63" t="s">
        <v>354</v>
      </c>
      <c r="T1716" s="63" t="s">
        <v>4524</v>
      </c>
      <c r="U1716" s="64">
        <v>0</v>
      </c>
      <c r="V1716" s="64">
        <v>0</v>
      </c>
      <c r="W1716" s="64">
        <v>0</v>
      </c>
      <c r="X1716" s="64">
        <v>0</v>
      </c>
      <c r="Y1716" s="64">
        <v>0</v>
      </c>
      <c r="Z1716" s="64">
        <v>0</v>
      </c>
      <c r="AA1716" s="61">
        <v>44774</v>
      </c>
      <c r="AB1716" s="61">
        <v>44804</v>
      </c>
      <c r="AD1716" s="60">
        <v>0</v>
      </c>
      <c r="AG1716" s="60">
        <v>0</v>
      </c>
      <c r="AJ1716" s="60">
        <v>0</v>
      </c>
      <c r="AN1716" s="60" t="s">
        <v>309</v>
      </c>
      <c r="AY1716" s="99">
        <f t="shared" ref="AY1716:AY1722" si="8">ROUNDDOWN((0.96*U1716),0)</f>
        <v>0</v>
      </c>
      <c r="AZ1716" s="99">
        <f>ROUNDDOWN(AY1716+(AY1716*MASTER!$A$2/100),0)</f>
        <v>0</v>
      </c>
      <c r="BA1716" s="60" t="s">
        <v>318</v>
      </c>
      <c r="BB1716" s="64">
        <v>18000</v>
      </c>
      <c r="BC1716" s="64">
        <v>19800</v>
      </c>
      <c r="BD1716" s="60" t="s">
        <v>4069</v>
      </c>
      <c r="BG1716" s="64">
        <v>0</v>
      </c>
      <c r="BK1716" s="64">
        <v>0</v>
      </c>
      <c r="BS1716" s="64">
        <v>0</v>
      </c>
      <c r="BV1716" s="65">
        <v>0</v>
      </c>
      <c r="BW1716" s="65">
        <v>19800</v>
      </c>
      <c r="BX1716" s="65">
        <v>44800</v>
      </c>
      <c r="BY1716" s="65">
        <v>-19800</v>
      </c>
      <c r="BZ1716" s="81" t="s">
        <v>309</v>
      </c>
    </row>
    <row r="1717" spans="1:78" x14ac:dyDescent="0.15">
      <c r="A1717" s="60">
        <v>2</v>
      </c>
      <c r="B1717" s="61">
        <v>44826</v>
      </c>
      <c r="C1717" s="61">
        <v>44830</v>
      </c>
      <c r="E1717" s="61">
        <v>44828</v>
      </c>
      <c r="F1717" s="61" t="s">
        <v>309</v>
      </c>
      <c r="G1717" s="61">
        <v>44827</v>
      </c>
      <c r="H1717" s="61" t="s">
        <v>309</v>
      </c>
      <c r="I1717" s="60" t="s">
        <v>511</v>
      </c>
      <c r="J1717" s="60">
        <v>1</v>
      </c>
      <c r="L1717" s="60">
        <v>0</v>
      </c>
      <c r="M1717" s="61">
        <v>44802</v>
      </c>
      <c r="O1717" s="62" t="s">
        <v>331</v>
      </c>
      <c r="P1717" s="60" t="s">
        <v>26</v>
      </c>
      <c r="Q1717" s="62" t="s">
        <v>118</v>
      </c>
      <c r="R1717" s="62" t="s">
        <v>4918</v>
      </c>
      <c r="S1717" s="63" t="s">
        <v>4919</v>
      </c>
      <c r="T1717" s="63" t="s">
        <v>359</v>
      </c>
      <c r="U1717" s="64">
        <v>357885</v>
      </c>
      <c r="V1717" s="64">
        <v>393673.5</v>
      </c>
      <c r="W1717" s="64">
        <v>345885</v>
      </c>
      <c r="X1717" s="64">
        <v>380473.5</v>
      </c>
      <c r="Y1717" s="64">
        <v>12000</v>
      </c>
      <c r="Z1717" s="64">
        <v>13200</v>
      </c>
      <c r="AA1717" s="61">
        <v>44824</v>
      </c>
      <c r="AB1717" s="61">
        <v>44826</v>
      </c>
      <c r="AD1717" s="60">
        <v>0</v>
      </c>
      <c r="AG1717" s="60">
        <v>0</v>
      </c>
      <c r="AJ1717" s="60">
        <v>0</v>
      </c>
      <c r="AM1717" s="60" t="s">
        <v>273</v>
      </c>
      <c r="AN1717" s="60" t="s">
        <v>4920</v>
      </c>
      <c r="AQ1717" s="60" t="s">
        <v>4884</v>
      </c>
      <c r="AR1717" s="61">
        <v>44825</v>
      </c>
      <c r="AS1717" s="60">
        <v>6002075038</v>
      </c>
      <c r="AT1717" s="61">
        <v>44825</v>
      </c>
      <c r="AU1717" s="60" t="s">
        <v>4917</v>
      </c>
      <c r="AV1717" s="61">
        <v>44830</v>
      </c>
      <c r="AW1717" s="91">
        <v>44834</v>
      </c>
      <c r="AX1717" s="91">
        <v>44854</v>
      </c>
      <c r="AY1717" s="99">
        <v>343570</v>
      </c>
      <c r="AZ1717" s="99">
        <f>ROUNDDOWN(AY1717+(AY1717*MASTER!$A$2/100),0)</f>
        <v>377927</v>
      </c>
      <c r="BA1717" s="60" t="s">
        <v>314</v>
      </c>
      <c r="BB1717" s="64">
        <v>254000</v>
      </c>
      <c r="BC1717" s="64">
        <v>279400</v>
      </c>
      <c r="BD1717" s="60" t="s">
        <v>4182</v>
      </c>
      <c r="BG1717" s="64">
        <v>0</v>
      </c>
      <c r="BK1717" s="64">
        <v>0</v>
      </c>
      <c r="BS1717" s="64">
        <v>0</v>
      </c>
      <c r="BV1717" s="65">
        <v>380473.5</v>
      </c>
      <c r="BW1717" s="65">
        <v>279400</v>
      </c>
      <c r="BX1717" s="65">
        <v>44802</v>
      </c>
      <c r="BY1717" s="65">
        <v>101073.5</v>
      </c>
      <c r="BZ1717" s="81">
        <v>26.565187851453519</v>
      </c>
    </row>
    <row r="1718" spans="1:78" x14ac:dyDescent="0.15">
      <c r="A1718" s="60">
        <v>1</v>
      </c>
      <c r="C1718" s="61" t="s">
        <v>309</v>
      </c>
      <c r="F1718" s="61" t="s">
        <v>309</v>
      </c>
      <c r="H1718" s="61" t="s">
        <v>309</v>
      </c>
      <c r="J1718" s="60">
        <v>1</v>
      </c>
      <c r="L1718" s="60">
        <v>0</v>
      </c>
      <c r="M1718" s="61">
        <v>44802</v>
      </c>
      <c r="O1718" s="62" t="s">
        <v>335</v>
      </c>
      <c r="P1718" s="60" t="s">
        <v>349</v>
      </c>
      <c r="Q1718" s="62" t="s">
        <v>4189</v>
      </c>
      <c r="R1718" s="62" t="s">
        <v>4532</v>
      </c>
      <c r="S1718" s="63" t="s">
        <v>4533</v>
      </c>
      <c r="T1718" s="63" t="s">
        <v>4531</v>
      </c>
      <c r="U1718" s="64">
        <v>317590</v>
      </c>
      <c r="V1718" s="64">
        <v>349349</v>
      </c>
      <c r="W1718" s="64">
        <v>305590</v>
      </c>
      <c r="X1718" s="64">
        <v>336149</v>
      </c>
      <c r="Y1718" s="64">
        <v>12000</v>
      </c>
      <c r="Z1718" s="64">
        <v>13200</v>
      </c>
      <c r="AA1718" s="61">
        <v>44837</v>
      </c>
      <c r="AB1718" s="61">
        <v>44839</v>
      </c>
      <c r="AD1718" s="60">
        <v>0</v>
      </c>
      <c r="AG1718" s="60">
        <v>0</v>
      </c>
      <c r="AJ1718" s="60">
        <v>0</v>
      </c>
      <c r="AM1718" s="60" t="s">
        <v>350</v>
      </c>
      <c r="AN1718" s="60" t="s">
        <v>4534</v>
      </c>
      <c r="AQ1718" s="60" t="s">
        <v>4881</v>
      </c>
      <c r="AR1718" s="61">
        <v>44825</v>
      </c>
      <c r="AS1718" s="60">
        <v>6002075039</v>
      </c>
      <c r="AT1718" s="61">
        <v>44825</v>
      </c>
      <c r="AU1718" s="60" t="s">
        <v>4922</v>
      </c>
      <c r="AV1718" s="61">
        <v>44839</v>
      </c>
      <c r="AY1718" s="99">
        <f t="shared" si="8"/>
        <v>304886</v>
      </c>
      <c r="AZ1718" s="99">
        <f>ROUNDDOWN(AY1718+(AY1718*MASTER!$A$2/100),0)</f>
        <v>335374</v>
      </c>
      <c r="BC1718" s="64">
        <v>0</v>
      </c>
      <c r="BG1718" s="64">
        <v>0</v>
      </c>
      <c r="BK1718" s="64">
        <v>0</v>
      </c>
      <c r="BS1718" s="64">
        <v>0</v>
      </c>
      <c r="BV1718" s="65">
        <v>336149</v>
      </c>
      <c r="BW1718" s="65">
        <v>0</v>
      </c>
      <c r="BX1718" s="65">
        <v>44802</v>
      </c>
      <c r="BY1718" s="65">
        <v>336149</v>
      </c>
      <c r="BZ1718" s="81">
        <v>100</v>
      </c>
    </row>
    <row r="1719" spans="1:78" x14ac:dyDescent="0.15">
      <c r="A1719" s="60">
        <v>1</v>
      </c>
      <c r="C1719" s="61" t="s">
        <v>309</v>
      </c>
      <c r="F1719" s="61" t="s">
        <v>309</v>
      </c>
      <c r="H1719" s="61" t="s">
        <v>309</v>
      </c>
      <c r="J1719" s="60">
        <v>1</v>
      </c>
      <c r="L1719" s="60">
        <v>0</v>
      </c>
      <c r="M1719" s="61">
        <v>44802</v>
      </c>
      <c r="O1719" s="62" t="s">
        <v>335</v>
      </c>
      <c r="P1719" s="60" t="s">
        <v>349</v>
      </c>
      <c r="Q1719" s="62" t="s">
        <v>4189</v>
      </c>
      <c r="R1719" s="62" t="s">
        <v>4535</v>
      </c>
      <c r="S1719" s="63" t="s">
        <v>4536</v>
      </c>
      <c r="T1719" s="63" t="s">
        <v>4531</v>
      </c>
      <c r="U1719" s="64">
        <v>317590</v>
      </c>
      <c r="V1719" s="64">
        <v>349349</v>
      </c>
      <c r="W1719" s="64">
        <v>305590</v>
      </c>
      <c r="X1719" s="64">
        <v>336149</v>
      </c>
      <c r="Y1719" s="64">
        <v>12000</v>
      </c>
      <c r="Z1719" s="64">
        <v>13200</v>
      </c>
      <c r="AA1719" s="61">
        <v>44851</v>
      </c>
      <c r="AB1719" s="61">
        <v>44853</v>
      </c>
      <c r="AD1719" s="60">
        <v>0</v>
      </c>
      <c r="AG1719" s="60">
        <v>0</v>
      </c>
      <c r="AJ1719" s="60">
        <v>0</v>
      </c>
      <c r="AM1719" s="60" t="s">
        <v>350</v>
      </c>
      <c r="AN1719" s="60" t="s">
        <v>4537</v>
      </c>
      <c r="AQ1719" s="60" t="s">
        <v>4882</v>
      </c>
      <c r="AR1719" s="61">
        <v>44825</v>
      </c>
      <c r="AS1719" s="60">
        <v>6002075039</v>
      </c>
      <c r="AT1719" s="61">
        <v>44825</v>
      </c>
      <c r="AU1719" s="60" t="s">
        <v>4922</v>
      </c>
      <c r="AV1719" s="61">
        <v>44855</v>
      </c>
      <c r="AY1719" s="99">
        <f t="shared" si="8"/>
        <v>304886</v>
      </c>
      <c r="AZ1719" s="99">
        <f>ROUNDDOWN(AY1719+(AY1719*MASTER!$A$2/100),0)</f>
        <v>335374</v>
      </c>
      <c r="BC1719" s="64">
        <v>0</v>
      </c>
      <c r="BG1719" s="64">
        <v>0</v>
      </c>
      <c r="BK1719" s="64">
        <v>0</v>
      </c>
      <c r="BS1719" s="64">
        <v>0</v>
      </c>
      <c r="BV1719" s="65">
        <v>336149</v>
      </c>
      <c r="BW1719" s="65">
        <v>0</v>
      </c>
      <c r="BX1719" s="65">
        <v>44802</v>
      </c>
      <c r="BY1719" s="65">
        <v>336149</v>
      </c>
      <c r="BZ1719" s="81">
        <v>100</v>
      </c>
    </row>
    <row r="1720" spans="1:78" x14ac:dyDescent="0.15">
      <c r="A1720" s="60">
        <v>2</v>
      </c>
      <c r="B1720" s="61">
        <v>44826</v>
      </c>
      <c r="C1720" s="61">
        <v>44826</v>
      </c>
      <c r="E1720" s="61">
        <v>44826</v>
      </c>
      <c r="F1720" s="61" t="s">
        <v>309</v>
      </c>
      <c r="G1720" s="61">
        <v>44826</v>
      </c>
      <c r="H1720" s="61" t="s">
        <v>309</v>
      </c>
      <c r="I1720" s="60" t="s">
        <v>774</v>
      </c>
      <c r="J1720" s="60">
        <v>1</v>
      </c>
      <c r="L1720" s="60">
        <v>0</v>
      </c>
      <c r="M1720" s="61">
        <v>44802</v>
      </c>
      <c r="O1720" s="62" t="s">
        <v>331</v>
      </c>
      <c r="P1720" s="60" t="s">
        <v>26</v>
      </c>
      <c r="Q1720" s="62" t="s">
        <v>118</v>
      </c>
      <c r="R1720" s="62" t="s">
        <v>4960</v>
      </c>
      <c r="S1720" s="63" t="s">
        <v>813</v>
      </c>
      <c r="T1720" s="63" t="s">
        <v>4914</v>
      </c>
      <c r="U1720" s="64">
        <v>59000</v>
      </c>
      <c r="V1720" s="64">
        <v>64900</v>
      </c>
      <c r="W1720" s="64">
        <v>47000</v>
      </c>
      <c r="X1720" s="64">
        <v>51700</v>
      </c>
      <c r="Y1720" s="64">
        <v>12000</v>
      </c>
      <c r="Z1720" s="64">
        <v>13200</v>
      </c>
      <c r="AA1720" s="61">
        <v>44823</v>
      </c>
      <c r="AB1720" s="61">
        <v>44825</v>
      </c>
      <c r="AD1720" s="60">
        <v>0</v>
      </c>
      <c r="AG1720" s="60">
        <v>0</v>
      </c>
      <c r="AJ1720" s="60">
        <v>0</v>
      </c>
      <c r="AM1720" s="60" t="s">
        <v>273</v>
      </c>
      <c r="AN1720" s="60" t="s">
        <v>4961</v>
      </c>
      <c r="AQ1720" s="60" t="s">
        <v>4928</v>
      </c>
      <c r="AR1720" s="61">
        <v>44825</v>
      </c>
      <c r="AS1720" s="60">
        <v>6002075458</v>
      </c>
      <c r="AT1720" s="61">
        <v>44826</v>
      </c>
      <c r="AU1720" s="60" t="s">
        <v>4929</v>
      </c>
      <c r="AV1720" s="61">
        <v>44826</v>
      </c>
      <c r="AW1720" s="91">
        <v>44834</v>
      </c>
      <c r="AX1720" s="91">
        <v>44854</v>
      </c>
      <c r="AY1720" s="99">
        <v>56640</v>
      </c>
      <c r="AZ1720" s="99">
        <f>ROUNDDOWN(AY1720+(AY1720*MASTER!$A$2/100),0)</f>
        <v>62304</v>
      </c>
      <c r="BA1720" s="60" t="s">
        <v>317</v>
      </c>
      <c r="BB1720" s="64">
        <v>33000</v>
      </c>
      <c r="BC1720" s="64">
        <v>36300</v>
      </c>
      <c r="BD1720" s="60" t="s">
        <v>4182</v>
      </c>
      <c r="BG1720" s="64">
        <v>0</v>
      </c>
      <c r="BK1720" s="64">
        <v>0</v>
      </c>
      <c r="BS1720" s="64">
        <v>0</v>
      </c>
      <c r="BV1720" s="65">
        <v>51700</v>
      </c>
      <c r="BW1720" s="65">
        <v>36300</v>
      </c>
      <c r="BX1720" s="65">
        <v>44802</v>
      </c>
      <c r="BY1720" s="65">
        <v>15400</v>
      </c>
      <c r="BZ1720" s="81">
        <v>29.787234042553191</v>
      </c>
    </row>
    <row r="1721" spans="1:78" x14ac:dyDescent="0.15">
      <c r="A1721" s="60">
        <v>1</v>
      </c>
      <c r="C1721" s="61" t="s">
        <v>309</v>
      </c>
      <c r="F1721" s="61" t="s">
        <v>309</v>
      </c>
      <c r="H1721" s="61" t="s">
        <v>309</v>
      </c>
      <c r="J1721" s="60">
        <v>2</v>
      </c>
      <c r="L1721" s="60">
        <v>0</v>
      </c>
      <c r="M1721" s="61">
        <v>44802</v>
      </c>
      <c r="O1721" s="62" t="s">
        <v>335</v>
      </c>
      <c r="P1721" s="60" t="s">
        <v>349</v>
      </c>
      <c r="Q1721" s="62" t="s">
        <v>4189</v>
      </c>
      <c r="R1721" s="62" t="s">
        <v>4538</v>
      </c>
      <c r="S1721" s="63" t="s">
        <v>4539</v>
      </c>
      <c r="T1721" s="63" t="s">
        <v>4540</v>
      </c>
      <c r="U1721" s="64">
        <v>601000</v>
      </c>
      <c r="V1721" s="64">
        <v>661100</v>
      </c>
      <c r="W1721" s="64">
        <v>601000</v>
      </c>
      <c r="X1721" s="64">
        <v>661100</v>
      </c>
      <c r="Z1721" s="64">
        <v>0</v>
      </c>
      <c r="AA1721" s="61">
        <v>44826</v>
      </c>
      <c r="AB1721" s="61">
        <v>44830</v>
      </c>
      <c r="AD1721" s="60">
        <v>0</v>
      </c>
      <c r="AG1721" s="60">
        <v>0</v>
      </c>
      <c r="AJ1721" s="60">
        <v>0</v>
      </c>
      <c r="AM1721" s="60" t="s">
        <v>350</v>
      </c>
      <c r="AN1721" s="60" t="s">
        <v>4541</v>
      </c>
      <c r="AQ1721" s="60" t="s">
        <v>4826</v>
      </c>
      <c r="AR1721" s="61">
        <v>44818</v>
      </c>
      <c r="AS1721" s="60">
        <v>6002073209</v>
      </c>
      <c r="AT1721" s="61">
        <v>44818</v>
      </c>
      <c r="AU1721" s="60" t="s">
        <v>4832</v>
      </c>
      <c r="AV1721" s="61">
        <v>44851</v>
      </c>
      <c r="AY1721" s="99">
        <f t="shared" si="8"/>
        <v>576960</v>
      </c>
      <c r="AZ1721" s="99">
        <f>ROUNDDOWN(AY1721+(AY1721*MASTER!$A$2/100),0)</f>
        <v>634656</v>
      </c>
      <c r="BC1721" s="64">
        <v>0</v>
      </c>
      <c r="BG1721" s="64">
        <v>0</v>
      </c>
      <c r="BK1721" s="64">
        <v>0</v>
      </c>
      <c r="BS1721" s="64">
        <v>0</v>
      </c>
      <c r="BV1721" s="65">
        <v>661100</v>
      </c>
      <c r="BW1721" s="65">
        <v>0</v>
      </c>
      <c r="BX1721" s="65">
        <v>44802</v>
      </c>
      <c r="BY1721" s="65">
        <v>661100</v>
      </c>
      <c r="BZ1721" s="81">
        <v>100</v>
      </c>
    </row>
    <row r="1722" spans="1:78" x14ac:dyDescent="0.15">
      <c r="A1722" s="60">
        <v>1</v>
      </c>
      <c r="C1722" s="61" t="s">
        <v>309</v>
      </c>
      <c r="F1722" s="61" t="s">
        <v>309</v>
      </c>
      <c r="H1722" s="61" t="s">
        <v>309</v>
      </c>
      <c r="J1722" s="60">
        <v>2</v>
      </c>
      <c r="L1722" s="60">
        <v>0</v>
      </c>
      <c r="M1722" s="61">
        <v>44802</v>
      </c>
      <c r="O1722" s="62" t="s">
        <v>335</v>
      </c>
      <c r="P1722" s="60" t="s">
        <v>349</v>
      </c>
      <c r="Q1722" s="62" t="s">
        <v>4189</v>
      </c>
      <c r="R1722" s="62" t="s">
        <v>4542</v>
      </c>
      <c r="S1722" s="63" t="s">
        <v>3188</v>
      </c>
      <c r="T1722" s="63" t="s">
        <v>4543</v>
      </c>
      <c r="U1722" s="64">
        <v>368000</v>
      </c>
      <c r="V1722" s="64">
        <v>404800</v>
      </c>
      <c r="W1722" s="64">
        <v>368000</v>
      </c>
      <c r="X1722" s="64">
        <v>404800</v>
      </c>
      <c r="Z1722" s="64">
        <v>0</v>
      </c>
      <c r="AA1722" s="61">
        <v>44819</v>
      </c>
      <c r="AB1722" s="61">
        <v>44821</v>
      </c>
      <c r="AD1722" s="60">
        <v>0</v>
      </c>
      <c r="AG1722" s="60">
        <v>0</v>
      </c>
      <c r="AJ1722" s="60">
        <v>0</v>
      </c>
      <c r="AM1722" s="60" t="s">
        <v>350</v>
      </c>
      <c r="AN1722" s="60" t="s">
        <v>4544</v>
      </c>
      <c r="AQ1722" s="60" t="s">
        <v>4825</v>
      </c>
      <c r="AR1722" s="61">
        <v>44818</v>
      </c>
      <c r="AS1722" s="60">
        <v>6002073209</v>
      </c>
      <c r="AT1722" s="61">
        <v>44818</v>
      </c>
      <c r="AU1722" s="60" t="s">
        <v>4832</v>
      </c>
      <c r="AV1722" s="61">
        <v>44839</v>
      </c>
      <c r="AY1722" s="99">
        <f t="shared" si="8"/>
        <v>353280</v>
      </c>
      <c r="AZ1722" s="99">
        <f>ROUNDDOWN(AY1722+(AY1722*MASTER!$A$2/100),0)</f>
        <v>388608</v>
      </c>
      <c r="BC1722" s="64">
        <v>0</v>
      </c>
      <c r="BG1722" s="64">
        <v>0</v>
      </c>
      <c r="BK1722" s="64">
        <v>0</v>
      </c>
      <c r="BS1722" s="64">
        <v>0</v>
      </c>
      <c r="BV1722" s="65">
        <v>404800</v>
      </c>
      <c r="BW1722" s="65">
        <v>0</v>
      </c>
      <c r="BX1722" s="65">
        <v>44802</v>
      </c>
      <c r="BY1722" s="65">
        <v>404800</v>
      </c>
      <c r="BZ1722" s="81">
        <v>100</v>
      </c>
    </row>
    <row r="1723" spans="1:78" x14ac:dyDescent="0.15">
      <c r="A1723" s="60">
        <v>1</v>
      </c>
      <c r="B1723" s="61">
        <v>44809</v>
      </c>
      <c r="C1723" s="61">
        <v>44809</v>
      </c>
      <c r="F1723" s="61" t="s">
        <v>309</v>
      </c>
      <c r="H1723" s="61" t="s">
        <v>309</v>
      </c>
      <c r="J1723" s="60">
        <v>2</v>
      </c>
      <c r="L1723" s="60">
        <v>0</v>
      </c>
      <c r="M1723" s="61">
        <v>44802</v>
      </c>
      <c r="O1723" s="62" t="s">
        <v>331</v>
      </c>
      <c r="P1723" s="60" t="s">
        <v>26</v>
      </c>
      <c r="Q1723" s="62" t="s">
        <v>118</v>
      </c>
      <c r="R1723" s="62" t="s">
        <v>4694</v>
      </c>
      <c r="S1723" s="63" t="s">
        <v>4695</v>
      </c>
      <c r="T1723" s="63" t="s">
        <v>4696</v>
      </c>
      <c r="U1723" s="64">
        <v>76500</v>
      </c>
      <c r="V1723" s="64">
        <v>84150</v>
      </c>
      <c r="W1723" s="64">
        <v>76500</v>
      </c>
      <c r="X1723" s="64">
        <v>84150</v>
      </c>
      <c r="Z1723" s="64">
        <v>0</v>
      </c>
      <c r="AA1723" s="61">
        <v>44790</v>
      </c>
      <c r="AB1723" s="61">
        <v>44790</v>
      </c>
      <c r="AD1723" s="60">
        <v>0</v>
      </c>
      <c r="AG1723" s="60">
        <v>0</v>
      </c>
      <c r="AJ1723" s="60">
        <v>0</v>
      </c>
      <c r="AN1723" s="60" t="s">
        <v>309</v>
      </c>
      <c r="AQ1723" s="60" t="s">
        <v>3450</v>
      </c>
      <c r="AR1723" s="61">
        <v>44805</v>
      </c>
      <c r="AS1723" s="60">
        <v>6002067843</v>
      </c>
      <c r="AT1723" s="61">
        <v>44806</v>
      </c>
      <c r="AU1723" s="60" t="s">
        <v>4683</v>
      </c>
      <c r="AV1723" s="61">
        <v>44809</v>
      </c>
      <c r="AW1723" s="91">
        <v>44834</v>
      </c>
      <c r="AX1723" s="91">
        <v>44854</v>
      </c>
      <c r="AY1723" s="107">
        <v>76500</v>
      </c>
      <c r="AZ1723" s="107">
        <v>84150</v>
      </c>
      <c r="BC1723" s="64">
        <v>0</v>
      </c>
      <c r="BG1723" s="64">
        <v>0</v>
      </c>
      <c r="BK1723" s="64">
        <v>0</v>
      </c>
      <c r="BS1723" s="64">
        <v>0</v>
      </c>
      <c r="BV1723" s="65">
        <v>84150</v>
      </c>
      <c r="BW1723" s="65">
        <v>0</v>
      </c>
      <c r="BX1723" s="65">
        <v>44802</v>
      </c>
      <c r="BY1723" s="65">
        <v>84150</v>
      </c>
      <c r="BZ1723" s="81">
        <v>100</v>
      </c>
    </row>
    <row r="1724" spans="1:78" x14ac:dyDescent="0.15">
      <c r="A1724" s="60">
        <v>1</v>
      </c>
      <c r="C1724" s="61">
        <v>44844</v>
      </c>
      <c r="F1724" s="61" t="s">
        <v>309</v>
      </c>
      <c r="H1724" s="61" t="s">
        <v>309</v>
      </c>
      <c r="J1724" s="60">
        <v>2</v>
      </c>
      <c r="K1724" s="61">
        <v>44830</v>
      </c>
      <c r="L1724" s="60" t="s">
        <v>529</v>
      </c>
      <c r="M1724" s="61">
        <v>44802</v>
      </c>
      <c r="O1724" s="62" t="s">
        <v>331</v>
      </c>
      <c r="P1724" s="60" t="s">
        <v>26</v>
      </c>
      <c r="Q1724" s="62" t="s">
        <v>118</v>
      </c>
      <c r="R1724" s="62" t="s">
        <v>5150</v>
      </c>
      <c r="S1724" s="63" t="s">
        <v>617</v>
      </c>
      <c r="T1724" s="63" t="s">
        <v>4341</v>
      </c>
      <c r="U1724" s="64">
        <v>100500</v>
      </c>
      <c r="V1724" s="64">
        <v>110550</v>
      </c>
      <c r="W1724" s="64">
        <v>100500</v>
      </c>
      <c r="X1724" s="64">
        <v>110550</v>
      </c>
      <c r="Y1724" s="64">
        <v>0</v>
      </c>
      <c r="Z1724" s="64">
        <v>0</v>
      </c>
      <c r="AD1724" s="60">
        <v>0</v>
      </c>
      <c r="AG1724" s="60">
        <v>0</v>
      </c>
      <c r="AJ1724" s="60">
        <v>0</v>
      </c>
      <c r="AM1724" s="60" t="s">
        <v>273</v>
      </c>
      <c r="AN1724" s="60" t="s">
        <v>5151</v>
      </c>
      <c r="AQ1724" s="60" t="s">
        <v>5191</v>
      </c>
      <c r="AR1724" s="61">
        <v>44832</v>
      </c>
      <c r="AS1724" s="60">
        <v>6002077308</v>
      </c>
      <c r="AT1724" s="61">
        <v>44832</v>
      </c>
      <c r="AU1724" s="60" t="s">
        <v>5200</v>
      </c>
      <c r="AV1724" s="61">
        <v>44844</v>
      </c>
      <c r="AY1724" s="99">
        <v>96480</v>
      </c>
      <c r="AZ1724" s="99">
        <f>ROUNDDOWN(AY1724+(AY1724*MASTER!$A$2/100),0)</f>
        <v>106128</v>
      </c>
      <c r="BC1724" s="64">
        <v>0</v>
      </c>
      <c r="BG1724" s="64">
        <v>0</v>
      </c>
      <c r="BK1724" s="64">
        <v>0</v>
      </c>
      <c r="BS1724" s="64">
        <v>0</v>
      </c>
      <c r="BV1724" s="65">
        <v>110550</v>
      </c>
      <c r="BW1724" s="65">
        <v>0</v>
      </c>
      <c r="BX1724" s="65">
        <v>0</v>
      </c>
      <c r="BY1724" s="65">
        <v>44830</v>
      </c>
      <c r="BZ1724" s="81">
        <v>100</v>
      </c>
    </row>
    <row r="1725" spans="1:78" x14ac:dyDescent="0.15">
      <c r="A1725" s="60">
        <v>2</v>
      </c>
      <c r="B1725" s="61">
        <v>44813</v>
      </c>
      <c r="C1725" s="61">
        <v>44816</v>
      </c>
      <c r="D1725" s="61">
        <v>44806</v>
      </c>
      <c r="E1725" s="61">
        <v>44806</v>
      </c>
      <c r="F1725" s="61" t="s">
        <v>309</v>
      </c>
      <c r="G1725" s="61">
        <v>44806</v>
      </c>
      <c r="H1725" s="61" t="s">
        <v>309</v>
      </c>
      <c r="I1725" s="60" t="s">
        <v>766</v>
      </c>
      <c r="J1725" s="60">
        <v>2</v>
      </c>
      <c r="L1725" s="60">
        <v>0</v>
      </c>
      <c r="M1725" s="61">
        <v>44803</v>
      </c>
      <c r="O1725" s="62" t="s">
        <v>331</v>
      </c>
      <c r="P1725" s="60" t="s">
        <v>6</v>
      </c>
      <c r="Q1725" s="62" t="s">
        <v>118</v>
      </c>
      <c r="R1725" s="62" t="s">
        <v>4684</v>
      </c>
      <c r="S1725" s="63" t="s">
        <v>1992</v>
      </c>
      <c r="T1725" s="63" t="s">
        <v>364</v>
      </c>
      <c r="U1725" s="64">
        <v>51000</v>
      </c>
      <c r="V1725" s="64">
        <v>56100</v>
      </c>
      <c r="W1725" s="64">
        <v>51000</v>
      </c>
      <c r="X1725" s="64">
        <v>56100</v>
      </c>
      <c r="Z1725" s="64">
        <v>0</v>
      </c>
      <c r="AD1725" s="60">
        <v>0</v>
      </c>
      <c r="AG1725" s="60">
        <v>0</v>
      </c>
      <c r="AJ1725" s="60">
        <v>0</v>
      </c>
      <c r="AN1725" s="60" t="s">
        <v>309</v>
      </c>
      <c r="AQ1725" s="60" t="s">
        <v>4758</v>
      </c>
      <c r="AR1725" s="61">
        <v>44812</v>
      </c>
      <c r="AS1725" s="60">
        <v>6002071158</v>
      </c>
      <c r="AT1725" s="61">
        <v>44812</v>
      </c>
      <c r="AU1725" s="60" t="s">
        <v>4773</v>
      </c>
      <c r="AV1725" s="61">
        <v>44816</v>
      </c>
      <c r="AW1725" s="91">
        <v>44834</v>
      </c>
      <c r="AX1725" s="91">
        <v>44854</v>
      </c>
      <c r="AY1725" s="99">
        <v>48960</v>
      </c>
      <c r="AZ1725" s="99">
        <f>ROUNDDOWN(AY1725+(AY1725*MASTER!$A$2/100),0)</f>
        <v>53856</v>
      </c>
      <c r="BA1725" s="60" t="s">
        <v>765</v>
      </c>
      <c r="BC1725" s="64">
        <v>0</v>
      </c>
      <c r="BG1725" s="64">
        <v>0</v>
      </c>
      <c r="BK1725" s="64">
        <v>0</v>
      </c>
      <c r="BS1725" s="64">
        <v>0</v>
      </c>
      <c r="BV1725" s="65">
        <v>56100</v>
      </c>
      <c r="BW1725" s="65">
        <v>0</v>
      </c>
      <c r="BX1725" s="65">
        <v>44803</v>
      </c>
      <c r="BY1725" s="65">
        <v>56100</v>
      </c>
      <c r="BZ1725" s="81">
        <v>100</v>
      </c>
    </row>
    <row r="1726" spans="1:78" x14ac:dyDescent="0.15">
      <c r="A1726" s="60">
        <v>1</v>
      </c>
      <c r="C1726" s="61" t="s">
        <v>309</v>
      </c>
      <c r="F1726" s="61" t="s">
        <v>309</v>
      </c>
      <c r="H1726" s="61" t="s">
        <v>309</v>
      </c>
      <c r="J1726" s="60">
        <v>4</v>
      </c>
      <c r="L1726" s="60">
        <v>0</v>
      </c>
      <c r="M1726" s="61">
        <v>44803</v>
      </c>
      <c r="O1726" s="62" t="s">
        <v>335</v>
      </c>
      <c r="P1726" s="60" t="s">
        <v>430</v>
      </c>
      <c r="Q1726" s="62" t="s">
        <v>4189</v>
      </c>
      <c r="R1726" s="62" t="s">
        <v>4589</v>
      </c>
      <c r="S1726" s="63" t="s">
        <v>602</v>
      </c>
      <c r="T1726" s="63" t="s">
        <v>4590</v>
      </c>
      <c r="U1726" s="64">
        <v>0</v>
      </c>
      <c r="V1726" s="64">
        <v>0</v>
      </c>
      <c r="W1726" s="64">
        <v>0</v>
      </c>
      <c r="X1726" s="64">
        <v>0</v>
      </c>
      <c r="Y1726" s="64">
        <v>0</v>
      </c>
      <c r="Z1726" s="64">
        <v>0</v>
      </c>
      <c r="AD1726" s="60">
        <v>0</v>
      </c>
      <c r="AG1726" s="60">
        <v>0</v>
      </c>
      <c r="AJ1726" s="60">
        <v>0</v>
      </c>
      <c r="AN1726" s="60" t="s">
        <v>309</v>
      </c>
      <c r="AY1726" s="99">
        <f>ROUNDDOWN((0.96*U1726),0)</f>
        <v>0</v>
      </c>
      <c r="AZ1726" s="99">
        <f>ROUNDDOWN(AY1726+(AY1726*MASTER!$A$2/100),0)</f>
        <v>0</v>
      </c>
      <c r="BC1726" s="64">
        <v>0</v>
      </c>
      <c r="BG1726" s="64">
        <v>0</v>
      </c>
      <c r="BK1726" s="64">
        <v>0</v>
      </c>
      <c r="BS1726" s="64">
        <v>0</v>
      </c>
      <c r="BV1726" s="65">
        <v>0</v>
      </c>
      <c r="BW1726" s="65">
        <v>0</v>
      </c>
      <c r="BX1726" s="65">
        <v>44803</v>
      </c>
      <c r="BY1726" s="65">
        <v>0</v>
      </c>
      <c r="BZ1726" s="81" t="s">
        <v>309</v>
      </c>
    </row>
    <row r="1727" spans="1:78" x14ac:dyDescent="0.15">
      <c r="A1727" s="60">
        <v>2</v>
      </c>
      <c r="B1727" s="61">
        <v>44813</v>
      </c>
      <c r="C1727" s="61">
        <v>44820</v>
      </c>
      <c r="F1727" s="61" t="s">
        <v>309</v>
      </c>
      <c r="G1727" s="61">
        <v>44812</v>
      </c>
      <c r="H1727" s="61" t="s">
        <v>309</v>
      </c>
      <c r="I1727" s="60" t="s">
        <v>774</v>
      </c>
      <c r="J1727" s="60">
        <v>2</v>
      </c>
      <c r="L1727" s="60">
        <v>0</v>
      </c>
      <c r="M1727" s="61">
        <v>44803</v>
      </c>
      <c r="O1727" s="62" t="s">
        <v>331</v>
      </c>
      <c r="P1727" s="60" t="s">
        <v>26</v>
      </c>
      <c r="Q1727" s="62" t="s">
        <v>118</v>
      </c>
      <c r="R1727" s="62" t="s">
        <v>4742</v>
      </c>
      <c r="S1727" s="63" t="s">
        <v>705</v>
      </c>
      <c r="T1727" s="63" t="s">
        <v>1432</v>
      </c>
      <c r="U1727" s="64">
        <v>1468000</v>
      </c>
      <c r="V1727" s="64">
        <v>1614800</v>
      </c>
      <c r="W1727" s="64">
        <v>1468000</v>
      </c>
      <c r="X1727" s="64">
        <v>1614800</v>
      </c>
      <c r="Z1727" s="64">
        <v>0</v>
      </c>
      <c r="AA1727" s="61">
        <v>44807</v>
      </c>
      <c r="AB1727" s="61">
        <v>44807</v>
      </c>
      <c r="AD1727" s="60">
        <v>0</v>
      </c>
      <c r="AG1727" s="60">
        <v>0</v>
      </c>
      <c r="AJ1727" s="60">
        <v>0</v>
      </c>
      <c r="AM1727" s="60" t="s">
        <v>273</v>
      </c>
      <c r="AN1727" s="60" t="s">
        <v>4743</v>
      </c>
      <c r="AQ1727" s="60" t="s">
        <v>4764</v>
      </c>
      <c r="AR1727" s="61">
        <v>44811</v>
      </c>
      <c r="AS1727" s="60">
        <v>6002070643</v>
      </c>
      <c r="AT1727" s="61">
        <v>44811</v>
      </c>
      <c r="AU1727" s="60" t="s">
        <v>4751</v>
      </c>
      <c r="AV1727" s="61">
        <v>44820</v>
      </c>
      <c r="AW1727" s="91">
        <v>44834</v>
      </c>
      <c r="AX1727" s="91">
        <v>44854</v>
      </c>
      <c r="AY1727" s="99">
        <v>1409280</v>
      </c>
      <c r="AZ1727" s="99">
        <f>ROUNDDOWN(AY1727+(AY1727*MASTER!$A$2/100),0)</f>
        <v>1550208</v>
      </c>
      <c r="BA1727" s="60" t="s">
        <v>317</v>
      </c>
      <c r="BB1727" s="64">
        <v>503500</v>
      </c>
      <c r="BC1727" s="64">
        <v>553850</v>
      </c>
      <c r="BD1727" s="60" t="s">
        <v>4182</v>
      </c>
      <c r="BG1727" s="64">
        <v>0</v>
      </c>
      <c r="BK1727" s="64">
        <v>0</v>
      </c>
      <c r="BS1727" s="64">
        <v>0</v>
      </c>
      <c r="BV1727" s="65">
        <v>1614800</v>
      </c>
      <c r="BW1727" s="65">
        <v>553850</v>
      </c>
      <c r="BX1727" s="65">
        <v>44803</v>
      </c>
      <c r="BY1727" s="65">
        <v>1060950</v>
      </c>
      <c r="BZ1727" s="81">
        <v>65.701634877384194</v>
      </c>
    </row>
    <row r="1728" spans="1:78" x14ac:dyDescent="0.15">
      <c r="A1728" s="60">
        <v>1</v>
      </c>
      <c r="C1728" s="61">
        <v>44865</v>
      </c>
      <c r="F1728" s="61" t="s">
        <v>309</v>
      </c>
      <c r="H1728" s="61" t="s">
        <v>309</v>
      </c>
      <c r="J1728" s="60">
        <v>3</v>
      </c>
      <c r="L1728" s="60">
        <v>0</v>
      </c>
      <c r="M1728" s="61">
        <v>44804</v>
      </c>
      <c r="O1728" s="62" t="s">
        <v>331</v>
      </c>
      <c r="P1728" s="60" t="s">
        <v>6</v>
      </c>
      <c r="Q1728" s="62" t="s">
        <v>118</v>
      </c>
      <c r="R1728" s="62" t="s">
        <v>4748</v>
      </c>
      <c r="S1728" s="63" t="s">
        <v>3827</v>
      </c>
      <c r="T1728" s="63" t="s">
        <v>463</v>
      </c>
      <c r="U1728" s="64">
        <v>9000</v>
      </c>
      <c r="V1728" s="64">
        <v>9900</v>
      </c>
      <c r="X1728" s="64">
        <v>0</v>
      </c>
      <c r="Y1728" s="64">
        <v>9000</v>
      </c>
      <c r="Z1728" s="64">
        <v>9900</v>
      </c>
      <c r="AD1728" s="60">
        <v>0</v>
      </c>
      <c r="AG1728" s="60">
        <v>0</v>
      </c>
      <c r="AJ1728" s="60">
        <v>0</v>
      </c>
      <c r="AN1728" s="60" t="s">
        <v>309</v>
      </c>
      <c r="AQ1728" s="60" t="s">
        <v>4749</v>
      </c>
      <c r="AR1728" s="61">
        <v>44811</v>
      </c>
      <c r="AS1728" s="60">
        <v>6002070643</v>
      </c>
      <c r="AT1728" s="61">
        <v>44811</v>
      </c>
      <c r="AU1728" s="60" t="s">
        <v>4751</v>
      </c>
      <c r="AV1728" s="61">
        <v>44865</v>
      </c>
      <c r="AY1728" s="99">
        <v>8640</v>
      </c>
      <c r="AZ1728" s="99">
        <f>ROUNDDOWN(AY1728+(AY1728*MASTER!$A$2/100),0)</f>
        <v>9504</v>
      </c>
      <c r="BC1728" s="64">
        <v>0</v>
      </c>
      <c r="BG1728" s="64">
        <v>0</v>
      </c>
      <c r="BK1728" s="64">
        <v>0</v>
      </c>
      <c r="BS1728" s="64">
        <v>0</v>
      </c>
      <c r="BV1728" s="65">
        <v>0</v>
      </c>
      <c r="BW1728" s="65">
        <v>0</v>
      </c>
      <c r="BX1728" s="65">
        <v>44804</v>
      </c>
      <c r="BY1728" s="65">
        <v>0</v>
      </c>
      <c r="BZ1728" s="81" t="s">
        <v>309</v>
      </c>
    </row>
    <row r="1729" spans="1:78" x14ac:dyDescent="0.15">
      <c r="A1729" s="60">
        <v>2</v>
      </c>
      <c r="B1729" s="61">
        <v>44826</v>
      </c>
      <c r="C1729" s="61">
        <v>44826</v>
      </c>
      <c r="D1729" s="61">
        <v>44817</v>
      </c>
      <c r="E1729" s="61">
        <v>44817</v>
      </c>
      <c r="F1729" s="61" t="s">
        <v>309</v>
      </c>
      <c r="G1729" s="61">
        <v>44817</v>
      </c>
      <c r="H1729" s="61" t="s">
        <v>309</v>
      </c>
      <c r="I1729" s="60" t="s">
        <v>766</v>
      </c>
      <c r="J1729" s="60">
        <v>2</v>
      </c>
      <c r="L1729" s="60">
        <v>0</v>
      </c>
      <c r="M1729" s="61">
        <v>44804</v>
      </c>
      <c r="O1729" s="62" t="s">
        <v>331</v>
      </c>
      <c r="P1729" s="60" t="s">
        <v>6</v>
      </c>
      <c r="Q1729" s="62" t="s">
        <v>118</v>
      </c>
      <c r="R1729" s="62" t="s">
        <v>4814</v>
      </c>
      <c r="S1729" s="63" t="s">
        <v>1163</v>
      </c>
      <c r="T1729" s="63" t="s">
        <v>364</v>
      </c>
      <c r="U1729" s="64">
        <v>105000</v>
      </c>
      <c r="V1729" s="64">
        <v>115500</v>
      </c>
      <c r="W1729" s="64">
        <v>105000</v>
      </c>
      <c r="X1729" s="64">
        <v>115500</v>
      </c>
      <c r="Z1729" s="64">
        <v>0</v>
      </c>
      <c r="AA1729" s="61">
        <v>44816</v>
      </c>
      <c r="AB1729" s="61">
        <v>44816</v>
      </c>
      <c r="AD1729" s="60">
        <v>0</v>
      </c>
      <c r="AG1729" s="60">
        <v>0</v>
      </c>
      <c r="AJ1729" s="60">
        <v>0</v>
      </c>
      <c r="AN1729" s="60" t="s">
        <v>309</v>
      </c>
      <c r="AQ1729" s="60" t="s">
        <v>4927</v>
      </c>
      <c r="AR1729" s="61">
        <v>44825</v>
      </c>
      <c r="AS1729" s="60">
        <v>6002075458</v>
      </c>
      <c r="AT1729" s="61">
        <v>44826</v>
      </c>
      <c r="AU1729" s="60" t="s">
        <v>4929</v>
      </c>
      <c r="AV1729" s="61">
        <v>44826</v>
      </c>
      <c r="AW1729" s="91">
        <v>44834</v>
      </c>
      <c r="AX1729" s="91">
        <v>44854</v>
      </c>
      <c r="AY1729" s="99">
        <v>100800</v>
      </c>
      <c r="AZ1729" s="99">
        <f>ROUNDDOWN(AY1729+(AY1729*MASTER!$A$2/100),0)</f>
        <v>110880</v>
      </c>
      <c r="BA1729" s="60" t="s">
        <v>318</v>
      </c>
      <c r="BB1729" s="64">
        <v>42000</v>
      </c>
      <c r="BC1729" s="64">
        <v>46200</v>
      </c>
      <c r="BD1729" s="60" t="s">
        <v>4182</v>
      </c>
      <c r="BG1729" s="64">
        <v>0</v>
      </c>
      <c r="BK1729" s="64">
        <v>0</v>
      </c>
      <c r="BS1729" s="64">
        <v>0</v>
      </c>
      <c r="BV1729" s="65">
        <v>115500</v>
      </c>
      <c r="BW1729" s="65">
        <v>46200</v>
      </c>
      <c r="BX1729" s="65">
        <v>44804</v>
      </c>
      <c r="BY1729" s="65">
        <v>69300</v>
      </c>
      <c r="BZ1729" s="81">
        <v>60</v>
      </c>
    </row>
    <row r="1730" spans="1:78" x14ac:dyDescent="0.15">
      <c r="A1730" s="60">
        <v>1</v>
      </c>
      <c r="B1730" s="61">
        <v>44813</v>
      </c>
      <c r="C1730" s="61">
        <v>44820</v>
      </c>
      <c r="F1730" s="61" t="s">
        <v>309</v>
      </c>
      <c r="H1730" s="61" t="s">
        <v>309</v>
      </c>
      <c r="J1730" s="60">
        <v>2</v>
      </c>
      <c r="L1730" s="60">
        <v>0</v>
      </c>
      <c r="M1730" s="61">
        <v>44804</v>
      </c>
      <c r="O1730" s="62" t="s">
        <v>331</v>
      </c>
      <c r="P1730" s="60" t="s">
        <v>26</v>
      </c>
      <c r="Q1730" s="62" t="s">
        <v>118</v>
      </c>
      <c r="R1730" s="62" t="s">
        <v>4597</v>
      </c>
      <c r="S1730" s="63" t="s">
        <v>326</v>
      </c>
      <c r="T1730" s="63" t="s">
        <v>4596</v>
      </c>
      <c r="U1730" s="64">
        <v>432000</v>
      </c>
      <c r="V1730" s="64">
        <v>475200</v>
      </c>
      <c r="W1730" s="64">
        <v>432000</v>
      </c>
      <c r="X1730" s="64">
        <v>475200</v>
      </c>
      <c r="Y1730" s="64">
        <v>0</v>
      </c>
      <c r="Z1730" s="64">
        <v>0</v>
      </c>
      <c r="AA1730" s="61">
        <v>44775</v>
      </c>
      <c r="AB1730" s="61">
        <v>44804</v>
      </c>
      <c r="AD1730" s="60">
        <v>0</v>
      </c>
      <c r="AG1730" s="60">
        <v>0</v>
      </c>
      <c r="AJ1730" s="60">
        <v>0</v>
      </c>
      <c r="AQ1730" s="60" t="s">
        <v>4015</v>
      </c>
      <c r="AR1730" s="61">
        <v>44811</v>
      </c>
      <c r="AS1730" s="60">
        <v>6002070643</v>
      </c>
      <c r="AT1730" s="61">
        <v>44811</v>
      </c>
      <c r="AU1730" s="60" t="s">
        <v>4751</v>
      </c>
      <c r="AV1730" s="61">
        <v>44820</v>
      </c>
      <c r="AW1730" s="91">
        <v>44834</v>
      </c>
      <c r="AX1730" s="91">
        <v>44854</v>
      </c>
      <c r="AY1730" s="107">
        <v>432000</v>
      </c>
      <c r="AZ1730" s="107">
        <f>ROUNDDOWN(AY1730+(AY1730*MASTER!$A$2/100),0)</f>
        <v>475200</v>
      </c>
      <c r="BC1730" s="64">
        <v>0</v>
      </c>
      <c r="BG1730" s="64">
        <v>0</v>
      </c>
      <c r="BK1730" s="64">
        <v>0</v>
      </c>
      <c r="BS1730" s="64">
        <v>0</v>
      </c>
      <c r="BV1730" s="65">
        <v>475200</v>
      </c>
      <c r="BW1730" s="65">
        <v>0</v>
      </c>
      <c r="BX1730" s="65">
        <v>44804</v>
      </c>
      <c r="BY1730" s="65">
        <v>475200</v>
      </c>
      <c r="BZ1730" s="81">
        <v>100</v>
      </c>
    </row>
    <row r="1731" spans="1:78" x14ac:dyDescent="0.15">
      <c r="A1731" s="60">
        <v>1</v>
      </c>
      <c r="B1731" s="61">
        <v>44820</v>
      </c>
      <c r="C1731" s="61">
        <v>44820</v>
      </c>
      <c r="F1731" s="61" t="s">
        <v>309</v>
      </c>
      <c r="G1731" s="61">
        <v>44810</v>
      </c>
      <c r="H1731" s="61" t="s">
        <v>309</v>
      </c>
      <c r="J1731" s="60">
        <v>2</v>
      </c>
      <c r="K1731" s="61">
        <v>44810</v>
      </c>
      <c r="L1731" s="60" t="s">
        <v>529</v>
      </c>
      <c r="M1731" s="61">
        <v>44804</v>
      </c>
      <c r="O1731" s="62" t="s">
        <v>331</v>
      </c>
      <c r="P1731" s="60" t="s">
        <v>6</v>
      </c>
      <c r="Q1731" s="62" t="s">
        <v>118</v>
      </c>
      <c r="R1731" s="62" t="s">
        <v>4731</v>
      </c>
      <c r="S1731" s="63" t="s">
        <v>1990</v>
      </c>
      <c r="T1731" s="63" t="s">
        <v>364</v>
      </c>
      <c r="U1731" s="64">
        <v>51000</v>
      </c>
      <c r="V1731" s="64">
        <v>56100</v>
      </c>
      <c r="W1731" s="64">
        <v>51000</v>
      </c>
      <c r="X1731" s="64">
        <v>56100</v>
      </c>
      <c r="Y1731" s="64">
        <v>0</v>
      </c>
      <c r="Z1731" s="64">
        <v>0</v>
      </c>
      <c r="AA1731" s="61">
        <v>44809</v>
      </c>
      <c r="AB1731" s="61">
        <v>44809</v>
      </c>
      <c r="AD1731" s="60">
        <v>0</v>
      </c>
      <c r="AG1731" s="60">
        <v>0</v>
      </c>
      <c r="AJ1731" s="60">
        <v>0</v>
      </c>
      <c r="AN1731" s="60" t="s">
        <v>309</v>
      </c>
      <c r="AQ1731" s="60" t="s">
        <v>4824</v>
      </c>
      <c r="AR1731" s="61">
        <v>44818</v>
      </c>
      <c r="AS1731" s="60">
        <v>6002073209</v>
      </c>
      <c r="AT1731" s="61">
        <v>44818</v>
      </c>
      <c r="AU1731" s="60" t="s">
        <v>4832</v>
      </c>
      <c r="AV1731" s="61">
        <v>44820</v>
      </c>
      <c r="AW1731" s="91">
        <v>44834</v>
      </c>
      <c r="AX1731" s="91">
        <v>44854</v>
      </c>
      <c r="AY1731" s="99">
        <v>48960</v>
      </c>
      <c r="AZ1731" s="99">
        <f>ROUNDDOWN(AY1731+(AY1731*MASTER!$A$2/100),0)</f>
        <v>53856</v>
      </c>
      <c r="BA1731" s="60" t="s">
        <v>317</v>
      </c>
      <c r="BB1731" s="64">
        <v>24000</v>
      </c>
      <c r="BC1731" s="64">
        <v>26400</v>
      </c>
      <c r="BD1731" s="60" t="s">
        <v>4182</v>
      </c>
      <c r="BG1731" s="64">
        <v>0</v>
      </c>
      <c r="BK1731" s="64">
        <v>0</v>
      </c>
      <c r="BS1731" s="64">
        <v>0</v>
      </c>
      <c r="BV1731" s="65">
        <v>56100</v>
      </c>
      <c r="BW1731" s="65">
        <v>26400</v>
      </c>
      <c r="BX1731" s="65">
        <v>0</v>
      </c>
      <c r="BY1731" s="65">
        <v>44810</v>
      </c>
      <c r="BZ1731" s="81">
        <v>52.941176470588239</v>
      </c>
    </row>
    <row r="1732" spans="1:78" x14ac:dyDescent="0.15">
      <c r="A1732" s="60">
        <v>1</v>
      </c>
      <c r="C1732" s="61" t="s">
        <v>309</v>
      </c>
      <c r="F1732" s="61" t="s">
        <v>309</v>
      </c>
      <c r="H1732" s="61" t="s">
        <v>309</v>
      </c>
      <c r="J1732" s="60">
        <v>4</v>
      </c>
      <c r="L1732" s="60">
        <v>0</v>
      </c>
      <c r="M1732" s="61">
        <v>44804</v>
      </c>
      <c r="O1732" s="62" t="s">
        <v>331</v>
      </c>
      <c r="P1732" s="60" t="s">
        <v>263</v>
      </c>
      <c r="Q1732" s="62" t="s">
        <v>118</v>
      </c>
      <c r="R1732" s="62" t="s">
        <v>4608</v>
      </c>
      <c r="S1732" s="63" t="s">
        <v>414</v>
      </c>
      <c r="T1732" s="63" t="s">
        <v>4609</v>
      </c>
      <c r="U1732" s="64">
        <v>0</v>
      </c>
      <c r="V1732" s="64">
        <v>0</v>
      </c>
      <c r="W1732" s="64">
        <v>0</v>
      </c>
      <c r="X1732" s="64">
        <v>0</v>
      </c>
      <c r="Y1732" s="64">
        <v>0</v>
      </c>
      <c r="Z1732" s="64">
        <v>0</v>
      </c>
      <c r="AA1732" s="61">
        <v>44775</v>
      </c>
      <c r="AD1732" s="60">
        <v>0</v>
      </c>
      <c r="AG1732" s="60">
        <v>0</v>
      </c>
      <c r="AJ1732" s="60">
        <v>0</v>
      </c>
      <c r="AY1732" s="99">
        <v>0</v>
      </c>
      <c r="AZ1732" s="99">
        <f>ROUNDDOWN(AY1732+(AY1732*MASTER!$A$2/100),0)</f>
        <v>0</v>
      </c>
      <c r="BC1732" s="64">
        <v>0</v>
      </c>
      <c r="BG1732" s="64">
        <v>0</v>
      </c>
      <c r="BI1732" s="60" t="s">
        <v>748</v>
      </c>
      <c r="BJ1732" s="64">
        <v>43875</v>
      </c>
      <c r="BK1732" s="64">
        <v>48262.5</v>
      </c>
      <c r="BL1732" s="60" t="s">
        <v>4069</v>
      </c>
      <c r="BS1732" s="64">
        <v>0</v>
      </c>
      <c r="BV1732" s="65">
        <v>0</v>
      </c>
      <c r="BW1732" s="65">
        <v>48262.5</v>
      </c>
      <c r="BX1732" s="65">
        <v>44804</v>
      </c>
      <c r="BY1732" s="65">
        <v>-48262.5</v>
      </c>
      <c r="BZ1732" s="81" t="s">
        <v>309</v>
      </c>
    </row>
    <row r="1733" spans="1:78" x14ac:dyDescent="0.15">
      <c r="A1733" s="60">
        <v>1</v>
      </c>
      <c r="B1733" s="61">
        <v>44813</v>
      </c>
      <c r="C1733" s="61">
        <v>44830</v>
      </c>
      <c r="F1733" s="61" t="s">
        <v>309</v>
      </c>
      <c r="H1733" s="61" t="s">
        <v>309</v>
      </c>
      <c r="J1733" s="60">
        <v>2</v>
      </c>
      <c r="L1733" s="60">
        <v>0</v>
      </c>
      <c r="M1733" s="61">
        <v>44805</v>
      </c>
      <c r="O1733" s="62" t="s">
        <v>331</v>
      </c>
      <c r="P1733" s="60" t="s">
        <v>262</v>
      </c>
      <c r="Q1733" s="62" t="s">
        <v>46</v>
      </c>
      <c r="R1733" s="62" t="s">
        <v>4736</v>
      </c>
      <c r="S1733" s="63" t="s">
        <v>326</v>
      </c>
      <c r="T1733" s="63" t="s">
        <v>4620</v>
      </c>
      <c r="U1733" s="64">
        <v>438000</v>
      </c>
      <c r="V1733" s="64">
        <v>481800</v>
      </c>
      <c r="W1733" s="64">
        <v>438000</v>
      </c>
      <c r="X1733" s="64">
        <v>481800</v>
      </c>
      <c r="Y1733" s="64">
        <v>0</v>
      </c>
      <c r="Z1733" s="64">
        <v>0</v>
      </c>
      <c r="AA1733" s="61">
        <v>44805</v>
      </c>
      <c r="AB1733" s="61">
        <v>44834</v>
      </c>
      <c r="AD1733" s="60">
        <v>0</v>
      </c>
      <c r="AG1733" s="60">
        <v>0</v>
      </c>
      <c r="AJ1733" s="60">
        <v>0</v>
      </c>
      <c r="AQ1733" s="60" t="s">
        <v>4784</v>
      </c>
      <c r="AR1733" s="61">
        <v>44811</v>
      </c>
      <c r="AS1733" s="60">
        <v>6002070618</v>
      </c>
      <c r="AT1733" s="61">
        <v>44811</v>
      </c>
      <c r="AU1733" s="60" t="s">
        <v>4750</v>
      </c>
      <c r="AV1733" s="61">
        <v>44830</v>
      </c>
      <c r="AW1733" s="91">
        <v>44834</v>
      </c>
      <c r="AX1733" s="91">
        <v>44854</v>
      </c>
      <c r="AY1733" s="107">
        <v>438000</v>
      </c>
      <c r="AZ1733" s="107">
        <f>ROUNDDOWN(AY1733+(AY1733*MASTER!$A$2/100),0)</f>
        <v>481800</v>
      </c>
      <c r="BC1733" s="64">
        <v>0</v>
      </c>
      <c r="BG1733" s="64">
        <v>0</v>
      </c>
      <c r="BK1733" s="64">
        <v>0</v>
      </c>
      <c r="BS1733" s="64">
        <v>0</v>
      </c>
      <c r="BV1733" s="65">
        <v>481800</v>
      </c>
      <c r="BW1733" s="65">
        <v>0</v>
      </c>
      <c r="BX1733" s="65">
        <v>44805</v>
      </c>
      <c r="BY1733" s="65">
        <v>481800</v>
      </c>
      <c r="BZ1733" s="81">
        <v>100</v>
      </c>
    </row>
    <row r="1734" spans="1:78" x14ac:dyDescent="0.15">
      <c r="A1734" s="60">
        <v>1</v>
      </c>
      <c r="B1734" s="61">
        <v>44813</v>
      </c>
      <c r="C1734" s="61">
        <v>44830</v>
      </c>
      <c r="F1734" s="61" t="s">
        <v>309</v>
      </c>
      <c r="H1734" s="61" t="s">
        <v>309</v>
      </c>
      <c r="J1734" s="60">
        <v>2</v>
      </c>
      <c r="L1734" s="60">
        <v>0</v>
      </c>
      <c r="M1734" s="61">
        <v>44805</v>
      </c>
      <c r="O1734" s="62" t="s">
        <v>331</v>
      </c>
      <c r="P1734" s="60" t="s">
        <v>262</v>
      </c>
      <c r="Q1734" s="62" t="s">
        <v>46</v>
      </c>
      <c r="R1734" s="62" t="s">
        <v>4737</v>
      </c>
      <c r="S1734" s="63" t="s">
        <v>326</v>
      </c>
      <c r="T1734" s="63" t="s">
        <v>4622</v>
      </c>
      <c r="U1734" s="64">
        <v>438000</v>
      </c>
      <c r="V1734" s="64">
        <v>481800</v>
      </c>
      <c r="W1734" s="64">
        <v>438000</v>
      </c>
      <c r="X1734" s="64">
        <v>481800</v>
      </c>
      <c r="Y1734" s="64">
        <v>0</v>
      </c>
      <c r="Z1734" s="64">
        <v>0</v>
      </c>
      <c r="AA1734" s="61">
        <v>44805</v>
      </c>
      <c r="AB1734" s="61">
        <v>44834</v>
      </c>
      <c r="AD1734" s="60">
        <v>0</v>
      </c>
      <c r="AG1734" s="60">
        <v>0</v>
      </c>
      <c r="AJ1734" s="60">
        <v>0</v>
      </c>
      <c r="AQ1734" s="60" t="s">
        <v>4784</v>
      </c>
      <c r="AR1734" s="61">
        <v>44811</v>
      </c>
      <c r="AS1734" s="60">
        <v>6002070618</v>
      </c>
      <c r="AT1734" s="61">
        <v>44811</v>
      </c>
      <c r="AU1734" s="60" t="s">
        <v>4750</v>
      </c>
      <c r="AV1734" s="61">
        <v>44830</v>
      </c>
      <c r="AW1734" s="91">
        <v>44834</v>
      </c>
      <c r="AX1734" s="91">
        <v>44854</v>
      </c>
      <c r="AY1734" s="107">
        <v>438000</v>
      </c>
      <c r="AZ1734" s="107">
        <f>ROUNDDOWN(AY1734+(AY1734*MASTER!$A$2/100),0)</f>
        <v>481800</v>
      </c>
      <c r="BC1734" s="64">
        <v>0</v>
      </c>
      <c r="BG1734" s="64">
        <v>0</v>
      </c>
      <c r="BK1734" s="64">
        <v>0</v>
      </c>
      <c r="BS1734" s="64">
        <v>0</v>
      </c>
      <c r="BV1734" s="65">
        <v>481800</v>
      </c>
      <c r="BW1734" s="65">
        <v>0</v>
      </c>
      <c r="BX1734" s="65">
        <v>44805</v>
      </c>
      <c r="BY1734" s="65">
        <v>481800</v>
      </c>
      <c r="BZ1734" s="81">
        <v>100</v>
      </c>
    </row>
    <row r="1735" spans="1:78" x14ac:dyDescent="0.15">
      <c r="A1735" s="60">
        <v>1</v>
      </c>
      <c r="B1735" s="61">
        <v>44813</v>
      </c>
      <c r="C1735" s="61">
        <v>44830</v>
      </c>
      <c r="F1735" s="61" t="s">
        <v>309</v>
      </c>
      <c r="H1735" s="61" t="s">
        <v>309</v>
      </c>
      <c r="J1735" s="60">
        <v>2</v>
      </c>
      <c r="L1735" s="60">
        <v>0</v>
      </c>
      <c r="M1735" s="61">
        <v>44805</v>
      </c>
      <c r="O1735" s="62" t="s">
        <v>331</v>
      </c>
      <c r="P1735" s="60" t="s">
        <v>262</v>
      </c>
      <c r="Q1735" s="62" t="s">
        <v>46</v>
      </c>
      <c r="R1735" s="62" t="s">
        <v>4738</v>
      </c>
      <c r="S1735" s="63" t="s">
        <v>326</v>
      </c>
      <c r="T1735" s="63" t="s">
        <v>4621</v>
      </c>
      <c r="U1735" s="64">
        <v>262000</v>
      </c>
      <c r="V1735" s="64">
        <v>288200</v>
      </c>
      <c r="W1735" s="64">
        <v>262000</v>
      </c>
      <c r="X1735" s="64">
        <v>288200</v>
      </c>
      <c r="Y1735" s="64">
        <v>0</v>
      </c>
      <c r="Z1735" s="64">
        <v>0</v>
      </c>
      <c r="AA1735" s="61">
        <v>44805</v>
      </c>
      <c r="AB1735" s="61">
        <v>44834</v>
      </c>
      <c r="AD1735" s="60">
        <v>0</v>
      </c>
      <c r="AG1735" s="60">
        <v>0</v>
      </c>
      <c r="AJ1735" s="60">
        <v>0</v>
      </c>
      <c r="AQ1735" s="60" t="s">
        <v>4784</v>
      </c>
      <c r="AR1735" s="61">
        <v>44811</v>
      </c>
      <c r="AS1735" s="60">
        <v>6002070618</v>
      </c>
      <c r="AT1735" s="61">
        <v>44811</v>
      </c>
      <c r="AU1735" s="60" t="s">
        <v>4750</v>
      </c>
      <c r="AV1735" s="61">
        <v>44830</v>
      </c>
      <c r="AW1735" s="91">
        <v>44834</v>
      </c>
      <c r="AX1735" s="91">
        <v>44854</v>
      </c>
      <c r="AY1735" s="107">
        <v>262000</v>
      </c>
      <c r="AZ1735" s="107">
        <f>ROUNDDOWN(AY1735+(AY1735*MASTER!$A$2/100),0)</f>
        <v>288200</v>
      </c>
      <c r="BC1735" s="64">
        <v>0</v>
      </c>
      <c r="BG1735" s="64">
        <v>0</v>
      </c>
      <c r="BK1735" s="64">
        <v>0</v>
      </c>
      <c r="BS1735" s="64">
        <v>0</v>
      </c>
      <c r="BV1735" s="65">
        <v>288200</v>
      </c>
      <c r="BW1735" s="65">
        <v>0</v>
      </c>
      <c r="BX1735" s="65">
        <v>44805</v>
      </c>
      <c r="BY1735" s="65">
        <v>288200</v>
      </c>
      <c r="BZ1735" s="81">
        <v>100</v>
      </c>
    </row>
    <row r="1736" spans="1:78" x14ac:dyDescent="0.15">
      <c r="A1736" s="60">
        <v>1</v>
      </c>
      <c r="B1736" s="61">
        <v>44813</v>
      </c>
      <c r="C1736" s="61">
        <v>44830</v>
      </c>
      <c r="F1736" s="61" t="s">
        <v>309</v>
      </c>
      <c r="H1736" s="61" t="s">
        <v>309</v>
      </c>
      <c r="J1736" s="60">
        <v>2</v>
      </c>
      <c r="L1736" s="60">
        <v>0</v>
      </c>
      <c r="M1736" s="61">
        <v>44805</v>
      </c>
      <c r="O1736" s="62" t="s">
        <v>331</v>
      </c>
      <c r="P1736" s="60" t="s">
        <v>260</v>
      </c>
      <c r="Q1736" s="62" t="s">
        <v>46</v>
      </c>
      <c r="R1736" s="62" t="s">
        <v>4734</v>
      </c>
      <c r="S1736" s="63" t="s">
        <v>417</v>
      </c>
      <c r="T1736" s="63" t="s">
        <v>5202</v>
      </c>
      <c r="U1736" s="64">
        <v>66000</v>
      </c>
      <c r="V1736" s="64">
        <v>72600</v>
      </c>
      <c r="W1736" s="64">
        <v>66000</v>
      </c>
      <c r="X1736" s="64">
        <v>72600</v>
      </c>
      <c r="Y1736" s="64">
        <v>0</v>
      </c>
      <c r="Z1736" s="64">
        <v>0</v>
      </c>
      <c r="AA1736" s="61">
        <v>44805</v>
      </c>
      <c r="AB1736" s="61">
        <v>44834</v>
      </c>
      <c r="AD1736" s="60">
        <v>0</v>
      </c>
      <c r="AG1736" s="60">
        <v>0</v>
      </c>
      <c r="AJ1736" s="60">
        <v>0</v>
      </c>
      <c r="AQ1736" s="60" t="s">
        <v>4735</v>
      </c>
      <c r="AR1736" s="61">
        <v>44811</v>
      </c>
      <c r="AS1736" s="60">
        <v>6002070618</v>
      </c>
      <c r="AT1736" s="61">
        <v>44811</v>
      </c>
      <c r="AU1736" s="60" t="s">
        <v>4750</v>
      </c>
      <c r="AV1736" s="61">
        <v>44830</v>
      </c>
      <c r="AW1736" s="91">
        <v>44834</v>
      </c>
      <c r="AX1736" s="91">
        <v>44854</v>
      </c>
      <c r="AY1736" s="107">
        <v>66000</v>
      </c>
      <c r="AZ1736" s="107">
        <f>ROUNDDOWN(AY1736+(AY1736*MASTER!$A$2/100),0)</f>
        <v>72600</v>
      </c>
      <c r="BC1736" s="64">
        <v>0</v>
      </c>
      <c r="BG1736" s="64">
        <v>0</v>
      </c>
      <c r="BK1736" s="64">
        <v>0</v>
      </c>
      <c r="BS1736" s="64">
        <v>0</v>
      </c>
      <c r="BV1736" s="65">
        <v>72600</v>
      </c>
      <c r="BW1736" s="65">
        <v>0</v>
      </c>
      <c r="BX1736" s="65">
        <v>44805</v>
      </c>
      <c r="BY1736" s="65">
        <v>72600</v>
      </c>
      <c r="BZ1736" s="81">
        <v>100</v>
      </c>
    </row>
    <row r="1737" spans="1:78" x14ac:dyDescent="0.15">
      <c r="A1737" s="60">
        <v>1</v>
      </c>
      <c r="C1737" s="61" t="s">
        <v>309</v>
      </c>
      <c r="F1737" s="61" t="s">
        <v>309</v>
      </c>
      <c r="H1737" s="61" t="s">
        <v>309</v>
      </c>
      <c r="J1737" s="60">
        <v>3</v>
      </c>
      <c r="L1737" s="60">
        <v>0</v>
      </c>
      <c r="M1737" s="61">
        <v>44805</v>
      </c>
      <c r="O1737" s="62" t="s">
        <v>335</v>
      </c>
      <c r="P1737" s="60" t="s">
        <v>369</v>
      </c>
      <c r="Q1737" s="62" t="s">
        <v>4659</v>
      </c>
      <c r="R1737" s="62" t="s">
        <v>4660</v>
      </c>
      <c r="S1737" s="63" t="s">
        <v>4661</v>
      </c>
      <c r="T1737" s="63" t="s">
        <v>463</v>
      </c>
      <c r="U1737" s="64">
        <v>9000</v>
      </c>
      <c r="V1737" s="64">
        <v>9900</v>
      </c>
      <c r="X1737" s="64">
        <v>0</v>
      </c>
      <c r="Y1737" s="64">
        <v>9000</v>
      </c>
      <c r="Z1737" s="64">
        <v>9900</v>
      </c>
      <c r="AD1737" s="60">
        <v>0</v>
      </c>
      <c r="AG1737" s="60">
        <v>0</v>
      </c>
      <c r="AJ1737" s="60">
        <v>0</v>
      </c>
      <c r="AN1737" s="60" t="s">
        <v>309</v>
      </c>
      <c r="AY1737" s="99">
        <f>ROUNDDOWN((0.96*U1737),0)</f>
        <v>8640</v>
      </c>
      <c r="AZ1737" s="99">
        <f>ROUNDDOWN(AY1737+(AY1737*MASTER!$A$2/100),0)</f>
        <v>9504</v>
      </c>
      <c r="BC1737" s="64">
        <v>0</v>
      </c>
      <c r="BG1737" s="64">
        <v>0</v>
      </c>
      <c r="BK1737" s="64">
        <v>0</v>
      </c>
      <c r="BS1737" s="64">
        <v>0</v>
      </c>
      <c r="BV1737" s="65">
        <v>0</v>
      </c>
      <c r="BW1737" s="65">
        <v>0</v>
      </c>
      <c r="BX1737" s="65">
        <v>44805</v>
      </c>
      <c r="BY1737" s="65">
        <v>0</v>
      </c>
      <c r="BZ1737" s="81" t="s">
        <v>309</v>
      </c>
    </row>
    <row r="1738" spans="1:78" x14ac:dyDescent="0.15">
      <c r="A1738" s="60">
        <v>1</v>
      </c>
      <c r="B1738" s="61">
        <v>44826</v>
      </c>
      <c r="C1738" s="61">
        <v>44826</v>
      </c>
      <c r="F1738" s="61" t="s">
        <v>309</v>
      </c>
      <c r="G1738" s="61">
        <v>44805</v>
      </c>
      <c r="H1738" s="61" t="s">
        <v>309</v>
      </c>
      <c r="J1738" s="60">
        <v>2</v>
      </c>
      <c r="L1738" s="60">
        <v>0</v>
      </c>
      <c r="M1738" s="61">
        <v>44805</v>
      </c>
      <c r="O1738" s="62" t="s">
        <v>331</v>
      </c>
      <c r="P1738" s="60" t="s">
        <v>6</v>
      </c>
      <c r="Q1738" s="62" t="s">
        <v>46</v>
      </c>
      <c r="R1738" s="62" t="s">
        <v>4670</v>
      </c>
      <c r="S1738" s="63" t="s">
        <v>1136</v>
      </c>
      <c r="T1738" s="63" t="s">
        <v>364</v>
      </c>
      <c r="U1738" s="64">
        <v>35000</v>
      </c>
      <c r="V1738" s="64">
        <v>38500</v>
      </c>
      <c r="W1738" s="64">
        <v>35000</v>
      </c>
      <c r="X1738" s="64">
        <v>38500</v>
      </c>
      <c r="Z1738" s="64">
        <v>0</v>
      </c>
      <c r="AA1738" s="61">
        <v>44804</v>
      </c>
      <c r="AB1738" s="61">
        <v>44804</v>
      </c>
      <c r="AD1738" s="60">
        <v>0</v>
      </c>
      <c r="AG1738" s="60">
        <v>0</v>
      </c>
      <c r="AJ1738" s="60">
        <v>0</v>
      </c>
      <c r="AN1738" s="60" t="s">
        <v>309</v>
      </c>
      <c r="AQ1738" s="60" t="s">
        <v>4962</v>
      </c>
      <c r="AR1738" s="61">
        <v>44825</v>
      </c>
      <c r="AS1738" s="60">
        <v>6002075458</v>
      </c>
      <c r="AT1738" s="61">
        <v>44826</v>
      </c>
      <c r="AU1738" s="60" t="s">
        <v>4929</v>
      </c>
      <c r="AV1738" s="61">
        <v>44826</v>
      </c>
      <c r="AW1738" s="91">
        <v>44834</v>
      </c>
      <c r="AX1738" s="91">
        <v>44854</v>
      </c>
      <c r="AY1738" s="99">
        <v>33600</v>
      </c>
      <c r="AZ1738" s="99">
        <f>ROUNDDOWN(AY1738+(AY1738*MASTER!$A$2/100),0)</f>
        <v>36960</v>
      </c>
      <c r="BC1738" s="64">
        <v>0</v>
      </c>
      <c r="BG1738" s="64">
        <v>0</v>
      </c>
      <c r="BK1738" s="64">
        <v>0</v>
      </c>
      <c r="BS1738" s="64">
        <v>0</v>
      </c>
      <c r="BV1738" s="65">
        <v>38500</v>
      </c>
      <c r="BW1738" s="65">
        <v>0</v>
      </c>
      <c r="BX1738" s="65">
        <v>44805</v>
      </c>
      <c r="BY1738" s="65">
        <v>38500</v>
      </c>
      <c r="BZ1738" s="81">
        <v>100</v>
      </c>
    </row>
    <row r="1739" spans="1:78" x14ac:dyDescent="0.15">
      <c r="A1739" s="60">
        <v>2</v>
      </c>
      <c r="B1739" s="61">
        <v>44809</v>
      </c>
      <c r="C1739" s="61">
        <v>44830</v>
      </c>
      <c r="D1739" s="61">
        <v>44806</v>
      </c>
      <c r="F1739" s="61" t="s">
        <v>309</v>
      </c>
      <c r="H1739" s="61" t="s">
        <v>309</v>
      </c>
      <c r="I1739" s="60" t="s">
        <v>774</v>
      </c>
      <c r="J1739" s="60">
        <v>2</v>
      </c>
      <c r="L1739" s="60">
        <v>0</v>
      </c>
      <c r="M1739" s="61">
        <v>44805</v>
      </c>
      <c r="O1739" s="62" t="s">
        <v>331</v>
      </c>
      <c r="P1739" s="60" t="s">
        <v>77</v>
      </c>
      <c r="Q1739" s="62" t="s">
        <v>46</v>
      </c>
      <c r="R1739" s="62" t="s">
        <v>4674</v>
      </c>
      <c r="S1739" s="63" t="s">
        <v>3934</v>
      </c>
      <c r="T1739" s="63" t="s">
        <v>1231</v>
      </c>
      <c r="U1739" s="64">
        <v>35000</v>
      </c>
      <c r="V1739" s="64">
        <v>38500</v>
      </c>
      <c r="W1739" s="64">
        <v>35000</v>
      </c>
      <c r="X1739" s="64">
        <v>38500</v>
      </c>
      <c r="Y1739" s="64">
        <v>0</v>
      </c>
      <c r="Z1739" s="64">
        <v>0</v>
      </c>
      <c r="AA1739" s="61">
        <v>44802</v>
      </c>
      <c r="AB1739" s="61">
        <v>44802</v>
      </c>
      <c r="AD1739" s="60">
        <v>0</v>
      </c>
      <c r="AG1739" s="60">
        <v>0</v>
      </c>
      <c r="AJ1739" s="60">
        <v>0</v>
      </c>
      <c r="AN1739" s="60" t="s">
        <v>309</v>
      </c>
      <c r="AQ1739" s="60" t="s">
        <v>4685</v>
      </c>
      <c r="AR1739" s="61">
        <v>44806</v>
      </c>
      <c r="AS1739" s="60">
        <v>6002068314</v>
      </c>
      <c r="AT1739" s="61">
        <v>44806</v>
      </c>
      <c r="AU1739" s="60" t="s">
        <v>4700</v>
      </c>
      <c r="AV1739" s="61">
        <v>44830</v>
      </c>
      <c r="AW1739" s="91">
        <v>44834</v>
      </c>
      <c r="AX1739" s="91">
        <v>44854</v>
      </c>
      <c r="AY1739" s="107">
        <v>35000</v>
      </c>
      <c r="AZ1739" s="107">
        <f>ROUNDDOWN(AY1739+(AY1739*MASTER!$A$2/100),0)</f>
        <v>38500</v>
      </c>
      <c r="BA1739" s="60" t="s">
        <v>321</v>
      </c>
      <c r="BB1739" s="64">
        <v>48890</v>
      </c>
      <c r="BC1739" s="64">
        <v>53779</v>
      </c>
      <c r="BD1739" s="60" t="s">
        <v>3940</v>
      </c>
      <c r="BG1739" s="64">
        <v>0</v>
      </c>
      <c r="BK1739" s="64">
        <v>0</v>
      </c>
      <c r="BS1739" s="64">
        <v>0</v>
      </c>
      <c r="BV1739" s="65">
        <v>38500</v>
      </c>
      <c r="BW1739" s="65">
        <v>53779</v>
      </c>
      <c r="BX1739" s="65">
        <v>44805</v>
      </c>
      <c r="BY1739" s="65">
        <v>-15279</v>
      </c>
      <c r="BZ1739" s="81">
        <v>-39.685714285714283</v>
      </c>
    </row>
    <row r="1740" spans="1:78" x14ac:dyDescent="0.15">
      <c r="A1740" s="60">
        <v>2</v>
      </c>
      <c r="B1740" s="61">
        <v>44809</v>
      </c>
      <c r="C1740" s="61">
        <v>44830</v>
      </c>
      <c r="D1740" s="61">
        <v>44806</v>
      </c>
      <c r="F1740" s="61" t="s">
        <v>309</v>
      </c>
      <c r="H1740" s="61" t="s">
        <v>309</v>
      </c>
      <c r="I1740" s="60" t="s">
        <v>774</v>
      </c>
      <c r="J1740" s="60">
        <v>2</v>
      </c>
      <c r="L1740" s="60">
        <v>0</v>
      </c>
      <c r="M1740" s="61">
        <v>44805</v>
      </c>
      <c r="O1740" s="62" t="s">
        <v>331</v>
      </c>
      <c r="P1740" s="60" t="s">
        <v>77</v>
      </c>
      <c r="Q1740" s="62" t="s">
        <v>46</v>
      </c>
      <c r="R1740" s="62" t="s">
        <v>4672</v>
      </c>
      <c r="S1740" s="63" t="s">
        <v>4671</v>
      </c>
      <c r="T1740" s="63" t="s">
        <v>1231</v>
      </c>
      <c r="U1740" s="64">
        <v>35000</v>
      </c>
      <c r="V1740" s="64">
        <v>38500</v>
      </c>
      <c r="W1740" s="64">
        <v>35000</v>
      </c>
      <c r="X1740" s="64">
        <v>38500</v>
      </c>
      <c r="Z1740" s="64">
        <v>0</v>
      </c>
      <c r="AA1740" s="61">
        <v>44800</v>
      </c>
      <c r="AB1740" s="61">
        <v>44801</v>
      </c>
      <c r="AD1740" s="60">
        <v>0</v>
      </c>
      <c r="AG1740" s="60">
        <v>0</v>
      </c>
      <c r="AJ1740" s="60">
        <v>0</v>
      </c>
      <c r="AN1740" s="60" t="s">
        <v>309</v>
      </c>
      <c r="AQ1740" s="60" t="s">
        <v>4685</v>
      </c>
      <c r="AR1740" s="61">
        <v>44806</v>
      </c>
      <c r="AS1740" s="60">
        <v>6002068314</v>
      </c>
      <c r="AT1740" s="61">
        <v>44806</v>
      </c>
      <c r="AU1740" s="60" t="s">
        <v>4700</v>
      </c>
      <c r="AV1740" s="61">
        <v>44830</v>
      </c>
      <c r="AW1740" s="91">
        <v>44834</v>
      </c>
      <c r="AX1740" s="91">
        <v>44854</v>
      </c>
      <c r="AY1740" s="107">
        <v>35000</v>
      </c>
      <c r="AZ1740" s="107">
        <f>ROUNDDOWN(AY1740+(AY1740*MASTER!$A$2/100),0)</f>
        <v>38500</v>
      </c>
      <c r="BA1740" s="60" t="s">
        <v>321</v>
      </c>
      <c r="BB1740" s="64">
        <v>94790</v>
      </c>
      <c r="BC1740" s="64">
        <v>104269</v>
      </c>
      <c r="BD1740" s="60" t="s">
        <v>3940</v>
      </c>
      <c r="BG1740" s="64">
        <v>0</v>
      </c>
      <c r="BK1740" s="64">
        <v>0</v>
      </c>
      <c r="BS1740" s="64">
        <v>0</v>
      </c>
      <c r="BV1740" s="65">
        <v>38500</v>
      </c>
      <c r="BW1740" s="65">
        <v>104269</v>
      </c>
      <c r="BX1740" s="65">
        <v>44805</v>
      </c>
      <c r="BY1740" s="65">
        <v>-65769</v>
      </c>
      <c r="BZ1740" s="81">
        <v>-170.82857142857142</v>
      </c>
    </row>
    <row r="1741" spans="1:78" x14ac:dyDescent="0.15">
      <c r="A1741" s="60">
        <v>1</v>
      </c>
      <c r="C1741" s="61" t="s">
        <v>309</v>
      </c>
      <c r="F1741" s="61" t="s">
        <v>309</v>
      </c>
      <c r="H1741" s="61" t="s">
        <v>309</v>
      </c>
      <c r="J1741" s="60">
        <v>4</v>
      </c>
      <c r="L1741" s="60">
        <v>0</v>
      </c>
      <c r="M1741" s="61">
        <v>44805</v>
      </c>
      <c r="O1741" s="62" t="s">
        <v>331</v>
      </c>
      <c r="P1741" s="60" t="s">
        <v>77</v>
      </c>
      <c r="Q1741" s="62" t="s">
        <v>46</v>
      </c>
      <c r="R1741" s="62" t="s">
        <v>4673</v>
      </c>
      <c r="S1741" s="63" t="s">
        <v>4675</v>
      </c>
      <c r="T1741" s="63" t="s">
        <v>1231</v>
      </c>
      <c r="U1741" s="64">
        <v>0</v>
      </c>
      <c r="V1741" s="64">
        <v>0</v>
      </c>
      <c r="W1741" s="64">
        <v>0</v>
      </c>
      <c r="X1741" s="64">
        <v>0</v>
      </c>
      <c r="Y1741" s="64">
        <v>0</v>
      </c>
      <c r="Z1741" s="64">
        <v>0</v>
      </c>
      <c r="AA1741" s="61">
        <v>44801</v>
      </c>
      <c r="AB1741" s="61">
        <v>44801</v>
      </c>
      <c r="AD1741" s="60">
        <v>0</v>
      </c>
      <c r="AG1741" s="60">
        <v>0</v>
      </c>
      <c r="AJ1741" s="60">
        <v>0</v>
      </c>
      <c r="AN1741" s="60" t="s">
        <v>309</v>
      </c>
      <c r="AY1741" s="99">
        <f t="shared" ref="AY1741:AY1748" si="9">ROUNDDOWN((0.96*U1741),0)</f>
        <v>0</v>
      </c>
      <c r="AZ1741" s="99">
        <f>ROUNDDOWN(AY1741+(AY1741*MASTER!$A$2/100),0)</f>
        <v>0</v>
      </c>
      <c r="BA1741" s="60" t="s">
        <v>321</v>
      </c>
      <c r="BB1741" s="64">
        <v>34800</v>
      </c>
      <c r="BC1741" s="64">
        <v>38280</v>
      </c>
      <c r="BD1741" s="60" t="s">
        <v>4069</v>
      </c>
      <c r="BG1741" s="64">
        <v>0</v>
      </c>
      <c r="BK1741" s="64">
        <v>0</v>
      </c>
      <c r="BS1741" s="64">
        <v>0</v>
      </c>
      <c r="BV1741" s="65">
        <v>0</v>
      </c>
      <c r="BW1741" s="65">
        <v>38280</v>
      </c>
      <c r="BX1741" s="65">
        <v>44805</v>
      </c>
      <c r="BY1741" s="65">
        <v>-38280</v>
      </c>
      <c r="BZ1741" s="81" t="s">
        <v>309</v>
      </c>
    </row>
    <row r="1742" spans="1:78" x14ac:dyDescent="0.15">
      <c r="A1742" s="60">
        <v>1</v>
      </c>
      <c r="C1742" s="61" t="s">
        <v>309</v>
      </c>
      <c r="F1742" s="61" t="s">
        <v>309</v>
      </c>
      <c r="H1742" s="61" t="s">
        <v>309</v>
      </c>
      <c r="J1742" s="60">
        <v>1</v>
      </c>
      <c r="L1742" s="60">
        <v>0</v>
      </c>
      <c r="M1742" s="61">
        <v>44806</v>
      </c>
      <c r="O1742" s="62" t="s">
        <v>335</v>
      </c>
      <c r="P1742" s="60" t="s">
        <v>349</v>
      </c>
      <c r="Q1742" s="62" t="s">
        <v>4659</v>
      </c>
      <c r="R1742" s="62" t="s">
        <v>4676</v>
      </c>
      <c r="S1742" s="63" t="s">
        <v>4677</v>
      </c>
      <c r="T1742" s="63" t="s">
        <v>4678</v>
      </c>
      <c r="U1742" s="64">
        <v>50000</v>
      </c>
      <c r="V1742" s="64">
        <v>55000</v>
      </c>
      <c r="W1742" s="64">
        <v>47000</v>
      </c>
      <c r="X1742" s="64">
        <v>51700</v>
      </c>
      <c r="Y1742" s="64">
        <v>3000</v>
      </c>
      <c r="Z1742" s="64">
        <v>3300</v>
      </c>
      <c r="AD1742" s="60">
        <v>0</v>
      </c>
      <c r="AG1742" s="60">
        <v>0</v>
      </c>
      <c r="AJ1742" s="60">
        <v>0</v>
      </c>
      <c r="AM1742" s="60" t="s">
        <v>350</v>
      </c>
      <c r="AN1742" s="60" t="s">
        <v>4679</v>
      </c>
      <c r="AQ1742" s="60" t="s">
        <v>4838</v>
      </c>
      <c r="AR1742" s="61">
        <v>44819</v>
      </c>
      <c r="AS1742" s="60">
        <v>6002073882</v>
      </c>
      <c r="AT1742" s="61">
        <v>44819</v>
      </c>
      <c r="AU1742" s="60" t="s">
        <v>4840</v>
      </c>
      <c r="AV1742" s="61">
        <v>44840</v>
      </c>
      <c r="AY1742" s="99">
        <f t="shared" si="9"/>
        <v>48000</v>
      </c>
      <c r="AZ1742" s="99">
        <f>ROUNDDOWN(AY1742+(AY1742*MASTER!$A$2/100),0)</f>
        <v>52800</v>
      </c>
      <c r="BC1742" s="64">
        <v>0</v>
      </c>
      <c r="BG1742" s="64">
        <v>0</v>
      </c>
      <c r="BK1742" s="64">
        <v>0</v>
      </c>
      <c r="BS1742" s="64">
        <v>0</v>
      </c>
      <c r="BV1742" s="65">
        <v>51700</v>
      </c>
      <c r="BW1742" s="65">
        <v>0</v>
      </c>
      <c r="BX1742" s="65">
        <v>44806</v>
      </c>
      <c r="BY1742" s="65">
        <v>51700</v>
      </c>
      <c r="BZ1742" s="81">
        <v>100</v>
      </c>
    </row>
    <row r="1743" spans="1:78" x14ac:dyDescent="0.15">
      <c r="A1743" s="60">
        <v>1</v>
      </c>
      <c r="C1743" s="61" t="s">
        <v>309</v>
      </c>
      <c r="F1743" s="61" t="s">
        <v>309</v>
      </c>
      <c r="H1743" s="61" t="s">
        <v>309</v>
      </c>
      <c r="J1743" s="60">
        <v>2</v>
      </c>
      <c r="L1743" s="60">
        <v>0</v>
      </c>
      <c r="M1743" s="61">
        <v>44806</v>
      </c>
      <c r="O1743" s="62" t="s">
        <v>335</v>
      </c>
      <c r="P1743" s="60" t="s">
        <v>349</v>
      </c>
      <c r="Q1743" s="62" t="s">
        <v>4659</v>
      </c>
      <c r="R1743" s="62" t="s">
        <v>4680</v>
      </c>
      <c r="S1743" s="63" t="s">
        <v>4320</v>
      </c>
      <c r="T1743" s="63" t="s">
        <v>4681</v>
      </c>
      <c r="U1743" s="64">
        <v>530000</v>
      </c>
      <c r="V1743" s="64">
        <v>583000</v>
      </c>
      <c r="W1743" s="64">
        <v>530000</v>
      </c>
      <c r="X1743" s="64">
        <v>583000</v>
      </c>
      <c r="Z1743" s="64">
        <v>0</v>
      </c>
      <c r="AA1743" s="61">
        <v>44831</v>
      </c>
      <c r="AB1743" s="61">
        <v>44835</v>
      </c>
      <c r="AD1743" s="60">
        <v>0</v>
      </c>
      <c r="AG1743" s="60">
        <v>0</v>
      </c>
      <c r="AJ1743" s="60">
        <v>0</v>
      </c>
      <c r="AM1743" s="60" t="s">
        <v>350</v>
      </c>
      <c r="AN1743" s="60" t="s">
        <v>4682</v>
      </c>
      <c r="AQ1743" s="60" t="s">
        <v>4885</v>
      </c>
      <c r="AR1743" s="61">
        <v>44825</v>
      </c>
      <c r="AS1743" s="60">
        <v>6002075038</v>
      </c>
      <c r="AT1743" s="61">
        <v>44825</v>
      </c>
      <c r="AU1743" s="60" t="s">
        <v>4917</v>
      </c>
      <c r="AV1743" s="61">
        <v>44837</v>
      </c>
      <c r="AY1743" s="99">
        <f>ROUNDDOWN((0.96*U1743),0)</f>
        <v>508800</v>
      </c>
      <c r="AZ1743" s="99">
        <f>ROUNDDOWN(AY1743+(AY1743*MASTER!$A$2/100),0)</f>
        <v>559680</v>
      </c>
      <c r="BC1743" s="64">
        <v>0</v>
      </c>
      <c r="BG1743" s="64">
        <v>0</v>
      </c>
      <c r="BK1743" s="64">
        <v>0</v>
      </c>
      <c r="BS1743" s="64">
        <v>0</v>
      </c>
      <c r="BV1743" s="65">
        <v>583000</v>
      </c>
      <c r="BW1743" s="65">
        <v>0</v>
      </c>
      <c r="BX1743" s="65">
        <v>44806</v>
      </c>
      <c r="BY1743" s="65">
        <v>583000</v>
      </c>
      <c r="BZ1743" s="81">
        <v>100</v>
      </c>
    </row>
    <row r="1744" spans="1:78" x14ac:dyDescent="0.15">
      <c r="A1744" s="60">
        <v>2</v>
      </c>
      <c r="B1744" s="61">
        <v>44826</v>
      </c>
      <c r="C1744" s="61">
        <v>44826</v>
      </c>
      <c r="D1744" s="61">
        <v>44813</v>
      </c>
      <c r="E1744" s="61">
        <v>44813</v>
      </c>
      <c r="F1744" s="61" t="s">
        <v>309</v>
      </c>
      <c r="G1744" s="61">
        <v>44813</v>
      </c>
      <c r="H1744" s="61" t="s">
        <v>309</v>
      </c>
      <c r="I1744" s="60" t="s">
        <v>766</v>
      </c>
      <c r="J1744" s="60">
        <v>2</v>
      </c>
      <c r="L1744" s="60">
        <v>0</v>
      </c>
      <c r="M1744" s="61">
        <v>44809</v>
      </c>
      <c r="O1744" s="62" t="s">
        <v>331</v>
      </c>
      <c r="P1744" s="60" t="s">
        <v>6</v>
      </c>
      <c r="Q1744" s="62" t="s">
        <v>46</v>
      </c>
      <c r="R1744" s="62" t="s">
        <v>4797</v>
      </c>
      <c r="S1744" s="63" t="s">
        <v>1021</v>
      </c>
      <c r="T1744" s="63" t="s">
        <v>364</v>
      </c>
      <c r="U1744" s="64">
        <v>35000</v>
      </c>
      <c r="V1744" s="64">
        <v>38500</v>
      </c>
      <c r="W1744" s="64">
        <v>35000</v>
      </c>
      <c r="X1744" s="64">
        <v>38500</v>
      </c>
      <c r="Z1744" s="64">
        <v>0</v>
      </c>
      <c r="AA1744" s="61">
        <v>44812</v>
      </c>
      <c r="AB1744" s="61">
        <v>44812</v>
      </c>
      <c r="AD1744" s="60">
        <v>0</v>
      </c>
      <c r="AG1744" s="60">
        <v>0</v>
      </c>
      <c r="AJ1744" s="60">
        <v>0</v>
      </c>
      <c r="AN1744" s="60" t="s">
        <v>309</v>
      </c>
      <c r="AQ1744" s="60" t="s">
        <v>4923</v>
      </c>
      <c r="AR1744" s="61">
        <v>44825</v>
      </c>
      <c r="AS1744" s="60">
        <v>6002075458</v>
      </c>
      <c r="AT1744" s="61">
        <v>44826</v>
      </c>
      <c r="AU1744" s="60" t="s">
        <v>4929</v>
      </c>
      <c r="AV1744" s="61">
        <v>44826</v>
      </c>
      <c r="AW1744" s="91">
        <v>44834</v>
      </c>
      <c r="AX1744" s="91">
        <v>44854</v>
      </c>
      <c r="AY1744" s="99">
        <v>33600</v>
      </c>
      <c r="AZ1744" s="99">
        <f>ROUNDDOWN(AY1744+(AY1744*MASTER!$A$2/100),0)</f>
        <v>36960</v>
      </c>
      <c r="BA1744" s="60" t="s">
        <v>317</v>
      </c>
      <c r="BB1744" s="64">
        <v>33000</v>
      </c>
      <c r="BC1744" s="64">
        <v>36300</v>
      </c>
      <c r="BD1744" s="60" t="s">
        <v>4182</v>
      </c>
      <c r="BG1744" s="64">
        <v>0</v>
      </c>
      <c r="BK1744" s="64">
        <v>0</v>
      </c>
      <c r="BS1744" s="64">
        <v>0</v>
      </c>
      <c r="BV1744" s="65">
        <v>38500</v>
      </c>
      <c r="BW1744" s="65">
        <v>36300</v>
      </c>
      <c r="BX1744" s="65">
        <v>44809</v>
      </c>
      <c r="BY1744" s="65">
        <v>2200</v>
      </c>
      <c r="BZ1744" s="81">
        <v>5.7142857142857144</v>
      </c>
    </row>
    <row r="1745" spans="1:89" x14ac:dyDescent="0.15">
      <c r="A1745" s="60">
        <v>2</v>
      </c>
      <c r="B1745" s="61">
        <v>44826</v>
      </c>
      <c r="C1745" s="61">
        <v>44826</v>
      </c>
      <c r="D1745" s="61">
        <v>44816</v>
      </c>
      <c r="E1745" s="61">
        <v>44816</v>
      </c>
      <c r="F1745" s="61" t="s">
        <v>309</v>
      </c>
      <c r="G1745" s="61">
        <v>44816</v>
      </c>
      <c r="H1745" s="61" t="s">
        <v>309</v>
      </c>
      <c r="I1745" s="60" t="s">
        <v>766</v>
      </c>
      <c r="J1745" s="60">
        <v>2</v>
      </c>
      <c r="L1745" s="60">
        <v>0</v>
      </c>
      <c r="M1745" s="61">
        <v>44809</v>
      </c>
      <c r="O1745" s="62" t="s">
        <v>331</v>
      </c>
      <c r="P1745" s="60" t="s">
        <v>6</v>
      </c>
      <c r="Q1745" s="62" t="s">
        <v>46</v>
      </c>
      <c r="R1745" s="62" t="s">
        <v>4799</v>
      </c>
      <c r="S1745" s="63" t="s">
        <v>986</v>
      </c>
      <c r="T1745" s="63" t="s">
        <v>364</v>
      </c>
      <c r="U1745" s="64">
        <v>51000</v>
      </c>
      <c r="V1745" s="64">
        <v>56100</v>
      </c>
      <c r="W1745" s="64">
        <v>51000</v>
      </c>
      <c r="X1745" s="64">
        <v>56100</v>
      </c>
      <c r="Z1745" s="64">
        <v>0</v>
      </c>
      <c r="AA1745" s="61">
        <v>44813</v>
      </c>
      <c r="AB1745" s="61">
        <v>44813</v>
      </c>
      <c r="AD1745" s="60">
        <v>0</v>
      </c>
      <c r="AG1745" s="60">
        <v>0</v>
      </c>
      <c r="AJ1745" s="60">
        <v>0</v>
      </c>
      <c r="AN1745" s="60" t="s">
        <v>309</v>
      </c>
      <c r="AQ1745" s="60" t="s">
        <v>4924</v>
      </c>
      <c r="AR1745" s="61">
        <v>44825</v>
      </c>
      <c r="AS1745" s="60">
        <v>6002075458</v>
      </c>
      <c r="AT1745" s="61">
        <v>44826</v>
      </c>
      <c r="AU1745" s="60" t="s">
        <v>4929</v>
      </c>
      <c r="AV1745" s="61">
        <v>44826</v>
      </c>
      <c r="AW1745" s="91">
        <v>44834</v>
      </c>
      <c r="AX1745" s="91">
        <v>44854</v>
      </c>
      <c r="AY1745" s="99">
        <v>48960</v>
      </c>
      <c r="AZ1745" s="99">
        <f>ROUNDDOWN(AY1745+(AY1745*MASTER!$A$2/100),0)</f>
        <v>53856</v>
      </c>
      <c r="BA1745" s="60" t="s">
        <v>317</v>
      </c>
      <c r="BB1745" s="64">
        <v>21000</v>
      </c>
      <c r="BC1745" s="64">
        <v>23100</v>
      </c>
      <c r="BD1745" s="60" t="s">
        <v>4182</v>
      </c>
      <c r="BG1745" s="64">
        <v>0</v>
      </c>
      <c r="BK1745" s="64">
        <v>0</v>
      </c>
      <c r="BS1745" s="64">
        <v>0</v>
      </c>
      <c r="BV1745" s="65">
        <v>56100</v>
      </c>
      <c r="BW1745" s="65">
        <v>23100</v>
      </c>
      <c r="BX1745" s="65">
        <v>44809</v>
      </c>
      <c r="BY1745" s="65">
        <v>33000</v>
      </c>
      <c r="BZ1745" s="81">
        <v>58.82352941176471</v>
      </c>
    </row>
    <row r="1746" spans="1:89" x14ac:dyDescent="0.15">
      <c r="A1746" s="60">
        <v>1</v>
      </c>
      <c r="C1746" s="61" t="s">
        <v>309</v>
      </c>
      <c r="F1746" s="61" t="s">
        <v>309</v>
      </c>
      <c r="H1746" s="61" t="s">
        <v>309</v>
      </c>
      <c r="J1746" s="60">
        <v>2</v>
      </c>
      <c r="L1746" s="60">
        <v>0</v>
      </c>
      <c r="M1746" s="61">
        <v>44809</v>
      </c>
      <c r="O1746" s="62" t="s">
        <v>335</v>
      </c>
      <c r="P1746" s="60" t="s">
        <v>369</v>
      </c>
      <c r="Q1746" s="62" t="s">
        <v>4659</v>
      </c>
      <c r="R1746" s="62" t="s">
        <v>4703</v>
      </c>
      <c r="S1746" s="63" t="s">
        <v>4704</v>
      </c>
      <c r="T1746" s="63" t="s">
        <v>373</v>
      </c>
      <c r="U1746" s="64">
        <v>51000</v>
      </c>
      <c r="V1746" s="64">
        <v>56100</v>
      </c>
      <c r="W1746" s="64">
        <v>51000</v>
      </c>
      <c r="X1746" s="64">
        <v>56100</v>
      </c>
      <c r="Z1746" s="64">
        <v>0</v>
      </c>
      <c r="AD1746" s="60">
        <v>0</v>
      </c>
      <c r="AG1746" s="60">
        <v>0</v>
      </c>
      <c r="AJ1746" s="60">
        <v>0</v>
      </c>
      <c r="AN1746" s="60" t="s">
        <v>309</v>
      </c>
      <c r="AY1746" s="99">
        <f t="shared" si="9"/>
        <v>48960</v>
      </c>
      <c r="AZ1746" s="99">
        <f>ROUNDDOWN(AY1746+(AY1746*MASTER!$A$2/100),0)</f>
        <v>53856</v>
      </c>
      <c r="BC1746" s="64">
        <v>0</v>
      </c>
      <c r="BG1746" s="64">
        <v>0</v>
      </c>
      <c r="BK1746" s="64">
        <v>0</v>
      </c>
      <c r="BS1746" s="64">
        <v>0</v>
      </c>
      <c r="BV1746" s="65">
        <v>56100</v>
      </c>
      <c r="BW1746" s="65">
        <v>0</v>
      </c>
      <c r="BX1746" s="65">
        <v>44809</v>
      </c>
      <c r="BY1746" s="65">
        <v>56100</v>
      </c>
      <c r="BZ1746" s="81">
        <v>100</v>
      </c>
    </row>
    <row r="1747" spans="1:89" x14ac:dyDescent="0.15">
      <c r="A1747" s="60">
        <v>1</v>
      </c>
      <c r="C1747" s="61" t="s">
        <v>309</v>
      </c>
      <c r="F1747" s="61" t="s">
        <v>309</v>
      </c>
      <c r="H1747" s="61" t="s">
        <v>309</v>
      </c>
      <c r="J1747" s="60">
        <v>3</v>
      </c>
      <c r="L1747" s="60">
        <v>0</v>
      </c>
      <c r="M1747" s="61">
        <v>44810</v>
      </c>
      <c r="O1747" s="62" t="s">
        <v>335</v>
      </c>
      <c r="P1747" s="60" t="s">
        <v>349</v>
      </c>
      <c r="Q1747" s="62" t="s">
        <v>4659</v>
      </c>
      <c r="R1747" s="62" t="s">
        <v>4712</v>
      </c>
      <c r="S1747" s="63" t="s">
        <v>4730</v>
      </c>
      <c r="T1747" s="63" t="s">
        <v>4713</v>
      </c>
      <c r="U1747" s="64">
        <v>9000</v>
      </c>
      <c r="V1747" s="64">
        <v>9900</v>
      </c>
      <c r="X1747" s="64">
        <v>0</v>
      </c>
      <c r="Y1747" s="64">
        <v>9000</v>
      </c>
      <c r="Z1747" s="64">
        <v>9900</v>
      </c>
      <c r="AD1747" s="60">
        <v>0</v>
      </c>
      <c r="AG1747" s="60">
        <v>0</v>
      </c>
      <c r="AJ1747" s="60">
        <v>0</v>
      </c>
      <c r="AM1747" s="60" t="s">
        <v>350</v>
      </c>
      <c r="AN1747" s="60" t="s">
        <v>4714</v>
      </c>
      <c r="AY1747" s="99">
        <f t="shared" si="9"/>
        <v>8640</v>
      </c>
      <c r="AZ1747" s="99">
        <f>ROUNDDOWN(AY1747+(AY1747*MASTER!$A$2/100),0)</f>
        <v>9504</v>
      </c>
      <c r="BC1747" s="64">
        <v>0</v>
      </c>
      <c r="BG1747" s="64">
        <v>0</v>
      </c>
      <c r="BK1747" s="64">
        <v>0</v>
      </c>
      <c r="BS1747" s="64">
        <v>0</v>
      </c>
      <c r="BV1747" s="65">
        <v>0</v>
      </c>
      <c r="BW1747" s="65">
        <v>0</v>
      </c>
      <c r="BX1747" s="65">
        <v>44810</v>
      </c>
      <c r="BY1747" s="65">
        <v>0</v>
      </c>
      <c r="BZ1747" s="81" t="s">
        <v>309</v>
      </c>
    </row>
    <row r="1748" spans="1:89" x14ac:dyDescent="0.15">
      <c r="A1748" s="60">
        <v>1</v>
      </c>
      <c r="C1748" s="61" t="s">
        <v>309</v>
      </c>
      <c r="F1748" s="61" t="s">
        <v>309</v>
      </c>
      <c r="H1748" s="61" t="s">
        <v>309</v>
      </c>
      <c r="J1748" s="60">
        <v>1</v>
      </c>
      <c r="L1748" s="60">
        <v>0</v>
      </c>
      <c r="M1748" s="61">
        <v>44810</v>
      </c>
      <c r="O1748" s="62" t="s">
        <v>335</v>
      </c>
      <c r="P1748" s="60" t="s">
        <v>349</v>
      </c>
      <c r="Q1748" s="62" t="s">
        <v>4659</v>
      </c>
      <c r="R1748" s="62" t="s">
        <v>4715</v>
      </c>
      <c r="S1748" s="63" t="s">
        <v>4716</v>
      </c>
      <c r="T1748" s="63" t="s">
        <v>4717</v>
      </c>
      <c r="U1748" s="64">
        <v>59000</v>
      </c>
      <c r="V1748" s="64">
        <v>64900</v>
      </c>
      <c r="W1748" s="64">
        <v>47000</v>
      </c>
      <c r="X1748" s="64">
        <v>51700</v>
      </c>
      <c r="Y1748" s="64">
        <v>12000</v>
      </c>
      <c r="Z1748" s="64">
        <v>13200</v>
      </c>
      <c r="AA1748" s="61">
        <v>44837</v>
      </c>
      <c r="AB1748" s="61">
        <v>44839</v>
      </c>
      <c r="AD1748" s="60">
        <v>0</v>
      </c>
      <c r="AG1748" s="60">
        <v>0</v>
      </c>
      <c r="AJ1748" s="60">
        <v>0</v>
      </c>
      <c r="AM1748" s="60" t="s">
        <v>350</v>
      </c>
      <c r="AN1748" s="60" t="s">
        <v>4718</v>
      </c>
      <c r="AQ1748" s="60" t="s">
        <v>5146</v>
      </c>
      <c r="AR1748" s="61">
        <v>44830</v>
      </c>
      <c r="AS1748" s="60">
        <v>6002076239</v>
      </c>
      <c r="AT1748" s="61">
        <v>44830</v>
      </c>
      <c r="AU1748" s="60" t="s">
        <v>5173</v>
      </c>
      <c r="AV1748" s="61">
        <v>44839</v>
      </c>
      <c r="AY1748" s="99">
        <f t="shared" si="9"/>
        <v>56640</v>
      </c>
      <c r="AZ1748" s="99">
        <f>ROUNDDOWN(AY1748+(AY1748*MASTER!$A$2/100),0)</f>
        <v>62304</v>
      </c>
      <c r="BC1748" s="64">
        <v>0</v>
      </c>
      <c r="BG1748" s="64">
        <v>0</v>
      </c>
      <c r="BK1748" s="64">
        <v>0</v>
      </c>
      <c r="BS1748" s="64">
        <v>0</v>
      </c>
      <c r="BV1748" s="65">
        <v>51700</v>
      </c>
      <c r="BW1748" s="65">
        <v>0</v>
      </c>
      <c r="BX1748" s="65">
        <v>44810</v>
      </c>
      <c r="BY1748" s="65">
        <v>51700</v>
      </c>
      <c r="BZ1748" s="81">
        <v>100</v>
      </c>
    </row>
    <row r="1749" spans="1:89" x14ac:dyDescent="0.15">
      <c r="A1749" s="60">
        <v>1</v>
      </c>
      <c r="B1749" s="61">
        <v>44820</v>
      </c>
      <c r="C1749" s="61">
        <v>44820</v>
      </c>
      <c r="F1749" s="61" t="s">
        <v>309</v>
      </c>
      <c r="G1749" s="61">
        <v>44810</v>
      </c>
      <c r="H1749" s="61" t="s">
        <v>309</v>
      </c>
      <c r="J1749" s="60">
        <v>2</v>
      </c>
      <c r="L1749" s="60">
        <v>0</v>
      </c>
      <c r="M1749" s="61">
        <v>44810</v>
      </c>
      <c r="O1749" s="62" t="s">
        <v>331</v>
      </c>
      <c r="P1749" s="60" t="s">
        <v>6</v>
      </c>
      <c r="Q1749" s="62" t="s">
        <v>46</v>
      </c>
      <c r="R1749" s="62" t="s">
        <v>4752</v>
      </c>
      <c r="S1749" s="63" t="s">
        <v>1063</v>
      </c>
      <c r="T1749" s="63" t="s">
        <v>364</v>
      </c>
      <c r="U1749" s="64">
        <v>35000</v>
      </c>
      <c r="V1749" s="64">
        <v>38500</v>
      </c>
      <c r="W1749" s="64">
        <v>35000</v>
      </c>
      <c r="X1749" s="64">
        <v>38500</v>
      </c>
      <c r="Z1749" s="64">
        <v>0</v>
      </c>
      <c r="AA1749" s="61">
        <v>44809</v>
      </c>
      <c r="AB1749" s="61">
        <v>44809</v>
      </c>
      <c r="AD1749" s="60">
        <v>0</v>
      </c>
      <c r="AG1749" s="60">
        <v>0</v>
      </c>
      <c r="AJ1749" s="60">
        <v>0</v>
      </c>
      <c r="AN1749" s="60" t="s">
        <v>309</v>
      </c>
      <c r="AQ1749" s="60" t="s">
        <v>4823</v>
      </c>
      <c r="AR1749" s="61">
        <v>44818</v>
      </c>
      <c r="AS1749" s="60">
        <v>6002073209</v>
      </c>
      <c r="AT1749" s="61">
        <v>44818</v>
      </c>
      <c r="AU1749" s="60" t="s">
        <v>4832</v>
      </c>
      <c r="AV1749" s="61">
        <v>44820</v>
      </c>
      <c r="AW1749" s="91">
        <v>44834</v>
      </c>
      <c r="AX1749" s="91">
        <v>44854</v>
      </c>
      <c r="AY1749" s="99">
        <v>33600</v>
      </c>
      <c r="AZ1749" s="99">
        <f>ROUNDDOWN(AY1749+(AY1749*MASTER!$A$2/100),0)</f>
        <v>36960</v>
      </c>
      <c r="BA1749" s="60" t="s">
        <v>603</v>
      </c>
      <c r="BB1749" s="64">
        <v>22000</v>
      </c>
      <c r="BC1749" s="64">
        <v>24200</v>
      </c>
      <c r="BD1749" s="60" t="s">
        <v>4383</v>
      </c>
      <c r="BG1749" s="64">
        <v>0</v>
      </c>
      <c r="BK1749" s="64">
        <v>0</v>
      </c>
      <c r="BS1749" s="64">
        <v>0</v>
      </c>
      <c r="BV1749" s="65">
        <v>38500</v>
      </c>
      <c r="BW1749" s="65">
        <v>24200</v>
      </c>
      <c r="BX1749" s="65">
        <v>44810</v>
      </c>
      <c r="BY1749" s="65">
        <v>14300</v>
      </c>
      <c r="BZ1749" s="81">
        <v>37.142857142857146</v>
      </c>
    </row>
    <row r="1750" spans="1:89" s="152" customFormat="1" x14ac:dyDescent="0.15">
      <c r="A1750" s="142">
        <v>3</v>
      </c>
      <c r="B1750" s="143"/>
      <c r="C1750" s="143" t="s">
        <v>309</v>
      </c>
      <c r="D1750" s="143"/>
      <c r="E1750" s="143"/>
      <c r="F1750" s="143" t="s">
        <v>309</v>
      </c>
      <c r="G1750" s="143"/>
      <c r="H1750" s="143" t="s">
        <v>309</v>
      </c>
      <c r="I1750" s="142"/>
      <c r="J1750" s="142">
        <v>1</v>
      </c>
      <c r="K1750" s="143"/>
      <c r="L1750" s="142">
        <v>0</v>
      </c>
      <c r="M1750" s="143">
        <v>44810</v>
      </c>
      <c r="N1750" s="143"/>
      <c r="O1750" s="144" t="s">
        <v>331</v>
      </c>
      <c r="P1750" s="142" t="s">
        <v>26</v>
      </c>
      <c r="Q1750" s="144" t="s">
        <v>46</v>
      </c>
      <c r="R1750" s="144" t="s">
        <v>4817</v>
      </c>
      <c r="S1750" s="145" t="s">
        <v>520</v>
      </c>
      <c r="T1750" s="145" t="s">
        <v>1149</v>
      </c>
      <c r="U1750" s="146">
        <v>176700</v>
      </c>
      <c r="V1750" s="146">
        <v>194370</v>
      </c>
      <c r="W1750" s="146">
        <v>78000</v>
      </c>
      <c r="X1750" s="146">
        <v>85800</v>
      </c>
      <c r="Y1750" s="146">
        <v>98700</v>
      </c>
      <c r="Z1750" s="146">
        <v>108570</v>
      </c>
      <c r="AA1750" s="143">
        <v>44838</v>
      </c>
      <c r="AB1750" s="143">
        <v>44840</v>
      </c>
      <c r="AC1750" s="143"/>
      <c r="AD1750" s="142">
        <v>0</v>
      </c>
      <c r="AE1750" s="142"/>
      <c r="AF1750" s="142"/>
      <c r="AG1750" s="142">
        <v>0</v>
      </c>
      <c r="AH1750" s="142"/>
      <c r="AI1750" s="142"/>
      <c r="AJ1750" s="142">
        <v>0</v>
      </c>
      <c r="AK1750" s="142"/>
      <c r="AL1750" s="142"/>
      <c r="AM1750" s="142" t="s">
        <v>273</v>
      </c>
      <c r="AN1750" s="142" t="s">
        <v>4818</v>
      </c>
      <c r="AO1750" s="143"/>
      <c r="AP1750" s="142"/>
      <c r="AQ1750" s="142"/>
      <c r="AR1750" s="143"/>
      <c r="AS1750" s="142"/>
      <c r="AT1750" s="143"/>
      <c r="AU1750" s="142"/>
      <c r="AV1750" s="143"/>
      <c r="AW1750" s="147"/>
      <c r="AX1750" s="147"/>
      <c r="AY1750" s="148">
        <v>169632</v>
      </c>
      <c r="AZ1750" s="148">
        <f>ROUNDDOWN(AY1750+(AY1750*MASTER!$A$2/100),0)</f>
        <v>186595</v>
      </c>
      <c r="BA1750" s="142"/>
      <c r="BB1750" s="146"/>
      <c r="BC1750" s="146">
        <v>0</v>
      </c>
      <c r="BD1750" s="142"/>
      <c r="BE1750" s="142"/>
      <c r="BF1750" s="146"/>
      <c r="BG1750" s="146">
        <v>0</v>
      </c>
      <c r="BH1750" s="142"/>
      <c r="BI1750" s="142"/>
      <c r="BJ1750" s="146"/>
      <c r="BK1750" s="146">
        <v>0</v>
      </c>
      <c r="BL1750" s="142"/>
      <c r="BM1750" s="146"/>
      <c r="BN1750" s="146"/>
      <c r="BO1750" s="146"/>
      <c r="BP1750" s="146"/>
      <c r="BQ1750" s="146"/>
      <c r="BR1750" s="146"/>
      <c r="BS1750" s="146">
        <v>0</v>
      </c>
      <c r="BT1750" s="149"/>
      <c r="BU1750" s="149"/>
      <c r="BV1750" s="150">
        <v>85800</v>
      </c>
      <c r="BW1750" s="150">
        <v>0</v>
      </c>
      <c r="BX1750" s="150">
        <v>44810</v>
      </c>
      <c r="BY1750" s="150">
        <v>85800</v>
      </c>
      <c r="BZ1750" s="151">
        <v>100</v>
      </c>
      <c r="CA1750" s="142"/>
      <c r="CB1750" s="142"/>
      <c r="CC1750" s="142"/>
      <c r="CD1750" s="145" t="s">
        <v>4819</v>
      </c>
      <c r="CE1750" s="143"/>
      <c r="CF1750" s="143"/>
      <c r="CG1750" s="143"/>
      <c r="CH1750" s="143"/>
      <c r="CI1750" s="143"/>
      <c r="CJ1750" s="143"/>
      <c r="CK1750" s="146"/>
    </row>
    <row r="1751" spans="1:89" x14ac:dyDescent="0.15">
      <c r="A1751" s="60">
        <v>1</v>
      </c>
      <c r="B1751" s="61">
        <v>44826</v>
      </c>
      <c r="C1751" s="61">
        <v>44826</v>
      </c>
      <c r="F1751" s="61" t="s">
        <v>309</v>
      </c>
      <c r="H1751" s="61" t="s">
        <v>309</v>
      </c>
      <c r="J1751" s="60">
        <v>3</v>
      </c>
      <c r="L1751" s="60">
        <v>0</v>
      </c>
      <c r="M1751" s="61">
        <v>44810</v>
      </c>
      <c r="O1751" s="62" t="s">
        <v>331</v>
      </c>
      <c r="P1751" s="60" t="s">
        <v>6</v>
      </c>
      <c r="Q1751" s="62" t="s">
        <v>46</v>
      </c>
      <c r="R1751" s="62" t="s">
        <v>4816</v>
      </c>
      <c r="S1751" s="63" t="s">
        <v>1228</v>
      </c>
      <c r="T1751" s="63" t="s">
        <v>364</v>
      </c>
      <c r="U1751" s="64">
        <v>3000</v>
      </c>
      <c r="V1751" s="64">
        <v>3300</v>
      </c>
      <c r="X1751" s="64">
        <v>0</v>
      </c>
      <c r="Y1751" s="64">
        <v>3000</v>
      </c>
      <c r="Z1751" s="64">
        <v>3300</v>
      </c>
      <c r="AD1751" s="60">
        <v>0</v>
      </c>
      <c r="AG1751" s="60">
        <v>0</v>
      </c>
      <c r="AJ1751" s="60">
        <v>0</v>
      </c>
      <c r="AN1751" s="60" t="s">
        <v>309</v>
      </c>
      <c r="AQ1751" s="60" t="s">
        <v>4925</v>
      </c>
      <c r="AR1751" s="61">
        <v>44825</v>
      </c>
      <c r="AS1751" s="60">
        <v>6002075458</v>
      </c>
      <c r="AT1751" s="61">
        <v>44826</v>
      </c>
      <c r="AU1751" s="60" t="s">
        <v>4929</v>
      </c>
      <c r="AV1751" s="61">
        <v>44826</v>
      </c>
      <c r="AW1751" s="91">
        <v>44834</v>
      </c>
      <c r="AX1751" s="91">
        <v>44854</v>
      </c>
      <c r="AY1751" s="99">
        <v>2880</v>
      </c>
      <c r="AZ1751" s="99">
        <f>ROUNDDOWN(AY1751+(AY1751*MASTER!$A$2/100),0)</f>
        <v>3168</v>
      </c>
      <c r="BC1751" s="64">
        <v>0</v>
      </c>
      <c r="BG1751" s="64">
        <v>0</v>
      </c>
      <c r="BK1751" s="64">
        <v>0</v>
      </c>
      <c r="BS1751" s="64">
        <v>0</v>
      </c>
      <c r="BV1751" s="65">
        <v>0</v>
      </c>
      <c r="BW1751" s="65">
        <v>0</v>
      </c>
      <c r="BX1751" s="65">
        <v>44810</v>
      </c>
      <c r="BY1751" s="65">
        <v>0</v>
      </c>
      <c r="BZ1751" s="81" t="s">
        <v>309</v>
      </c>
    </row>
    <row r="1752" spans="1:89" x14ac:dyDescent="0.15">
      <c r="A1752" s="60">
        <v>1</v>
      </c>
      <c r="B1752" s="61">
        <v>44813</v>
      </c>
      <c r="C1752" s="61">
        <v>44816</v>
      </c>
      <c r="F1752" s="61" t="s">
        <v>309</v>
      </c>
      <c r="H1752" s="61" t="s">
        <v>309</v>
      </c>
      <c r="J1752" s="60">
        <v>3</v>
      </c>
      <c r="L1752" s="60">
        <v>0</v>
      </c>
      <c r="M1752" s="61">
        <v>44811</v>
      </c>
      <c r="O1752" s="62" t="s">
        <v>331</v>
      </c>
      <c r="P1752" s="60" t="s">
        <v>26</v>
      </c>
      <c r="Q1752" s="62" t="s">
        <v>46</v>
      </c>
      <c r="R1752" s="62" t="s">
        <v>4733</v>
      </c>
      <c r="S1752" s="63" t="s">
        <v>326</v>
      </c>
      <c r="T1752" s="63" t="s">
        <v>4732</v>
      </c>
      <c r="U1752" s="64">
        <v>35000</v>
      </c>
      <c r="V1752" s="64">
        <v>38500</v>
      </c>
      <c r="W1752" s="64">
        <v>0</v>
      </c>
      <c r="X1752" s="64">
        <v>0</v>
      </c>
      <c r="Y1752" s="64">
        <v>35000</v>
      </c>
      <c r="Z1752" s="64">
        <v>38500</v>
      </c>
      <c r="AA1752" s="61" t="s">
        <v>4182</v>
      </c>
      <c r="AD1752" s="60">
        <v>0</v>
      </c>
      <c r="AG1752" s="60">
        <v>0</v>
      </c>
      <c r="AJ1752" s="60">
        <v>0</v>
      </c>
      <c r="AQ1752" s="60" t="s">
        <v>4762</v>
      </c>
      <c r="AR1752" s="61">
        <v>44812</v>
      </c>
      <c r="AS1752" s="60">
        <v>6002071158</v>
      </c>
      <c r="AT1752" s="61">
        <v>44812</v>
      </c>
      <c r="AU1752" s="60" t="s">
        <v>4773</v>
      </c>
      <c r="AV1752" s="61">
        <v>44816</v>
      </c>
      <c r="AW1752" s="91">
        <v>44834</v>
      </c>
      <c r="AX1752" s="91">
        <v>44854</v>
      </c>
      <c r="AY1752" s="107">
        <v>35000</v>
      </c>
      <c r="AZ1752" s="107">
        <f>ROUNDDOWN(AY1752+(AY1752*MASTER!$A$2/100),0)</f>
        <v>38500</v>
      </c>
      <c r="BC1752" s="64">
        <v>0</v>
      </c>
      <c r="BG1752" s="64">
        <v>0</v>
      </c>
      <c r="BK1752" s="64">
        <v>0</v>
      </c>
      <c r="BS1752" s="64">
        <v>0</v>
      </c>
      <c r="BV1752" s="65">
        <v>0</v>
      </c>
      <c r="BW1752" s="65">
        <v>0</v>
      </c>
      <c r="BX1752" s="65">
        <v>44811</v>
      </c>
      <c r="BY1752" s="65">
        <v>0</v>
      </c>
      <c r="BZ1752" s="81" t="s">
        <v>309</v>
      </c>
    </row>
    <row r="1753" spans="1:89" x14ac:dyDescent="0.15">
      <c r="A1753" s="60">
        <v>1</v>
      </c>
      <c r="C1753" s="61" t="s">
        <v>309</v>
      </c>
      <c r="F1753" s="61" t="s">
        <v>309</v>
      </c>
      <c r="H1753" s="61" t="s">
        <v>309</v>
      </c>
      <c r="J1753" s="60">
        <v>3</v>
      </c>
      <c r="L1753" s="60">
        <v>0</v>
      </c>
      <c r="M1753" s="61">
        <v>44812</v>
      </c>
      <c r="O1753" s="62" t="s">
        <v>335</v>
      </c>
      <c r="P1753" s="60" t="s">
        <v>369</v>
      </c>
      <c r="Q1753" s="62" t="s">
        <v>4659</v>
      </c>
      <c r="R1753" s="62" t="s">
        <v>4753</v>
      </c>
      <c r="S1753" s="63" t="s">
        <v>4754</v>
      </c>
      <c r="T1753" s="63" t="s">
        <v>4369</v>
      </c>
      <c r="U1753" s="64">
        <v>9000</v>
      </c>
      <c r="V1753" s="64">
        <v>9900</v>
      </c>
      <c r="X1753" s="64">
        <v>0</v>
      </c>
      <c r="Y1753" s="64">
        <v>9000</v>
      </c>
      <c r="Z1753" s="64">
        <v>9900</v>
      </c>
      <c r="AD1753" s="60">
        <v>0</v>
      </c>
      <c r="AG1753" s="60">
        <v>0</v>
      </c>
      <c r="AJ1753" s="60">
        <v>0</v>
      </c>
      <c r="AN1753" s="60" t="s">
        <v>309</v>
      </c>
      <c r="AY1753" s="99">
        <f t="shared" ref="AY1753:AY1764" si="10">ROUNDDOWN((0.96*U1753),0)</f>
        <v>8640</v>
      </c>
      <c r="AZ1753" s="99">
        <f>ROUNDDOWN(AY1753+(AY1753*MASTER!$A$2/100),0)</f>
        <v>9504</v>
      </c>
      <c r="BC1753" s="64">
        <v>0</v>
      </c>
      <c r="BG1753" s="64">
        <v>0</v>
      </c>
      <c r="BK1753" s="64">
        <v>0</v>
      </c>
      <c r="BS1753" s="64">
        <v>0</v>
      </c>
      <c r="BV1753" s="65">
        <v>0</v>
      </c>
      <c r="BW1753" s="65">
        <v>0</v>
      </c>
      <c r="BX1753" s="65">
        <v>44812</v>
      </c>
      <c r="BY1753" s="65">
        <v>0</v>
      </c>
      <c r="BZ1753" s="81" t="s">
        <v>309</v>
      </c>
    </row>
    <row r="1754" spans="1:89" x14ac:dyDescent="0.15">
      <c r="A1754" s="60">
        <v>1</v>
      </c>
      <c r="B1754" s="61">
        <v>44820</v>
      </c>
      <c r="C1754" s="61">
        <v>44820</v>
      </c>
      <c r="F1754" s="61" t="s">
        <v>309</v>
      </c>
      <c r="G1754" s="61">
        <v>44816</v>
      </c>
      <c r="H1754" s="61" t="s">
        <v>309</v>
      </c>
      <c r="J1754" s="60">
        <v>2</v>
      </c>
      <c r="L1754" s="60">
        <v>0</v>
      </c>
      <c r="M1754" s="61">
        <v>44812</v>
      </c>
      <c r="O1754" s="62" t="s">
        <v>331</v>
      </c>
      <c r="P1754" s="60" t="s">
        <v>6</v>
      </c>
      <c r="Q1754" s="62" t="s">
        <v>46</v>
      </c>
      <c r="R1754" s="62" t="s">
        <v>4800</v>
      </c>
      <c r="S1754" s="63" t="s">
        <v>2011</v>
      </c>
      <c r="T1754" s="63" t="s">
        <v>364</v>
      </c>
      <c r="U1754" s="64">
        <v>16000</v>
      </c>
      <c r="V1754" s="64">
        <v>17600</v>
      </c>
      <c r="W1754" s="64">
        <v>16000</v>
      </c>
      <c r="X1754" s="64">
        <v>17600</v>
      </c>
      <c r="Z1754" s="64">
        <v>0</v>
      </c>
      <c r="AD1754" s="60">
        <v>0</v>
      </c>
      <c r="AG1754" s="60">
        <v>0</v>
      </c>
      <c r="AJ1754" s="60">
        <v>0</v>
      </c>
      <c r="AN1754" s="60" t="s">
        <v>309</v>
      </c>
      <c r="AQ1754" s="60" t="s">
        <v>4822</v>
      </c>
      <c r="AR1754" s="61">
        <v>44818</v>
      </c>
      <c r="AS1754" s="60">
        <v>6002073209</v>
      </c>
      <c r="AT1754" s="61">
        <v>44818</v>
      </c>
      <c r="AU1754" s="60" t="s">
        <v>4832</v>
      </c>
      <c r="AV1754" s="61">
        <v>44820</v>
      </c>
      <c r="AW1754" s="91">
        <v>44834</v>
      </c>
      <c r="AX1754" s="91">
        <v>44854</v>
      </c>
      <c r="AY1754" s="99">
        <v>15360</v>
      </c>
      <c r="AZ1754" s="99">
        <f>ROUNDDOWN(AY1754+(AY1754*MASTER!$A$2/100),0)</f>
        <v>16896</v>
      </c>
      <c r="BC1754" s="64">
        <v>0</v>
      </c>
      <c r="BG1754" s="64">
        <v>0</v>
      </c>
      <c r="BK1754" s="64">
        <v>0</v>
      </c>
      <c r="BS1754" s="64">
        <v>0</v>
      </c>
      <c r="BV1754" s="65">
        <v>17600</v>
      </c>
      <c r="BW1754" s="65">
        <v>0</v>
      </c>
      <c r="BX1754" s="65">
        <v>44812</v>
      </c>
      <c r="BY1754" s="65">
        <v>17600</v>
      </c>
      <c r="BZ1754" s="81">
        <v>100</v>
      </c>
    </row>
    <row r="1755" spans="1:89" x14ac:dyDescent="0.15">
      <c r="A1755" s="60">
        <v>1</v>
      </c>
      <c r="C1755" s="61" t="s">
        <v>309</v>
      </c>
      <c r="F1755" s="61" t="s">
        <v>309</v>
      </c>
      <c r="H1755" s="61" t="s">
        <v>309</v>
      </c>
      <c r="J1755" s="60">
        <v>2</v>
      </c>
      <c r="L1755" s="60">
        <v>0</v>
      </c>
      <c r="M1755" s="61">
        <v>44812</v>
      </c>
      <c r="O1755" s="62" t="s">
        <v>335</v>
      </c>
      <c r="P1755" s="60" t="s">
        <v>369</v>
      </c>
      <c r="Q1755" s="62" t="s">
        <v>4659</v>
      </c>
      <c r="R1755" s="62" t="s">
        <v>4763</v>
      </c>
      <c r="S1755" s="63" t="s">
        <v>4414</v>
      </c>
      <c r="T1755" s="63" t="s">
        <v>373</v>
      </c>
      <c r="U1755" s="64">
        <v>35000</v>
      </c>
      <c r="V1755" s="64">
        <v>38500</v>
      </c>
      <c r="W1755" s="64">
        <v>35000</v>
      </c>
      <c r="X1755" s="64">
        <v>38500</v>
      </c>
      <c r="Z1755" s="64">
        <v>0</v>
      </c>
      <c r="AD1755" s="60">
        <v>0</v>
      </c>
      <c r="AG1755" s="60">
        <v>0</v>
      </c>
      <c r="AJ1755" s="60">
        <v>0</v>
      </c>
      <c r="AN1755" s="60" t="s">
        <v>309</v>
      </c>
      <c r="AQ1755" s="60" t="s">
        <v>4821</v>
      </c>
      <c r="AR1755" s="61">
        <v>44818</v>
      </c>
      <c r="AS1755" s="60">
        <v>6002073209</v>
      </c>
      <c r="AT1755" s="61">
        <v>44818</v>
      </c>
      <c r="AU1755" s="60" t="s">
        <v>4832</v>
      </c>
      <c r="AV1755" s="61">
        <v>44895</v>
      </c>
      <c r="AY1755" s="99">
        <f t="shared" si="10"/>
        <v>33600</v>
      </c>
      <c r="AZ1755" s="99">
        <f>ROUNDDOWN(AY1755+(AY1755*MASTER!$A$2/100),0)</f>
        <v>36960</v>
      </c>
      <c r="BC1755" s="64">
        <v>0</v>
      </c>
      <c r="BG1755" s="64">
        <v>0</v>
      </c>
      <c r="BK1755" s="64">
        <v>0</v>
      </c>
      <c r="BS1755" s="64">
        <v>0</v>
      </c>
      <c r="BV1755" s="65">
        <v>38500</v>
      </c>
      <c r="BW1755" s="65">
        <v>0</v>
      </c>
      <c r="BX1755" s="65">
        <v>44812</v>
      </c>
      <c r="BY1755" s="65">
        <v>38500</v>
      </c>
      <c r="BZ1755" s="81">
        <v>100</v>
      </c>
    </row>
    <row r="1756" spans="1:89" x14ac:dyDescent="0.15">
      <c r="A1756" s="60">
        <v>2</v>
      </c>
      <c r="B1756" s="61">
        <v>44826</v>
      </c>
      <c r="C1756" s="61">
        <v>44830</v>
      </c>
      <c r="E1756" s="61">
        <v>44828</v>
      </c>
      <c r="F1756" s="61" t="s">
        <v>309</v>
      </c>
      <c r="G1756" s="61">
        <v>44827</v>
      </c>
      <c r="H1756" s="61" t="s">
        <v>309</v>
      </c>
      <c r="I1756" s="60" t="s">
        <v>511</v>
      </c>
      <c r="J1756" s="60">
        <v>2</v>
      </c>
      <c r="L1756" s="60">
        <v>0</v>
      </c>
      <c r="M1756" s="61">
        <v>44813</v>
      </c>
      <c r="O1756" s="62" t="s">
        <v>331</v>
      </c>
      <c r="P1756" s="60" t="s">
        <v>26</v>
      </c>
      <c r="Q1756" s="62" t="s">
        <v>46</v>
      </c>
      <c r="R1756" s="62" t="s">
        <v>4946</v>
      </c>
      <c r="S1756" s="63" t="s">
        <v>4947</v>
      </c>
      <c r="T1756" s="63" t="s">
        <v>1432</v>
      </c>
      <c r="U1756" s="64">
        <v>1452000</v>
      </c>
      <c r="V1756" s="64">
        <v>1597200</v>
      </c>
      <c r="W1756" s="64">
        <v>1452000</v>
      </c>
      <c r="X1756" s="64">
        <v>1597200</v>
      </c>
      <c r="Z1756" s="64">
        <v>0</v>
      </c>
      <c r="AA1756" s="61">
        <v>44825</v>
      </c>
      <c r="AB1756" s="61">
        <v>44826</v>
      </c>
      <c r="AD1756" s="60">
        <v>0</v>
      </c>
      <c r="AG1756" s="60">
        <v>0</v>
      </c>
      <c r="AJ1756" s="60">
        <v>0</v>
      </c>
      <c r="AM1756" s="60" t="s">
        <v>273</v>
      </c>
      <c r="AN1756" s="60" t="s">
        <v>4948</v>
      </c>
      <c r="AQ1756" s="60" t="s">
        <v>4883</v>
      </c>
      <c r="AR1756" s="61">
        <v>44825</v>
      </c>
      <c r="AS1756" s="60">
        <v>6002075039</v>
      </c>
      <c r="AT1756" s="61">
        <v>44825</v>
      </c>
      <c r="AU1756" s="60" t="s">
        <v>4922</v>
      </c>
      <c r="AV1756" s="61">
        <v>44830</v>
      </c>
      <c r="AW1756" s="91">
        <v>44834</v>
      </c>
      <c r="AX1756" s="91">
        <v>44854</v>
      </c>
      <c r="AY1756" s="99">
        <v>1393920</v>
      </c>
      <c r="AZ1756" s="99">
        <f>ROUNDDOWN(AY1756+(AY1756*MASTER!$A$2/100),0)</f>
        <v>1533312</v>
      </c>
      <c r="BA1756" s="60" t="s">
        <v>314</v>
      </c>
      <c r="BB1756" s="64">
        <v>418000</v>
      </c>
      <c r="BC1756" s="64">
        <v>459800</v>
      </c>
      <c r="BD1756" s="60" t="s">
        <v>4182</v>
      </c>
      <c r="BG1756" s="64">
        <v>0</v>
      </c>
      <c r="BK1756" s="64">
        <v>0</v>
      </c>
      <c r="BS1756" s="64">
        <v>0</v>
      </c>
      <c r="BV1756" s="65">
        <v>1597200</v>
      </c>
      <c r="BW1756" s="65">
        <v>459800</v>
      </c>
      <c r="BX1756" s="65">
        <v>44813</v>
      </c>
      <c r="BY1756" s="65">
        <v>1137400</v>
      </c>
      <c r="BZ1756" s="81">
        <v>71.212121212121218</v>
      </c>
    </row>
    <row r="1757" spans="1:89" x14ac:dyDescent="0.15">
      <c r="A1757" s="60">
        <v>1</v>
      </c>
      <c r="C1757" s="61" t="s">
        <v>309</v>
      </c>
      <c r="F1757" s="61" t="s">
        <v>309</v>
      </c>
      <c r="H1757" s="61" t="s">
        <v>309</v>
      </c>
      <c r="J1757" s="60">
        <v>1</v>
      </c>
      <c r="L1757" s="60">
        <v>0</v>
      </c>
      <c r="M1757" s="61">
        <v>44813</v>
      </c>
      <c r="O1757" s="62" t="s">
        <v>335</v>
      </c>
      <c r="P1757" s="60" t="s">
        <v>349</v>
      </c>
      <c r="Q1757" s="62" t="s">
        <v>4659</v>
      </c>
      <c r="R1757" s="62" t="s">
        <v>4765</v>
      </c>
      <c r="S1757" s="63" t="s">
        <v>4766</v>
      </c>
      <c r="T1757" s="63" t="s">
        <v>4767</v>
      </c>
      <c r="U1757" s="64">
        <v>1530720</v>
      </c>
      <c r="V1757" s="64">
        <v>1683792</v>
      </c>
      <c r="W1757" s="64">
        <v>1513720</v>
      </c>
      <c r="X1757" s="64">
        <v>1665092</v>
      </c>
      <c r="Y1757" s="64">
        <v>17000</v>
      </c>
      <c r="Z1757" s="64">
        <v>18700</v>
      </c>
      <c r="AD1757" s="60">
        <v>0</v>
      </c>
      <c r="AG1757" s="60">
        <v>0</v>
      </c>
      <c r="AJ1757" s="60">
        <v>0</v>
      </c>
      <c r="AM1757" s="60" t="s">
        <v>350</v>
      </c>
      <c r="AN1757" s="60" t="s">
        <v>4768</v>
      </c>
      <c r="AY1757" s="99">
        <f t="shared" si="10"/>
        <v>1469491</v>
      </c>
      <c r="AZ1757" s="99">
        <f>ROUNDDOWN(AY1757+(AY1757*MASTER!$A$2/100),0)</f>
        <v>1616440</v>
      </c>
      <c r="BC1757" s="64">
        <v>0</v>
      </c>
      <c r="BG1757" s="64">
        <v>0</v>
      </c>
      <c r="BK1757" s="64">
        <v>0</v>
      </c>
      <c r="BS1757" s="64">
        <v>0</v>
      </c>
      <c r="BV1757" s="65">
        <v>1665092</v>
      </c>
      <c r="BW1757" s="65">
        <v>0</v>
      </c>
      <c r="BX1757" s="65">
        <v>44813</v>
      </c>
      <c r="BY1757" s="65">
        <v>1665092</v>
      </c>
      <c r="BZ1757" s="81">
        <v>100</v>
      </c>
    </row>
    <row r="1758" spans="1:89" x14ac:dyDescent="0.15">
      <c r="A1758" s="60">
        <v>1</v>
      </c>
      <c r="C1758" s="61" t="s">
        <v>309</v>
      </c>
      <c r="F1758" s="61" t="s">
        <v>309</v>
      </c>
      <c r="H1758" s="61" t="s">
        <v>309</v>
      </c>
      <c r="J1758" s="60">
        <v>1</v>
      </c>
      <c r="L1758" s="60">
        <v>0</v>
      </c>
      <c r="M1758" s="61">
        <v>44813</v>
      </c>
      <c r="O1758" s="62" t="s">
        <v>335</v>
      </c>
      <c r="P1758" s="60" t="s">
        <v>349</v>
      </c>
      <c r="Q1758" s="62" t="s">
        <v>4659</v>
      </c>
      <c r="R1758" s="62" t="s">
        <v>4769</v>
      </c>
      <c r="S1758" s="63" t="s">
        <v>4770</v>
      </c>
      <c r="T1758" s="63" t="s">
        <v>4771</v>
      </c>
      <c r="U1758" s="64">
        <v>2459285</v>
      </c>
      <c r="V1758" s="64">
        <v>2705213.5</v>
      </c>
      <c r="W1758" s="64">
        <v>2442285</v>
      </c>
      <c r="X1758" s="64">
        <v>2686513.5</v>
      </c>
      <c r="Y1758" s="64">
        <v>17000</v>
      </c>
      <c r="Z1758" s="64">
        <v>18700</v>
      </c>
      <c r="AD1758" s="60">
        <v>0</v>
      </c>
      <c r="AG1758" s="60">
        <v>0</v>
      </c>
      <c r="AJ1758" s="60">
        <v>0</v>
      </c>
      <c r="AM1758" s="60" t="s">
        <v>350</v>
      </c>
      <c r="AN1758" s="60" t="s">
        <v>4772</v>
      </c>
      <c r="AY1758" s="99">
        <f t="shared" si="10"/>
        <v>2360913</v>
      </c>
      <c r="AZ1758" s="99">
        <f>ROUNDDOWN(AY1758+(AY1758*MASTER!$A$2/100),0)</f>
        <v>2597004</v>
      </c>
      <c r="BC1758" s="64">
        <v>0</v>
      </c>
      <c r="BG1758" s="64">
        <v>0</v>
      </c>
      <c r="BK1758" s="64">
        <v>0</v>
      </c>
      <c r="BS1758" s="64">
        <v>0</v>
      </c>
      <c r="BV1758" s="65">
        <v>2686513.5</v>
      </c>
      <c r="BW1758" s="65">
        <v>0</v>
      </c>
      <c r="BX1758" s="65">
        <v>44813</v>
      </c>
      <c r="BY1758" s="65">
        <v>2686513.5</v>
      </c>
      <c r="BZ1758" s="81">
        <v>100</v>
      </c>
    </row>
    <row r="1759" spans="1:89" x14ac:dyDescent="0.15">
      <c r="A1759" s="60">
        <v>2</v>
      </c>
      <c r="B1759" s="61">
        <v>44820</v>
      </c>
      <c r="C1759" s="61">
        <v>44820</v>
      </c>
      <c r="D1759" s="61">
        <v>44816</v>
      </c>
      <c r="E1759" s="61">
        <v>44816</v>
      </c>
      <c r="F1759" s="61" t="s">
        <v>309</v>
      </c>
      <c r="G1759" s="61">
        <v>44816</v>
      </c>
      <c r="H1759" s="61" t="s">
        <v>309</v>
      </c>
      <c r="I1759" s="60" t="s">
        <v>766</v>
      </c>
      <c r="J1759" s="60">
        <v>2</v>
      </c>
      <c r="L1759" s="60">
        <v>0</v>
      </c>
      <c r="M1759" s="61">
        <v>44813</v>
      </c>
      <c r="O1759" s="62" t="s">
        <v>331</v>
      </c>
      <c r="P1759" s="60" t="s">
        <v>6</v>
      </c>
      <c r="Q1759" s="62" t="s">
        <v>46</v>
      </c>
      <c r="R1759" s="62" t="s">
        <v>4774</v>
      </c>
      <c r="S1759" s="63" t="s">
        <v>3341</v>
      </c>
      <c r="T1759" s="63" t="s">
        <v>364</v>
      </c>
      <c r="U1759" s="64">
        <v>35000</v>
      </c>
      <c r="V1759" s="64">
        <v>38500</v>
      </c>
      <c r="W1759" s="64">
        <v>35000</v>
      </c>
      <c r="X1759" s="64">
        <v>38500</v>
      </c>
      <c r="Z1759" s="64">
        <v>0</v>
      </c>
      <c r="AA1759" s="61">
        <v>44815</v>
      </c>
      <c r="AB1759" s="61">
        <v>44815</v>
      </c>
      <c r="AD1759" s="60">
        <v>0</v>
      </c>
      <c r="AG1759" s="60">
        <v>0</v>
      </c>
      <c r="AJ1759" s="60">
        <v>0</v>
      </c>
      <c r="AN1759" s="60" t="s">
        <v>309</v>
      </c>
      <c r="AQ1759" s="60" t="s">
        <v>4827</v>
      </c>
      <c r="AR1759" s="61">
        <v>44818</v>
      </c>
      <c r="AS1759" s="60">
        <v>6002073209</v>
      </c>
      <c r="AT1759" s="61">
        <v>44818</v>
      </c>
      <c r="AU1759" s="60" t="s">
        <v>4832</v>
      </c>
      <c r="AV1759" s="61">
        <v>44820</v>
      </c>
      <c r="AW1759" s="91">
        <v>44834</v>
      </c>
      <c r="AX1759" s="91">
        <v>44854</v>
      </c>
      <c r="AY1759" s="99">
        <v>33600</v>
      </c>
      <c r="AZ1759" s="99">
        <f>ROUNDDOWN(AY1759+(AY1759*MASTER!$A$2/100),0)</f>
        <v>36960</v>
      </c>
      <c r="BA1759" s="60" t="s">
        <v>318</v>
      </c>
      <c r="BB1759" s="64">
        <v>27000</v>
      </c>
      <c r="BC1759" s="64">
        <v>29700</v>
      </c>
      <c r="BD1759" s="60" t="s">
        <v>4182</v>
      </c>
      <c r="BG1759" s="64">
        <v>0</v>
      </c>
      <c r="BK1759" s="64">
        <v>0</v>
      </c>
      <c r="BS1759" s="64">
        <v>0</v>
      </c>
      <c r="BV1759" s="65">
        <v>38500</v>
      </c>
      <c r="BW1759" s="65">
        <v>29700</v>
      </c>
      <c r="BX1759" s="65">
        <v>44813</v>
      </c>
      <c r="BY1759" s="65">
        <v>8800</v>
      </c>
      <c r="BZ1759" s="81">
        <v>22.857142857142858</v>
      </c>
    </row>
    <row r="1760" spans="1:89" x14ac:dyDescent="0.15">
      <c r="A1760" s="60">
        <v>2</v>
      </c>
      <c r="B1760" s="61">
        <v>44824</v>
      </c>
      <c r="C1760" s="61">
        <v>44826</v>
      </c>
      <c r="D1760" s="61">
        <v>44813</v>
      </c>
      <c r="E1760" s="61">
        <v>44813</v>
      </c>
      <c r="F1760" s="61" t="s">
        <v>309</v>
      </c>
      <c r="G1760" s="61">
        <v>44813</v>
      </c>
      <c r="H1760" s="61" t="s">
        <v>309</v>
      </c>
      <c r="I1760" s="60" t="s">
        <v>766</v>
      </c>
      <c r="J1760" s="60">
        <v>2</v>
      </c>
      <c r="L1760" s="60">
        <v>0</v>
      </c>
      <c r="M1760" s="61">
        <v>44813</v>
      </c>
      <c r="O1760" s="62" t="s">
        <v>331</v>
      </c>
      <c r="P1760" s="60" t="s">
        <v>6</v>
      </c>
      <c r="Q1760" s="62" t="s">
        <v>46</v>
      </c>
      <c r="R1760" s="62" t="s">
        <v>4798</v>
      </c>
      <c r="S1760" s="63" t="s">
        <v>801</v>
      </c>
      <c r="T1760" s="63" t="s">
        <v>364</v>
      </c>
      <c r="U1760" s="64">
        <v>35000</v>
      </c>
      <c r="V1760" s="64">
        <v>38500</v>
      </c>
      <c r="W1760" s="64">
        <v>35000</v>
      </c>
      <c r="X1760" s="64">
        <v>38500</v>
      </c>
      <c r="Z1760" s="64">
        <v>0</v>
      </c>
      <c r="AA1760" s="61">
        <v>44812</v>
      </c>
      <c r="AB1760" s="61">
        <v>44812</v>
      </c>
      <c r="AD1760" s="60">
        <v>0</v>
      </c>
      <c r="AG1760" s="60">
        <v>0</v>
      </c>
      <c r="AJ1760" s="60">
        <v>0</v>
      </c>
      <c r="AN1760" s="60" t="s">
        <v>309</v>
      </c>
      <c r="AQ1760" s="60" t="s">
        <v>4849</v>
      </c>
      <c r="AR1760" s="61">
        <v>44820</v>
      </c>
      <c r="AS1760" s="60">
        <v>6002074179</v>
      </c>
      <c r="AT1760" s="61">
        <v>44820</v>
      </c>
      <c r="AU1760" s="60" t="s">
        <v>4860</v>
      </c>
      <c r="AV1760" s="61">
        <v>44826</v>
      </c>
      <c r="AW1760" s="91">
        <v>44834</v>
      </c>
      <c r="AX1760" s="91">
        <v>44854</v>
      </c>
      <c r="AY1760" s="99">
        <v>33600</v>
      </c>
      <c r="AZ1760" s="99">
        <f>ROUNDDOWN(AY1760+(AY1760*MASTER!$A$2/100),0)</f>
        <v>36960</v>
      </c>
      <c r="BA1760" s="60" t="s">
        <v>613</v>
      </c>
      <c r="BB1760" s="64">
        <v>26000</v>
      </c>
      <c r="BC1760" s="64">
        <v>28600</v>
      </c>
      <c r="BD1760" s="60" t="s">
        <v>4182</v>
      </c>
      <c r="BG1760" s="64">
        <v>0</v>
      </c>
      <c r="BK1760" s="64">
        <v>0</v>
      </c>
      <c r="BS1760" s="64">
        <v>0</v>
      </c>
      <c r="BV1760" s="65">
        <v>38500</v>
      </c>
      <c r="BW1760" s="65">
        <v>28600</v>
      </c>
      <c r="BX1760" s="65">
        <v>44813</v>
      </c>
      <c r="BY1760" s="65">
        <v>9900</v>
      </c>
      <c r="BZ1760" s="81">
        <v>25.714285714285712</v>
      </c>
    </row>
    <row r="1761" spans="1:89" x14ac:dyDescent="0.15">
      <c r="A1761" s="60">
        <v>1</v>
      </c>
      <c r="C1761" s="61" t="s">
        <v>309</v>
      </c>
      <c r="F1761" s="61" t="s">
        <v>309</v>
      </c>
      <c r="H1761" s="61" t="s">
        <v>309</v>
      </c>
      <c r="J1761" s="60">
        <v>1</v>
      </c>
      <c r="L1761" s="60">
        <v>0</v>
      </c>
      <c r="M1761" s="61">
        <v>44816</v>
      </c>
      <c r="O1761" s="62" t="s">
        <v>335</v>
      </c>
      <c r="P1761" s="60" t="s">
        <v>349</v>
      </c>
      <c r="Q1761" s="62" t="s">
        <v>4659</v>
      </c>
      <c r="R1761" s="62" t="s">
        <v>4793</v>
      </c>
      <c r="S1761" s="63" t="s">
        <v>4794</v>
      </c>
      <c r="T1761" s="63" t="s">
        <v>4795</v>
      </c>
      <c r="U1761" s="64">
        <v>305000</v>
      </c>
      <c r="V1761" s="64">
        <v>335500</v>
      </c>
      <c r="W1761" s="64">
        <v>293000</v>
      </c>
      <c r="X1761" s="64">
        <v>322300</v>
      </c>
      <c r="Y1761" s="64">
        <v>12000</v>
      </c>
      <c r="Z1761" s="64">
        <v>13200</v>
      </c>
      <c r="AD1761" s="60">
        <v>0</v>
      </c>
      <c r="AG1761" s="60">
        <v>0</v>
      </c>
      <c r="AJ1761" s="60">
        <v>0</v>
      </c>
      <c r="AM1761" s="60" t="s">
        <v>350</v>
      </c>
      <c r="AN1761" s="60" t="s">
        <v>4796</v>
      </c>
      <c r="AY1761" s="99">
        <f t="shared" si="10"/>
        <v>292800</v>
      </c>
      <c r="AZ1761" s="99">
        <f>ROUNDDOWN(AY1761+(AY1761*MASTER!$A$2/100),0)</f>
        <v>322080</v>
      </c>
      <c r="BC1761" s="64">
        <v>0</v>
      </c>
      <c r="BG1761" s="64">
        <v>0</v>
      </c>
      <c r="BK1761" s="64">
        <v>0</v>
      </c>
      <c r="BS1761" s="64">
        <v>0</v>
      </c>
      <c r="BV1761" s="65">
        <v>322300</v>
      </c>
      <c r="BW1761" s="65">
        <v>0</v>
      </c>
      <c r="BX1761" s="65">
        <v>44816</v>
      </c>
      <c r="BY1761" s="65">
        <v>322300</v>
      </c>
      <c r="BZ1761" s="81">
        <v>100</v>
      </c>
    </row>
    <row r="1762" spans="1:89" x14ac:dyDescent="0.15">
      <c r="A1762" s="60">
        <v>1</v>
      </c>
      <c r="C1762" s="61">
        <v>44872</v>
      </c>
      <c r="F1762" s="61" t="s">
        <v>309</v>
      </c>
      <c r="H1762" s="61" t="s">
        <v>309</v>
      </c>
      <c r="J1762" s="60">
        <v>1</v>
      </c>
      <c r="L1762" s="60">
        <v>0</v>
      </c>
      <c r="M1762" s="61">
        <v>44816</v>
      </c>
      <c r="O1762" s="62" t="s">
        <v>331</v>
      </c>
      <c r="P1762" s="60" t="s">
        <v>26</v>
      </c>
      <c r="Q1762" s="62" t="s">
        <v>46</v>
      </c>
      <c r="R1762" s="62" t="s">
        <v>5187</v>
      </c>
      <c r="S1762" s="63" t="s">
        <v>1212</v>
      </c>
      <c r="T1762" s="63" t="s">
        <v>5188</v>
      </c>
      <c r="U1762" s="64">
        <v>68200</v>
      </c>
      <c r="V1762" s="64">
        <v>75020</v>
      </c>
      <c r="W1762" s="64">
        <v>47000</v>
      </c>
      <c r="X1762" s="64">
        <v>51700</v>
      </c>
      <c r="Y1762" s="64">
        <v>21200</v>
      </c>
      <c r="Z1762" s="64">
        <v>23320</v>
      </c>
      <c r="AA1762" s="61">
        <v>44871</v>
      </c>
      <c r="AB1762" s="61">
        <v>44872</v>
      </c>
      <c r="AD1762" s="60">
        <v>0</v>
      </c>
      <c r="AG1762" s="60">
        <v>0</v>
      </c>
      <c r="AJ1762" s="60">
        <v>0</v>
      </c>
      <c r="AM1762" s="60" t="s">
        <v>273</v>
      </c>
      <c r="AN1762" s="60" t="s">
        <v>5189</v>
      </c>
      <c r="AQ1762" s="60" t="s">
        <v>5190</v>
      </c>
      <c r="AR1762" s="61">
        <v>44832</v>
      </c>
      <c r="AS1762" s="60">
        <v>6002077308</v>
      </c>
      <c r="AT1762" s="61">
        <v>44832</v>
      </c>
      <c r="AU1762" s="60" t="s">
        <v>5200</v>
      </c>
      <c r="AV1762" s="61">
        <v>44872</v>
      </c>
      <c r="AY1762" s="99">
        <v>65472</v>
      </c>
      <c r="AZ1762" s="99">
        <f>ROUNDDOWN(AY1762+(AY1762*MASTER!$A$2/100),0)</f>
        <v>72019</v>
      </c>
      <c r="BC1762" s="64">
        <v>0</v>
      </c>
      <c r="BG1762" s="64">
        <v>0</v>
      </c>
      <c r="BK1762" s="64">
        <v>0</v>
      </c>
      <c r="BS1762" s="64">
        <v>0</v>
      </c>
      <c r="BV1762" s="65">
        <v>51700</v>
      </c>
      <c r="BW1762" s="65">
        <v>0</v>
      </c>
      <c r="BX1762" s="65">
        <v>44816</v>
      </c>
      <c r="BY1762" s="65">
        <v>51700</v>
      </c>
      <c r="BZ1762" s="81">
        <v>100</v>
      </c>
    </row>
    <row r="1763" spans="1:89" x14ac:dyDescent="0.15">
      <c r="A1763" s="60">
        <v>1</v>
      </c>
      <c r="C1763" s="61" t="s">
        <v>309</v>
      </c>
      <c r="F1763" s="61" t="s">
        <v>309</v>
      </c>
      <c r="H1763" s="61" t="s">
        <v>309</v>
      </c>
      <c r="J1763" s="60">
        <v>4</v>
      </c>
      <c r="L1763" s="60">
        <v>0</v>
      </c>
      <c r="M1763" s="61">
        <v>44816</v>
      </c>
      <c r="O1763" s="62" t="s">
        <v>335</v>
      </c>
      <c r="P1763" s="60" t="s">
        <v>430</v>
      </c>
      <c r="Q1763" s="62" t="s">
        <v>4659</v>
      </c>
      <c r="R1763" s="62" t="s">
        <v>4806</v>
      </c>
      <c r="S1763" s="63" t="s">
        <v>602</v>
      </c>
      <c r="T1763" s="63" t="s">
        <v>4807</v>
      </c>
      <c r="U1763" s="64">
        <v>0</v>
      </c>
      <c r="V1763" s="64">
        <v>0</v>
      </c>
      <c r="W1763" s="64">
        <v>0</v>
      </c>
      <c r="X1763" s="64">
        <v>0</v>
      </c>
      <c r="Y1763" s="64">
        <v>0</v>
      </c>
      <c r="Z1763" s="64">
        <v>0</v>
      </c>
      <c r="AD1763" s="60">
        <v>0</v>
      </c>
      <c r="AG1763" s="60">
        <v>0</v>
      </c>
      <c r="AJ1763" s="60">
        <v>0</v>
      </c>
      <c r="AN1763" s="60" t="s">
        <v>309</v>
      </c>
      <c r="AY1763" s="99">
        <f t="shared" si="10"/>
        <v>0</v>
      </c>
      <c r="AZ1763" s="99">
        <f>ROUNDDOWN(AY1763+(AY1763*MASTER!$A$2/100),0)</f>
        <v>0</v>
      </c>
      <c r="BC1763" s="64">
        <v>0</v>
      </c>
      <c r="BG1763" s="64">
        <v>0</v>
      </c>
      <c r="BK1763" s="64">
        <v>0</v>
      </c>
      <c r="BS1763" s="64">
        <v>0</v>
      </c>
      <c r="BV1763" s="65">
        <v>0</v>
      </c>
      <c r="BW1763" s="65">
        <v>0</v>
      </c>
      <c r="BX1763" s="65">
        <v>44816</v>
      </c>
      <c r="BY1763" s="65">
        <v>0</v>
      </c>
      <c r="BZ1763" s="81" t="s">
        <v>309</v>
      </c>
    </row>
    <row r="1764" spans="1:89" x14ac:dyDescent="0.15">
      <c r="A1764" s="60">
        <v>1</v>
      </c>
      <c r="C1764" s="61" t="s">
        <v>309</v>
      </c>
      <c r="F1764" s="61" t="s">
        <v>309</v>
      </c>
      <c r="H1764" s="61" t="s">
        <v>309</v>
      </c>
      <c r="J1764" s="60">
        <v>4</v>
      </c>
      <c r="L1764" s="60">
        <v>0</v>
      </c>
      <c r="M1764" s="61">
        <v>44816</v>
      </c>
      <c r="O1764" s="62" t="s">
        <v>335</v>
      </c>
      <c r="P1764" s="60" t="s">
        <v>430</v>
      </c>
      <c r="Q1764" s="62" t="s">
        <v>4659</v>
      </c>
      <c r="R1764" s="62" t="s">
        <v>4808</v>
      </c>
      <c r="S1764" s="63" t="s">
        <v>602</v>
      </c>
      <c r="T1764" s="63" t="s">
        <v>4807</v>
      </c>
      <c r="U1764" s="64">
        <v>0</v>
      </c>
      <c r="V1764" s="64">
        <v>0</v>
      </c>
      <c r="X1764" s="64">
        <v>0</v>
      </c>
      <c r="Z1764" s="64">
        <v>0</v>
      </c>
      <c r="AD1764" s="60">
        <v>0</v>
      </c>
      <c r="AG1764" s="60">
        <v>0</v>
      </c>
      <c r="AJ1764" s="60">
        <v>0</v>
      </c>
      <c r="AN1764" s="60" t="s">
        <v>309</v>
      </c>
      <c r="AY1764" s="99">
        <f t="shared" si="10"/>
        <v>0</v>
      </c>
      <c r="AZ1764" s="99">
        <f>ROUNDDOWN(AY1764+(AY1764*MASTER!$A$2/100),0)</f>
        <v>0</v>
      </c>
      <c r="BC1764" s="64">
        <v>0</v>
      </c>
      <c r="BG1764" s="64">
        <v>0</v>
      </c>
      <c r="BK1764" s="64">
        <v>0</v>
      </c>
      <c r="BS1764" s="64">
        <v>0</v>
      </c>
      <c r="BV1764" s="65">
        <v>0</v>
      </c>
      <c r="BW1764" s="65">
        <v>0</v>
      </c>
      <c r="BX1764" s="65">
        <v>44816</v>
      </c>
      <c r="BY1764" s="65">
        <v>0</v>
      </c>
      <c r="BZ1764" s="81" t="s">
        <v>309</v>
      </c>
    </row>
    <row r="1765" spans="1:89" x14ac:dyDescent="0.15">
      <c r="A1765" s="60">
        <v>1</v>
      </c>
      <c r="B1765" s="61">
        <v>44826</v>
      </c>
      <c r="C1765" s="61">
        <v>44824</v>
      </c>
      <c r="F1765" s="61" t="s">
        <v>309</v>
      </c>
      <c r="H1765" s="61" t="s">
        <v>309</v>
      </c>
      <c r="J1765" s="60">
        <v>2</v>
      </c>
      <c r="L1765" s="60">
        <v>0</v>
      </c>
      <c r="M1765" s="61">
        <v>44817</v>
      </c>
      <c r="O1765" s="62" t="s">
        <v>331</v>
      </c>
      <c r="P1765" s="60" t="s">
        <v>77</v>
      </c>
      <c r="Q1765" s="62" t="s">
        <v>46</v>
      </c>
      <c r="R1765" s="62" t="s">
        <v>4809</v>
      </c>
      <c r="S1765" s="63" t="s">
        <v>489</v>
      </c>
      <c r="T1765" s="63" t="s">
        <v>883</v>
      </c>
      <c r="U1765" s="64">
        <v>7020</v>
      </c>
      <c r="V1765" s="64">
        <v>7722</v>
      </c>
      <c r="W1765" s="64">
        <v>7020</v>
      </c>
      <c r="X1765" s="64">
        <v>7722</v>
      </c>
      <c r="Y1765" s="64">
        <v>0</v>
      </c>
      <c r="Z1765" s="64">
        <v>0</v>
      </c>
      <c r="AD1765" s="60">
        <v>0</v>
      </c>
      <c r="AG1765" s="60">
        <v>0</v>
      </c>
      <c r="AJ1765" s="60">
        <v>0</v>
      </c>
      <c r="AQ1765" s="60" t="s">
        <v>4811</v>
      </c>
      <c r="AR1765" s="61">
        <v>44816</v>
      </c>
      <c r="AS1765" s="60">
        <v>6002072481</v>
      </c>
      <c r="AT1765" s="61">
        <v>44825</v>
      </c>
      <c r="AU1765" s="60" t="s">
        <v>4921</v>
      </c>
      <c r="AV1765" s="61">
        <v>44824</v>
      </c>
      <c r="AW1765" s="91">
        <v>44834</v>
      </c>
      <c r="AX1765" s="91">
        <v>44854</v>
      </c>
      <c r="AY1765" s="107">
        <v>7020</v>
      </c>
      <c r="AZ1765" s="107">
        <f>ROUNDDOWN(AY1765+(AY1765*MASTER!$A$2/100),0)</f>
        <v>7722</v>
      </c>
      <c r="BC1765" s="64">
        <v>0</v>
      </c>
      <c r="BG1765" s="64">
        <v>0</v>
      </c>
      <c r="BK1765" s="64">
        <v>0</v>
      </c>
      <c r="BS1765" s="64">
        <v>0</v>
      </c>
      <c r="BV1765" s="65">
        <v>7722</v>
      </c>
      <c r="BW1765" s="65">
        <v>0</v>
      </c>
      <c r="BX1765" s="65">
        <v>44817</v>
      </c>
      <c r="BY1765" s="65">
        <v>7722</v>
      </c>
      <c r="BZ1765" s="81">
        <v>100</v>
      </c>
    </row>
    <row r="1766" spans="1:89" x14ac:dyDescent="0.15">
      <c r="A1766" s="60">
        <v>1</v>
      </c>
      <c r="B1766" s="61">
        <v>44826</v>
      </c>
      <c r="C1766" s="61">
        <v>44824</v>
      </c>
      <c r="F1766" s="61" t="s">
        <v>309</v>
      </c>
      <c r="H1766" s="61" t="s">
        <v>309</v>
      </c>
      <c r="J1766" s="60">
        <v>2</v>
      </c>
      <c r="L1766" s="60">
        <v>0</v>
      </c>
      <c r="M1766" s="61">
        <v>44817</v>
      </c>
      <c r="O1766" s="62" t="s">
        <v>331</v>
      </c>
      <c r="P1766" s="60" t="s">
        <v>77</v>
      </c>
      <c r="Q1766" s="62" t="s">
        <v>46</v>
      </c>
      <c r="R1766" s="62" t="s">
        <v>4810</v>
      </c>
      <c r="S1766" s="63" t="s">
        <v>489</v>
      </c>
      <c r="T1766" s="63" t="s">
        <v>883</v>
      </c>
      <c r="U1766" s="64">
        <v>7020</v>
      </c>
      <c r="V1766" s="64">
        <v>7722</v>
      </c>
      <c r="W1766" s="64">
        <v>7020</v>
      </c>
      <c r="X1766" s="64">
        <v>7722</v>
      </c>
      <c r="Y1766" s="64">
        <v>0</v>
      </c>
      <c r="Z1766" s="64">
        <v>0</v>
      </c>
      <c r="AD1766" s="60">
        <v>0</v>
      </c>
      <c r="AG1766" s="60">
        <v>0</v>
      </c>
      <c r="AJ1766" s="60">
        <v>0</v>
      </c>
      <c r="AQ1766" s="60" t="s">
        <v>4812</v>
      </c>
      <c r="AR1766" s="61">
        <v>44816</v>
      </c>
      <c r="AS1766" s="60">
        <v>6002072481</v>
      </c>
      <c r="AT1766" s="61">
        <v>44825</v>
      </c>
      <c r="AU1766" s="60" t="s">
        <v>4921</v>
      </c>
      <c r="AV1766" s="61">
        <v>44824</v>
      </c>
      <c r="AW1766" s="91">
        <v>44834</v>
      </c>
      <c r="AX1766" s="91">
        <v>44854</v>
      </c>
      <c r="AY1766" s="107">
        <v>7020</v>
      </c>
      <c r="AZ1766" s="107">
        <f>ROUNDDOWN(AY1766+(AY1766*MASTER!$A$2/100),0)</f>
        <v>7722</v>
      </c>
      <c r="BC1766" s="64">
        <v>0</v>
      </c>
      <c r="BG1766" s="64">
        <v>0</v>
      </c>
      <c r="BK1766" s="64">
        <v>0</v>
      </c>
      <c r="BS1766" s="64">
        <v>0</v>
      </c>
      <c r="BV1766" s="65">
        <v>7722</v>
      </c>
      <c r="BW1766" s="65">
        <v>0</v>
      </c>
      <c r="BX1766" s="65">
        <v>44817</v>
      </c>
      <c r="BY1766" s="65">
        <v>7722</v>
      </c>
      <c r="BZ1766" s="81">
        <v>100</v>
      </c>
    </row>
    <row r="1767" spans="1:89" x14ac:dyDescent="0.15">
      <c r="A1767" s="60">
        <v>2</v>
      </c>
      <c r="B1767" s="61">
        <v>44824</v>
      </c>
      <c r="C1767" s="61">
        <v>44826</v>
      </c>
      <c r="D1767" s="61">
        <v>44817</v>
      </c>
      <c r="E1767" s="61">
        <v>44817</v>
      </c>
      <c r="F1767" s="61" t="s">
        <v>309</v>
      </c>
      <c r="G1767" s="61">
        <v>44817</v>
      </c>
      <c r="H1767" s="61" t="s">
        <v>309</v>
      </c>
      <c r="I1767" s="60" t="s">
        <v>766</v>
      </c>
      <c r="J1767" s="60">
        <v>2</v>
      </c>
      <c r="L1767" s="60">
        <v>0</v>
      </c>
      <c r="M1767" s="61">
        <v>44817</v>
      </c>
      <c r="O1767" s="62" t="s">
        <v>331</v>
      </c>
      <c r="P1767" s="60" t="s">
        <v>6</v>
      </c>
      <c r="Q1767" s="62" t="s">
        <v>46</v>
      </c>
      <c r="R1767" s="62" t="s">
        <v>4813</v>
      </c>
      <c r="S1767" s="63" t="s">
        <v>371</v>
      </c>
      <c r="T1767" s="63" t="s">
        <v>364</v>
      </c>
      <c r="U1767" s="64">
        <v>35000</v>
      </c>
      <c r="V1767" s="64">
        <v>38500</v>
      </c>
      <c r="W1767" s="64">
        <v>35000</v>
      </c>
      <c r="X1767" s="64">
        <v>38500</v>
      </c>
      <c r="Z1767" s="64">
        <v>0</v>
      </c>
      <c r="AA1767" s="61">
        <v>44816</v>
      </c>
      <c r="AB1767" s="61">
        <v>44816</v>
      </c>
      <c r="AD1767" s="60">
        <v>0</v>
      </c>
      <c r="AG1767" s="60">
        <v>0</v>
      </c>
      <c r="AJ1767" s="60">
        <v>0</v>
      </c>
      <c r="AN1767" s="60" t="s">
        <v>309</v>
      </c>
      <c r="AQ1767" s="60" t="s">
        <v>4848</v>
      </c>
      <c r="AR1767" s="61">
        <v>44820</v>
      </c>
      <c r="AS1767" s="60">
        <v>6002074179</v>
      </c>
      <c r="AT1767" s="61">
        <v>44820</v>
      </c>
      <c r="AU1767" s="60" t="s">
        <v>4860</v>
      </c>
      <c r="AV1767" s="61">
        <v>44826</v>
      </c>
      <c r="AW1767" s="91">
        <v>44834</v>
      </c>
      <c r="AX1767" s="91">
        <v>44854</v>
      </c>
      <c r="AY1767" s="99">
        <v>33600</v>
      </c>
      <c r="AZ1767" s="99">
        <f>ROUNDDOWN(AY1767+(AY1767*MASTER!$A$2/100),0)</f>
        <v>36960</v>
      </c>
      <c r="BA1767" s="60" t="s">
        <v>314</v>
      </c>
      <c r="BB1767" s="64">
        <v>21000</v>
      </c>
      <c r="BC1767" s="64">
        <v>23100</v>
      </c>
      <c r="BD1767" s="60" t="s">
        <v>4182</v>
      </c>
      <c r="BG1767" s="64">
        <v>0</v>
      </c>
      <c r="BK1767" s="64">
        <v>0</v>
      </c>
      <c r="BS1767" s="64">
        <v>0</v>
      </c>
      <c r="BV1767" s="65">
        <v>38500</v>
      </c>
      <c r="BW1767" s="65">
        <v>23100</v>
      </c>
      <c r="BX1767" s="65">
        <v>44817</v>
      </c>
      <c r="BY1767" s="65">
        <v>15400</v>
      </c>
      <c r="BZ1767" s="81">
        <v>40</v>
      </c>
    </row>
    <row r="1768" spans="1:89" s="152" customFormat="1" x14ac:dyDescent="0.15">
      <c r="A1768" s="142">
        <v>3</v>
      </c>
      <c r="B1768" s="143"/>
      <c r="C1768" s="143" t="s">
        <v>309</v>
      </c>
      <c r="D1768" s="143"/>
      <c r="E1768" s="143"/>
      <c r="F1768" s="143" t="s">
        <v>309</v>
      </c>
      <c r="G1768" s="143"/>
      <c r="H1768" s="143" t="s">
        <v>309</v>
      </c>
      <c r="I1768" s="142"/>
      <c r="J1768" s="142">
        <v>3</v>
      </c>
      <c r="K1768" s="143"/>
      <c r="L1768" s="142">
        <v>0</v>
      </c>
      <c r="M1768" s="143">
        <v>44818</v>
      </c>
      <c r="N1768" s="143"/>
      <c r="O1768" s="144" t="s">
        <v>331</v>
      </c>
      <c r="P1768" s="142" t="s">
        <v>26</v>
      </c>
      <c r="Q1768" s="144" t="s">
        <v>46</v>
      </c>
      <c r="R1768" s="144" t="s">
        <v>4871</v>
      </c>
      <c r="S1768" s="145" t="s">
        <v>326</v>
      </c>
      <c r="T1768" s="145" t="s">
        <v>4872</v>
      </c>
      <c r="U1768" s="146">
        <v>15000</v>
      </c>
      <c r="V1768" s="146">
        <v>16500</v>
      </c>
      <c r="W1768" s="146"/>
      <c r="X1768" s="146">
        <v>0</v>
      </c>
      <c r="Y1768" s="146">
        <v>15000</v>
      </c>
      <c r="Z1768" s="146">
        <v>16500</v>
      </c>
      <c r="AA1768" s="143"/>
      <c r="AB1768" s="143"/>
      <c r="AC1768" s="143"/>
      <c r="AD1768" s="142">
        <v>0</v>
      </c>
      <c r="AE1768" s="142"/>
      <c r="AF1768" s="142"/>
      <c r="AG1768" s="142">
        <v>0</v>
      </c>
      <c r="AH1768" s="142"/>
      <c r="AI1768" s="142"/>
      <c r="AJ1768" s="142">
        <v>0</v>
      </c>
      <c r="AK1768" s="142"/>
      <c r="AL1768" s="142"/>
      <c r="AM1768" s="142"/>
      <c r="AN1768" s="142" t="s">
        <v>309</v>
      </c>
      <c r="AO1768" s="143"/>
      <c r="AP1768" s="142"/>
      <c r="AQ1768" s="142"/>
      <c r="AR1768" s="143"/>
      <c r="AS1768" s="142"/>
      <c r="AT1768" s="143"/>
      <c r="AU1768" s="142"/>
      <c r="AV1768" s="143"/>
      <c r="AW1768" s="147"/>
      <c r="AX1768" s="147"/>
      <c r="AY1768" s="154">
        <v>15000</v>
      </c>
      <c r="AZ1768" s="154">
        <f>ROUNDDOWN(AY1768+(AY1768*MASTER!$A$2/100),0)</f>
        <v>16500</v>
      </c>
      <c r="BA1768" s="142"/>
      <c r="BB1768" s="146"/>
      <c r="BC1768" s="146">
        <v>0</v>
      </c>
      <c r="BD1768" s="142"/>
      <c r="BE1768" s="142"/>
      <c r="BF1768" s="146"/>
      <c r="BG1768" s="146">
        <v>0</v>
      </c>
      <c r="BH1768" s="142"/>
      <c r="BI1768" s="142"/>
      <c r="BJ1768" s="146"/>
      <c r="BK1768" s="146">
        <v>0</v>
      </c>
      <c r="BL1768" s="142"/>
      <c r="BM1768" s="146"/>
      <c r="BN1768" s="146"/>
      <c r="BO1768" s="146"/>
      <c r="BP1768" s="146"/>
      <c r="BQ1768" s="146"/>
      <c r="BR1768" s="146"/>
      <c r="BS1768" s="146">
        <v>0</v>
      </c>
      <c r="BT1768" s="149"/>
      <c r="BU1768" s="149"/>
      <c r="BV1768" s="150">
        <v>0</v>
      </c>
      <c r="BW1768" s="150">
        <v>0</v>
      </c>
      <c r="BX1768" s="150">
        <v>44818</v>
      </c>
      <c r="BY1768" s="150">
        <v>0</v>
      </c>
      <c r="BZ1768" s="151" t="s">
        <v>309</v>
      </c>
      <c r="CA1768" s="142"/>
      <c r="CB1768" s="142"/>
      <c r="CC1768" s="142"/>
      <c r="CD1768" s="145" t="s">
        <v>4873</v>
      </c>
      <c r="CE1768" s="143"/>
      <c r="CF1768" s="143"/>
      <c r="CG1768" s="143"/>
      <c r="CH1768" s="143"/>
      <c r="CI1768" s="143"/>
      <c r="CJ1768" s="143"/>
      <c r="CK1768" s="146"/>
    </row>
    <row r="1769" spans="1:89" x14ac:dyDescent="0.15">
      <c r="A1769" s="60">
        <v>1</v>
      </c>
      <c r="B1769" s="61">
        <v>44826</v>
      </c>
      <c r="C1769" s="61">
        <v>44825</v>
      </c>
      <c r="F1769" s="61" t="s">
        <v>309</v>
      </c>
      <c r="H1769" s="61" t="s">
        <v>309</v>
      </c>
      <c r="J1769" s="60">
        <v>2</v>
      </c>
      <c r="L1769" s="60">
        <v>0</v>
      </c>
      <c r="M1769" s="61">
        <v>44818</v>
      </c>
      <c r="O1769" s="62" t="s">
        <v>331</v>
      </c>
      <c r="P1769" s="60" t="s">
        <v>26</v>
      </c>
      <c r="Q1769" s="62" t="s">
        <v>46</v>
      </c>
      <c r="R1769" s="62" t="s">
        <v>4865</v>
      </c>
      <c r="S1769" s="63" t="s">
        <v>326</v>
      </c>
      <c r="T1769" s="63" t="s">
        <v>4866</v>
      </c>
      <c r="U1769" s="64">
        <v>24000</v>
      </c>
      <c r="V1769" s="64">
        <v>26400</v>
      </c>
      <c r="W1769" s="64">
        <v>24000</v>
      </c>
      <c r="X1769" s="64">
        <v>26400</v>
      </c>
      <c r="Y1769" s="64">
        <v>0</v>
      </c>
      <c r="Z1769" s="64">
        <v>0</v>
      </c>
      <c r="AA1769" s="61">
        <v>44816</v>
      </c>
      <c r="AB1769" s="61">
        <v>44817</v>
      </c>
      <c r="AD1769" s="60">
        <v>0</v>
      </c>
      <c r="AG1769" s="60">
        <v>0</v>
      </c>
      <c r="AJ1769" s="60">
        <v>0</v>
      </c>
      <c r="AN1769" s="60" t="s">
        <v>309</v>
      </c>
      <c r="AQ1769" s="60" t="s">
        <v>4846</v>
      </c>
      <c r="AR1769" s="61">
        <v>44820</v>
      </c>
      <c r="AS1769" s="60">
        <v>6002074180</v>
      </c>
      <c r="AT1769" s="61">
        <v>44820</v>
      </c>
      <c r="AU1769" s="60" t="s">
        <v>4867</v>
      </c>
      <c r="AV1769" s="61">
        <v>44825</v>
      </c>
      <c r="AW1769" s="91">
        <v>44834</v>
      </c>
      <c r="AX1769" s="91">
        <v>44854</v>
      </c>
      <c r="AY1769" s="107">
        <v>24000</v>
      </c>
      <c r="AZ1769" s="107">
        <f>ROUNDDOWN(AY1769+(AY1769*MASTER!$A$2/100),0)</f>
        <v>26400</v>
      </c>
      <c r="BC1769" s="64">
        <v>0</v>
      </c>
      <c r="BG1769" s="64">
        <v>0</v>
      </c>
      <c r="BK1769" s="64">
        <v>0</v>
      </c>
      <c r="BS1769" s="64">
        <v>0</v>
      </c>
      <c r="BV1769" s="65">
        <v>26400</v>
      </c>
      <c r="BW1769" s="65">
        <v>0</v>
      </c>
      <c r="BX1769" s="65">
        <v>44818</v>
      </c>
      <c r="BY1769" s="65">
        <v>26400</v>
      </c>
      <c r="BZ1769" s="81">
        <v>100</v>
      </c>
    </row>
    <row r="1770" spans="1:89" x14ac:dyDescent="0.15">
      <c r="A1770" s="60">
        <v>1</v>
      </c>
      <c r="C1770" s="61" t="s">
        <v>309</v>
      </c>
      <c r="F1770" s="61" t="s">
        <v>309</v>
      </c>
      <c r="H1770" s="61" t="s">
        <v>309</v>
      </c>
      <c r="J1770" s="60">
        <v>2</v>
      </c>
      <c r="L1770" s="60">
        <v>0</v>
      </c>
      <c r="M1770" s="61">
        <v>44819</v>
      </c>
      <c r="O1770" s="62" t="s">
        <v>335</v>
      </c>
      <c r="P1770" s="60" t="s">
        <v>349</v>
      </c>
      <c r="Q1770" s="62" t="s">
        <v>4659</v>
      </c>
      <c r="R1770" s="62" t="s">
        <v>4828</v>
      </c>
      <c r="S1770" s="63" t="s">
        <v>4829</v>
      </c>
      <c r="T1770" s="63" t="s">
        <v>4830</v>
      </c>
      <c r="U1770" s="64">
        <v>480000</v>
      </c>
      <c r="V1770" s="64">
        <v>528000</v>
      </c>
      <c r="W1770" s="64">
        <v>480000</v>
      </c>
      <c r="X1770" s="64">
        <v>528000</v>
      </c>
      <c r="Z1770" s="64">
        <v>0</v>
      </c>
      <c r="AA1770" s="61">
        <v>44831</v>
      </c>
      <c r="AB1770" s="61">
        <v>44835</v>
      </c>
      <c r="AD1770" s="60">
        <v>0</v>
      </c>
      <c r="AG1770" s="60">
        <v>0</v>
      </c>
      <c r="AJ1770" s="60">
        <v>0</v>
      </c>
      <c r="AM1770" s="60" t="s">
        <v>350</v>
      </c>
      <c r="AN1770" s="60" t="s">
        <v>4831</v>
      </c>
      <c r="AY1770" s="99">
        <f>ROUNDDOWN((0.96*U1770),0)</f>
        <v>460800</v>
      </c>
      <c r="AZ1770" s="99">
        <f>ROUNDDOWN(AY1770+(AY1770*MASTER!$A$2/100),0)</f>
        <v>506880</v>
      </c>
      <c r="BC1770" s="64">
        <v>0</v>
      </c>
      <c r="BG1770" s="64">
        <v>0</v>
      </c>
      <c r="BK1770" s="64">
        <v>0</v>
      </c>
      <c r="BS1770" s="64">
        <v>0</v>
      </c>
      <c r="BV1770" s="65">
        <v>528000</v>
      </c>
      <c r="BW1770" s="65">
        <v>0</v>
      </c>
      <c r="BX1770" s="65">
        <v>44819</v>
      </c>
      <c r="BY1770" s="65">
        <v>528000</v>
      </c>
      <c r="BZ1770" s="81">
        <v>100</v>
      </c>
    </row>
    <row r="1771" spans="1:89" x14ac:dyDescent="0.15">
      <c r="A1771" s="60">
        <v>1</v>
      </c>
      <c r="C1771" s="61">
        <v>44864</v>
      </c>
      <c r="F1771" s="61" t="s">
        <v>309</v>
      </c>
      <c r="H1771" s="61" t="s">
        <v>309</v>
      </c>
      <c r="J1771" s="60">
        <v>1</v>
      </c>
      <c r="L1771" s="60">
        <v>0</v>
      </c>
      <c r="M1771" s="61">
        <v>44819</v>
      </c>
      <c r="O1771" s="62" t="s">
        <v>331</v>
      </c>
      <c r="P1771" s="60" t="s">
        <v>26</v>
      </c>
      <c r="Q1771" s="62" t="s">
        <v>46</v>
      </c>
      <c r="R1771" s="62" t="s">
        <v>5179</v>
      </c>
      <c r="S1771" s="63" t="s">
        <v>1073</v>
      </c>
      <c r="T1771" s="63" t="s">
        <v>5180</v>
      </c>
      <c r="U1771" s="64">
        <v>202500</v>
      </c>
      <c r="V1771" s="64">
        <v>222750</v>
      </c>
      <c r="W1771" s="64">
        <v>110000</v>
      </c>
      <c r="X1771" s="64">
        <v>121000</v>
      </c>
      <c r="Y1771" s="64">
        <v>92500</v>
      </c>
      <c r="Z1771" s="64">
        <v>101750</v>
      </c>
      <c r="AD1771" s="60">
        <v>0</v>
      </c>
      <c r="AG1771" s="60">
        <v>0</v>
      </c>
      <c r="AJ1771" s="60">
        <v>0</v>
      </c>
      <c r="AM1771" s="60" t="s">
        <v>273</v>
      </c>
      <c r="AN1771" s="60" t="s">
        <v>5181</v>
      </c>
      <c r="AQ1771" s="60" t="s">
        <v>5182</v>
      </c>
      <c r="AR1771" s="61">
        <v>44832</v>
      </c>
      <c r="AS1771" s="60">
        <v>6002077308</v>
      </c>
      <c r="AT1771" s="61">
        <v>44832</v>
      </c>
      <c r="AU1771" s="60" t="s">
        <v>5200</v>
      </c>
      <c r="AV1771" s="61">
        <v>44864</v>
      </c>
      <c r="AY1771" s="99">
        <v>194400</v>
      </c>
      <c r="AZ1771" s="99">
        <f>ROUNDDOWN(AY1771+(AY1771*MASTER!$A$2/100),0)</f>
        <v>213840</v>
      </c>
      <c r="BC1771" s="64">
        <v>0</v>
      </c>
      <c r="BG1771" s="64">
        <v>0</v>
      </c>
      <c r="BK1771" s="64">
        <v>0</v>
      </c>
      <c r="BS1771" s="64">
        <v>0</v>
      </c>
      <c r="BV1771" s="65">
        <v>121000</v>
      </c>
      <c r="BW1771" s="65">
        <v>0</v>
      </c>
      <c r="BX1771" s="65">
        <v>44819</v>
      </c>
      <c r="BY1771" s="65">
        <v>121000</v>
      </c>
      <c r="BZ1771" s="81">
        <v>100</v>
      </c>
    </row>
    <row r="1772" spans="1:89" s="152" customFormat="1" x14ac:dyDescent="0.15">
      <c r="A1772" s="142">
        <v>3</v>
      </c>
      <c r="B1772" s="143"/>
      <c r="C1772" s="143" t="s">
        <v>309</v>
      </c>
      <c r="D1772" s="143"/>
      <c r="E1772" s="143"/>
      <c r="F1772" s="143" t="s">
        <v>309</v>
      </c>
      <c r="G1772" s="143"/>
      <c r="H1772" s="143" t="s">
        <v>309</v>
      </c>
      <c r="I1772" s="142"/>
      <c r="J1772" s="142">
        <v>1</v>
      </c>
      <c r="K1772" s="143"/>
      <c r="L1772" s="142">
        <v>0</v>
      </c>
      <c r="M1772" s="143">
        <v>44819</v>
      </c>
      <c r="N1772" s="143"/>
      <c r="O1772" s="144" t="s">
        <v>331</v>
      </c>
      <c r="P1772" s="142" t="s">
        <v>26</v>
      </c>
      <c r="Q1772" s="144" t="s">
        <v>46</v>
      </c>
      <c r="R1772" s="144" t="s">
        <v>4861</v>
      </c>
      <c r="S1772" s="145" t="s">
        <v>4730</v>
      </c>
      <c r="T1772" s="145" t="s">
        <v>4862</v>
      </c>
      <c r="U1772" s="146">
        <v>23900</v>
      </c>
      <c r="V1772" s="146">
        <v>26290</v>
      </c>
      <c r="W1772" s="146">
        <v>14700</v>
      </c>
      <c r="X1772" s="146">
        <v>16170</v>
      </c>
      <c r="Y1772" s="146">
        <v>9200</v>
      </c>
      <c r="Z1772" s="146">
        <v>10120</v>
      </c>
      <c r="AA1772" s="143">
        <v>44834</v>
      </c>
      <c r="AB1772" s="143">
        <v>44835</v>
      </c>
      <c r="AC1772" s="143"/>
      <c r="AD1772" s="142">
        <v>0</v>
      </c>
      <c r="AE1772" s="142"/>
      <c r="AF1772" s="142"/>
      <c r="AG1772" s="142">
        <v>0</v>
      </c>
      <c r="AH1772" s="142"/>
      <c r="AI1772" s="142"/>
      <c r="AJ1772" s="142">
        <v>0</v>
      </c>
      <c r="AK1772" s="142"/>
      <c r="AL1772" s="142"/>
      <c r="AM1772" s="142" t="s">
        <v>273</v>
      </c>
      <c r="AN1772" s="142" t="s">
        <v>4863</v>
      </c>
      <c r="AO1772" s="143"/>
      <c r="AP1772" s="142"/>
      <c r="AQ1772" s="142"/>
      <c r="AR1772" s="143"/>
      <c r="AS1772" s="142"/>
      <c r="AT1772" s="143"/>
      <c r="AU1772" s="142"/>
      <c r="AV1772" s="143"/>
      <c r="AW1772" s="147"/>
      <c r="AX1772" s="147"/>
      <c r="AY1772" s="148">
        <v>22944</v>
      </c>
      <c r="AZ1772" s="148">
        <f>ROUNDDOWN(AY1772+(AY1772*MASTER!$A$2/100),0)</f>
        <v>25238</v>
      </c>
      <c r="BA1772" s="142"/>
      <c r="BB1772" s="146"/>
      <c r="BC1772" s="146">
        <v>0</v>
      </c>
      <c r="BD1772" s="142"/>
      <c r="BE1772" s="142"/>
      <c r="BF1772" s="146"/>
      <c r="BG1772" s="146">
        <v>0</v>
      </c>
      <c r="BH1772" s="142"/>
      <c r="BI1772" s="142"/>
      <c r="BJ1772" s="146"/>
      <c r="BK1772" s="146">
        <v>0</v>
      </c>
      <c r="BL1772" s="142"/>
      <c r="BM1772" s="146"/>
      <c r="BN1772" s="146"/>
      <c r="BO1772" s="146"/>
      <c r="BP1772" s="146"/>
      <c r="BQ1772" s="146"/>
      <c r="BR1772" s="146"/>
      <c r="BS1772" s="146">
        <v>0</v>
      </c>
      <c r="BT1772" s="149"/>
      <c r="BU1772" s="149"/>
      <c r="BV1772" s="150">
        <v>16170</v>
      </c>
      <c r="BW1772" s="150">
        <v>0</v>
      </c>
      <c r="BX1772" s="150">
        <v>44819</v>
      </c>
      <c r="BY1772" s="150">
        <v>16170</v>
      </c>
      <c r="BZ1772" s="151">
        <v>100</v>
      </c>
      <c r="CA1772" s="142"/>
      <c r="CB1772" s="142"/>
      <c r="CC1772" s="142"/>
      <c r="CD1772" s="145" t="s">
        <v>4864</v>
      </c>
      <c r="CE1772" s="143"/>
      <c r="CF1772" s="143"/>
      <c r="CG1772" s="143"/>
      <c r="CH1772" s="143"/>
      <c r="CI1772" s="143"/>
      <c r="CJ1772" s="143"/>
      <c r="CK1772" s="146"/>
    </row>
    <row r="1773" spans="1:89" x14ac:dyDescent="0.15">
      <c r="A1773" s="60">
        <v>1</v>
      </c>
      <c r="C1773" s="61">
        <v>44864</v>
      </c>
      <c r="F1773" s="61" t="s">
        <v>309</v>
      </c>
      <c r="H1773" s="61" t="s">
        <v>309</v>
      </c>
      <c r="J1773" s="60">
        <v>1</v>
      </c>
      <c r="L1773" s="60">
        <v>0</v>
      </c>
      <c r="M1773" s="61">
        <v>44819</v>
      </c>
      <c r="O1773" s="62" t="s">
        <v>331</v>
      </c>
      <c r="P1773" s="60" t="s">
        <v>26</v>
      </c>
      <c r="Q1773" s="62" t="s">
        <v>46</v>
      </c>
      <c r="R1773" s="62" t="s">
        <v>5183</v>
      </c>
      <c r="S1773" s="63" t="s">
        <v>388</v>
      </c>
      <c r="T1773" s="63" t="s">
        <v>3657</v>
      </c>
      <c r="U1773" s="64">
        <v>185795</v>
      </c>
      <c r="V1773" s="64">
        <v>204374.5</v>
      </c>
      <c r="W1773" s="64">
        <v>118295</v>
      </c>
      <c r="X1773" s="64">
        <v>130124.5</v>
      </c>
      <c r="Y1773" s="64">
        <v>67500</v>
      </c>
      <c r="Z1773" s="64">
        <v>74250</v>
      </c>
      <c r="AD1773" s="60">
        <v>0</v>
      </c>
      <c r="AG1773" s="60">
        <v>0</v>
      </c>
      <c r="AJ1773" s="60">
        <v>0</v>
      </c>
      <c r="AM1773" s="60" t="s">
        <v>273</v>
      </c>
      <c r="AN1773" s="60" t="s">
        <v>5184</v>
      </c>
      <c r="AQ1773" s="60" t="s">
        <v>5185</v>
      </c>
      <c r="AR1773" s="61">
        <v>44832</v>
      </c>
      <c r="AS1773" s="60">
        <v>6002077308</v>
      </c>
      <c r="AT1773" s="61">
        <v>44832</v>
      </c>
      <c r="AU1773" s="60" t="s">
        <v>5200</v>
      </c>
      <c r="AV1773" s="61">
        <v>44864</v>
      </c>
      <c r="AY1773" s="99">
        <v>178363</v>
      </c>
      <c r="AZ1773" s="99">
        <f>ROUNDDOWN(AY1773+(AY1773*MASTER!$A$2/100),0)</f>
        <v>196199</v>
      </c>
      <c r="BC1773" s="64">
        <v>0</v>
      </c>
      <c r="BG1773" s="64">
        <v>0</v>
      </c>
      <c r="BK1773" s="64">
        <v>0</v>
      </c>
      <c r="BS1773" s="64">
        <v>0</v>
      </c>
      <c r="BV1773" s="65">
        <v>130124.5</v>
      </c>
      <c r="BW1773" s="65">
        <v>0</v>
      </c>
      <c r="BX1773" s="65">
        <v>44819</v>
      </c>
      <c r="BY1773" s="65">
        <v>130124.5</v>
      </c>
      <c r="BZ1773" s="81">
        <v>100</v>
      </c>
    </row>
    <row r="1774" spans="1:89" s="152" customFormat="1" x14ac:dyDescent="0.15">
      <c r="A1774" s="142">
        <v>3</v>
      </c>
      <c r="B1774" s="143"/>
      <c r="C1774" s="143" t="s">
        <v>309</v>
      </c>
      <c r="D1774" s="143"/>
      <c r="E1774" s="143"/>
      <c r="F1774" s="143" t="s">
        <v>309</v>
      </c>
      <c r="G1774" s="143"/>
      <c r="H1774" s="143" t="s">
        <v>309</v>
      </c>
      <c r="I1774" s="142"/>
      <c r="J1774" s="142">
        <v>3</v>
      </c>
      <c r="K1774" s="143"/>
      <c r="L1774" s="142">
        <v>0</v>
      </c>
      <c r="M1774" s="143">
        <v>44820</v>
      </c>
      <c r="N1774" s="143"/>
      <c r="O1774" s="144" t="s">
        <v>331</v>
      </c>
      <c r="P1774" s="142" t="s">
        <v>6</v>
      </c>
      <c r="Q1774" s="144" t="s">
        <v>46</v>
      </c>
      <c r="R1774" s="144" t="s">
        <v>4845</v>
      </c>
      <c r="S1774" s="145" t="s">
        <v>462</v>
      </c>
      <c r="T1774" s="145" t="s">
        <v>364</v>
      </c>
      <c r="U1774" s="146">
        <v>9000</v>
      </c>
      <c r="V1774" s="146">
        <v>9900</v>
      </c>
      <c r="W1774" s="146"/>
      <c r="X1774" s="146">
        <v>0</v>
      </c>
      <c r="Y1774" s="146">
        <v>9000</v>
      </c>
      <c r="Z1774" s="146">
        <v>9900</v>
      </c>
      <c r="AA1774" s="143"/>
      <c r="AB1774" s="143"/>
      <c r="AC1774" s="143"/>
      <c r="AD1774" s="142">
        <v>0</v>
      </c>
      <c r="AE1774" s="142"/>
      <c r="AF1774" s="142"/>
      <c r="AG1774" s="142">
        <v>0</v>
      </c>
      <c r="AH1774" s="142"/>
      <c r="AI1774" s="142"/>
      <c r="AJ1774" s="142">
        <v>0</v>
      </c>
      <c r="AK1774" s="142"/>
      <c r="AL1774" s="142"/>
      <c r="AM1774" s="142"/>
      <c r="AN1774" s="142" t="s">
        <v>309</v>
      </c>
      <c r="AO1774" s="143"/>
      <c r="AP1774" s="142"/>
      <c r="AQ1774" s="142"/>
      <c r="AR1774" s="143"/>
      <c r="AS1774" s="142"/>
      <c r="AT1774" s="143"/>
      <c r="AU1774" s="142"/>
      <c r="AV1774" s="143"/>
      <c r="AW1774" s="147"/>
      <c r="AX1774" s="147"/>
      <c r="AY1774" s="99">
        <f>ROUNDDOWN((0.96*U1774),0)</f>
        <v>8640</v>
      </c>
      <c r="AZ1774" s="99">
        <f>ROUNDDOWN(AY1774+(AY1774*MASTER!$A$2/100),0)</f>
        <v>9504</v>
      </c>
      <c r="BA1774" s="142"/>
      <c r="BB1774" s="146"/>
      <c r="BC1774" s="146">
        <v>0</v>
      </c>
      <c r="BD1774" s="142"/>
      <c r="BE1774" s="142"/>
      <c r="BF1774" s="146"/>
      <c r="BG1774" s="146">
        <v>0</v>
      </c>
      <c r="BH1774" s="142"/>
      <c r="BI1774" s="142"/>
      <c r="BJ1774" s="146"/>
      <c r="BK1774" s="146">
        <v>0</v>
      </c>
      <c r="BL1774" s="142"/>
      <c r="BM1774" s="146"/>
      <c r="BN1774" s="146"/>
      <c r="BO1774" s="146"/>
      <c r="BP1774" s="146"/>
      <c r="BQ1774" s="146"/>
      <c r="BR1774" s="146"/>
      <c r="BS1774" s="146">
        <v>0</v>
      </c>
      <c r="BT1774" s="149"/>
      <c r="BU1774" s="149"/>
      <c r="BV1774" s="150">
        <v>0</v>
      </c>
      <c r="BW1774" s="150">
        <v>0</v>
      </c>
      <c r="BX1774" s="150">
        <v>44820</v>
      </c>
      <c r="BY1774" s="150">
        <v>0</v>
      </c>
      <c r="BZ1774" s="151" t="s">
        <v>309</v>
      </c>
      <c r="CA1774" s="142"/>
      <c r="CB1774" s="142"/>
      <c r="CC1774" s="142"/>
      <c r="CD1774" s="145"/>
      <c r="CE1774" s="143"/>
      <c r="CF1774" s="143"/>
      <c r="CG1774" s="143"/>
      <c r="CH1774" s="143"/>
      <c r="CI1774" s="143"/>
      <c r="CJ1774" s="143"/>
      <c r="CK1774" s="146"/>
    </row>
    <row r="1775" spans="1:89" x14ac:dyDescent="0.15">
      <c r="A1775" s="60">
        <v>1</v>
      </c>
      <c r="C1775" s="61" t="s">
        <v>309</v>
      </c>
      <c r="F1775" s="61" t="s">
        <v>309</v>
      </c>
      <c r="H1775" s="61" t="s">
        <v>309</v>
      </c>
      <c r="J1775" s="60">
        <v>2</v>
      </c>
      <c r="L1775" s="60">
        <v>0</v>
      </c>
      <c r="M1775" s="61">
        <v>44820</v>
      </c>
      <c r="O1775" s="62" t="s">
        <v>335</v>
      </c>
      <c r="P1775" s="60" t="s">
        <v>369</v>
      </c>
      <c r="Q1775" s="62" t="s">
        <v>4659</v>
      </c>
      <c r="R1775" s="62" t="s">
        <v>4841</v>
      </c>
      <c r="S1775" s="63" t="s">
        <v>4842</v>
      </c>
      <c r="T1775" s="63" t="s">
        <v>373</v>
      </c>
      <c r="U1775" s="64">
        <v>51000</v>
      </c>
      <c r="V1775" s="64">
        <v>56100</v>
      </c>
      <c r="W1775" s="64">
        <v>51000</v>
      </c>
      <c r="X1775" s="64">
        <v>56100</v>
      </c>
      <c r="Z1775" s="64">
        <v>0</v>
      </c>
      <c r="AD1775" s="60">
        <v>0</v>
      </c>
      <c r="AG1775" s="60">
        <v>0</v>
      </c>
      <c r="AJ1775" s="60">
        <v>0</v>
      </c>
      <c r="AN1775" s="60" t="s">
        <v>309</v>
      </c>
      <c r="AQ1775" s="60" t="s">
        <v>5149</v>
      </c>
      <c r="AR1775" s="61">
        <v>44830</v>
      </c>
      <c r="AS1775" s="60">
        <v>6002076239</v>
      </c>
      <c r="AT1775" s="61">
        <v>44830</v>
      </c>
      <c r="AU1775" s="60" t="s">
        <v>5173</v>
      </c>
      <c r="AV1775" s="61">
        <v>44841</v>
      </c>
      <c r="AY1775" s="99">
        <f>ROUNDDOWN((0.96*U1775),0)</f>
        <v>48960</v>
      </c>
      <c r="AZ1775" s="99">
        <f>ROUNDDOWN(AY1775+(AY1775*MASTER!$A$2/100),0)</f>
        <v>53856</v>
      </c>
      <c r="BC1775" s="64">
        <v>0</v>
      </c>
      <c r="BG1775" s="64">
        <v>0</v>
      </c>
      <c r="BK1775" s="64">
        <v>0</v>
      </c>
      <c r="BS1775" s="64">
        <v>0</v>
      </c>
      <c r="BV1775" s="65">
        <v>56100</v>
      </c>
      <c r="BW1775" s="65">
        <v>0</v>
      </c>
      <c r="BX1775" s="65">
        <v>44820</v>
      </c>
      <c r="BY1775" s="65">
        <v>56100</v>
      </c>
      <c r="BZ1775" s="81">
        <v>100</v>
      </c>
    </row>
    <row r="1776" spans="1:89" x14ac:dyDescent="0.15">
      <c r="A1776" s="60">
        <v>1</v>
      </c>
      <c r="C1776" s="61" t="s">
        <v>309</v>
      </c>
      <c r="F1776" s="61" t="s">
        <v>309</v>
      </c>
      <c r="H1776" s="61" t="s">
        <v>309</v>
      </c>
      <c r="J1776" s="60">
        <v>1</v>
      </c>
      <c r="L1776" s="60">
        <v>0</v>
      </c>
      <c r="M1776" s="61">
        <v>44820</v>
      </c>
      <c r="O1776" s="62" t="s">
        <v>335</v>
      </c>
      <c r="P1776" s="60" t="s">
        <v>349</v>
      </c>
      <c r="Q1776" s="62" t="s">
        <v>4659</v>
      </c>
      <c r="R1776" s="62" t="s">
        <v>4850</v>
      </c>
      <c r="S1776" s="63" t="s">
        <v>4851</v>
      </c>
      <c r="T1776" s="63" t="s">
        <v>4852</v>
      </c>
      <c r="U1776" s="64">
        <v>23900</v>
      </c>
      <c r="V1776" s="64">
        <v>26290</v>
      </c>
      <c r="W1776" s="64">
        <v>14700</v>
      </c>
      <c r="X1776" s="64">
        <v>16170</v>
      </c>
      <c r="Y1776" s="64">
        <v>9200</v>
      </c>
      <c r="Z1776" s="64">
        <v>10120</v>
      </c>
      <c r="AA1776" s="61">
        <v>44858</v>
      </c>
      <c r="AB1776" s="61">
        <v>44859</v>
      </c>
      <c r="AD1776" s="60">
        <v>0</v>
      </c>
      <c r="AG1776" s="60">
        <v>0</v>
      </c>
      <c r="AJ1776" s="60">
        <v>0</v>
      </c>
      <c r="AM1776" s="60" t="s">
        <v>350</v>
      </c>
      <c r="AN1776" s="60" t="s">
        <v>4853</v>
      </c>
      <c r="AY1776" s="99">
        <f>ROUNDDOWN((0.96*U1776),0)</f>
        <v>22944</v>
      </c>
      <c r="AZ1776" s="99">
        <f>ROUNDDOWN(AY1776+(AY1776*MASTER!$A$2/100),0)</f>
        <v>25238</v>
      </c>
      <c r="BC1776" s="64">
        <v>0</v>
      </c>
      <c r="BG1776" s="64">
        <v>0</v>
      </c>
      <c r="BK1776" s="64">
        <v>0</v>
      </c>
      <c r="BS1776" s="64">
        <v>0</v>
      </c>
      <c r="BV1776" s="65">
        <v>16170</v>
      </c>
      <c r="BW1776" s="65">
        <v>0</v>
      </c>
      <c r="BX1776" s="65">
        <v>44820</v>
      </c>
      <c r="BY1776" s="65">
        <v>16170</v>
      </c>
      <c r="BZ1776" s="81">
        <v>100</v>
      </c>
    </row>
    <row r="1777" spans="1:78" x14ac:dyDescent="0.15">
      <c r="A1777" s="60">
        <v>1</v>
      </c>
      <c r="C1777" s="61" t="s">
        <v>309</v>
      </c>
      <c r="F1777" s="61" t="s">
        <v>309</v>
      </c>
      <c r="H1777" s="61" t="s">
        <v>309</v>
      </c>
      <c r="J1777" s="60">
        <v>1</v>
      </c>
      <c r="L1777" s="60">
        <v>0</v>
      </c>
      <c r="M1777" s="61">
        <v>44820</v>
      </c>
      <c r="O1777" s="62" t="s">
        <v>335</v>
      </c>
      <c r="P1777" s="60" t="s">
        <v>349</v>
      </c>
      <c r="Q1777" s="62" t="s">
        <v>4659</v>
      </c>
      <c r="R1777" s="62" t="s">
        <v>4854</v>
      </c>
      <c r="S1777" s="63" t="s">
        <v>4855</v>
      </c>
      <c r="T1777" s="63" t="s">
        <v>4856</v>
      </c>
      <c r="U1777" s="64">
        <v>23900</v>
      </c>
      <c r="V1777" s="64">
        <v>26290</v>
      </c>
      <c r="W1777" s="64">
        <v>14700</v>
      </c>
      <c r="X1777" s="64">
        <v>16170</v>
      </c>
      <c r="Y1777" s="64">
        <v>9200</v>
      </c>
      <c r="Z1777" s="64">
        <v>10120</v>
      </c>
      <c r="AA1777" s="61">
        <v>44854</v>
      </c>
      <c r="AB1777" s="61">
        <v>44855</v>
      </c>
      <c r="AD1777" s="60">
        <v>0</v>
      </c>
      <c r="AG1777" s="60">
        <v>0</v>
      </c>
      <c r="AJ1777" s="60">
        <v>0</v>
      </c>
      <c r="AM1777" s="60" t="s">
        <v>350</v>
      </c>
      <c r="AN1777" s="60" t="s">
        <v>4857</v>
      </c>
      <c r="AY1777" s="99">
        <f>ROUNDDOWN((0.96*U1777),0)</f>
        <v>22944</v>
      </c>
      <c r="AZ1777" s="99">
        <f>ROUNDDOWN(AY1777+(AY1777*MASTER!$A$2/100),0)</f>
        <v>25238</v>
      </c>
      <c r="BC1777" s="64">
        <v>0</v>
      </c>
      <c r="BG1777" s="64">
        <v>0</v>
      </c>
      <c r="BK1777" s="64">
        <v>0</v>
      </c>
      <c r="BS1777" s="64">
        <v>0</v>
      </c>
      <c r="BV1777" s="65">
        <v>16170</v>
      </c>
      <c r="BW1777" s="65">
        <v>0</v>
      </c>
      <c r="BX1777" s="65">
        <v>44820</v>
      </c>
      <c r="BY1777" s="65">
        <v>16170</v>
      </c>
      <c r="BZ1777" s="81">
        <v>100</v>
      </c>
    </row>
    <row r="1778" spans="1:78" x14ac:dyDescent="0.15">
      <c r="A1778" s="60">
        <v>1</v>
      </c>
      <c r="C1778" s="61">
        <v>44849</v>
      </c>
      <c r="F1778" s="61" t="s">
        <v>309</v>
      </c>
      <c r="H1778" s="61" t="s">
        <v>309</v>
      </c>
      <c r="J1778" s="60">
        <v>1</v>
      </c>
      <c r="L1778" s="60">
        <v>0</v>
      </c>
      <c r="M1778" s="61">
        <v>44820</v>
      </c>
      <c r="O1778" s="62" t="s">
        <v>331</v>
      </c>
      <c r="P1778" s="60" t="s">
        <v>26</v>
      </c>
      <c r="Q1778" s="62" t="s">
        <v>46</v>
      </c>
      <c r="R1778" s="62" t="s">
        <v>4858</v>
      </c>
      <c r="S1778" s="63" t="s">
        <v>1493</v>
      </c>
      <c r="T1778" s="63" t="s">
        <v>502</v>
      </c>
      <c r="U1778" s="64">
        <v>23900</v>
      </c>
      <c r="V1778" s="64">
        <v>26290</v>
      </c>
      <c r="W1778" s="64">
        <v>14700</v>
      </c>
      <c r="X1778" s="64">
        <v>16170</v>
      </c>
      <c r="Y1778" s="64">
        <v>9200</v>
      </c>
      <c r="Z1778" s="64">
        <v>10120</v>
      </c>
      <c r="AA1778" s="61">
        <v>44848</v>
      </c>
      <c r="AB1778" s="61">
        <v>44849</v>
      </c>
      <c r="AD1778" s="60">
        <v>0</v>
      </c>
      <c r="AG1778" s="60">
        <v>0</v>
      </c>
      <c r="AJ1778" s="60">
        <v>0</v>
      </c>
      <c r="AM1778" s="60" t="s">
        <v>273</v>
      </c>
      <c r="AN1778" s="60" t="s">
        <v>4859</v>
      </c>
      <c r="AQ1778" s="60" t="s">
        <v>5186</v>
      </c>
      <c r="AR1778" s="61">
        <v>44832</v>
      </c>
      <c r="AS1778" s="60">
        <v>6002077308</v>
      </c>
      <c r="AT1778" s="61">
        <v>44832</v>
      </c>
      <c r="AU1778" s="60" t="s">
        <v>5200</v>
      </c>
      <c r="AV1778" s="61">
        <v>44849</v>
      </c>
      <c r="AY1778" s="99">
        <v>22944</v>
      </c>
      <c r="AZ1778" s="99">
        <f>ROUNDDOWN(AY1778+(AY1778*MASTER!$A$2/100),0)</f>
        <v>25238</v>
      </c>
      <c r="BC1778" s="64">
        <v>0</v>
      </c>
      <c r="BG1778" s="64">
        <v>0</v>
      </c>
      <c r="BK1778" s="64">
        <v>0</v>
      </c>
      <c r="BS1778" s="64">
        <v>0</v>
      </c>
      <c r="BV1778" s="65">
        <v>16170</v>
      </c>
      <c r="BW1778" s="65">
        <v>0</v>
      </c>
      <c r="BX1778" s="65">
        <v>44820</v>
      </c>
      <c r="BY1778" s="65">
        <v>16170</v>
      </c>
      <c r="BZ1778" s="81">
        <v>100</v>
      </c>
    </row>
    <row r="1779" spans="1:78" x14ac:dyDescent="0.15">
      <c r="A1779" s="60">
        <v>1</v>
      </c>
      <c r="B1779" s="61">
        <v>44831</v>
      </c>
      <c r="C1779" s="61">
        <v>44833</v>
      </c>
      <c r="F1779" s="61" t="s">
        <v>309</v>
      </c>
      <c r="G1779" s="61">
        <v>44830</v>
      </c>
      <c r="H1779" s="61" t="s">
        <v>309</v>
      </c>
      <c r="J1779" s="60">
        <v>2</v>
      </c>
      <c r="L1779" s="60">
        <v>0</v>
      </c>
      <c r="M1779" s="61">
        <v>44824</v>
      </c>
      <c r="O1779" s="62" t="s">
        <v>331</v>
      </c>
      <c r="P1779" s="60" t="s">
        <v>6</v>
      </c>
      <c r="Q1779" s="62" t="s">
        <v>46</v>
      </c>
      <c r="R1779" s="62" t="s">
        <v>5131</v>
      </c>
      <c r="S1779" s="63" t="s">
        <v>1514</v>
      </c>
      <c r="T1779" s="63" t="s">
        <v>364</v>
      </c>
      <c r="U1779" s="64">
        <v>35000</v>
      </c>
      <c r="V1779" s="64">
        <v>38500</v>
      </c>
      <c r="W1779" s="64">
        <v>35000</v>
      </c>
      <c r="X1779" s="64">
        <v>38500</v>
      </c>
      <c r="Z1779" s="64">
        <v>0</v>
      </c>
      <c r="AA1779" s="61">
        <v>44826</v>
      </c>
      <c r="AB1779" s="61">
        <v>44826</v>
      </c>
      <c r="AD1779" s="60">
        <v>0</v>
      </c>
      <c r="AG1779" s="60">
        <v>0</v>
      </c>
      <c r="AJ1779" s="60">
        <v>0</v>
      </c>
      <c r="AN1779" s="60" t="s">
        <v>309</v>
      </c>
      <c r="AQ1779" s="60" t="s">
        <v>5143</v>
      </c>
      <c r="AR1779" s="61">
        <v>44830</v>
      </c>
      <c r="AS1779" s="60">
        <v>6002076240</v>
      </c>
      <c r="AT1779" s="61">
        <v>44830</v>
      </c>
      <c r="AU1779" s="60" t="s">
        <v>5172</v>
      </c>
      <c r="AV1779" s="61">
        <v>44833</v>
      </c>
      <c r="AW1779" s="91">
        <v>44834</v>
      </c>
      <c r="AX1779" s="91">
        <v>44854</v>
      </c>
      <c r="AY1779" s="99">
        <v>33600</v>
      </c>
      <c r="AZ1779" s="99">
        <f>ROUNDDOWN(AY1779+(AY1779*MASTER!$A$2/100),0)</f>
        <v>36960</v>
      </c>
      <c r="BA1779" s="60" t="s">
        <v>314</v>
      </c>
      <c r="BB1779" s="64">
        <v>26000</v>
      </c>
      <c r="BC1779" s="64">
        <v>28600</v>
      </c>
      <c r="BG1779" s="64">
        <v>0</v>
      </c>
      <c r="BK1779" s="64">
        <v>0</v>
      </c>
      <c r="BS1779" s="64">
        <v>0</v>
      </c>
      <c r="BV1779" s="65">
        <v>38500</v>
      </c>
      <c r="BW1779" s="65">
        <v>28600</v>
      </c>
      <c r="BX1779" s="65">
        <v>44824</v>
      </c>
      <c r="BY1779" s="65">
        <v>9900</v>
      </c>
      <c r="BZ1779" s="81">
        <v>25.714285714285712</v>
      </c>
    </row>
    <row r="1780" spans="1:78" x14ac:dyDescent="0.15">
      <c r="A1780" s="60">
        <v>1</v>
      </c>
      <c r="B1780" s="61">
        <v>44831</v>
      </c>
      <c r="C1780" s="61">
        <v>44833</v>
      </c>
      <c r="F1780" s="61" t="s">
        <v>309</v>
      </c>
      <c r="G1780" s="61">
        <v>44826</v>
      </c>
      <c r="H1780" s="61" t="s">
        <v>309</v>
      </c>
      <c r="J1780" s="60">
        <v>2</v>
      </c>
      <c r="L1780" s="60">
        <v>0</v>
      </c>
      <c r="M1780" s="61">
        <v>44824</v>
      </c>
      <c r="O1780" s="62" t="s">
        <v>331</v>
      </c>
      <c r="P1780" s="60" t="s">
        <v>6</v>
      </c>
      <c r="Q1780" s="62" t="s">
        <v>46</v>
      </c>
      <c r="R1780" s="62" t="s">
        <v>5120</v>
      </c>
      <c r="S1780" s="63" t="s">
        <v>2285</v>
      </c>
      <c r="T1780" s="63" t="s">
        <v>364</v>
      </c>
      <c r="U1780" s="64">
        <v>35000</v>
      </c>
      <c r="V1780" s="64">
        <v>38500</v>
      </c>
      <c r="W1780" s="64">
        <v>35000</v>
      </c>
      <c r="X1780" s="64">
        <v>38500</v>
      </c>
      <c r="Z1780" s="64">
        <v>0</v>
      </c>
      <c r="AA1780" s="61">
        <v>44825</v>
      </c>
      <c r="AB1780" s="61">
        <v>44825</v>
      </c>
      <c r="AD1780" s="60">
        <v>0</v>
      </c>
      <c r="AG1780" s="60">
        <v>0</v>
      </c>
      <c r="AJ1780" s="60">
        <v>0</v>
      </c>
      <c r="AN1780" s="60" t="s">
        <v>309</v>
      </c>
      <c r="AQ1780" s="60" t="s">
        <v>5142</v>
      </c>
      <c r="AR1780" s="61">
        <v>44830</v>
      </c>
      <c r="AS1780" s="60">
        <v>6002076240</v>
      </c>
      <c r="AT1780" s="61">
        <v>44830</v>
      </c>
      <c r="AU1780" s="60" t="s">
        <v>5172</v>
      </c>
      <c r="AV1780" s="61">
        <v>44833</v>
      </c>
      <c r="AW1780" s="91">
        <v>44834</v>
      </c>
      <c r="AX1780" s="91">
        <v>44854</v>
      </c>
      <c r="AY1780" s="99">
        <v>33600</v>
      </c>
      <c r="AZ1780" s="99">
        <f>ROUNDDOWN(AY1780+(AY1780*MASTER!$A$2/100),0)</f>
        <v>36960</v>
      </c>
      <c r="BA1780" s="60" t="s">
        <v>582</v>
      </c>
      <c r="BB1780" s="64">
        <v>22000</v>
      </c>
      <c r="BC1780" s="64">
        <v>24200</v>
      </c>
      <c r="BD1780" s="60" t="s">
        <v>4182</v>
      </c>
      <c r="BG1780" s="64">
        <v>0</v>
      </c>
      <c r="BK1780" s="64">
        <v>0</v>
      </c>
      <c r="BS1780" s="64">
        <v>0</v>
      </c>
      <c r="BV1780" s="65">
        <v>38500</v>
      </c>
      <c r="BW1780" s="65">
        <v>24200</v>
      </c>
      <c r="BX1780" s="65">
        <v>44824</v>
      </c>
      <c r="BY1780" s="65">
        <v>14300</v>
      </c>
      <c r="BZ1780" s="81">
        <v>37.142857142857146</v>
      </c>
    </row>
    <row r="1781" spans="1:78" x14ac:dyDescent="0.15">
      <c r="A1781" s="60">
        <v>1</v>
      </c>
      <c r="B1781" s="61">
        <v>44831</v>
      </c>
      <c r="C1781" s="61">
        <v>44834</v>
      </c>
      <c r="F1781" s="61" t="s">
        <v>309</v>
      </c>
      <c r="G1781" s="61">
        <v>44830</v>
      </c>
      <c r="H1781" s="61" t="s">
        <v>309</v>
      </c>
      <c r="J1781" s="60">
        <v>2</v>
      </c>
      <c r="L1781" s="60">
        <v>0</v>
      </c>
      <c r="M1781" s="61">
        <v>44824</v>
      </c>
      <c r="O1781" s="62" t="s">
        <v>331</v>
      </c>
      <c r="P1781" s="60" t="s">
        <v>6</v>
      </c>
      <c r="Q1781" s="62" t="s">
        <v>46</v>
      </c>
      <c r="R1781" s="62" t="s">
        <v>5139</v>
      </c>
      <c r="S1781" s="63" t="s">
        <v>2729</v>
      </c>
      <c r="T1781" s="63" t="s">
        <v>364</v>
      </c>
      <c r="U1781" s="64">
        <v>51000</v>
      </c>
      <c r="V1781" s="64">
        <v>56100</v>
      </c>
      <c r="W1781" s="64">
        <v>51000</v>
      </c>
      <c r="X1781" s="64">
        <v>56100</v>
      </c>
      <c r="Z1781" s="64">
        <v>0</v>
      </c>
      <c r="AD1781" s="60">
        <v>0</v>
      </c>
      <c r="AG1781" s="60">
        <v>0</v>
      </c>
      <c r="AJ1781" s="60">
        <v>0</v>
      </c>
      <c r="AN1781" s="60" t="s">
        <v>309</v>
      </c>
      <c r="AQ1781" s="60" t="s">
        <v>5140</v>
      </c>
      <c r="AR1781" s="61">
        <v>44830</v>
      </c>
      <c r="AS1781" s="60">
        <v>6002076240</v>
      </c>
      <c r="AT1781" s="61">
        <v>44830</v>
      </c>
      <c r="AU1781" s="60" t="s">
        <v>5172</v>
      </c>
      <c r="AV1781" s="61">
        <v>44834</v>
      </c>
      <c r="AW1781" s="91">
        <v>44834</v>
      </c>
      <c r="AX1781" s="91">
        <v>44854</v>
      </c>
      <c r="AY1781" s="99">
        <v>48960</v>
      </c>
      <c r="AZ1781" s="99">
        <f>ROUNDDOWN(AY1781+(AY1781*MASTER!$A$2/100),0)</f>
        <v>53856</v>
      </c>
      <c r="BC1781" s="64">
        <v>0</v>
      </c>
      <c r="BG1781" s="64">
        <v>0</v>
      </c>
      <c r="BK1781" s="64">
        <v>0</v>
      </c>
      <c r="BS1781" s="64">
        <v>0</v>
      </c>
      <c r="BV1781" s="65">
        <v>56100</v>
      </c>
      <c r="BW1781" s="65">
        <v>0</v>
      </c>
      <c r="BX1781" s="65">
        <v>44824</v>
      </c>
      <c r="BY1781" s="65">
        <v>56100</v>
      </c>
      <c r="BZ1781" s="81">
        <v>100</v>
      </c>
    </row>
    <row r="1782" spans="1:78" x14ac:dyDescent="0.15">
      <c r="A1782" s="60">
        <v>1</v>
      </c>
      <c r="C1782" s="61" t="s">
        <v>309</v>
      </c>
      <c r="F1782" s="61" t="s">
        <v>309</v>
      </c>
      <c r="G1782" s="61">
        <v>44824</v>
      </c>
      <c r="H1782" s="61" t="s">
        <v>309</v>
      </c>
      <c r="J1782" s="60">
        <v>4</v>
      </c>
      <c r="L1782" s="60">
        <v>0</v>
      </c>
      <c r="M1782" s="61">
        <v>44824</v>
      </c>
      <c r="O1782" s="62" t="s">
        <v>331</v>
      </c>
      <c r="P1782" s="60" t="s">
        <v>6</v>
      </c>
      <c r="Q1782" s="62" t="s">
        <v>46</v>
      </c>
      <c r="R1782" s="62" t="s">
        <v>4949</v>
      </c>
      <c r="S1782" s="63" t="s">
        <v>962</v>
      </c>
      <c r="T1782" s="63" t="s">
        <v>3532</v>
      </c>
      <c r="U1782" s="64">
        <v>0</v>
      </c>
      <c r="V1782" s="64">
        <v>0</v>
      </c>
      <c r="W1782" s="64">
        <v>0</v>
      </c>
      <c r="X1782" s="64">
        <v>0</v>
      </c>
      <c r="Z1782" s="64">
        <v>0</v>
      </c>
      <c r="AD1782" s="60">
        <v>0</v>
      </c>
      <c r="AG1782" s="60">
        <v>0</v>
      </c>
      <c r="AJ1782" s="60">
        <v>0</v>
      </c>
      <c r="AN1782" s="60" t="s">
        <v>309</v>
      </c>
      <c r="AY1782" s="99">
        <v>0</v>
      </c>
      <c r="AZ1782" s="99">
        <f>ROUNDDOWN(AY1782+(AY1782*MASTER!$A$2/100),0)</f>
        <v>0</v>
      </c>
      <c r="BC1782" s="64">
        <v>0</v>
      </c>
      <c r="BG1782" s="64">
        <v>0</v>
      </c>
      <c r="BK1782" s="64">
        <v>0</v>
      </c>
      <c r="BS1782" s="64">
        <v>0</v>
      </c>
      <c r="BV1782" s="65">
        <v>0</v>
      </c>
      <c r="BW1782" s="65">
        <v>0</v>
      </c>
      <c r="BX1782" s="65">
        <v>44824</v>
      </c>
      <c r="BY1782" s="65">
        <v>0</v>
      </c>
      <c r="BZ1782" s="81" t="s">
        <v>309</v>
      </c>
    </row>
    <row r="1783" spans="1:78" x14ac:dyDescent="0.15">
      <c r="A1783" s="60">
        <v>1</v>
      </c>
      <c r="C1783" s="61" t="s">
        <v>309</v>
      </c>
      <c r="F1783" s="61" t="s">
        <v>309</v>
      </c>
      <c r="H1783" s="61" t="s">
        <v>309</v>
      </c>
      <c r="J1783" s="60">
        <v>2</v>
      </c>
      <c r="L1783" s="60">
        <v>0</v>
      </c>
      <c r="M1783" s="61">
        <v>44824</v>
      </c>
      <c r="O1783" s="62" t="s">
        <v>335</v>
      </c>
      <c r="P1783" s="60" t="s">
        <v>369</v>
      </c>
      <c r="Q1783" s="62" t="s">
        <v>4659</v>
      </c>
      <c r="R1783" s="62" t="s">
        <v>4877</v>
      </c>
      <c r="S1783" s="63" t="s">
        <v>4878</v>
      </c>
      <c r="T1783" s="63" t="s">
        <v>373</v>
      </c>
      <c r="U1783" s="64">
        <v>35000</v>
      </c>
      <c r="V1783" s="64">
        <v>38500</v>
      </c>
      <c r="W1783" s="64">
        <v>35000</v>
      </c>
      <c r="X1783" s="64">
        <v>38500</v>
      </c>
      <c r="Z1783" s="64">
        <v>0</v>
      </c>
      <c r="AD1783" s="60">
        <v>0</v>
      </c>
      <c r="AG1783" s="60">
        <v>0</v>
      </c>
      <c r="AJ1783" s="60">
        <v>0</v>
      </c>
      <c r="AN1783" s="60" t="s">
        <v>309</v>
      </c>
      <c r="AY1783" s="99">
        <f>ROUNDDOWN((0.96*U1783),0)</f>
        <v>33600</v>
      </c>
      <c r="AZ1783" s="99">
        <f>ROUNDDOWN(AY1783+(AY1783*MASTER!$A$2/100),0)</f>
        <v>36960</v>
      </c>
      <c r="BC1783" s="64">
        <v>0</v>
      </c>
      <c r="BG1783" s="64">
        <v>0</v>
      </c>
      <c r="BK1783" s="64">
        <v>0</v>
      </c>
      <c r="BS1783" s="64">
        <v>0</v>
      </c>
      <c r="BV1783" s="65">
        <v>38500</v>
      </c>
      <c r="BW1783" s="65">
        <v>0</v>
      </c>
      <c r="BX1783" s="65">
        <v>44824</v>
      </c>
      <c r="BY1783" s="65">
        <v>38500</v>
      </c>
      <c r="BZ1783" s="81">
        <v>100</v>
      </c>
    </row>
    <row r="1784" spans="1:78" x14ac:dyDescent="0.15">
      <c r="A1784" s="60">
        <v>2</v>
      </c>
      <c r="C1784" s="61" t="s">
        <v>309</v>
      </c>
      <c r="F1784" s="61" t="s">
        <v>309</v>
      </c>
      <c r="H1784" s="61" t="s">
        <v>309</v>
      </c>
      <c r="J1784" s="60">
        <v>4</v>
      </c>
      <c r="L1784" s="60">
        <v>0</v>
      </c>
      <c r="M1784" s="61">
        <v>44824</v>
      </c>
      <c r="O1784" s="62" t="s">
        <v>331</v>
      </c>
      <c r="P1784" s="60" t="s">
        <v>263</v>
      </c>
      <c r="Q1784" s="62" t="s">
        <v>46</v>
      </c>
      <c r="R1784" s="62" t="s">
        <v>4879</v>
      </c>
      <c r="S1784" s="63" t="s">
        <v>354</v>
      </c>
      <c r="T1784" s="63" t="s">
        <v>4880</v>
      </c>
      <c r="U1784" s="64">
        <v>0</v>
      </c>
      <c r="V1784" s="64">
        <v>0</v>
      </c>
      <c r="W1784" s="64">
        <v>0</v>
      </c>
      <c r="X1784" s="64">
        <v>0</v>
      </c>
      <c r="Y1784" s="64">
        <v>0</v>
      </c>
      <c r="Z1784" s="64">
        <v>0</v>
      </c>
      <c r="AA1784" s="61">
        <v>44816</v>
      </c>
      <c r="AB1784" s="61">
        <v>44818</v>
      </c>
      <c r="AD1784" s="60">
        <v>0</v>
      </c>
      <c r="AG1784" s="60">
        <v>0</v>
      </c>
      <c r="AJ1784" s="60">
        <v>0</v>
      </c>
      <c r="AN1784" s="60" t="s">
        <v>309</v>
      </c>
      <c r="AY1784" s="99">
        <f>ROUNDDOWN((0.96*U1784),0)</f>
        <v>0</v>
      </c>
      <c r="AZ1784" s="99">
        <f>ROUNDDOWN(AY1784+(AY1784*MASTER!$A$2/100),0)</f>
        <v>0</v>
      </c>
      <c r="BA1784" s="60" t="s">
        <v>317</v>
      </c>
      <c r="BB1784" s="64">
        <v>162000</v>
      </c>
      <c r="BC1784" s="64">
        <v>178200</v>
      </c>
      <c r="BD1784" s="60" t="s">
        <v>4182</v>
      </c>
      <c r="BG1784" s="64">
        <v>0</v>
      </c>
      <c r="BK1784" s="64">
        <v>0</v>
      </c>
      <c r="BS1784" s="64">
        <v>0</v>
      </c>
      <c r="BV1784" s="65">
        <v>0</v>
      </c>
      <c r="BW1784" s="65">
        <v>178200</v>
      </c>
      <c r="BX1784" s="65">
        <v>44824</v>
      </c>
      <c r="BY1784" s="65">
        <v>-178200</v>
      </c>
      <c r="BZ1784" s="81" t="s">
        <v>309</v>
      </c>
    </row>
    <row r="1785" spans="1:78" x14ac:dyDescent="0.15">
      <c r="A1785" s="60">
        <v>1</v>
      </c>
      <c r="J1785" s="60">
        <v>1</v>
      </c>
      <c r="L1785" s="60">
        <v>0</v>
      </c>
      <c r="M1785" s="61">
        <v>44825</v>
      </c>
      <c r="O1785" s="62" t="s">
        <v>331</v>
      </c>
      <c r="P1785" s="60" t="s">
        <v>26</v>
      </c>
      <c r="Q1785" s="62" t="s">
        <v>46</v>
      </c>
      <c r="R1785" s="62" t="s">
        <v>4886</v>
      </c>
      <c r="S1785" s="63" t="s">
        <v>1068</v>
      </c>
      <c r="T1785" s="63" t="s">
        <v>756</v>
      </c>
      <c r="U1785" s="64">
        <v>162000</v>
      </c>
      <c r="V1785" s="64">
        <v>178200</v>
      </c>
      <c r="W1785" s="64">
        <v>97000</v>
      </c>
      <c r="X1785" s="64">
        <v>106700</v>
      </c>
      <c r="Y1785" s="64">
        <v>65000</v>
      </c>
      <c r="Z1785" s="64">
        <v>71500</v>
      </c>
      <c r="AA1785" s="61" t="s">
        <v>4898</v>
      </c>
      <c r="AM1785" s="60" t="s">
        <v>4901</v>
      </c>
      <c r="AQ1785" s="60" t="s">
        <v>4900</v>
      </c>
      <c r="AR1785" s="61">
        <v>44834</v>
      </c>
      <c r="AS1785" s="60">
        <v>6002077900</v>
      </c>
      <c r="AV1785" s="61">
        <v>44862</v>
      </c>
      <c r="AY1785" s="99">
        <f t="shared" ref="AY1785:AY1795" si="11">ROUNDDOWN((0.96*U1785),0)</f>
        <v>155520</v>
      </c>
      <c r="AZ1785" s="99">
        <f>ROUNDDOWN(AY1785+(AY1785*MASTER!$A$2/100),0)</f>
        <v>171072</v>
      </c>
    </row>
    <row r="1786" spans="1:78" x14ac:dyDescent="0.15">
      <c r="A1786" s="60">
        <v>1</v>
      </c>
      <c r="J1786" s="60">
        <v>1</v>
      </c>
      <c r="L1786" s="60">
        <v>0</v>
      </c>
      <c r="M1786" s="61">
        <v>44825</v>
      </c>
      <c r="O1786" s="62" t="s">
        <v>331</v>
      </c>
      <c r="P1786" s="60" t="s">
        <v>26</v>
      </c>
      <c r="Q1786" s="62" t="s">
        <v>46</v>
      </c>
      <c r="R1786" s="62" t="s">
        <v>4887</v>
      </c>
      <c r="S1786" s="63" t="s">
        <v>707</v>
      </c>
      <c r="T1786" s="63" t="s">
        <v>756</v>
      </c>
      <c r="U1786" s="64">
        <v>162000</v>
      </c>
      <c r="V1786" s="64">
        <v>178200</v>
      </c>
      <c r="W1786" s="64">
        <v>97000</v>
      </c>
      <c r="X1786" s="64">
        <v>106700</v>
      </c>
      <c r="Y1786" s="64">
        <v>65000</v>
      </c>
      <c r="Z1786" s="64">
        <v>71500</v>
      </c>
      <c r="AA1786" s="61" t="s">
        <v>4898</v>
      </c>
      <c r="AM1786" s="60" t="s">
        <v>4901</v>
      </c>
      <c r="AQ1786" s="60" t="s">
        <v>4900</v>
      </c>
      <c r="AR1786" s="61">
        <v>44834</v>
      </c>
      <c r="AS1786" s="60">
        <v>6002077900</v>
      </c>
      <c r="AV1786" s="61">
        <v>44862</v>
      </c>
      <c r="AY1786" s="99">
        <f t="shared" si="11"/>
        <v>155520</v>
      </c>
      <c r="AZ1786" s="99">
        <f>ROUNDDOWN(AY1786+(AY1786*MASTER!$A$2/100),0)</f>
        <v>171072</v>
      </c>
    </row>
    <row r="1787" spans="1:78" x14ac:dyDescent="0.15">
      <c r="A1787" s="60">
        <v>1</v>
      </c>
      <c r="J1787" s="60">
        <v>1</v>
      </c>
      <c r="L1787" s="60">
        <v>0</v>
      </c>
      <c r="M1787" s="61">
        <v>44825</v>
      </c>
      <c r="O1787" s="62" t="s">
        <v>331</v>
      </c>
      <c r="P1787" s="60" t="s">
        <v>26</v>
      </c>
      <c r="Q1787" s="62" t="s">
        <v>46</v>
      </c>
      <c r="R1787" s="62" t="s">
        <v>4888</v>
      </c>
      <c r="S1787" s="63" t="s">
        <v>848</v>
      </c>
      <c r="T1787" s="63" t="s">
        <v>756</v>
      </c>
      <c r="U1787" s="64">
        <v>162000</v>
      </c>
      <c r="V1787" s="64">
        <v>178200</v>
      </c>
      <c r="W1787" s="64">
        <v>97000</v>
      </c>
      <c r="X1787" s="64">
        <v>106700</v>
      </c>
      <c r="Y1787" s="64">
        <v>65000</v>
      </c>
      <c r="Z1787" s="64">
        <v>71500</v>
      </c>
      <c r="AA1787" s="61" t="s">
        <v>4898</v>
      </c>
      <c r="AM1787" s="60" t="s">
        <v>4901</v>
      </c>
      <c r="AQ1787" s="60" t="s">
        <v>4900</v>
      </c>
      <c r="AR1787" s="61">
        <v>44834</v>
      </c>
      <c r="AS1787" s="60">
        <v>6002077900</v>
      </c>
      <c r="AV1787" s="61">
        <v>44862</v>
      </c>
      <c r="AY1787" s="99">
        <f t="shared" si="11"/>
        <v>155520</v>
      </c>
      <c r="AZ1787" s="99">
        <f>ROUNDDOWN(AY1787+(AY1787*MASTER!$A$2/100),0)</f>
        <v>171072</v>
      </c>
    </row>
    <row r="1788" spans="1:78" x14ac:dyDescent="0.15">
      <c r="A1788" s="60">
        <v>1</v>
      </c>
      <c r="J1788" s="60">
        <v>1</v>
      </c>
      <c r="L1788" s="60">
        <v>0</v>
      </c>
      <c r="M1788" s="61">
        <v>44825</v>
      </c>
      <c r="O1788" s="62" t="s">
        <v>331</v>
      </c>
      <c r="P1788" s="60" t="s">
        <v>26</v>
      </c>
      <c r="Q1788" s="62" t="s">
        <v>46</v>
      </c>
      <c r="R1788" s="62" t="s">
        <v>4889</v>
      </c>
      <c r="S1788" s="63" t="s">
        <v>1536</v>
      </c>
      <c r="T1788" s="63" t="s">
        <v>756</v>
      </c>
      <c r="U1788" s="64">
        <v>162000</v>
      </c>
      <c r="V1788" s="64">
        <v>178200</v>
      </c>
      <c r="W1788" s="64">
        <v>97000</v>
      </c>
      <c r="X1788" s="64">
        <v>106700</v>
      </c>
      <c r="Y1788" s="64">
        <v>65000</v>
      </c>
      <c r="Z1788" s="64">
        <v>71500</v>
      </c>
      <c r="AA1788" s="61" t="s">
        <v>4898</v>
      </c>
      <c r="AM1788" s="60" t="s">
        <v>4901</v>
      </c>
      <c r="AQ1788" s="60" t="s">
        <v>4900</v>
      </c>
      <c r="AR1788" s="61">
        <v>44834</v>
      </c>
      <c r="AS1788" s="60">
        <v>6002077900</v>
      </c>
      <c r="AV1788" s="61">
        <v>44862</v>
      </c>
      <c r="AY1788" s="99">
        <f t="shared" si="11"/>
        <v>155520</v>
      </c>
      <c r="AZ1788" s="99">
        <f>ROUNDDOWN(AY1788+(AY1788*MASTER!$A$2/100),0)</f>
        <v>171072</v>
      </c>
    </row>
    <row r="1789" spans="1:78" x14ac:dyDescent="0.15">
      <c r="A1789" s="60">
        <v>1</v>
      </c>
      <c r="J1789" s="60">
        <v>1</v>
      </c>
      <c r="L1789" s="60">
        <v>0</v>
      </c>
      <c r="M1789" s="61">
        <v>44825</v>
      </c>
      <c r="O1789" s="62" t="s">
        <v>331</v>
      </c>
      <c r="P1789" s="60" t="s">
        <v>26</v>
      </c>
      <c r="Q1789" s="62" t="s">
        <v>46</v>
      </c>
      <c r="R1789" s="62" t="s">
        <v>4890</v>
      </c>
      <c r="S1789" s="63" t="s">
        <v>1829</v>
      </c>
      <c r="T1789" s="63" t="s">
        <v>756</v>
      </c>
      <c r="U1789" s="64">
        <v>162000</v>
      </c>
      <c r="V1789" s="64">
        <v>178200</v>
      </c>
      <c r="W1789" s="64">
        <v>97000</v>
      </c>
      <c r="X1789" s="64">
        <v>106700</v>
      </c>
      <c r="Y1789" s="64">
        <v>65000</v>
      </c>
      <c r="Z1789" s="64">
        <v>71500</v>
      </c>
      <c r="AA1789" s="61" t="s">
        <v>4898</v>
      </c>
      <c r="AM1789" s="60" t="s">
        <v>4901</v>
      </c>
      <c r="AQ1789" s="60" t="s">
        <v>4900</v>
      </c>
      <c r="AR1789" s="61">
        <v>44834</v>
      </c>
      <c r="AS1789" s="60">
        <v>6002077900</v>
      </c>
      <c r="AV1789" s="61">
        <v>44862</v>
      </c>
      <c r="AY1789" s="99">
        <f t="shared" si="11"/>
        <v>155520</v>
      </c>
      <c r="AZ1789" s="99">
        <f>ROUNDDOWN(AY1789+(AY1789*MASTER!$A$2/100),0)</f>
        <v>171072</v>
      </c>
    </row>
    <row r="1790" spans="1:78" x14ac:dyDescent="0.15">
      <c r="A1790" s="60">
        <v>1</v>
      </c>
      <c r="J1790" s="60">
        <v>1</v>
      </c>
      <c r="L1790" s="60">
        <v>0</v>
      </c>
      <c r="M1790" s="61">
        <v>44825</v>
      </c>
      <c r="O1790" s="62" t="s">
        <v>331</v>
      </c>
      <c r="P1790" s="60" t="s">
        <v>26</v>
      </c>
      <c r="Q1790" s="62" t="s">
        <v>46</v>
      </c>
      <c r="R1790" s="62" t="s">
        <v>4891</v>
      </c>
      <c r="S1790" s="63" t="s">
        <v>4896</v>
      </c>
      <c r="T1790" s="63" t="s">
        <v>340</v>
      </c>
      <c r="U1790" s="64">
        <v>84000</v>
      </c>
      <c r="V1790" s="64">
        <v>92400</v>
      </c>
      <c r="W1790" s="64">
        <v>68000</v>
      </c>
      <c r="X1790" s="64">
        <v>74800</v>
      </c>
      <c r="Y1790" s="64">
        <v>16000</v>
      </c>
      <c r="Z1790" s="64">
        <v>17600</v>
      </c>
      <c r="AA1790" s="61" t="s">
        <v>4898</v>
      </c>
      <c r="AM1790" s="60" t="s">
        <v>4615</v>
      </c>
      <c r="AQ1790" s="60" t="s">
        <v>5222</v>
      </c>
      <c r="AR1790" s="61">
        <v>44834</v>
      </c>
      <c r="AS1790" s="60">
        <v>6002077899</v>
      </c>
      <c r="AV1790" s="61">
        <v>44865</v>
      </c>
      <c r="AY1790" s="99">
        <f t="shared" si="11"/>
        <v>80640</v>
      </c>
      <c r="AZ1790" s="99">
        <f>ROUNDDOWN(AY1790+(AY1790*MASTER!$A$2/100),0)</f>
        <v>88704</v>
      </c>
    </row>
    <row r="1791" spans="1:78" x14ac:dyDescent="0.15">
      <c r="A1791" s="60">
        <v>1</v>
      </c>
      <c r="J1791" s="60">
        <v>1</v>
      </c>
      <c r="L1791" s="60">
        <v>0</v>
      </c>
      <c r="M1791" s="61">
        <v>44825</v>
      </c>
      <c r="O1791" s="62" t="s">
        <v>331</v>
      </c>
      <c r="P1791" s="60" t="s">
        <v>26</v>
      </c>
      <c r="Q1791" s="62" t="s">
        <v>46</v>
      </c>
      <c r="R1791" s="62" t="s">
        <v>4892</v>
      </c>
      <c r="S1791" s="63" t="s">
        <v>880</v>
      </c>
      <c r="T1791" s="63" t="s">
        <v>340</v>
      </c>
      <c r="U1791" s="64">
        <v>84000</v>
      </c>
      <c r="V1791" s="64">
        <v>92400</v>
      </c>
      <c r="W1791" s="64">
        <v>68000</v>
      </c>
      <c r="X1791" s="64">
        <v>74800</v>
      </c>
      <c r="Y1791" s="64">
        <v>16000</v>
      </c>
      <c r="Z1791" s="64">
        <v>17600</v>
      </c>
      <c r="AA1791" s="61" t="s">
        <v>4898</v>
      </c>
      <c r="AM1791" s="60" t="s">
        <v>4615</v>
      </c>
      <c r="AQ1791" s="60" t="s">
        <v>5222</v>
      </c>
      <c r="AR1791" s="61">
        <v>44834</v>
      </c>
      <c r="AS1791" s="60">
        <v>6002077899</v>
      </c>
      <c r="AV1791" s="61">
        <v>44865</v>
      </c>
      <c r="AY1791" s="99">
        <f t="shared" si="11"/>
        <v>80640</v>
      </c>
      <c r="AZ1791" s="99">
        <f>ROUNDDOWN(AY1791+(AY1791*MASTER!$A$2/100),0)</f>
        <v>88704</v>
      </c>
    </row>
    <row r="1792" spans="1:78" x14ac:dyDescent="0.15">
      <c r="A1792" s="60">
        <v>1</v>
      </c>
      <c r="J1792" s="60">
        <v>1</v>
      </c>
      <c r="L1792" s="60">
        <v>0</v>
      </c>
      <c r="M1792" s="61">
        <v>44825</v>
      </c>
      <c r="O1792" s="62" t="s">
        <v>331</v>
      </c>
      <c r="P1792" s="60" t="s">
        <v>26</v>
      </c>
      <c r="Q1792" s="62" t="s">
        <v>46</v>
      </c>
      <c r="R1792" s="62" t="s">
        <v>4893</v>
      </c>
      <c r="S1792" s="63" t="s">
        <v>3783</v>
      </c>
      <c r="T1792" s="63" t="s">
        <v>340</v>
      </c>
      <c r="U1792" s="64">
        <v>84000</v>
      </c>
      <c r="V1792" s="64">
        <v>92400</v>
      </c>
      <c r="W1792" s="64">
        <v>68000</v>
      </c>
      <c r="X1792" s="64">
        <v>74800</v>
      </c>
      <c r="Y1792" s="64">
        <v>16000</v>
      </c>
      <c r="Z1792" s="64">
        <v>17600</v>
      </c>
      <c r="AA1792" s="61" t="s">
        <v>4898</v>
      </c>
      <c r="AM1792" s="60" t="s">
        <v>4615</v>
      </c>
      <c r="AQ1792" s="60" t="s">
        <v>5222</v>
      </c>
      <c r="AR1792" s="61">
        <v>44834</v>
      </c>
      <c r="AS1792" s="60">
        <v>6002077899</v>
      </c>
      <c r="AV1792" s="61">
        <v>44865</v>
      </c>
      <c r="AY1792" s="99">
        <f t="shared" si="11"/>
        <v>80640</v>
      </c>
      <c r="AZ1792" s="99">
        <f>ROUNDDOWN(AY1792+(AY1792*MASTER!$A$2/100),0)</f>
        <v>88704</v>
      </c>
    </row>
    <row r="1793" spans="1:78" x14ac:dyDescent="0.15">
      <c r="A1793" s="60">
        <v>1</v>
      </c>
      <c r="J1793" s="60">
        <v>1</v>
      </c>
      <c r="L1793" s="60">
        <v>0</v>
      </c>
      <c r="M1793" s="61">
        <v>44825</v>
      </c>
      <c r="O1793" s="62" t="s">
        <v>331</v>
      </c>
      <c r="P1793" s="60" t="s">
        <v>26</v>
      </c>
      <c r="Q1793" s="62" t="s">
        <v>46</v>
      </c>
      <c r="R1793" s="62" t="s">
        <v>4894</v>
      </c>
      <c r="S1793" s="63" t="s">
        <v>2029</v>
      </c>
      <c r="T1793" s="63" t="s">
        <v>340</v>
      </c>
      <c r="U1793" s="64">
        <v>84000</v>
      </c>
      <c r="V1793" s="64">
        <v>92400</v>
      </c>
      <c r="W1793" s="64">
        <v>68000</v>
      </c>
      <c r="X1793" s="64">
        <v>74800</v>
      </c>
      <c r="Y1793" s="64">
        <v>16000</v>
      </c>
      <c r="Z1793" s="64">
        <v>17600</v>
      </c>
      <c r="AA1793" s="61" t="s">
        <v>4898</v>
      </c>
      <c r="AM1793" s="60" t="s">
        <v>4615</v>
      </c>
      <c r="AQ1793" s="60" t="s">
        <v>5222</v>
      </c>
      <c r="AR1793" s="61">
        <v>44834</v>
      </c>
      <c r="AS1793" s="60">
        <v>6002077899</v>
      </c>
      <c r="AV1793" s="61">
        <v>44865</v>
      </c>
      <c r="AY1793" s="99">
        <f t="shared" si="11"/>
        <v>80640</v>
      </c>
      <c r="AZ1793" s="99">
        <f>ROUNDDOWN(AY1793+(AY1793*MASTER!$A$2/100),0)</f>
        <v>88704</v>
      </c>
    </row>
    <row r="1794" spans="1:78" x14ac:dyDescent="0.15">
      <c r="A1794" s="60">
        <v>1</v>
      </c>
      <c r="J1794" s="60">
        <v>1</v>
      </c>
      <c r="L1794" s="60">
        <v>0</v>
      </c>
      <c r="M1794" s="61">
        <v>44825</v>
      </c>
      <c r="O1794" s="62" t="s">
        <v>331</v>
      </c>
      <c r="P1794" s="60" t="s">
        <v>26</v>
      </c>
      <c r="Q1794" s="62" t="s">
        <v>46</v>
      </c>
      <c r="R1794" s="62" t="s">
        <v>4895</v>
      </c>
      <c r="S1794" s="63" t="s">
        <v>1212</v>
      </c>
      <c r="T1794" s="63" t="s">
        <v>340</v>
      </c>
      <c r="U1794" s="64">
        <v>84000</v>
      </c>
      <c r="V1794" s="64">
        <v>92400</v>
      </c>
      <c r="W1794" s="64">
        <v>68000</v>
      </c>
      <c r="X1794" s="64">
        <v>74800</v>
      </c>
      <c r="Y1794" s="64">
        <v>16000</v>
      </c>
      <c r="Z1794" s="64">
        <v>17600</v>
      </c>
      <c r="AA1794" s="61" t="s">
        <v>4898</v>
      </c>
      <c r="AM1794" s="60" t="s">
        <v>4615</v>
      </c>
      <c r="AQ1794" s="60" t="s">
        <v>5222</v>
      </c>
      <c r="AR1794" s="61">
        <v>44834</v>
      </c>
      <c r="AS1794" s="60">
        <v>6002077899</v>
      </c>
      <c r="AV1794" s="61">
        <v>44865</v>
      </c>
      <c r="AY1794" s="99">
        <f t="shared" si="11"/>
        <v>80640</v>
      </c>
      <c r="AZ1794" s="99">
        <f>ROUNDDOWN(AY1794+(AY1794*MASTER!$A$2/100),0)</f>
        <v>88704</v>
      </c>
    </row>
    <row r="1795" spans="1:78" x14ac:dyDescent="0.15">
      <c r="A1795" s="60">
        <v>1</v>
      </c>
      <c r="J1795" s="60">
        <v>1</v>
      </c>
      <c r="L1795" s="60">
        <v>0</v>
      </c>
      <c r="M1795" s="61">
        <v>44825</v>
      </c>
      <c r="O1795" s="62" t="s">
        <v>331</v>
      </c>
      <c r="P1795" s="60" t="s">
        <v>26</v>
      </c>
      <c r="Q1795" s="62" t="s">
        <v>46</v>
      </c>
      <c r="R1795" s="62" t="s">
        <v>4897</v>
      </c>
      <c r="S1795" s="63" t="s">
        <v>1079</v>
      </c>
      <c r="T1795" s="63" t="s">
        <v>340</v>
      </c>
      <c r="U1795" s="64">
        <v>84000</v>
      </c>
      <c r="V1795" s="64">
        <v>92400</v>
      </c>
      <c r="W1795" s="64">
        <v>68000</v>
      </c>
      <c r="X1795" s="64">
        <v>74800</v>
      </c>
      <c r="Y1795" s="64">
        <v>16000</v>
      </c>
      <c r="Z1795" s="64">
        <v>17600</v>
      </c>
      <c r="AA1795" s="61" t="s">
        <v>4898</v>
      </c>
      <c r="AM1795" s="60" t="s">
        <v>4615</v>
      </c>
      <c r="AQ1795" s="60" t="s">
        <v>5222</v>
      </c>
      <c r="AR1795" s="61">
        <v>44834</v>
      </c>
      <c r="AS1795" s="60">
        <v>6002077899</v>
      </c>
      <c r="AV1795" s="61">
        <v>44865</v>
      </c>
      <c r="AY1795" s="99">
        <f t="shared" si="11"/>
        <v>80640</v>
      </c>
      <c r="AZ1795" s="99">
        <f>ROUNDDOWN(AY1795+(AY1795*MASTER!$A$2/100),0)</f>
        <v>88704</v>
      </c>
    </row>
    <row r="1796" spans="1:78" x14ac:dyDescent="0.15">
      <c r="A1796" s="60">
        <v>1</v>
      </c>
      <c r="B1796" s="61">
        <v>44831</v>
      </c>
      <c r="C1796" s="61">
        <v>44834</v>
      </c>
      <c r="F1796" s="61" t="s">
        <v>309</v>
      </c>
      <c r="H1796" s="61" t="s">
        <v>309</v>
      </c>
      <c r="J1796" s="60">
        <v>1</v>
      </c>
      <c r="L1796" s="60">
        <v>0</v>
      </c>
      <c r="M1796" s="61">
        <v>44825</v>
      </c>
      <c r="O1796" s="62" t="s">
        <v>331</v>
      </c>
      <c r="P1796" s="60" t="s">
        <v>26</v>
      </c>
      <c r="Q1796" s="62" t="s">
        <v>46</v>
      </c>
      <c r="R1796" s="62" t="s">
        <v>4902</v>
      </c>
      <c r="S1796" s="63" t="s">
        <v>3939</v>
      </c>
      <c r="T1796" s="63" t="s">
        <v>340</v>
      </c>
      <c r="U1796" s="64">
        <v>84000</v>
      </c>
      <c r="V1796" s="64">
        <v>92400</v>
      </c>
      <c r="W1796" s="64">
        <v>68000</v>
      </c>
      <c r="X1796" s="64">
        <v>74800</v>
      </c>
      <c r="Y1796" s="64">
        <v>16000</v>
      </c>
      <c r="Z1796" s="64">
        <v>17600</v>
      </c>
      <c r="AA1796" s="61" t="s">
        <v>4182</v>
      </c>
      <c r="AD1796" s="60">
        <v>0</v>
      </c>
      <c r="AG1796" s="60">
        <v>0</v>
      </c>
      <c r="AJ1796" s="60">
        <v>0</v>
      </c>
      <c r="AM1796" s="60" t="s">
        <v>4615</v>
      </c>
      <c r="AQ1796" s="60" t="s">
        <v>5141</v>
      </c>
      <c r="AR1796" s="61">
        <v>44830</v>
      </c>
      <c r="AS1796" s="60">
        <v>6002076240</v>
      </c>
      <c r="AT1796" s="61">
        <v>44830</v>
      </c>
      <c r="AU1796" s="60" t="s">
        <v>5172</v>
      </c>
      <c r="AV1796" s="61">
        <v>44834</v>
      </c>
      <c r="AW1796" s="91">
        <v>44834</v>
      </c>
      <c r="AX1796" s="91">
        <v>44854</v>
      </c>
      <c r="AY1796" s="99">
        <v>80640</v>
      </c>
      <c r="AZ1796" s="99">
        <f>ROUNDDOWN(AY1796+(AY1796*MASTER!$A$2/100),0)</f>
        <v>88704</v>
      </c>
      <c r="BC1796" s="64">
        <v>0</v>
      </c>
      <c r="BG1796" s="64">
        <v>0</v>
      </c>
      <c r="BK1796" s="64">
        <v>0</v>
      </c>
      <c r="BS1796" s="64">
        <v>0</v>
      </c>
      <c r="BV1796" s="65">
        <v>74800</v>
      </c>
      <c r="BW1796" s="65">
        <v>0</v>
      </c>
      <c r="BX1796" s="65">
        <v>44825</v>
      </c>
      <c r="BY1796" s="65">
        <v>74800</v>
      </c>
      <c r="BZ1796" s="81">
        <v>100</v>
      </c>
    </row>
    <row r="1797" spans="1:78" x14ac:dyDescent="0.15">
      <c r="A1797" s="60">
        <v>1</v>
      </c>
      <c r="C1797" s="61" t="s">
        <v>309</v>
      </c>
      <c r="F1797" s="61" t="s">
        <v>309</v>
      </c>
      <c r="H1797" s="61" t="s">
        <v>309</v>
      </c>
      <c r="J1797" s="60">
        <v>2</v>
      </c>
      <c r="L1797" s="60">
        <v>0</v>
      </c>
      <c r="M1797" s="61">
        <v>44825</v>
      </c>
      <c r="O1797" s="62" t="s">
        <v>331</v>
      </c>
      <c r="P1797" s="60" t="s">
        <v>50</v>
      </c>
      <c r="Q1797" s="62" t="s">
        <v>46</v>
      </c>
      <c r="R1797" s="62" t="s">
        <v>4904</v>
      </c>
      <c r="S1797" s="63" t="s">
        <v>326</v>
      </c>
      <c r="T1797" s="63" t="s">
        <v>4903</v>
      </c>
      <c r="U1797" s="64">
        <v>60000</v>
      </c>
      <c r="V1797" s="64">
        <v>66000</v>
      </c>
      <c r="W1797" s="64">
        <v>60000</v>
      </c>
      <c r="X1797" s="64">
        <v>66000</v>
      </c>
      <c r="Y1797" s="64">
        <v>0</v>
      </c>
      <c r="Z1797" s="64">
        <v>0</v>
      </c>
      <c r="AD1797" s="60">
        <v>0</v>
      </c>
      <c r="AG1797" s="60">
        <v>0</v>
      </c>
      <c r="AJ1797" s="60">
        <v>0</v>
      </c>
      <c r="AQ1797" s="60" t="s">
        <v>5221</v>
      </c>
      <c r="AR1797" s="61">
        <v>44834</v>
      </c>
      <c r="AS1797" s="60">
        <v>6002077898</v>
      </c>
      <c r="AV1797" s="61">
        <v>44848</v>
      </c>
      <c r="AY1797" s="107">
        <f>U1797</f>
        <v>60000</v>
      </c>
      <c r="AZ1797" s="107">
        <f>ROUNDDOWN(AY1797+(AY1797*MASTER!$A$2/100),0)</f>
        <v>66000</v>
      </c>
      <c r="BC1797" s="64">
        <v>0</v>
      </c>
      <c r="BG1797" s="64">
        <v>0</v>
      </c>
      <c r="BK1797" s="64">
        <v>0</v>
      </c>
      <c r="BS1797" s="64">
        <v>0</v>
      </c>
      <c r="BV1797" s="65">
        <v>66000</v>
      </c>
      <c r="BW1797" s="65">
        <v>0</v>
      </c>
      <c r="BX1797" s="65">
        <v>44825</v>
      </c>
      <c r="BY1797" s="65">
        <v>66000</v>
      </c>
      <c r="BZ1797" s="81">
        <v>100</v>
      </c>
    </row>
    <row r="1798" spans="1:78" x14ac:dyDescent="0.15">
      <c r="A1798" s="60">
        <v>1</v>
      </c>
      <c r="C1798" s="61" t="s">
        <v>309</v>
      </c>
      <c r="F1798" s="61" t="s">
        <v>309</v>
      </c>
      <c r="H1798" s="61" t="s">
        <v>309</v>
      </c>
      <c r="J1798" s="60">
        <v>1</v>
      </c>
      <c r="L1798" s="60">
        <v>0</v>
      </c>
      <c r="M1798" s="61">
        <v>44826</v>
      </c>
      <c r="O1798" s="62" t="s">
        <v>335</v>
      </c>
      <c r="P1798" s="60" t="s">
        <v>349</v>
      </c>
      <c r="Q1798" s="62" t="s">
        <v>4659</v>
      </c>
      <c r="R1798" s="62" t="s">
        <v>4930</v>
      </c>
      <c r="S1798" s="63" t="s">
        <v>4931</v>
      </c>
      <c r="T1798" s="63" t="s">
        <v>4932</v>
      </c>
      <c r="U1798" s="64">
        <v>23900</v>
      </c>
      <c r="V1798" s="64">
        <v>26290</v>
      </c>
      <c r="W1798" s="64">
        <v>14700</v>
      </c>
      <c r="X1798" s="64">
        <v>16170</v>
      </c>
      <c r="Y1798" s="64">
        <v>9200</v>
      </c>
      <c r="Z1798" s="64">
        <v>10120</v>
      </c>
      <c r="AA1798" s="61">
        <v>44848</v>
      </c>
      <c r="AB1798" s="61">
        <v>44849</v>
      </c>
      <c r="AD1798" s="60">
        <v>0</v>
      </c>
      <c r="AG1798" s="60">
        <v>0</v>
      </c>
      <c r="AJ1798" s="60">
        <v>0</v>
      </c>
      <c r="AM1798" s="60" t="s">
        <v>350</v>
      </c>
      <c r="AN1798" s="60" t="s">
        <v>4933</v>
      </c>
      <c r="AY1798" s="99">
        <f>ROUNDDOWN((0.96*U1798),0)</f>
        <v>22944</v>
      </c>
      <c r="AZ1798" s="99">
        <f>ROUNDDOWN(AY1798+(AY1798*MASTER!$A$2/100),0)</f>
        <v>25238</v>
      </c>
      <c r="BC1798" s="64">
        <v>0</v>
      </c>
      <c r="BG1798" s="64">
        <v>0</v>
      </c>
      <c r="BK1798" s="64">
        <v>0</v>
      </c>
      <c r="BS1798" s="64">
        <v>0</v>
      </c>
      <c r="BV1798" s="65">
        <v>16170</v>
      </c>
      <c r="BW1798" s="65">
        <v>0</v>
      </c>
      <c r="BX1798" s="65">
        <v>44826</v>
      </c>
      <c r="BY1798" s="65">
        <v>16170</v>
      </c>
      <c r="BZ1798" s="81">
        <v>100</v>
      </c>
    </row>
    <row r="1799" spans="1:78" x14ac:dyDescent="0.15">
      <c r="A1799" s="60">
        <v>1</v>
      </c>
      <c r="C1799" s="61" t="s">
        <v>309</v>
      </c>
      <c r="F1799" s="61" t="s">
        <v>309</v>
      </c>
      <c r="H1799" s="61" t="s">
        <v>309</v>
      </c>
      <c r="J1799" s="60">
        <v>1</v>
      </c>
      <c r="L1799" s="60">
        <v>0</v>
      </c>
      <c r="M1799" s="61">
        <v>44826</v>
      </c>
      <c r="O1799" s="62" t="s">
        <v>335</v>
      </c>
      <c r="P1799" s="60" t="s">
        <v>349</v>
      </c>
      <c r="Q1799" s="62" t="s">
        <v>4659</v>
      </c>
      <c r="R1799" s="62" t="s">
        <v>4934</v>
      </c>
      <c r="S1799" s="63" t="s">
        <v>4935</v>
      </c>
      <c r="T1799" s="63" t="s">
        <v>4936</v>
      </c>
      <c r="U1799" s="64">
        <v>50000</v>
      </c>
      <c r="V1799" s="64">
        <v>55000</v>
      </c>
      <c r="W1799" s="64">
        <v>47000</v>
      </c>
      <c r="X1799" s="64">
        <v>51700</v>
      </c>
      <c r="Y1799" s="64">
        <v>3000</v>
      </c>
      <c r="Z1799" s="64">
        <v>3300</v>
      </c>
      <c r="AD1799" s="60">
        <v>0</v>
      </c>
      <c r="AG1799" s="60">
        <v>0</v>
      </c>
      <c r="AJ1799" s="60">
        <v>0</v>
      </c>
      <c r="AM1799" s="60" t="s">
        <v>350</v>
      </c>
      <c r="AN1799" s="60" t="s">
        <v>4937</v>
      </c>
      <c r="AY1799" s="99">
        <f>ROUNDDOWN((0.96*U1799),0)</f>
        <v>48000</v>
      </c>
      <c r="AZ1799" s="99">
        <f>ROUNDDOWN(AY1799+(AY1799*MASTER!$A$2/100),0)</f>
        <v>52800</v>
      </c>
      <c r="BC1799" s="64">
        <v>0</v>
      </c>
      <c r="BG1799" s="64">
        <v>0</v>
      </c>
      <c r="BK1799" s="64">
        <v>0</v>
      </c>
      <c r="BS1799" s="64">
        <v>0</v>
      </c>
      <c r="BV1799" s="65">
        <v>51700</v>
      </c>
      <c r="BW1799" s="65">
        <v>0</v>
      </c>
      <c r="BX1799" s="65">
        <v>44826</v>
      </c>
      <c r="BY1799" s="65">
        <v>51700</v>
      </c>
      <c r="BZ1799" s="81">
        <v>100</v>
      </c>
    </row>
    <row r="1800" spans="1:78" x14ac:dyDescent="0.15">
      <c r="A1800" s="60">
        <v>1</v>
      </c>
      <c r="C1800" s="61" t="s">
        <v>309</v>
      </c>
      <c r="F1800" s="61" t="s">
        <v>309</v>
      </c>
      <c r="H1800" s="61" t="s">
        <v>309</v>
      </c>
      <c r="J1800" s="60">
        <v>1</v>
      </c>
      <c r="L1800" s="60">
        <v>0</v>
      </c>
      <c r="M1800" s="61">
        <v>44826</v>
      </c>
      <c r="O1800" s="62" t="s">
        <v>335</v>
      </c>
      <c r="P1800" s="60" t="s">
        <v>349</v>
      </c>
      <c r="Q1800" s="62" t="s">
        <v>4659</v>
      </c>
      <c r="R1800" s="62" t="s">
        <v>4938</v>
      </c>
      <c r="S1800" s="63" t="s">
        <v>4939</v>
      </c>
      <c r="T1800" s="63" t="s">
        <v>4940</v>
      </c>
      <c r="U1800" s="64">
        <v>178500</v>
      </c>
      <c r="V1800" s="64">
        <v>196350</v>
      </c>
      <c r="W1800" s="64">
        <v>86000</v>
      </c>
      <c r="X1800" s="64">
        <v>94600</v>
      </c>
      <c r="Y1800" s="64">
        <v>92500</v>
      </c>
      <c r="Z1800" s="64">
        <v>101750</v>
      </c>
      <c r="AA1800" s="61">
        <v>44871</v>
      </c>
      <c r="AB1800" s="61">
        <v>44872</v>
      </c>
      <c r="AD1800" s="60">
        <v>0</v>
      </c>
      <c r="AG1800" s="60">
        <v>0</v>
      </c>
      <c r="AJ1800" s="60">
        <v>0</v>
      </c>
      <c r="AM1800" s="60" t="s">
        <v>350</v>
      </c>
      <c r="AN1800" s="60" t="s">
        <v>4941</v>
      </c>
      <c r="AY1800" s="99">
        <f>ROUNDDOWN((0.96*U1800),0)</f>
        <v>171360</v>
      </c>
      <c r="AZ1800" s="99">
        <f>ROUNDDOWN(AY1800+(AY1800*MASTER!$A$2/100),0)</f>
        <v>188496</v>
      </c>
      <c r="BC1800" s="64">
        <v>0</v>
      </c>
      <c r="BG1800" s="64">
        <v>0</v>
      </c>
      <c r="BK1800" s="64">
        <v>0</v>
      </c>
      <c r="BS1800" s="64">
        <v>0</v>
      </c>
      <c r="BV1800" s="65">
        <v>94600</v>
      </c>
      <c r="BW1800" s="65">
        <v>0</v>
      </c>
      <c r="BX1800" s="65">
        <v>44826</v>
      </c>
      <c r="BY1800" s="65">
        <v>94600</v>
      </c>
      <c r="BZ1800" s="81">
        <v>100</v>
      </c>
    </row>
    <row r="1801" spans="1:78" x14ac:dyDescent="0.15">
      <c r="A1801" s="60">
        <v>1</v>
      </c>
      <c r="C1801" s="61" t="s">
        <v>309</v>
      </c>
      <c r="F1801" s="61" t="s">
        <v>309</v>
      </c>
      <c r="H1801" s="61" t="s">
        <v>309</v>
      </c>
      <c r="J1801" s="60">
        <v>1</v>
      </c>
      <c r="L1801" s="60">
        <v>0</v>
      </c>
      <c r="M1801" s="61">
        <v>44826</v>
      </c>
      <c r="O1801" s="62" t="s">
        <v>335</v>
      </c>
      <c r="P1801" s="60" t="s">
        <v>349</v>
      </c>
      <c r="Q1801" s="62" t="s">
        <v>4659</v>
      </c>
      <c r="R1801" s="62" t="s">
        <v>4942</v>
      </c>
      <c r="S1801" s="63" t="s">
        <v>4943</v>
      </c>
      <c r="T1801" s="63" t="s">
        <v>4944</v>
      </c>
      <c r="U1801" s="64">
        <v>60200</v>
      </c>
      <c r="V1801" s="64">
        <v>66220</v>
      </c>
      <c r="W1801" s="64">
        <v>39000</v>
      </c>
      <c r="X1801" s="64">
        <v>42900</v>
      </c>
      <c r="Y1801" s="64">
        <v>21200</v>
      </c>
      <c r="Z1801" s="64">
        <v>23320</v>
      </c>
      <c r="AA1801" s="61">
        <v>44850</v>
      </c>
      <c r="AB1801" s="61">
        <v>44851</v>
      </c>
      <c r="AD1801" s="60">
        <v>0</v>
      </c>
      <c r="AG1801" s="60">
        <v>0</v>
      </c>
      <c r="AJ1801" s="60">
        <v>0</v>
      </c>
      <c r="AM1801" s="60" t="s">
        <v>350</v>
      </c>
      <c r="AN1801" s="60" t="s">
        <v>4945</v>
      </c>
      <c r="AY1801" s="99">
        <f>ROUNDDOWN((0.96*U1801),0)</f>
        <v>57792</v>
      </c>
      <c r="AZ1801" s="99">
        <f>ROUNDDOWN(AY1801+(AY1801*MASTER!$A$2/100),0)</f>
        <v>63571</v>
      </c>
      <c r="BC1801" s="64">
        <v>0</v>
      </c>
      <c r="BG1801" s="64">
        <v>0</v>
      </c>
      <c r="BK1801" s="64">
        <v>0</v>
      </c>
      <c r="BS1801" s="64">
        <v>0</v>
      </c>
      <c r="BV1801" s="65">
        <v>42900</v>
      </c>
      <c r="BW1801" s="65">
        <v>0</v>
      </c>
      <c r="BX1801" s="65">
        <v>44826</v>
      </c>
      <c r="BY1801" s="65">
        <v>42900</v>
      </c>
      <c r="BZ1801" s="81">
        <v>100</v>
      </c>
    </row>
    <row r="1802" spans="1:78" x14ac:dyDescent="0.15">
      <c r="A1802" s="60">
        <v>1</v>
      </c>
      <c r="C1802" s="61" t="s">
        <v>309</v>
      </c>
      <c r="F1802" s="61" t="s">
        <v>309</v>
      </c>
      <c r="H1802" s="61" t="s">
        <v>309</v>
      </c>
      <c r="J1802" s="60">
        <v>2</v>
      </c>
      <c r="L1802" s="60">
        <v>0</v>
      </c>
      <c r="M1802" s="61">
        <v>44826</v>
      </c>
      <c r="O1802" s="62" t="s">
        <v>335</v>
      </c>
      <c r="P1802" s="60" t="s">
        <v>349</v>
      </c>
      <c r="Q1802" s="62" t="s">
        <v>4659</v>
      </c>
      <c r="R1802" s="62" t="s">
        <v>4950</v>
      </c>
      <c r="S1802" s="63" t="s">
        <v>4951</v>
      </c>
      <c r="T1802" s="63" t="s">
        <v>4952</v>
      </c>
      <c r="U1802" s="64">
        <v>485000</v>
      </c>
      <c r="V1802" s="64">
        <v>533500</v>
      </c>
      <c r="W1802" s="64">
        <v>485000</v>
      </c>
      <c r="X1802" s="64">
        <v>533500</v>
      </c>
      <c r="Z1802" s="64">
        <v>0</v>
      </c>
      <c r="AA1802" s="61">
        <v>44828</v>
      </c>
      <c r="AB1802" s="61">
        <v>44834</v>
      </c>
      <c r="AD1802" s="60">
        <v>0</v>
      </c>
      <c r="AG1802" s="60">
        <v>0</v>
      </c>
      <c r="AJ1802" s="60">
        <v>0</v>
      </c>
      <c r="AN1802" s="60" t="s">
        <v>309</v>
      </c>
      <c r="AY1802" s="99">
        <f>ROUNDDOWN((0.96*U1802),0)</f>
        <v>465600</v>
      </c>
      <c r="AZ1802" s="99">
        <f>ROUNDDOWN(AY1802+(AY1802*MASTER!$A$2/100),0)</f>
        <v>512160</v>
      </c>
      <c r="BC1802" s="64">
        <v>0</v>
      </c>
      <c r="BG1802" s="64">
        <v>0</v>
      </c>
      <c r="BK1802" s="64">
        <v>0</v>
      </c>
      <c r="BS1802" s="64">
        <v>0</v>
      </c>
      <c r="BV1802" s="65">
        <v>533500</v>
      </c>
      <c r="BW1802" s="65">
        <v>0</v>
      </c>
      <c r="BX1802" s="65">
        <v>44826</v>
      </c>
      <c r="BY1802" s="65">
        <v>533500</v>
      </c>
      <c r="BZ1802" s="81">
        <v>100</v>
      </c>
    </row>
    <row r="1803" spans="1:78" x14ac:dyDescent="0.15">
      <c r="A1803" s="60">
        <v>1</v>
      </c>
      <c r="C1803" s="61">
        <v>44839</v>
      </c>
      <c r="F1803" s="61" t="s">
        <v>309</v>
      </c>
      <c r="H1803" s="61" t="s">
        <v>309</v>
      </c>
      <c r="J1803" s="60">
        <v>2</v>
      </c>
      <c r="L1803" s="60">
        <v>0</v>
      </c>
      <c r="M1803" s="61">
        <v>44826</v>
      </c>
      <c r="O1803" s="62" t="s">
        <v>331</v>
      </c>
      <c r="P1803" s="60" t="s">
        <v>26</v>
      </c>
      <c r="Q1803" s="62" t="s">
        <v>46</v>
      </c>
      <c r="R1803" s="62" t="s">
        <v>5155</v>
      </c>
      <c r="S1803" s="63" t="s">
        <v>484</v>
      </c>
      <c r="T1803" s="63" t="s">
        <v>5156</v>
      </c>
      <c r="U1803" s="64">
        <v>50000</v>
      </c>
      <c r="V1803" s="64">
        <v>55000</v>
      </c>
      <c r="W1803" s="64">
        <v>50000</v>
      </c>
      <c r="X1803" s="64">
        <v>55000</v>
      </c>
      <c r="Y1803" s="64">
        <v>0</v>
      </c>
      <c r="Z1803" s="64">
        <v>0</v>
      </c>
      <c r="AA1803" s="61">
        <v>44825</v>
      </c>
      <c r="AB1803" s="61">
        <v>44825</v>
      </c>
      <c r="AD1803" s="60">
        <v>0</v>
      </c>
      <c r="AG1803" s="60">
        <v>0</v>
      </c>
      <c r="AJ1803" s="60">
        <v>0</v>
      </c>
      <c r="AN1803" s="60" t="s">
        <v>309</v>
      </c>
      <c r="AQ1803" s="60" t="s">
        <v>5157</v>
      </c>
      <c r="AR1803" s="61">
        <v>44830</v>
      </c>
      <c r="AS1803" s="60">
        <v>6002076554</v>
      </c>
      <c r="AT1803" s="61">
        <v>44831</v>
      </c>
      <c r="AU1803" s="60" t="s">
        <v>5174</v>
      </c>
      <c r="AV1803" s="61">
        <v>44839</v>
      </c>
      <c r="AY1803" s="107">
        <v>50000</v>
      </c>
      <c r="AZ1803" s="107">
        <f>ROUNDDOWN(AY1803+(AY1803*MASTER!$A$2/100),0)</f>
        <v>55000</v>
      </c>
      <c r="BC1803" s="64">
        <v>0</v>
      </c>
      <c r="BG1803" s="64">
        <v>0</v>
      </c>
      <c r="BK1803" s="64">
        <v>0</v>
      </c>
      <c r="BS1803" s="64">
        <v>0</v>
      </c>
      <c r="BV1803" s="65">
        <v>55000</v>
      </c>
      <c r="BW1803" s="65">
        <v>0</v>
      </c>
      <c r="BX1803" s="65">
        <v>44826</v>
      </c>
      <c r="BY1803" s="65">
        <v>55000</v>
      </c>
      <c r="BZ1803" s="81">
        <v>100</v>
      </c>
    </row>
    <row r="1804" spans="1:78" x14ac:dyDescent="0.15">
      <c r="A1804" s="60">
        <v>1</v>
      </c>
      <c r="C1804" s="61" t="s">
        <v>309</v>
      </c>
      <c r="F1804" s="61" t="s">
        <v>309</v>
      </c>
      <c r="H1804" s="61" t="s">
        <v>309</v>
      </c>
      <c r="J1804" s="60">
        <v>3</v>
      </c>
      <c r="L1804" s="60">
        <v>0</v>
      </c>
      <c r="M1804" s="61">
        <v>44826</v>
      </c>
      <c r="O1804" s="62" t="s">
        <v>331</v>
      </c>
      <c r="P1804" s="60" t="s">
        <v>6</v>
      </c>
      <c r="Q1804" s="62" t="s">
        <v>46</v>
      </c>
      <c r="R1804" s="62" t="s">
        <v>4956</v>
      </c>
      <c r="S1804" s="63" t="s">
        <v>1989</v>
      </c>
      <c r="T1804" s="63" t="s">
        <v>463</v>
      </c>
      <c r="U1804" s="64">
        <v>9000</v>
      </c>
      <c r="V1804" s="64">
        <v>9900</v>
      </c>
      <c r="X1804" s="64">
        <v>0</v>
      </c>
      <c r="Y1804" s="64">
        <v>9000</v>
      </c>
      <c r="Z1804" s="64">
        <v>9900</v>
      </c>
      <c r="AD1804" s="60">
        <v>0</v>
      </c>
      <c r="AG1804" s="60">
        <v>0</v>
      </c>
      <c r="AJ1804" s="60">
        <v>0</v>
      </c>
      <c r="AN1804" s="60" t="s">
        <v>309</v>
      </c>
      <c r="AY1804" s="99">
        <f>ROUNDDOWN((0.96*U1804),0)</f>
        <v>8640</v>
      </c>
      <c r="AZ1804" s="99">
        <f>ROUNDDOWN(AY1804+(AY1804*MASTER!$A$2/100),0)</f>
        <v>9504</v>
      </c>
      <c r="BC1804" s="64">
        <v>0</v>
      </c>
      <c r="BG1804" s="64">
        <v>0</v>
      </c>
      <c r="BK1804" s="64">
        <v>0</v>
      </c>
      <c r="BS1804" s="64">
        <v>0</v>
      </c>
      <c r="BV1804" s="65">
        <v>0</v>
      </c>
      <c r="BW1804" s="65">
        <v>0</v>
      </c>
      <c r="BX1804" s="65">
        <v>44826</v>
      </c>
      <c r="BY1804" s="65">
        <v>0</v>
      </c>
      <c r="BZ1804" s="81" t="s">
        <v>309</v>
      </c>
    </row>
    <row r="1805" spans="1:78" x14ac:dyDescent="0.15">
      <c r="A1805" s="60">
        <v>1</v>
      </c>
      <c r="C1805" s="61" t="s">
        <v>309</v>
      </c>
      <c r="F1805" s="61" t="s">
        <v>309</v>
      </c>
      <c r="H1805" s="61" t="s">
        <v>309</v>
      </c>
      <c r="J1805" s="60">
        <v>2</v>
      </c>
      <c r="L1805" s="60">
        <v>0</v>
      </c>
      <c r="M1805" s="61">
        <v>44826</v>
      </c>
      <c r="O1805" s="62" t="s">
        <v>331</v>
      </c>
      <c r="P1805" s="60" t="s">
        <v>77</v>
      </c>
      <c r="Q1805" s="62" t="s">
        <v>46</v>
      </c>
      <c r="R1805" s="62" t="s">
        <v>5039</v>
      </c>
      <c r="S1805" s="177" t="s">
        <v>4963</v>
      </c>
      <c r="T1805" s="177" t="s">
        <v>4415</v>
      </c>
      <c r="U1805" s="178">
        <v>65000</v>
      </c>
      <c r="V1805" s="178">
        <v>71500</v>
      </c>
      <c r="W1805" s="178">
        <v>65000</v>
      </c>
      <c r="X1805" s="178">
        <v>71500</v>
      </c>
      <c r="Y1805" s="178">
        <v>0</v>
      </c>
      <c r="Z1805" s="178">
        <v>0</v>
      </c>
      <c r="AA1805" s="179" t="s">
        <v>4898</v>
      </c>
      <c r="AY1805" s="107">
        <f>U1805</f>
        <v>65000</v>
      </c>
      <c r="AZ1805" s="107">
        <f>ROUNDDOWN(AY1805+(AY1805*MASTER!$A$2/100),0)</f>
        <v>71500</v>
      </c>
    </row>
    <row r="1806" spans="1:78" x14ac:dyDescent="0.15">
      <c r="A1806" s="60">
        <v>1</v>
      </c>
      <c r="C1806" s="61" t="s">
        <v>309</v>
      </c>
      <c r="F1806" s="61" t="s">
        <v>309</v>
      </c>
      <c r="H1806" s="61" t="s">
        <v>309</v>
      </c>
      <c r="J1806" s="60">
        <v>2</v>
      </c>
      <c r="L1806" s="60">
        <v>0</v>
      </c>
      <c r="M1806" s="61">
        <v>44826</v>
      </c>
      <c r="O1806" s="62" t="s">
        <v>331</v>
      </c>
      <c r="P1806" s="60" t="s">
        <v>77</v>
      </c>
      <c r="Q1806" s="62" t="s">
        <v>46</v>
      </c>
      <c r="R1806" s="62" t="s">
        <v>5040</v>
      </c>
      <c r="S1806" s="177" t="s">
        <v>4964</v>
      </c>
      <c r="T1806" s="177" t="s">
        <v>4415</v>
      </c>
      <c r="U1806" s="178">
        <v>65000</v>
      </c>
      <c r="V1806" s="178">
        <v>71500</v>
      </c>
      <c r="W1806" s="178">
        <v>65000</v>
      </c>
      <c r="X1806" s="178">
        <v>71500</v>
      </c>
      <c r="Y1806" s="178">
        <v>0</v>
      </c>
      <c r="Z1806" s="178">
        <v>0</v>
      </c>
      <c r="AA1806" s="179" t="s">
        <v>4898</v>
      </c>
      <c r="AY1806" s="107">
        <f t="shared" ref="AY1806:AY1869" si="12">U1806</f>
        <v>65000</v>
      </c>
      <c r="AZ1806" s="107">
        <f>ROUNDDOWN(AY1806+(AY1806*MASTER!$A$2/100),0)</f>
        <v>71500</v>
      </c>
    </row>
    <row r="1807" spans="1:78" x14ac:dyDescent="0.15">
      <c r="A1807" s="60">
        <v>1</v>
      </c>
      <c r="C1807" s="61" t="s">
        <v>309</v>
      </c>
      <c r="F1807" s="61" t="s">
        <v>309</v>
      </c>
      <c r="H1807" s="61" t="s">
        <v>309</v>
      </c>
      <c r="J1807" s="60">
        <v>2</v>
      </c>
      <c r="L1807" s="60">
        <v>0</v>
      </c>
      <c r="M1807" s="61">
        <v>44826</v>
      </c>
      <c r="O1807" s="62" t="s">
        <v>331</v>
      </c>
      <c r="P1807" s="60" t="s">
        <v>77</v>
      </c>
      <c r="Q1807" s="62" t="s">
        <v>46</v>
      </c>
      <c r="R1807" s="62" t="s">
        <v>5041</v>
      </c>
      <c r="S1807" s="177" t="s">
        <v>4965</v>
      </c>
      <c r="T1807" s="177" t="s">
        <v>4415</v>
      </c>
      <c r="U1807" s="178">
        <v>65000</v>
      </c>
      <c r="V1807" s="178">
        <v>71500</v>
      </c>
      <c r="W1807" s="178">
        <v>65000</v>
      </c>
      <c r="X1807" s="178">
        <v>71500</v>
      </c>
      <c r="Y1807" s="178">
        <v>0</v>
      </c>
      <c r="Z1807" s="178">
        <v>0</v>
      </c>
      <c r="AA1807" s="179" t="s">
        <v>4898</v>
      </c>
      <c r="AY1807" s="107">
        <f t="shared" si="12"/>
        <v>65000</v>
      </c>
      <c r="AZ1807" s="107">
        <f>ROUNDDOWN(AY1807+(AY1807*MASTER!$A$2/100),0)</f>
        <v>71500</v>
      </c>
    </row>
    <row r="1808" spans="1:78" x14ac:dyDescent="0.15">
      <c r="A1808" s="60">
        <v>1</v>
      </c>
      <c r="C1808" s="61" t="s">
        <v>309</v>
      </c>
      <c r="F1808" s="61" t="s">
        <v>309</v>
      </c>
      <c r="H1808" s="61" t="s">
        <v>309</v>
      </c>
      <c r="J1808" s="60">
        <v>2</v>
      </c>
      <c r="L1808" s="60">
        <v>0</v>
      </c>
      <c r="M1808" s="61">
        <v>44826</v>
      </c>
      <c r="O1808" s="62" t="s">
        <v>331</v>
      </c>
      <c r="P1808" s="60" t="s">
        <v>77</v>
      </c>
      <c r="Q1808" s="62" t="s">
        <v>46</v>
      </c>
      <c r="R1808" s="62" t="s">
        <v>5042</v>
      </c>
      <c r="S1808" s="177" t="s">
        <v>4966</v>
      </c>
      <c r="T1808" s="177" t="s">
        <v>4415</v>
      </c>
      <c r="U1808" s="178">
        <v>65000</v>
      </c>
      <c r="V1808" s="178">
        <v>71500</v>
      </c>
      <c r="W1808" s="178">
        <v>65000</v>
      </c>
      <c r="X1808" s="178">
        <v>71500</v>
      </c>
      <c r="Y1808" s="178">
        <v>0</v>
      </c>
      <c r="Z1808" s="178">
        <v>0</v>
      </c>
      <c r="AA1808" s="179" t="s">
        <v>4898</v>
      </c>
      <c r="AY1808" s="107">
        <f t="shared" si="12"/>
        <v>65000</v>
      </c>
      <c r="AZ1808" s="107">
        <f>ROUNDDOWN(AY1808+(AY1808*MASTER!$A$2/100),0)</f>
        <v>71500</v>
      </c>
    </row>
    <row r="1809" spans="1:52" x14ac:dyDescent="0.15">
      <c r="A1809" s="60">
        <v>1</v>
      </c>
      <c r="C1809" s="61" t="s">
        <v>309</v>
      </c>
      <c r="F1809" s="61" t="s">
        <v>309</v>
      </c>
      <c r="H1809" s="61" t="s">
        <v>309</v>
      </c>
      <c r="J1809" s="60">
        <v>2</v>
      </c>
      <c r="L1809" s="60">
        <v>0</v>
      </c>
      <c r="M1809" s="61">
        <v>44826</v>
      </c>
      <c r="O1809" s="62" t="s">
        <v>331</v>
      </c>
      <c r="P1809" s="60" t="s">
        <v>77</v>
      </c>
      <c r="Q1809" s="62" t="s">
        <v>46</v>
      </c>
      <c r="R1809" s="62" t="s">
        <v>5043</v>
      </c>
      <c r="S1809" s="177" t="s">
        <v>4967</v>
      </c>
      <c r="T1809" s="177" t="s">
        <v>4415</v>
      </c>
      <c r="U1809" s="178">
        <v>65000</v>
      </c>
      <c r="V1809" s="178">
        <v>71500</v>
      </c>
      <c r="W1809" s="178">
        <v>65000</v>
      </c>
      <c r="X1809" s="178">
        <v>71500</v>
      </c>
      <c r="Y1809" s="178">
        <v>0</v>
      </c>
      <c r="Z1809" s="178">
        <v>0</v>
      </c>
      <c r="AA1809" s="179" t="s">
        <v>4898</v>
      </c>
      <c r="AY1809" s="107">
        <f t="shared" si="12"/>
        <v>65000</v>
      </c>
      <c r="AZ1809" s="107">
        <f>ROUNDDOWN(AY1809+(AY1809*MASTER!$A$2/100),0)</f>
        <v>71500</v>
      </c>
    </row>
    <row r="1810" spans="1:52" x14ac:dyDescent="0.15">
      <c r="A1810" s="60">
        <v>1</v>
      </c>
      <c r="C1810" s="61" t="s">
        <v>309</v>
      </c>
      <c r="F1810" s="61" t="s">
        <v>309</v>
      </c>
      <c r="H1810" s="61" t="s">
        <v>309</v>
      </c>
      <c r="J1810" s="60">
        <v>2</v>
      </c>
      <c r="L1810" s="60">
        <v>0</v>
      </c>
      <c r="M1810" s="61">
        <v>44826</v>
      </c>
      <c r="O1810" s="62" t="s">
        <v>331</v>
      </c>
      <c r="P1810" s="60" t="s">
        <v>77</v>
      </c>
      <c r="Q1810" s="62" t="s">
        <v>46</v>
      </c>
      <c r="R1810" s="62" t="s">
        <v>5044</v>
      </c>
      <c r="S1810" s="177" t="s">
        <v>4968</v>
      </c>
      <c r="T1810" s="177" t="s">
        <v>4415</v>
      </c>
      <c r="U1810" s="178">
        <v>65000</v>
      </c>
      <c r="V1810" s="178">
        <v>71500</v>
      </c>
      <c r="W1810" s="178">
        <v>65000</v>
      </c>
      <c r="X1810" s="178">
        <v>71500</v>
      </c>
      <c r="Y1810" s="178">
        <v>0</v>
      </c>
      <c r="Z1810" s="178">
        <v>0</v>
      </c>
      <c r="AA1810" s="179" t="s">
        <v>4898</v>
      </c>
      <c r="AY1810" s="107">
        <f t="shared" si="12"/>
        <v>65000</v>
      </c>
      <c r="AZ1810" s="107">
        <f>ROUNDDOWN(AY1810+(AY1810*MASTER!$A$2/100),0)</f>
        <v>71500</v>
      </c>
    </row>
    <row r="1811" spans="1:52" x14ac:dyDescent="0.15">
      <c r="A1811" s="60">
        <v>1</v>
      </c>
      <c r="C1811" s="61" t="s">
        <v>309</v>
      </c>
      <c r="F1811" s="61" t="s">
        <v>309</v>
      </c>
      <c r="H1811" s="61" t="s">
        <v>309</v>
      </c>
      <c r="J1811" s="60">
        <v>2</v>
      </c>
      <c r="L1811" s="60">
        <v>0</v>
      </c>
      <c r="M1811" s="61">
        <v>44826</v>
      </c>
      <c r="O1811" s="62" t="s">
        <v>331</v>
      </c>
      <c r="P1811" s="60" t="s">
        <v>77</v>
      </c>
      <c r="Q1811" s="62" t="s">
        <v>46</v>
      </c>
      <c r="R1811" s="62" t="s">
        <v>5045</v>
      </c>
      <c r="S1811" s="177" t="s">
        <v>4969</v>
      </c>
      <c r="T1811" s="177" t="s">
        <v>4415</v>
      </c>
      <c r="U1811" s="178">
        <v>65000</v>
      </c>
      <c r="V1811" s="178">
        <v>71500</v>
      </c>
      <c r="W1811" s="178">
        <v>65000</v>
      </c>
      <c r="X1811" s="178">
        <v>71500</v>
      </c>
      <c r="Y1811" s="178">
        <v>0</v>
      </c>
      <c r="Z1811" s="178">
        <v>0</v>
      </c>
      <c r="AA1811" s="179" t="s">
        <v>4898</v>
      </c>
      <c r="AY1811" s="107">
        <f t="shared" si="12"/>
        <v>65000</v>
      </c>
      <c r="AZ1811" s="107">
        <f>ROUNDDOWN(AY1811+(AY1811*MASTER!$A$2/100),0)</f>
        <v>71500</v>
      </c>
    </row>
    <row r="1812" spans="1:52" x14ac:dyDescent="0.15">
      <c r="A1812" s="60">
        <v>1</v>
      </c>
      <c r="C1812" s="61" t="s">
        <v>309</v>
      </c>
      <c r="F1812" s="61" t="s">
        <v>309</v>
      </c>
      <c r="H1812" s="61" t="s">
        <v>309</v>
      </c>
      <c r="J1812" s="60">
        <v>2</v>
      </c>
      <c r="L1812" s="60">
        <v>0</v>
      </c>
      <c r="M1812" s="61">
        <v>44826</v>
      </c>
      <c r="O1812" s="62" t="s">
        <v>331</v>
      </c>
      <c r="P1812" s="60" t="s">
        <v>77</v>
      </c>
      <c r="Q1812" s="62" t="s">
        <v>46</v>
      </c>
      <c r="R1812" s="62" t="s">
        <v>5046</v>
      </c>
      <c r="S1812" s="177" t="s">
        <v>4970</v>
      </c>
      <c r="T1812" s="177" t="s">
        <v>4415</v>
      </c>
      <c r="U1812" s="178">
        <v>65000</v>
      </c>
      <c r="V1812" s="178">
        <v>71500</v>
      </c>
      <c r="W1812" s="178">
        <v>65000</v>
      </c>
      <c r="X1812" s="178">
        <v>71500</v>
      </c>
      <c r="Y1812" s="178">
        <v>0</v>
      </c>
      <c r="Z1812" s="178">
        <v>0</v>
      </c>
      <c r="AA1812" s="179" t="s">
        <v>4898</v>
      </c>
      <c r="AY1812" s="107">
        <f t="shared" si="12"/>
        <v>65000</v>
      </c>
      <c r="AZ1812" s="107">
        <f>ROUNDDOWN(AY1812+(AY1812*MASTER!$A$2/100),0)</f>
        <v>71500</v>
      </c>
    </row>
    <row r="1813" spans="1:52" x14ac:dyDescent="0.15">
      <c r="A1813" s="60">
        <v>1</v>
      </c>
      <c r="C1813" s="61" t="s">
        <v>309</v>
      </c>
      <c r="F1813" s="61" t="s">
        <v>309</v>
      </c>
      <c r="H1813" s="61" t="s">
        <v>309</v>
      </c>
      <c r="J1813" s="60">
        <v>2</v>
      </c>
      <c r="L1813" s="60">
        <v>0</v>
      </c>
      <c r="M1813" s="61">
        <v>44826</v>
      </c>
      <c r="O1813" s="62" t="s">
        <v>331</v>
      </c>
      <c r="P1813" s="60" t="s">
        <v>77</v>
      </c>
      <c r="Q1813" s="62" t="s">
        <v>46</v>
      </c>
      <c r="R1813" s="62" t="s">
        <v>5047</v>
      </c>
      <c r="S1813" s="177" t="s">
        <v>4971</v>
      </c>
      <c r="T1813" s="177" t="s">
        <v>4415</v>
      </c>
      <c r="U1813" s="178">
        <v>65000</v>
      </c>
      <c r="V1813" s="178">
        <v>71500</v>
      </c>
      <c r="W1813" s="178">
        <v>65000</v>
      </c>
      <c r="X1813" s="178">
        <v>71500</v>
      </c>
      <c r="Y1813" s="178">
        <v>0</v>
      </c>
      <c r="Z1813" s="178">
        <v>0</v>
      </c>
      <c r="AA1813" s="179" t="s">
        <v>4898</v>
      </c>
      <c r="AY1813" s="107">
        <f t="shared" si="12"/>
        <v>65000</v>
      </c>
      <c r="AZ1813" s="107">
        <f>ROUNDDOWN(AY1813+(AY1813*MASTER!$A$2/100),0)</f>
        <v>71500</v>
      </c>
    </row>
    <row r="1814" spans="1:52" x14ac:dyDescent="0.15">
      <c r="A1814" s="60">
        <v>1</v>
      </c>
      <c r="C1814" s="61" t="s">
        <v>309</v>
      </c>
      <c r="F1814" s="61" t="s">
        <v>309</v>
      </c>
      <c r="H1814" s="61" t="s">
        <v>309</v>
      </c>
      <c r="J1814" s="60">
        <v>2</v>
      </c>
      <c r="L1814" s="60">
        <v>0</v>
      </c>
      <c r="M1814" s="61">
        <v>44826</v>
      </c>
      <c r="O1814" s="62" t="s">
        <v>331</v>
      </c>
      <c r="P1814" s="60" t="s">
        <v>77</v>
      </c>
      <c r="Q1814" s="62" t="s">
        <v>46</v>
      </c>
      <c r="R1814" s="62" t="s">
        <v>5048</v>
      </c>
      <c r="S1814" s="177" t="s">
        <v>4972</v>
      </c>
      <c r="T1814" s="177" t="s">
        <v>4415</v>
      </c>
      <c r="U1814" s="178">
        <v>65000</v>
      </c>
      <c r="V1814" s="178">
        <v>71500</v>
      </c>
      <c r="W1814" s="178">
        <v>65000</v>
      </c>
      <c r="X1814" s="178">
        <v>71500</v>
      </c>
      <c r="Y1814" s="178">
        <v>0</v>
      </c>
      <c r="Z1814" s="178">
        <v>0</v>
      </c>
      <c r="AA1814" s="179" t="s">
        <v>4898</v>
      </c>
      <c r="AY1814" s="107">
        <f t="shared" si="12"/>
        <v>65000</v>
      </c>
      <c r="AZ1814" s="107">
        <f>ROUNDDOWN(AY1814+(AY1814*MASTER!$A$2/100),0)</f>
        <v>71500</v>
      </c>
    </row>
    <row r="1815" spans="1:52" x14ac:dyDescent="0.15">
      <c r="A1815" s="60">
        <v>1</v>
      </c>
      <c r="C1815" s="61" t="s">
        <v>309</v>
      </c>
      <c r="F1815" s="61" t="s">
        <v>309</v>
      </c>
      <c r="H1815" s="61" t="s">
        <v>309</v>
      </c>
      <c r="J1815" s="60">
        <v>2</v>
      </c>
      <c r="L1815" s="60">
        <v>0</v>
      </c>
      <c r="M1815" s="61">
        <v>44826</v>
      </c>
      <c r="O1815" s="62" t="s">
        <v>331</v>
      </c>
      <c r="P1815" s="60" t="s">
        <v>77</v>
      </c>
      <c r="Q1815" s="62" t="s">
        <v>46</v>
      </c>
      <c r="R1815" s="62" t="s">
        <v>5049</v>
      </c>
      <c r="S1815" s="177" t="s">
        <v>4973</v>
      </c>
      <c r="T1815" s="177" t="s">
        <v>4415</v>
      </c>
      <c r="U1815" s="178">
        <v>65000</v>
      </c>
      <c r="V1815" s="178">
        <v>71500</v>
      </c>
      <c r="W1815" s="178">
        <v>65000</v>
      </c>
      <c r="X1815" s="178">
        <v>71500</v>
      </c>
      <c r="Y1815" s="178">
        <v>0</v>
      </c>
      <c r="Z1815" s="178">
        <v>0</v>
      </c>
      <c r="AA1815" s="179" t="s">
        <v>4898</v>
      </c>
      <c r="AY1815" s="107">
        <f t="shared" si="12"/>
        <v>65000</v>
      </c>
      <c r="AZ1815" s="107">
        <f>ROUNDDOWN(AY1815+(AY1815*MASTER!$A$2/100),0)</f>
        <v>71500</v>
      </c>
    </row>
    <row r="1816" spans="1:52" x14ac:dyDescent="0.15">
      <c r="A1816" s="60">
        <v>1</v>
      </c>
      <c r="C1816" s="61" t="s">
        <v>309</v>
      </c>
      <c r="F1816" s="61" t="s">
        <v>309</v>
      </c>
      <c r="H1816" s="61" t="s">
        <v>309</v>
      </c>
      <c r="J1816" s="60">
        <v>2</v>
      </c>
      <c r="L1816" s="60">
        <v>0</v>
      </c>
      <c r="M1816" s="61">
        <v>44826</v>
      </c>
      <c r="O1816" s="62" t="s">
        <v>331</v>
      </c>
      <c r="P1816" s="60" t="s">
        <v>77</v>
      </c>
      <c r="Q1816" s="62" t="s">
        <v>46</v>
      </c>
      <c r="R1816" s="62" t="s">
        <v>5050</v>
      </c>
      <c r="S1816" s="177" t="s">
        <v>4974</v>
      </c>
      <c r="T1816" s="177" t="s">
        <v>4415</v>
      </c>
      <c r="U1816" s="178">
        <v>65000</v>
      </c>
      <c r="V1816" s="178">
        <v>71500</v>
      </c>
      <c r="W1816" s="178">
        <v>65000</v>
      </c>
      <c r="X1816" s="178">
        <v>71500</v>
      </c>
      <c r="Y1816" s="178">
        <v>0</v>
      </c>
      <c r="Z1816" s="178">
        <v>0</v>
      </c>
      <c r="AA1816" s="179" t="s">
        <v>4898</v>
      </c>
      <c r="AY1816" s="107">
        <f t="shared" si="12"/>
        <v>65000</v>
      </c>
      <c r="AZ1816" s="107">
        <f>ROUNDDOWN(AY1816+(AY1816*MASTER!$A$2/100),0)</f>
        <v>71500</v>
      </c>
    </row>
    <row r="1817" spans="1:52" x14ac:dyDescent="0.15">
      <c r="A1817" s="60">
        <v>1</v>
      </c>
      <c r="C1817" s="61" t="s">
        <v>309</v>
      </c>
      <c r="F1817" s="61" t="s">
        <v>309</v>
      </c>
      <c r="H1817" s="61" t="s">
        <v>309</v>
      </c>
      <c r="J1817" s="60">
        <v>2</v>
      </c>
      <c r="L1817" s="60">
        <v>0</v>
      </c>
      <c r="M1817" s="61">
        <v>44826</v>
      </c>
      <c r="O1817" s="62" t="s">
        <v>331</v>
      </c>
      <c r="P1817" s="60" t="s">
        <v>77</v>
      </c>
      <c r="Q1817" s="62" t="s">
        <v>46</v>
      </c>
      <c r="R1817" s="62" t="s">
        <v>5051</v>
      </c>
      <c r="S1817" s="177" t="s">
        <v>4975</v>
      </c>
      <c r="T1817" s="177" t="s">
        <v>4415</v>
      </c>
      <c r="U1817" s="178">
        <v>65000</v>
      </c>
      <c r="V1817" s="178">
        <v>71500</v>
      </c>
      <c r="W1817" s="178">
        <v>65000</v>
      </c>
      <c r="X1817" s="178">
        <v>71500</v>
      </c>
      <c r="Y1817" s="178">
        <v>0</v>
      </c>
      <c r="Z1817" s="178">
        <v>0</v>
      </c>
      <c r="AA1817" s="179" t="s">
        <v>4898</v>
      </c>
      <c r="AY1817" s="107">
        <f t="shared" si="12"/>
        <v>65000</v>
      </c>
      <c r="AZ1817" s="107">
        <f>ROUNDDOWN(AY1817+(AY1817*MASTER!$A$2/100),0)</f>
        <v>71500</v>
      </c>
    </row>
    <row r="1818" spans="1:52" x14ac:dyDescent="0.15">
      <c r="A1818" s="60">
        <v>1</v>
      </c>
      <c r="C1818" s="61" t="s">
        <v>309</v>
      </c>
      <c r="F1818" s="61" t="s">
        <v>309</v>
      </c>
      <c r="H1818" s="61" t="s">
        <v>309</v>
      </c>
      <c r="J1818" s="60">
        <v>2</v>
      </c>
      <c r="L1818" s="60">
        <v>0</v>
      </c>
      <c r="M1818" s="61">
        <v>44826</v>
      </c>
      <c r="O1818" s="62" t="s">
        <v>331</v>
      </c>
      <c r="P1818" s="60" t="s">
        <v>77</v>
      </c>
      <c r="Q1818" s="62" t="s">
        <v>46</v>
      </c>
      <c r="R1818" s="62" t="s">
        <v>5052</v>
      </c>
      <c r="S1818" s="177" t="s">
        <v>4976</v>
      </c>
      <c r="T1818" s="177" t="s">
        <v>4415</v>
      </c>
      <c r="U1818" s="178">
        <v>65000</v>
      </c>
      <c r="V1818" s="178">
        <v>71500</v>
      </c>
      <c r="W1818" s="178">
        <v>65000</v>
      </c>
      <c r="X1818" s="178">
        <v>71500</v>
      </c>
      <c r="Y1818" s="178">
        <v>0</v>
      </c>
      <c r="Z1818" s="178">
        <v>0</v>
      </c>
      <c r="AA1818" s="179" t="s">
        <v>4898</v>
      </c>
      <c r="AY1818" s="107">
        <f t="shared" si="12"/>
        <v>65000</v>
      </c>
      <c r="AZ1818" s="107">
        <f>ROUNDDOWN(AY1818+(AY1818*MASTER!$A$2/100),0)</f>
        <v>71500</v>
      </c>
    </row>
    <row r="1819" spans="1:52" x14ac:dyDescent="0.15">
      <c r="A1819" s="60">
        <v>1</v>
      </c>
      <c r="C1819" s="61" t="s">
        <v>309</v>
      </c>
      <c r="F1819" s="61" t="s">
        <v>309</v>
      </c>
      <c r="H1819" s="61" t="s">
        <v>309</v>
      </c>
      <c r="J1819" s="60">
        <v>2</v>
      </c>
      <c r="L1819" s="60">
        <v>0</v>
      </c>
      <c r="M1819" s="61">
        <v>44826</v>
      </c>
      <c r="O1819" s="62" t="s">
        <v>331</v>
      </c>
      <c r="P1819" s="60" t="s">
        <v>77</v>
      </c>
      <c r="Q1819" s="62" t="s">
        <v>46</v>
      </c>
      <c r="R1819" s="62" t="s">
        <v>5053</v>
      </c>
      <c r="S1819" s="177" t="s">
        <v>4977</v>
      </c>
      <c r="T1819" s="177" t="s">
        <v>4415</v>
      </c>
      <c r="U1819" s="178">
        <v>65000</v>
      </c>
      <c r="V1819" s="178">
        <v>71500</v>
      </c>
      <c r="W1819" s="178">
        <v>65000</v>
      </c>
      <c r="X1819" s="178">
        <v>71500</v>
      </c>
      <c r="Y1819" s="178">
        <v>0</v>
      </c>
      <c r="Z1819" s="178">
        <v>0</v>
      </c>
      <c r="AA1819" s="179" t="s">
        <v>4898</v>
      </c>
      <c r="AY1819" s="107">
        <f t="shared" si="12"/>
        <v>65000</v>
      </c>
      <c r="AZ1819" s="107">
        <f>ROUNDDOWN(AY1819+(AY1819*MASTER!$A$2/100),0)</f>
        <v>71500</v>
      </c>
    </row>
    <row r="1820" spans="1:52" x14ac:dyDescent="0.15">
      <c r="A1820" s="60">
        <v>1</v>
      </c>
      <c r="C1820" s="61" t="s">
        <v>309</v>
      </c>
      <c r="F1820" s="61" t="s">
        <v>309</v>
      </c>
      <c r="H1820" s="61" t="s">
        <v>309</v>
      </c>
      <c r="J1820" s="60">
        <v>2</v>
      </c>
      <c r="L1820" s="60">
        <v>0</v>
      </c>
      <c r="M1820" s="61">
        <v>44826</v>
      </c>
      <c r="O1820" s="62" t="s">
        <v>331</v>
      </c>
      <c r="P1820" s="60" t="s">
        <v>77</v>
      </c>
      <c r="Q1820" s="62" t="s">
        <v>46</v>
      </c>
      <c r="R1820" s="62" t="s">
        <v>5054</v>
      </c>
      <c r="S1820" s="177" t="s">
        <v>4978</v>
      </c>
      <c r="T1820" s="177" t="s">
        <v>4415</v>
      </c>
      <c r="U1820" s="178">
        <v>65000</v>
      </c>
      <c r="V1820" s="178">
        <v>71500</v>
      </c>
      <c r="W1820" s="178">
        <v>65000</v>
      </c>
      <c r="X1820" s="178">
        <v>71500</v>
      </c>
      <c r="Y1820" s="178">
        <v>0</v>
      </c>
      <c r="Z1820" s="178">
        <v>0</v>
      </c>
      <c r="AA1820" s="179" t="s">
        <v>4898</v>
      </c>
      <c r="AY1820" s="107">
        <f t="shared" si="12"/>
        <v>65000</v>
      </c>
      <c r="AZ1820" s="107">
        <f>ROUNDDOWN(AY1820+(AY1820*MASTER!$A$2/100),0)</f>
        <v>71500</v>
      </c>
    </row>
    <row r="1821" spans="1:52" x14ac:dyDescent="0.15">
      <c r="A1821" s="60">
        <v>1</v>
      </c>
      <c r="C1821" s="61" t="s">
        <v>309</v>
      </c>
      <c r="F1821" s="61" t="s">
        <v>309</v>
      </c>
      <c r="H1821" s="61" t="s">
        <v>309</v>
      </c>
      <c r="J1821" s="60">
        <v>2</v>
      </c>
      <c r="L1821" s="60">
        <v>0</v>
      </c>
      <c r="M1821" s="61">
        <v>44826</v>
      </c>
      <c r="O1821" s="62" t="s">
        <v>331</v>
      </c>
      <c r="P1821" s="60" t="s">
        <v>77</v>
      </c>
      <c r="Q1821" s="62" t="s">
        <v>46</v>
      </c>
      <c r="R1821" s="62" t="s">
        <v>5055</v>
      </c>
      <c r="S1821" s="177" t="s">
        <v>4979</v>
      </c>
      <c r="T1821" s="177" t="s">
        <v>4415</v>
      </c>
      <c r="U1821" s="178">
        <v>65000</v>
      </c>
      <c r="V1821" s="178">
        <v>71500</v>
      </c>
      <c r="W1821" s="178">
        <v>65000</v>
      </c>
      <c r="X1821" s="178">
        <v>71500</v>
      </c>
      <c r="Y1821" s="178">
        <v>0</v>
      </c>
      <c r="Z1821" s="178">
        <v>0</v>
      </c>
      <c r="AA1821" s="179" t="s">
        <v>4898</v>
      </c>
      <c r="AY1821" s="107">
        <f t="shared" si="12"/>
        <v>65000</v>
      </c>
      <c r="AZ1821" s="107">
        <f>ROUNDDOWN(AY1821+(AY1821*MASTER!$A$2/100),0)</f>
        <v>71500</v>
      </c>
    </row>
    <row r="1822" spans="1:52" x14ac:dyDescent="0.15">
      <c r="A1822" s="60">
        <v>1</v>
      </c>
      <c r="C1822" s="61" t="s">
        <v>309</v>
      </c>
      <c r="F1822" s="61" t="s">
        <v>309</v>
      </c>
      <c r="H1822" s="61" t="s">
        <v>309</v>
      </c>
      <c r="J1822" s="60">
        <v>2</v>
      </c>
      <c r="L1822" s="60">
        <v>0</v>
      </c>
      <c r="M1822" s="61">
        <v>44826</v>
      </c>
      <c r="O1822" s="62" t="s">
        <v>331</v>
      </c>
      <c r="P1822" s="60" t="s">
        <v>77</v>
      </c>
      <c r="Q1822" s="62" t="s">
        <v>46</v>
      </c>
      <c r="R1822" s="62" t="s">
        <v>5056</v>
      </c>
      <c r="S1822" s="177" t="s">
        <v>4980</v>
      </c>
      <c r="T1822" s="177" t="s">
        <v>4415</v>
      </c>
      <c r="U1822" s="178">
        <v>65000</v>
      </c>
      <c r="V1822" s="178">
        <v>71500</v>
      </c>
      <c r="W1822" s="178">
        <v>65000</v>
      </c>
      <c r="X1822" s="178">
        <v>71500</v>
      </c>
      <c r="Y1822" s="178">
        <v>0</v>
      </c>
      <c r="Z1822" s="178">
        <v>0</v>
      </c>
      <c r="AA1822" s="179" t="s">
        <v>4898</v>
      </c>
      <c r="AY1822" s="107">
        <f t="shared" si="12"/>
        <v>65000</v>
      </c>
      <c r="AZ1822" s="107">
        <f>ROUNDDOWN(AY1822+(AY1822*MASTER!$A$2/100),0)</f>
        <v>71500</v>
      </c>
    </row>
    <row r="1823" spans="1:52" x14ac:dyDescent="0.15">
      <c r="A1823" s="60">
        <v>1</v>
      </c>
      <c r="C1823" s="61" t="s">
        <v>309</v>
      </c>
      <c r="F1823" s="61" t="s">
        <v>309</v>
      </c>
      <c r="H1823" s="61" t="s">
        <v>309</v>
      </c>
      <c r="J1823" s="60">
        <v>2</v>
      </c>
      <c r="L1823" s="60">
        <v>0</v>
      </c>
      <c r="M1823" s="61">
        <v>44826</v>
      </c>
      <c r="O1823" s="62" t="s">
        <v>331</v>
      </c>
      <c r="P1823" s="60" t="s">
        <v>77</v>
      </c>
      <c r="Q1823" s="62" t="s">
        <v>46</v>
      </c>
      <c r="R1823" s="62" t="s">
        <v>5057</v>
      </c>
      <c r="S1823" s="177" t="s">
        <v>4981</v>
      </c>
      <c r="T1823" s="177" t="s">
        <v>4415</v>
      </c>
      <c r="U1823" s="178">
        <v>65000</v>
      </c>
      <c r="V1823" s="178">
        <v>71500</v>
      </c>
      <c r="W1823" s="178">
        <v>65000</v>
      </c>
      <c r="X1823" s="178">
        <v>71500</v>
      </c>
      <c r="Y1823" s="178">
        <v>0</v>
      </c>
      <c r="Z1823" s="178">
        <v>0</v>
      </c>
      <c r="AA1823" s="179" t="s">
        <v>4898</v>
      </c>
      <c r="AY1823" s="107">
        <f t="shared" si="12"/>
        <v>65000</v>
      </c>
      <c r="AZ1823" s="107">
        <f>ROUNDDOWN(AY1823+(AY1823*MASTER!$A$2/100),0)</f>
        <v>71500</v>
      </c>
    </row>
    <row r="1824" spans="1:52" x14ac:dyDescent="0.15">
      <c r="A1824" s="60">
        <v>1</v>
      </c>
      <c r="C1824" s="61" t="s">
        <v>309</v>
      </c>
      <c r="F1824" s="61" t="s">
        <v>309</v>
      </c>
      <c r="H1824" s="61" t="s">
        <v>309</v>
      </c>
      <c r="J1824" s="60">
        <v>2</v>
      </c>
      <c r="L1824" s="60">
        <v>0</v>
      </c>
      <c r="M1824" s="61">
        <v>44826</v>
      </c>
      <c r="O1824" s="62" t="s">
        <v>331</v>
      </c>
      <c r="P1824" s="60" t="s">
        <v>77</v>
      </c>
      <c r="Q1824" s="62" t="s">
        <v>46</v>
      </c>
      <c r="R1824" s="62" t="s">
        <v>5058</v>
      </c>
      <c r="S1824" s="177" t="s">
        <v>4982</v>
      </c>
      <c r="T1824" s="177" t="s">
        <v>4415</v>
      </c>
      <c r="U1824" s="178">
        <v>65000</v>
      </c>
      <c r="V1824" s="178">
        <v>71500</v>
      </c>
      <c r="W1824" s="178">
        <v>65000</v>
      </c>
      <c r="X1824" s="178">
        <v>71500</v>
      </c>
      <c r="Y1824" s="178">
        <v>0</v>
      </c>
      <c r="Z1824" s="178">
        <v>0</v>
      </c>
      <c r="AA1824" s="179" t="s">
        <v>4898</v>
      </c>
      <c r="AY1824" s="107">
        <f t="shared" si="12"/>
        <v>65000</v>
      </c>
      <c r="AZ1824" s="107">
        <f>ROUNDDOWN(AY1824+(AY1824*MASTER!$A$2/100),0)</f>
        <v>71500</v>
      </c>
    </row>
    <row r="1825" spans="1:89" x14ac:dyDescent="0.15">
      <c r="A1825" s="60">
        <v>1</v>
      </c>
      <c r="C1825" s="61" t="s">
        <v>309</v>
      </c>
      <c r="F1825" s="61" t="s">
        <v>309</v>
      </c>
      <c r="H1825" s="61" t="s">
        <v>309</v>
      </c>
      <c r="J1825" s="60">
        <v>2</v>
      </c>
      <c r="L1825" s="60">
        <v>0</v>
      </c>
      <c r="M1825" s="61">
        <v>44826</v>
      </c>
      <c r="O1825" s="62" t="s">
        <v>331</v>
      </c>
      <c r="P1825" s="60" t="s">
        <v>77</v>
      </c>
      <c r="Q1825" s="62" t="s">
        <v>46</v>
      </c>
      <c r="R1825" s="62" t="s">
        <v>5059</v>
      </c>
      <c r="S1825" s="177" t="s">
        <v>4983</v>
      </c>
      <c r="T1825" s="177" t="s">
        <v>4415</v>
      </c>
      <c r="U1825" s="178">
        <v>65000</v>
      </c>
      <c r="V1825" s="178">
        <v>71500</v>
      </c>
      <c r="W1825" s="178">
        <v>65000</v>
      </c>
      <c r="X1825" s="178">
        <v>71500</v>
      </c>
      <c r="Y1825" s="178">
        <v>0</v>
      </c>
      <c r="Z1825" s="178">
        <v>0</v>
      </c>
      <c r="AA1825" s="179" t="s">
        <v>4898</v>
      </c>
      <c r="AY1825" s="107">
        <f t="shared" si="12"/>
        <v>65000</v>
      </c>
      <c r="AZ1825" s="107">
        <f>ROUNDDOWN(AY1825+(AY1825*MASTER!$A$2/100),0)</f>
        <v>71500</v>
      </c>
    </row>
    <row r="1826" spans="1:89" x14ac:dyDescent="0.15">
      <c r="A1826" s="60">
        <v>1</v>
      </c>
      <c r="C1826" s="61" t="s">
        <v>309</v>
      </c>
      <c r="F1826" s="61" t="s">
        <v>309</v>
      </c>
      <c r="H1826" s="61" t="s">
        <v>309</v>
      </c>
      <c r="J1826" s="60">
        <v>2</v>
      </c>
      <c r="L1826" s="60">
        <v>0</v>
      </c>
      <c r="M1826" s="61">
        <v>44826</v>
      </c>
      <c r="O1826" s="62" t="s">
        <v>331</v>
      </c>
      <c r="P1826" s="60" t="s">
        <v>77</v>
      </c>
      <c r="Q1826" s="62" t="s">
        <v>46</v>
      </c>
      <c r="R1826" s="62" t="s">
        <v>5060</v>
      </c>
      <c r="S1826" s="177" t="s">
        <v>4984</v>
      </c>
      <c r="T1826" s="177" t="s">
        <v>4415</v>
      </c>
      <c r="U1826" s="178">
        <v>65000</v>
      </c>
      <c r="V1826" s="178">
        <v>71500</v>
      </c>
      <c r="W1826" s="178">
        <v>65000</v>
      </c>
      <c r="X1826" s="178">
        <v>71500</v>
      </c>
      <c r="Y1826" s="178">
        <v>0</v>
      </c>
      <c r="Z1826" s="178">
        <v>0</v>
      </c>
      <c r="AA1826" s="179" t="s">
        <v>4898</v>
      </c>
      <c r="AY1826" s="107">
        <f t="shared" si="12"/>
        <v>65000</v>
      </c>
      <c r="AZ1826" s="107">
        <f>ROUNDDOWN(AY1826+(AY1826*MASTER!$A$2/100),0)</f>
        <v>71500</v>
      </c>
    </row>
    <row r="1827" spans="1:89" x14ac:dyDescent="0.15">
      <c r="A1827" s="60">
        <v>1</v>
      </c>
      <c r="C1827" s="61" t="s">
        <v>309</v>
      </c>
      <c r="F1827" s="61" t="s">
        <v>309</v>
      </c>
      <c r="H1827" s="61" t="s">
        <v>309</v>
      </c>
      <c r="J1827" s="60">
        <v>2</v>
      </c>
      <c r="L1827" s="60">
        <v>0</v>
      </c>
      <c r="M1827" s="61">
        <v>44826</v>
      </c>
      <c r="O1827" s="62" t="s">
        <v>331</v>
      </c>
      <c r="P1827" s="60" t="s">
        <v>77</v>
      </c>
      <c r="Q1827" s="62" t="s">
        <v>46</v>
      </c>
      <c r="R1827" s="62" t="s">
        <v>5061</v>
      </c>
      <c r="S1827" s="177" t="s">
        <v>4985</v>
      </c>
      <c r="T1827" s="177" t="s">
        <v>4415</v>
      </c>
      <c r="U1827" s="178">
        <v>65000</v>
      </c>
      <c r="V1827" s="178">
        <v>71500</v>
      </c>
      <c r="W1827" s="178">
        <v>65000</v>
      </c>
      <c r="X1827" s="178">
        <v>71500</v>
      </c>
      <c r="Y1827" s="178">
        <v>0</v>
      </c>
      <c r="Z1827" s="178">
        <v>0</v>
      </c>
      <c r="AA1827" s="179" t="s">
        <v>4898</v>
      </c>
      <c r="AY1827" s="107">
        <f t="shared" si="12"/>
        <v>65000</v>
      </c>
      <c r="AZ1827" s="107">
        <f>ROUNDDOWN(AY1827+(AY1827*MASTER!$A$2/100),0)</f>
        <v>71500</v>
      </c>
    </row>
    <row r="1828" spans="1:89" x14ac:dyDescent="0.15">
      <c r="A1828" s="60">
        <v>1</v>
      </c>
      <c r="C1828" s="61" t="s">
        <v>309</v>
      </c>
      <c r="F1828" s="61" t="s">
        <v>309</v>
      </c>
      <c r="H1828" s="61" t="s">
        <v>309</v>
      </c>
      <c r="J1828" s="60">
        <v>2</v>
      </c>
      <c r="L1828" s="60">
        <v>0</v>
      </c>
      <c r="M1828" s="61">
        <v>44826</v>
      </c>
      <c r="O1828" s="62" t="s">
        <v>331</v>
      </c>
      <c r="P1828" s="60" t="s">
        <v>77</v>
      </c>
      <c r="Q1828" s="62" t="s">
        <v>46</v>
      </c>
      <c r="R1828" s="62" t="s">
        <v>5062</v>
      </c>
      <c r="S1828" s="177" t="s">
        <v>4986</v>
      </c>
      <c r="T1828" s="177" t="s">
        <v>4415</v>
      </c>
      <c r="U1828" s="178">
        <v>65000</v>
      </c>
      <c r="V1828" s="178">
        <v>71500</v>
      </c>
      <c r="W1828" s="178">
        <v>65000</v>
      </c>
      <c r="X1828" s="178">
        <v>71500</v>
      </c>
      <c r="Y1828" s="178">
        <v>0</v>
      </c>
      <c r="Z1828" s="178">
        <v>0</v>
      </c>
      <c r="AA1828" s="179" t="s">
        <v>4898</v>
      </c>
      <c r="AY1828" s="107">
        <f t="shared" si="12"/>
        <v>65000</v>
      </c>
      <c r="AZ1828" s="107">
        <f>ROUNDDOWN(AY1828+(AY1828*MASTER!$A$2/100),0)</f>
        <v>71500</v>
      </c>
    </row>
    <row r="1829" spans="1:89" x14ac:dyDescent="0.15">
      <c r="A1829" s="60">
        <v>1</v>
      </c>
      <c r="C1829" s="61" t="s">
        <v>309</v>
      </c>
      <c r="F1829" s="61" t="s">
        <v>309</v>
      </c>
      <c r="H1829" s="61" t="s">
        <v>309</v>
      </c>
      <c r="J1829" s="60">
        <v>2</v>
      </c>
      <c r="L1829" s="60">
        <v>0</v>
      </c>
      <c r="M1829" s="61">
        <v>44826</v>
      </c>
      <c r="O1829" s="62" t="s">
        <v>331</v>
      </c>
      <c r="P1829" s="60" t="s">
        <v>77</v>
      </c>
      <c r="Q1829" s="62" t="s">
        <v>46</v>
      </c>
      <c r="R1829" s="62" t="s">
        <v>5063</v>
      </c>
      <c r="S1829" s="177" t="s">
        <v>4987</v>
      </c>
      <c r="T1829" s="177" t="s">
        <v>4415</v>
      </c>
      <c r="U1829" s="178">
        <v>65000</v>
      </c>
      <c r="V1829" s="178">
        <v>71500</v>
      </c>
      <c r="W1829" s="178">
        <v>65000</v>
      </c>
      <c r="X1829" s="178">
        <v>71500</v>
      </c>
      <c r="Y1829" s="178">
        <v>0</v>
      </c>
      <c r="Z1829" s="178">
        <v>0</v>
      </c>
      <c r="AA1829" s="179" t="s">
        <v>4898</v>
      </c>
      <c r="AY1829" s="107">
        <f t="shared" si="12"/>
        <v>65000</v>
      </c>
      <c r="AZ1829" s="107">
        <f>ROUNDDOWN(AY1829+(AY1829*MASTER!$A$2/100),0)</f>
        <v>71500</v>
      </c>
    </row>
    <row r="1830" spans="1:89" x14ac:dyDescent="0.15">
      <c r="A1830" s="60">
        <v>1</v>
      </c>
      <c r="C1830" s="61" t="s">
        <v>309</v>
      </c>
      <c r="F1830" s="61" t="s">
        <v>309</v>
      </c>
      <c r="H1830" s="61" t="s">
        <v>309</v>
      </c>
      <c r="J1830" s="60">
        <v>2</v>
      </c>
      <c r="L1830" s="60">
        <v>0</v>
      </c>
      <c r="M1830" s="61">
        <v>44826</v>
      </c>
      <c r="O1830" s="62" t="s">
        <v>331</v>
      </c>
      <c r="P1830" s="60" t="s">
        <v>77</v>
      </c>
      <c r="Q1830" s="62" t="s">
        <v>46</v>
      </c>
      <c r="R1830" s="62" t="s">
        <v>5064</v>
      </c>
      <c r="S1830" s="177" t="s">
        <v>4988</v>
      </c>
      <c r="T1830" s="177" t="s">
        <v>4415</v>
      </c>
      <c r="U1830" s="178">
        <v>65000</v>
      </c>
      <c r="V1830" s="178">
        <v>71500</v>
      </c>
      <c r="W1830" s="178">
        <v>65000</v>
      </c>
      <c r="X1830" s="178">
        <v>71500</v>
      </c>
      <c r="Y1830" s="178">
        <v>0</v>
      </c>
      <c r="Z1830" s="178">
        <v>0</v>
      </c>
      <c r="AA1830" s="179" t="s">
        <v>4898</v>
      </c>
      <c r="AY1830" s="107">
        <f t="shared" si="12"/>
        <v>65000</v>
      </c>
      <c r="AZ1830" s="107">
        <f>ROUNDDOWN(AY1830+(AY1830*MASTER!$A$2/100),0)</f>
        <v>71500</v>
      </c>
    </row>
    <row r="1831" spans="1:89" x14ac:dyDescent="0.15">
      <c r="A1831" s="60">
        <v>1</v>
      </c>
      <c r="C1831" s="61" t="s">
        <v>309</v>
      </c>
      <c r="F1831" s="61" t="s">
        <v>309</v>
      </c>
      <c r="H1831" s="61" t="s">
        <v>309</v>
      </c>
      <c r="J1831" s="60">
        <v>2</v>
      </c>
      <c r="L1831" s="60">
        <v>0</v>
      </c>
      <c r="M1831" s="61">
        <v>44826</v>
      </c>
      <c r="O1831" s="62" t="s">
        <v>331</v>
      </c>
      <c r="P1831" s="60" t="s">
        <v>77</v>
      </c>
      <c r="Q1831" s="62" t="s">
        <v>46</v>
      </c>
      <c r="R1831" s="62" t="s">
        <v>5065</v>
      </c>
      <c r="S1831" s="177" t="s">
        <v>4989</v>
      </c>
      <c r="T1831" s="177" t="s">
        <v>4415</v>
      </c>
      <c r="U1831" s="178">
        <v>65000</v>
      </c>
      <c r="V1831" s="178">
        <v>71500</v>
      </c>
      <c r="W1831" s="178">
        <v>65000</v>
      </c>
      <c r="X1831" s="178">
        <v>71500</v>
      </c>
      <c r="Y1831" s="178">
        <v>0</v>
      </c>
      <c r="Z1831" s="178">
        <v>0</v>
      </c>
      <c r="AA1831" s="179" t="s">
        <v>4898</v>
      </c>
      <c r="AY1831" s="107">
        <f t="shared" si="12"/>
        <v>65000</v>
      </c>
      <c r="AZ1831" s="107">
        <f>ROUNDDOWN(AY1831+(AY1831*MASTER!$A$2/100),0)</f>
        <v>71500</v>
      </c>
    </row>
    <row r="1832" spans="1:89" x14ac:dyDescent="0.15">
      <c r="A1832" s="60">
        <v>1</v>
      </c>
      <c r="C1832" s="61" t="s">
        <v>309</v>
      </c>
      <c r="F1832" s="61" t="s">
        <v>309</v>
      </c>
      <c r="H1832" s="61" t="s">
        <v>309</v>
      </c>
      <c r="J1832" s="60">
        <v>2</v>
      </c>
      <c r="L1832" s="60">
        <v>0</v>
      </c>
      <c r="M1832" s="61">
        <v>44826</v>
      </c>
      <c r="O1832" s="62" t="s">
        <v>331</v>
      </c>
      <c r="P1832" s="60" t="s">
        <v>77</v>
      </c>
      <c r="Q1832" s="62" t="s">
        <v>46</v>
      </c>
      <c r="R1832" s="62" t="s">
        <v>5066</v>
      </c>
      <c r="S1832" s="177" t="s">
        <v>4990</v>
      </c>
      <c r="T1832" s="177" t="s">
        <v>4415</v>
      </c>
      <c r="U1832" s="178">
        <v>65000</v>
      </c>
      <c r="V1832" s="178">
        <v>71500</v>
      </c>
      <c r="W1832" s="178">
        <v>65000</v>
      </c>
      <c r="X1832" s="178">
        <v>71500</v>
      </c>
      <c r="Y1832" s="178">
        <v>0</v>
      </c>
      <c r="Z1832" s="178">
        <v>0</v>
      </c>
      <c r="AA1832" s="179" t="s">
        <v>4898</v>
      </c>
      <c r="AY1832" s="107">
        <f t="shared" si="12"/>
        <v>65000</v>
      </c>
      <c r="AZ1832" s="107">
        <f>ROUNDDOWN(AY1832+(AY1832*MASTER!$A$2/100),0)</f>
        <v>71500</v>
      </c>
    </row>
    <row r="1833" spans="1:89" x14ac:dyDescent="0.15">
      <c r="A1833" s="60">
        <v>1</v>
      </c>
      <c r="C1833" s="61" t="s">
        <v>309</v>
      </c>
      <c r="F1833" s="61" t="s">
        <v>309</v>
      </c>
      <c r="H1833" s="61" t="s">
        <v>309</v>
      </c>
      <c r="J1833" s="60">
        <v>2</v>
      </c>
      <c r="L1833" s="60">
        <v>0</v>
      </c>
      <c r="M1833" s="61">
        <v>44826</v>
      </c>
      <c r="O1833" s="62" t="s">
        <v>331</v>
      </c>
      <c r="P1833" s="60" t="s">
        <v>77</v>
      </c>
      <c r="Q1833" s="62" t="s">
        <v>46</v>
      </c>
      <c r="R1833" s="62" t="s">
        <v>5067</v>
      </c>
      <c r="S1833" s="177" t="s">
        <v>4991</v>
      </c>
      <c r="T1833" s="177" t="s">
        <v>4415</v>
      </c>
      <c r="U1833" s="178">
        <v>65000</v>
      </c>
      <c r="V1833" s="178">
        <v>71500</v>
      </c>
      <c r="W1833" s="178">
        <v>65000</v>
      </c>
      <c r="X1833" s="178">
        <v>71500</v>
      </c>
      <c r="Y1833" s="178">
        <v>0</v>
      </c>
      <c r="Z1833" s="178">
        <v>0</v>
      </c>
      <c r="AA1833" s="179" t="s">
        <v>4898</v>
      </c>
      <c r="AY1833" s="107">
        <f t="shared" si="12"/>
        <v>65000</v>
      </c>
      <c r="AZ1833" s="107">
        <f>ROUNDDOWN(AY1833+(AY1833*MASTER!$A$2/100),0)</f>
        <v>71500</v>
      </c>
    </row>
    <row r="1834" spans="1:89" x14ac:dyDescent="0.15">
      <c r="A1834" s="60">
        <v>1</v>
      </c>
      <c r="C1834" s="61" t="s">
        <v>309</v>
      </c>
      <c r="F1834" s="61" t="s">
        <v>309</v>
      </c>
      <c r="H1834" s="61" t="s">
        <v>309</v>
      </c>
      <c r="J1834" s="60">
        <v>2</v>
      </c>
      <c r="L1834" s="60">
        <v>0</v>
      </c>
      <c r="M1834" s="61">
        <v>44826</v>
      </c>
      <c r="O1834" s="62" t="s">
        <v>331</v>
      </c>
      <c r="P1834" s="60" t="s">
        <v>77</v>
      </c>
      <c r="Q1834" s="62" t="s">
        <v>46</v>
      </c>
      <c r="R1834" s="62" t="s">
        <v>5068</v>
      </c>
      <c r="S1834" s="177" t="s">
        <v>4992</v>
      </c>
      <c r="T1834" s="177" t="s">
        <v>4415</v>
      </c>
      <c r="U1834" s="178">
        <v>65000</v>
      </c>
      <c r="V1834" s="178">
        <v>71500</v>
      </c>
      <c r="W1834" s="178">
        <v>65000</v>
      </c>
      <c r="X1834" s="178">
        <v>71500</v>
      </c>
      <c r="Y1834" s="178">
        <v>0</v>
      </c>
      <c r="Z1834" s="178">
        <v>0</v>
      </c>
      <c r="AA1834" s="179" t="s">
        <v>4898</v>
      </c>
      <c r="AY1834" s="107">
        <f t="shared" si="12"/>
        <v>65000</v>
      </c>
      <c r="AZ1834" s="107">
        <f>ROUNDDOWN(AY1834+(AY1834*MASTER!$A$2/100),0)</f>
        <v>71500</v>
      </c>
    </row>
    <row r="1835" spans="1:89" x14ac:dyDescent="0.15">
      <c r="A1835" s="60">
        <v>1</v>
      </c>
      <c r="C1835" s="61" t="s">
        <v>309</v>
      </c>
      <c r="F1835" s="61" t="s">
        <v>309</v>
      </c>
      <c r="H1835" s="61" t="s">
        <v>309</v>
      </c>
      <c r="J1835" s="60">
        <v>2</v>
      </c>
      <c r="L1835" s="60">
        <v>0</v>
      </c>
      <c r="M1835" s="61">
        <v>44826</v>
      </c>
      <c r="O1835" s="62" t="s">
        <v>331</v>
      </c>
      <c r="P1835" s="60" t="s">
        <v>77</v>
      </c>
      <c r="Q1835" s="62" t="s">
        <v>46</v>
      </c>
      <c r="R1835" s="62" t="s">
        <v>5069</v>
      </c>
      <c r="S1835" s="177" t="s">
        <v>4993</v>
      </c>
      <c r="T1835" s="177" t="s">
        <v>4415</v>
      </c>
      <c r="U1835" s="178">
        <v>65000</v>
      </c>
      <c r="V1835" s="178">
        <v>71500</v>
      </c>
      <c r="W1835" s="178">
        <v>65000</v>
      </c>
      <c r="X1835" s="178">
        <v>71500</v>
      </c>
      <c r="Y1835" s="178">
        <v>0</v>
      </c>
      <c r="Z1835" s="178">
        <v>0</v>
      </c>
      <c r="AA1835" s="179" t="s">
        <v>4898</v>
      </c>
      <c r="AY1835" s="107">
        <f t="shared" si="12"/>
        <v>65000</v>
      </c>
      <c r="AZ1835" s="107">
        <f>ROUNDDOWN(AY1835+(AY1835*MASTER!$A$2/100),0)</f>
        <v>71500</v>
      </c>
    </row>
    <row r="1836" spans="1:89" x14ac:dyDescent="0.15">
      <c r="A1836" s="60">
        <v>1</v>
      </c>
      <c r="C1836" s="61" t="s">
        <v>309</v>
      </c>
      <c r="F1836" s="61" t="s">
        <v>309</v>
      </c>
      <c r="H1836" s="61" t="s">
        <v>309</v>
      </c>
      <c r="J1836" s="60">
        <v>2</v>
      </c>
      <c r="L1836" s="60">
        <v>0</v>
      </c>
      <c r="M1836" s="61">
        <v>44826</v>
      </c>
      <c r="O1836" s="62" t="s">
        <v>331</v>
      </c>
      <c r="P1836" s="60" t="s">
        <v>77</v>
      </c>
      <c r="Q1836" s="62" t="s">
        <v>46</v>
      </c>
      <c r="R1836" s="62" t="s">
        <v>5070</v>
      </c>
      <c r="S1836" s="177" t="s">
        <v>4994</v>
      </c>
      <c r="T1836" s="177" t="s">
        <v>1081</v>
      </c>
      <c r="U1836" s="178">
        <v>65000</v>
      </c>
      <c r="V1836" s="178">
        <v>71500</v>
      </c>
      <c r="W1836" s="178">
        <v>65000</v>
      </c>
      <c r="X1836" s="178">
        <v>71500</v>
      </c>
      <c r="Y1836" s="178">
        <v>0</v>
      </c>
      <c r="Z1836" s="178">
        <v>0</v>
      </c>
      <c r="AA1836" s="179" t="s">
        <v>4898</v>
      </c>
      <c r="AY1836" s="107">
        <f t="shared" si="12"/>
        <v>65000</v>
      </c>
      <c r="AZ1836" s="107">
        <f>ROUNDDOWN(AY1836+(AY1836*MASTER!$A$2/100),0)</f>
        <v>71500</v>
      </c>
    </row>
    <row r="1837" spans="1:89" x14ac:dyDescent="0.15">
      <c r="A1837" s="60">
        <v>1</v>
      </c>
      <c r="C1837" s="61" t="s">
        <v>309</v>
      </c>
      <c r="F1837" s="61" t="s">
        <v>309</v>
      </c>
      <c r="H1837" s="61" t="s">
        <v>309</v>
      </c>
      <c r="J1837" s="60">
        <v>2</v>
      </c>
      <c r="L1837" s="60">
        <v>0</v>
      </c>
      <c r="M1837" s="61">
        <v>44826</v>
      </c>
      <c r="O1837" s="62" t="s">
        <v>331</v>
      </c>
      <c r="P1837" s="60" t="s">
        <v>77</v>
      </c>
      <c r="Q1837" s="62" t="s">
        <v>46</v>
      </c>
      <c r="R1837" s="62" t="s">
        <v>5071</v>
      </c>
      <c r="S1837" s="177" t="s">
        <v>4995</v>
      </c>
      <c r="T1837" s="177" t="s">
        <v>1081</v>
      </c>
      <c r="U1837" s="178">
        <v>65000</v>
      </c>
      <c r="V1837" s="178">
        <v>71500</v>
      </c>
      <c r="W1837" s="178">
        <v>65000</v>
      </c>
      <c r="X1837" s="178">
        <v>71500</v>
      </c>
      <c r="Y1837" s="178">
        <v>0</v>
      </c>
      <c r="Z1837" s="178">
        <v>0</v>
      </c>
      <c r="AA1837" s="179" t="s">
        <v>4898</v>
      </c>
      <c r="AY1837" s="107">
        <f t="shared" si="12"/>
        <v>65000</v>
      </c>
      <c r="AZ1837" s="107">
        <f>ROUNDDOWN(AY1837+(AY1837*MASTER!$A$2/100),0)</f>
        <v>71500</v>
      </c>
    </row>
    <row r="1838" spans="1:89" x14ac:dyDescent="0.15">
      <c r="A1838" s="60">
        <v>1</v>
      </c>
      <c r="C1838" s="61" t="s">
        <v>309</v>
      </c>
      <c r="F1838" s="61" t="s">
        <v>309</v>
      </c>
      <c r="H1838" s="61" t="s">
        <v>309</v>
      </c>
      <c r="J1838" s="60">
        <v>2</v>
      </c>
      <c r="L1838" s="60">
        <v>0</v>
      </c>
      <c r="M1838" s="61">
        <v>44826</v>
      </c>
      <c r="O1838" s="62" t="s">
        <v>331</v>
      </c>
      <c r="P1838" s="60" t="s">
        <v>77</v>
      </c>
      <c r="Q1838" s="62" t="s">
        <v>46</v>
      </c>
      <c r="R1838" s="62" t="s">
        <v>5072</v>
      </c>
      <c r="S1838" s="177" t="s">
        <v>4996</v>
      </c>
      <c r="T1838" s="177" t="s">
        <v>1081</v>
      </c>
      <c r="U1838" s="178">
        <v>65000</v>
      </c>
      <c r="V1838" s="178">
        <v>71500</v>
      </c>
      <c r="W1838" s="178">
        <v>65000</v>
      </c>
      <c r="X1838" s="178">
        <v>71500</v>
      </c>
      <c r="Y1838" s="178">
        <v>0</v>
      </c>
      <c r="Z1838" s="178">
        <v>0</v>
      </c>
      <c r="AA1838" s="179" t="s">
        <v>4898</v>
      </c>
      <c r="AY1838" s="107">
        <f t="shared" si="12"/>
        <v>65000</v>
      </c>
      <c r="AZ1838" s="107">
        <f>ROUNDDOWN(AY1838+(AY1838*MASTER!$A$2/100),0)</f>
        <v>71500</v>
      </c>
    </row>
    <row r="1839" spans="1:89" x14ac:dyDescent="0.15">
      <c r="A1839" s="60">
        <v>1</v>
      </c>
      <c r="C1839" s="61" t="s">
        <v>309</v>
      </c>
      <c r="F1839" s="61" t="s">
        <v>309</v>
      </c>
      <c r="H1839" s="61" t="s">
        <v>309</v>
      </c>
      <c r="J1839" s="60">
        <v>2</v>
      </c>
      <c r="L1839" s="60">
        <v>0</v>
      </c>
      <c r="M1839" s="61">
        <v>44826</v>
      </c>
      <c r="O1839" s="62" t="s">
        <v>331</v>
      </c>
      <c r="P1839" s="60" t="s">
        <v>77</v>
      </c>
      <c r="Q1839" s="62" t="s">
        <v>46</v>
      </c>
      <c r="R1839" s="62" t="s">
        <v>5073</v>
      </c>
      <c r="S1839" s="177" t="s">
        <v>4997</v>
      </c>
      <c r="T1839" s="177" t="s">
        <v>1081</v>
      </c>
      <c r="U1839" s="178">
        <v>65000</v>
      </c>
      <c r="V1839" s="178">
        <v>71500</v>
      </c>
      <c r="W1839" s="178">
        <v>65000</v>
      </c>
      <c r="X1839" s="178">
        <v>71500</v>
      </c>
      <c r="Y1839" s="178">
        <v>0</v>
      </c>
      <c r="Z1839" s="178">
        <v>0</v>
      </c>
      <c r="AA1839" s="179" t="s">
        <v>4898</v>
      </c>
      <c r="AY1839" s="107">
        <f t="shared" si="12"/>
        <v>65000</v>
      </c>
      <c r="AZ1839" s="107">
        <f>ROUNDDOWN(AY1839+(AY1839*MASTER!$A$2/100),0)</f>
        <v>71500</v>
      </c>
    </row>
    <row r="1840" spans="1:89" s="152" customFormat="1" x14ac:dyDescent="0.15">
      <c r="A1840" s="142">
        <v>3</v>
      </c>
      <c r="B1840" s="143"/>
      <c r="C1840" s="143" t="s">
        <v>309</v>
      </c>
      <c r="D1840" s="143"/>
      <c r="E1840" s="143"/>
      <c r="F1840" s="143" t="s">
        <v>309</v>
      </c>
      <c r="G1840" s="143"/>
      <c r="H1840" s="143" t="s">
        <v>309</v>
      </c>
      <c r="I1840" s="142"/>
      <c r="J1840" s="142">
        <v>2</v>
      </c>
      <c r="K1840" s="143"/>
      <c r="L1840" s="142">
        <v>0</v>
      </c>
      <c r="M1840" s="143">
        <v>44826</v>
      </c>
      <c r="N1840" s="143"/>
      <c r="O1840" s="144" t="s">
        <v>331</v>
      </c>
      <c r="P1840" s="142" t="s">
        <v>77</v>
      </c>
      <c r="Q1840" s="144" t="s">
        <v>46</v>
      </c>
      <c r="R1840" s="144" t="s">
        <v>5152</v>
      </c>
      <c r="S1840" s="190" t="s">
        <v>5154</v>
      </c>
      <c r="T1840" s="190" t="s">
        <v>1081</v>
      </c>
      <c r="U1840" s="191">
        <v>65000</v>
      </c>
      <c r="V1840" s="191">
        <v>71500</v>
      </c>
      <c r="W1840" s="191">
        <v>65000</v>
      </c>
      <c r="X1840" s="191">
        <v>71500</v>
      </c>
      <c r="Y1840" s="191">
        <v>0</v>
      </c>
      <c r="Z1840" s="191">
        <v>0</v>
      </c>
      <c r="AA1840" s="192" t="s">
        <v>182</v>
      </c>
      <c r="AB1840" s="143"/>
      <c r="AC1840" s="143"/>
      <c r="AD1840" s="142">
        <v>0</v>
      </c>
      <c r="AE1840" s="142"/>
      <c r="AF1840" s="142"/>
      <c r="AG1840" s="142">
        <v>0</v>
      </c>
      <c r="AH1840" s="142"/>
      <c r="AI1840" s="142"/>
      <c r="AJ1840" s="142">
        <v>0</v>
      </c>
      <c r="AK1840" s="142"/>
      <c r="AL1840" s="142"/>
      <c r="AM1840" s="142"/>
      <c r="AN1840" s="142"/>
      <c r="AO1840" s="143"/>
      <c r="AP1840" s="142"/>
      <c r="AQ1840" s="142"/>
      <c r="AR1840" s="143"/>
      <c r="AS1840" s="142"/>
      <c r="AT1840" s="143"/>
      <c r="AU1840" s="142"/>
      <c r="AV1840" s="143"/>
      <c r="AW1840" s="147"/>
      <c r="AX1840" s="147"/>
      <c r="AY1840" s="154">
        <v>65000</v>
      </c>
      <c r="AZ1840" s="154">
        <f>ROUNDDOWN(AY1840+(AY1840*MASTER!$A$2/100),0)</f>
        <v>71500</v>
      </c>
      <c r="BA1840" s="142"/>
      <c r="BB1840" s="146"/>
      <c r="BC1840" s="146">
        <v>0</v>
      </c>
      <c r="BD1840" s="142"/>
      <c r="BE1840" s="142"/>
      <c r="BF1840" s="146"/>
      <c r="BG1840" s="146">
        <v>0</v>
      </c>
      <c r="BH1840" s="142"/>
      <c r="BI1840" s="142"/>
      <c r="BJ1840" s="146"/>
      <c r="BK1840" s="146">
        <v>0</v>
      </c>
      <c r="BL1840" s="142"/>
      <c r="BM1840" s="146"/>
      <c r="BN1840" s="146"/>
      <c r="BO1840" s="146"/>
      <c r="BP1840" s="146"/>
      <c r="BQ1840" s="146"/>
      <c r="BR1840" s="146"/>
      <c r="BS1840" s="146">
        <v>0</v>
      </c>
      <c r="BT1840" s="149"/>
      <c r="BU1840" s="149"/>
      <c r="BV1840" s="150">
        <v>71500</v>
      </c>
      <c r="BW1840" s="150">
        <v>0</v>
      </c>
      <c r="BX1840" s="150">
        <v>44826</v>
      </c>
      <c r="BY1840" s="150">
        <v>71500</v>
      </c>
      <c r="BZ1840" s="151">
        <v>100</v>
      </c>
      <c r="CA1840" s="142"/>
      <c r="CB1840" s="142"/>
      <c r="CC1840" s="142"/>
      <c r="CD1840" s="145" t="s">
        <v>5153</v>
      </c>
      <c r="CE1840" s="143"/>
      <c r="CF1840" s="143"/>
      <c r="CG1840" s="143"/>
      <c r="CH1840" s="143"/>
      <c r="CI1840" s="143"/>
      <c r="CJ1840" s="143"/>
      <c r="CK1840" s="146"/>
    </row>
    <row r="1841" spans="1:52" x14ac:dyDescent="0.15">
      <c r="A1841" s="60">
        <v>1</v>
      </c>
      <c r="C1841" s="61" t="s">
        <v>309</v>
      </c>
      <c r="F1841" s="61" t="s">
        <v>309</v>
      </c>
      <c r="H1841" s="61" t="s">
        <v>309</v>
      </c>
      <c r="J1841" s="60">
        <v>2</v>
      </c>
      <c r="L1841" s="60">
        <v>0</v>
      </c>
      <c r="M1841" s="61">
        <v>44826</v>
      </c>
      <c r="O1841" s="62" t="s">
        <v>331</v>
      </c>
      <c r="P1841" s="60" t="s">
        <v>77</v>
      </c>
      <c r="Q1841" s="62" t="s">
        <v>46</v>
      </c>
      <c r="R1841" s="62" t="s">
        <v>5074</v>
      </c>
      <c r="S1841" s="177" t="s">
        <v>4998</v>
      </c>
      <c r="T1841" s="177" t="s">
        <v>1081</v>
      </c>
      <c r="U1841" s="178">
        <v>65000</v>
      </c>
      <c r="V1841" s="178">
        <v>71500</v>
      </c>
      <c r="W1841" s="178">
        <v>65000</v>
      </c>
      <c r="X1841" s="178">
        <v>71500</v>
      </c>
      <c r="Y1841" s="178">
        <v>0</v>
      </c>
      <c r="Z1841" s="178">
        <v>0</v>
      </c>
      <c r="AA1841" s="179" t="s">
        <v>4898</v>
      </c>
      <c r="AY1841" s="107">
        <f t="shared" si="12"/>
        <v>65000</v>
      </c>
      <c r="AZ1841" s="107">
        <f>ROUNDDOWN(AY1841+(AY1841*MASTER!$A$2/100),0)</f>
        <v>71500</v>
      </c>
    </row>
    <row r="1842" spans="1:52" x14ac:dyDescent="0.15">
      <c r="A1842" s="60">
        <v>1</v>
      </c>
      <c r="C1842" s="61" t="s">
        <v>309</v>
      </c>
      <c r="F1842" s="61" t="s">
        <v>309</v>
      </c>
      <c r="H1842" s="61" t="s">
        <v>309</v>
      </c>
      <c r="J1842" s="60">
        <v>2</v>
      </c>
      <c r="L1842" s="60">
        <v>0</v>
      </c>
      <c r="M1842" s="61">
        <v>44826</v>
      </c>
      <c r="O1842" s="62" t="s">
        <v>331</v>
      </c>
      <c r="P1842" s="60" t="s">
        <v>77</v>
      </c>
      <c r="Q1842" s="62" t="s">
        <v>46</v>
      </c>
      <c r="R1842" s="62" t="s">
        <v>5075</v>
      </c>
      <c r="S1842" s="177" t="s">
        <v>4999</v>
      </c>
      <c r="T1842" s="177" t="s">
        <v>1081</v>
      </c>
      <c r="U1842" s="178">
        <v>65000</v>
      </c>
      <c r="V1842" s="178">
        <v>71500</v>
      </c>
      <c r="W1842" s="178">
        <v>65000</v>
      </c>
      <c r="X1842" s="178">
        <v>71500</v>
      </c>
      <c r="Y1842" s="178">
        <v>0</v>
      </c>
      <c r="Z1842" s="178">
        <v>0</v>
      </c>
      <c r="AA1842" s="179" t="s">
        <v>4898</v>
      </c>
      <c r="AY1842" s="107">
        <f t="shared" si="12"/>
        <v>65000</v>
      </c>
      <c r="AZ1842" s="107">
        <f>ROUNDDOWN(AY1842+(AY1842*MASTER!$A$2/100),0)</f>
        <v>71500</v>
      </c>
    </row>
    <row r="1843" spans="1:52" x14ac:dyDescent="0.15">
      <c r="A1843" s="60">
        <v>1</v>
      </c>
      <c r="C1843" s="61" t="s">
        <v>309</v>
      </c>
      <c r="F1843" s="61" t="s">
        <v>309</v>
      </c>
      <c r="H1843" s="61" t="s">
        <v>309</v>
      </c>
      <c r="J1843" s="60">
        <v>2</v>
      </c>
      <c r="L1843" s="60">
        <v>0</v>
      </c>
      <c r="M1843" s="61">
        <v>44826</v>
      </c>
      <c r="O1843" s="62" t="s">
        <v>331</v>
      </c>
      <c r="P1843" s="60" t="s">
        <v>77</v>
      </c>
      <c r="Q1843" s="62" t="s">
        <v>46</v>
      </c>
      <c r="R1843" s="62" t="s">
        <v>5076</v>
      </c>
      <c r="S1843" s="177" t="s">
        <v>4972</v>
      </c>
      <c r="T1843" s="177" t="s">
        <v>1081</v>
      </c>
      <c r="U1843" s="178">
        <v>65000</v>
      </c>
      <c r="V1843" s="178">
        <v>71500</v>
      </c>
      <c r="W1843" s="178">
        <v>65000</v>
      </c>
      <c r="X1843" s="178">
        <v>71500</v>
      </c>
      <c r="Y1843" s="178">
        <v>0</v>
      </c>
      <c r="Z1843" s="178">
        <v>0</v>
      </c>
      <c r="AA1843" s="179" t="s">
        <v>4898</v>
      </c>
      <c r="AY1843" s="107">
        <f t="shared" si="12"/>
        <v>65000</v>
      </c>
      <c r="AZ1843" s="107">
        <f>ROUNDDOWN(AY1843+(AY1843*MASTER!$A$2/100),0)</f>
        <v>71500</v>
      </c>
    </row>
    <row r="1844" spans="1:52" x14ac:dyDescent="0.15">
      <c r="A1844" s="60">
        <v>1</v>
      </c>
      <c r="C1844" s="61" t="s">
        <v>309</v>
      </c>
      <c r="F1844" s="61" t="s">
        <v>309</v>
      </c>
      <c r="H1844" s="61" t="s">
        <v>309</v>
      </c>
      <c r="J1844" s="60">
        <v>2</v>
      </c>
      <c r="L1844" s="60">
        <v>0</v>
      </c>
      <c r="M1844" s="61">
        <v>44826</v>
      </c>
      <c r="O1844" s="62" t="s">
        <v>331</v>
      </c>
      <c r="P1844" s="60" t="s">
        <v>77</v>
      </c>
      <c r="Q1844" s="62" t="s">
        <v>46</v>
      </c>
      <c r="R1844" s="62" t="s">
        <v>5077</v>
      </c>
      <c r="S1844" s="177" t="s">
        <v>5000</v>
      </c>
      <c r="T1844" s="177" t="s">
        <v>1081</v>
      </c>
      <c r="U1844" s="178">
        <v>65000</v>
      </c>
      <c r="V1844" s="178">
        <v>71500</v>
      </c>
      <c r="W1844" s="178">
        <v>65000</v>
      </c>
      <c r="X1844" s="178">
        <v>71500</v>
      </c>
      <c r="Y1844" s="178">
        <v>0</v>
      </c>
      <c r="Z1844" s="178">
        <v>0</v>
      </c>
      <c r="AA1844" s="179" t="s">
        <v>4898</v>
      </c>
      <c r="AY1844" s="107">
        <f t="shared" si="12"/>
        <v>65000</v>
      </c>
      <c r="AZ1844" s="107">
        <f>ROUNDDOWN(AY1844+(AY1844*MASTER!$A$2/100),0)</f>
        <v>71500</v>
      </c>
    </row>
    <row r="1845" spans="1:52" x14ac:dyDescent="0.15">
      <c r="A1845" s="60">
        <v>1</v>
      </c>
      <c r="C1845" s="61" t="s">
        <v>309</v>
      </c>
      <c r="F1845" s="61" t="s">
        <v>309</v>
      </c>
      <c r="H1845" s="61" t="s">
        <v>309</v>
      </c>
      <c r="J1845" s="60">
        <v>2</v>
      </c>
      <c r="L1845" s="60">
        <v>0</v>
      </c>
      <c r="M1845" s="61">
        <v>44826</v>
      </c>
      <c r="O1845" s="62" t="s">
        <v>331</v>
      </c>
      <c r="P1845" s="60" t="s">
        <v>77</v>
      </c>
      <c r="Q1845" s="62" t="s">
        <v>46</v>
      </c>
      <c r="R1845" s="62" t="s">
        <v>5078</v>
      </c>
      <c r="S1845" s="177" t="s">
        <v>4971</v>
      </c>
      <c r="T1845" s="177" t="s">
        <v>1081</v>
      </c>
      <c r="U1845" s="178">
        <v>65000</v>
      </c>
      <c r="V1845" s="178">
        <v>71500</v>
      </c>
      <c r="W1845" s="178">
        <v>65000</v>
      </c>
      <c r="X1845" s="178">
        <v>71500</v>
      </c>
      <c r="Y1845" s="178">
        <v>0</v>
      </c>
      <c r="Z1845" s="178">
        <v>0</v>
      </c>
      <c r="AA1845" s="179" t="s">
        <v>4898</v>
      </c>
      <c r="AY1845" s="107">
        <f t="shared" si="12"/>
        <v>65000</v>
      </c>
      <c r="AZ1845" s="107">
        <f>ROUNDDOWN(AY1845+(AY1845*MASTER!$A$2/100),0)</f>
        <v>71500</v>
      </c>
    </row>
    <row r="1846" spans="1:52" x14ac:dyDescent="0.15">
      <c r="A1846" s="60">
        <v>1</v>
      </c>
      <c r="C1846" s="61" t="s">
        <v>309</v>
      </c>
      <c r="F1846" s="61" t="s">
        <v>309</v>
      </c>
      <c r="H1846" s="61" t="s">
        <v>309</v>
      </c>
      <c r="J1846" s="60">
        <v>2</v>
      </c>
      <c r="L1846" s="60">
        <v>0</v>
      </c>
      <c r="M1846" s="61">
        <v>44826</v>
      </c>
      <c r="O1846" s="62" t="s">
        <v>331</v>
      </c>
      <c r="P1846" s="60" t="s">
        <v>77</v>
      </c>
      <c r="Q1846" s="62" t="s">
        <v>46</v>
      </c>
      <c r="R1846" s="62" t="s">
        <v>5079</v>
      </c>
      <c r="S1846" s="177" t="s">
        <v>5001</v>
      </c>
      <c r="T1846" s="177" t="s">
        <v>1081</v>
      </c>
      <c r="U1846" s="178">
        <v>65000</v>
      </c>
      <c r="V1846" s="178">
        <v>71500</v>
      </c>
      <c r="W1846" s="178">
        <v>65000</v>
      </c>
      <c r="X1846" s="178">
        <v>71500</v>
      </c>
      <c r="Y1846" s="178">
        <v>0</v>
      </c>
      <c r="Z1846" s="178">
        <v>0</v>
      </c>
      <c r="AA1846" s="179" t="s">
        <v>4898</v>
      </c>
      <c r="AY1846" s="107">
        <f t="shared" si="12"/>
        <v>65000</v>
      </c>
      <c r="AZ1846" s="107">
        <f>ROUNDDOWN(AY1846+(AY1846*MASTER!$A$2/100),0)</f>
        <v>71500</v>
      </c>
    </row>
    <row r="1847" spans="1:52" x14ac:dyDescent="0.15">
      <c r="A1847" s="60">
        <v>1</v>
      </c>
      <c r="C1847" s="61" t="s">
        <v>309</v>
      </c>
      <c r="F1847" s="61" t="s">
        <v>309</v>
      </c>
      <c r="H1847" s="61" t="s">
        <v>309</v>
      </c>
      <c r="J1847" s="60">
        <v>2</v>
      </c>
      <c r="L1847" s="60">
        <v>0</v>
      </c>
      <c r="M1847" s="61">
        <v>44826</v>
      </c>
      <c r="O1847" s="62" t="s">
        <v>331</v>
      </c>
      <c r="P1847" s="60" t="s">
        <v>77</v>
      </c>
      <c r="Q1847" s="62" t="s">
        <v>46</v>
      </c>
      <c r="R1847" s="62" t="s">
        <v>5080</v>
      </c>
      <c r="S1847" s="177" t="s">
        <v>5002</v>
      </c>
      <c r="T1847" s="177" t="s">
        <v>1081</v>
      </c>
      <c r="U1847" s="178">
        <v>65000</v>
      </c>
      <c r="V1847" s="178">
        <v>71500</v>
      </c>
      <c r="W1847" s="178">
        <v>65000</v>
      </c>
      <c r="X1847" s="178">
        <v>71500</v>
      </c>
      <c r="Y1847" s="178">
        <v>0</v>
      </c>
      <c r="Z1847" s="178">
        <v>0</v>
      </c>
      <c r="AA1847" s="179" t="s">
        <v>4898</v>
      </c>
      <c r="AY1847" s="107">
        <f t="shared" si="12"/>
        <v>65000</v>
      </c>
      <c r="AZ1847" s="107">
        <f>ROUNDDOWN(AY1847+(AY1847*MASTER!$A$2/100),0)</f>
        <v>71500</v>
      </c>
    </row>
    <row r="1848" spans="1:52" x14ac:dyDescent="0.15">
      <c r="A1848" s="60">
        <v>1</v>
      </c>
      <c r="C1848" s="61" t="s">
        <v>309</v>
      </c>
      <c r="F1848" s="61" t="s">
        <v>309</v>
      </c>
      <c r="H1848" s="61" t="s">
        <v>309</v>
      </c>
      <c r="J1848" s="60">
        <v>2</v>
      </c>
      <c r="L1848" s="60">
        <v>0</v>
      </c>
      <c r="M1848" s="61">
        <v>44826</v>
      </c>
      <c r="O1848" s="62" t="s">
        <v>331</v>
      </c>
      <c r="P1848" s="60" t="s">
        <v>77</v>
      </c>
      <c r="Q1848" s="62" t="s">
        <v>46</v>
      </c>
      <c r="R1848" s="62" t="s">
        <v>5081</v>
      </c>
      <c r="S1848" s="177" t="s">
        <v>5003</v>
      </c>
      <c r="T1848" s="177" t="s">
        <v>1081</v>
      </c>
      <c r="U1848" s="178">
        <v>65000</v>
      </c>
      <c r="V1848" s="178">
        <v>71500</v>
      </c>
      <c r="W1848" s="178">
        <v>65000</v>
      </c>
      <c r="X1848" s="178">
        <v>71500</v>
      </c>
      <c r="Y1848" s="178">
        <v>0</v>
      </c>
      <c r="Z1848" s="178">
        <v>0</v>
      </c>
      <c r="AA1848" s="179" t="s">
        <v>4898</v>
      </c>
      <c r="AY1848" s="107">
        <f t="shared" si="12"/>
        <v>65000</v>
      </c>
      <c r="AZ1848" s="107">
        <f>ROUNDDOWN(AY1848+(AY1848*MASTER!$A$2/100),0)</f>
        <v>71500</v>
      </c>
    </row>
    <row r="1849" spans="1:52" x14ac:dyDescent="0.15">
      <c r="A1849" s="60">
        <v>1</v>
      </c>
      <c r="C1849" s="61" t="s">
        <v>309</v>
      </c>
      <c r="F1849" s="61" t="s">
        <v>309</v>
      </c>
      <c r="H1849" s="61" t="s">
        <v>309</v>
      </c>
      <c r="J1849" s="60">
        <v>2</v>
      </c>
      <c r="L1849" s="60">
        <v>0</v>
      </c>
      <c r="M1849" s="61">
        <v>44826</v>
      </c>
      <c r="O1849" s="62" t="s">
        <v>331</v>
      </c>
      <c r="P1849" s="60" t="s">
        <v>77</v>
      </c>
      <c r="Q1849" s="62" t="s">
        <v>46</v>
      </c>
      <c r="R1849" s="62" t="s">
        <v>5082</v>
      </c>
      <c r="S1849" s="177" t="s">
        <v>5004</v>
      </c>
      <c r="T1849" s="177" t="s">
        <v>1081</v>
      </c>
      <c r="U1849" s="178">
        <v>65000</v>
      </c>
      <c r="V1849" s="178">
        <v>71500</v>
      </c>
      <c r="W1849" s="178">
        <v>65000</v>
      </c>
      <c r="X1849" s="178">
        <v>71500</v>
      </c>
      <c r="Y1849" s="178">
        <v>0</v>
      </c>
      <c r="Z1849" s="178">
        <v>0</v>
      </c>
      <c r="AA1849" s="179" t="s">
        <v>4898</v>
      </c>
      <c r="AY1849" s="107">
        <f t="shared" si="12"/>
        <v>65000</v>
      </c>
      <c r="AZ1849" s="107">
        <f>ROUNDDOWN(AY1849+(AY1849*MASTER!$A$2/100),0)</f>
        <v>71500</v>
      </c>
    </row>
    <row r="1850" spans="1:52" x14ac:dyDescent="0.15">
      <c r="A1850" s="60">
        <v>1</v>
      </c>
      <c r="C1850" s="61" t="s">
        <v>309</v>
      </c>
      <c r="F1850" s="61" t="s">
        <v>309</v>
      </c>
      <c r="H1850" s="61" t="s">
        <v>309</v>
      </c>
      <c r="J1850" s="60">
        <v>2</v>
      </c>
      <c r="L1850" s="60">
        <v>0</v>
      </c>
      <c r="M1850" s="61">
        <v>44826</v>
      </c>
      <c r="O1850" s="62" t="s">
        <v>331</v>
      </c>
      <c r="P1850" s="60" t="s">
        <v>77</v>
      </c>
      <c r="Q1850" s="62" t="s">
        <v>46</v>
      </c>
      <c r="R1850" s="62" t="s">
        <v>5083</v>
      </c>
      <c r="S1850" s="177" t="s">
        <v>5005</v>
      </c>
      <c r="T1850" s="177" t="s">
        <v>1081</v>
      </c>
      <c r="U1850" s="178">
        <v>65000</v>
      </c>
      <c r="V1850" s="178">
        <v>71500</v>
      </c>
      <c r="W1850" s="178">
        <v>65000</v>
      </c>
      <c r="X1850" s="178">
        <v>71500</v>
      </c>
      <c r="Y1850" s="178">
        <v>0</v>
      </c>
      <c r="Z1850" s="178">
        <v>0</v>
      </c>
      <c r="AA1850" s="179" t="s">
        <v>4898</v>
      </c>
      <c r="AY1850" s="107">
        <f t="shared" si="12"/>
        <v>65000</v>
      </c>
      <c r="AZ1850" s="107">
        <f>ROUNDDOWN(AY1850+(AY1850*MASTER!$A$2/100),0)</f>
        <v>71500</v>
      </c>
    </row>
    <row r="1851" spans="1:52" x14ac:dyDescent="0.15">
      <c r="A1851" s="60">
        <v>1</v>
      </c>
      <c r="C1851" s="61" t="s">
        <v>309</v>
      </c>
      <c r="F1851" s="61" t="s">
        <v>309</v>
      </c>
      <c r="H1851" s="61" t="s">
        <v>309</v>
      </c>
      <c r="J1851" s="60">
        <v>2</v>
      </c>
      <c r="L1851" s="60">
        <v>0</v>
      </c>
      <c r="M1851" s="61">
        <v>44826</v>
      </c>
      <c r="O1851" s="62" t="s">
        <v>331</v>
      </c>
      <c r="P1851" s="60" t="s">
        <v>77</v>
      </c>
      <c r="Q1851" s="62" t="s">
        <v>46</v>
      </c>
      <c r="R1851" s="62" t="s">
        <v>5084</v>
      </c>
      <c r="S1851" s="177" t="s">
        <v>5006</v>
      </c>
      <c r="T1851" s="177" t="s">
        <v>1081</v>
      </c>
      <c r="U1851" s="178">
        <v>65000</v>
      </c>
      <c r="V1851" s="178">
        <v>71500</v>
      </c>
      <c r="W1851" s="178">
        <v>65000</v>
      </c>
      <c r="X1851" s="178">
        <v>71500</v>
      </c>
      <c r="Y1851" s="178">
        <v>0</v>
      </c>
      <c r="Z1851" s="178">
        <v>0</v>
      </c>
      <c r="AA1851" s="179" t="s">
        <v>4898</v>
      </c>
      <c r="AY1851" s="107">
        <f t="shared" si="12"/>
        <v>65000</v>
      </c>
      <c r="AZ1851" s="107">
        <f>ROUNDDOWN(AY1851+(AY1851*MASTER!$A$2/100),0)</f>
        <v>71500</v>
      </c>
    </row>
    <row r="1852" spans="1:52" x14ac:dyDescent="0.15">
      <c r="A1852" s="60">
        <v>1</v>
      </c>
      <c r="C1852" s="61" t="s">
        <v>309</v>
      </c>
      <c r="F1852" s="61" t="s">
        <v>309</v>
      </c>
      <c r="H1852" s="61" t="s">
        <v>309</v>
      </c>
      <c r="J1852" s="60">
        <v>2</v>
      </c>
      <c r="L1852" s="60">
        <v>0</v>
      </c>
      <c r="M1852" s="61">
        <v>44826</v>
      </c>
      <c r="O1852" s="62" t="s">
        <v>331</v>
      </c>
      <c r="P1852" s="60" t="s">
        <v>77</v>
      </c>
      <c r="Q1852" s="62" t="s">
        <v>46</v>
      </c>
      <c r="R1852" s="62" t="s">
        <v>5085</v>
      </c>
      <c r="S1852" s="177" t="s">
        <v>5007</v>
      </c>
      <c r="T1852" s="177" t="s">
        <v>1081</v>
      </c>
      <c r="U1852" s="178">
        <v>65000</v>
      </c>
      <c r="V1852" s="178">
        <v>71500</v>
      </c>
      <c r="W1852" s="178">
        <v>65000</v>
      </c>
      <c r="X1852" s="178">
        <v>71500</v>
      </c>
      <c r="Y1852" s="178">
        <v>0</v>
      </c>
      <c r="Z1852" s="178">
        <v>0</v>
      </c>
      <c r="AA1852" s="179" t="s">
        <v>4898</v>
      </c>
      <c r="AY1852" s="107">
        <f t="shared" si="12"/>
        <v>65000</v>
      </c>
      <c r="AZ1852" s="107">
        <f>ROUNDDOWN(AY1852+(AY1852*MASTER!$A$2/100),0)</f>
        <v>71500</v>
      </c>
    </row>
    <row r="1853" spans="1:52" x14ac:dyDescent="0.15">
      <c r="A1853" s="60">
        <v>1</v>
      </c>
      <c r="C1853" s="61" t="s">
        <v>309</v>
      </c>
      <c r="F1853" s="61" t="s">
        <v>309</v>
      </c>
      <c r="H1853" s="61" t="s">
        <v>309</v>
      </c>
      <c r="J1853" s="60">
        <v>2</v>
      </c>
      <c r="L1853" s="60">
        <v>0</v>
      </c>
      <c r="M1853" s="61">
        <v>44826</v>
      </c>
      <c r="O1853" s="62" t="s">
        <v>331</v>
      </c>
      <c r="P1853" s="60" t="s">
        <v>77</v>
      </c>
      <c r="Q1853" s="62" t="s">
        <v>46</v>
      </c>
      <c r="R1853" s="62" t="s">
        <v>5086</v>
      </c>
      <c r="S1853" s="177" t="s">
        <v>5008</v>
      </c>
      <c r="T1853" s="177" t="s">
        <v>1081</v>
      </c>
      <c r="U1853" s="178">
        <v>65000</v>
      </c>
      <c r="V1853" s="178">
        <v>71500</v>
      </c>
      <c r="W1853" s="178">
        <v>65000</v>
      </c>
      <c r="X1853" s="178">
        <v>71500</v>
      </c>
      <c r="Y1853" s="178">
        <v>0</v>
      </c>
      <c r="Z1853" s="178">
        <v>0</v>
      </c>
      <c r="AA1853" s="179" t="s">
        <v>4898</v>
      </c>
      <c r="AY1853" s="107">
        <f t="shared" si="12"/>
        <v>65000</v>
      </c>
      <c r="AZ1853" s="107">
        <f>ROUNDDOWN(AY1853+(AY1853*MASTER!$A$2/100),0)</f>
        <v>71500</v>
      </c>
    </row>
    <row r="1854" spans="1:52" x14ac:dyDescent="0.15">
      <c r="A1854" s="60">
        <v>1</v>
      </c>
      <c r="C1854" s="61" t="s">
        <v>309</v>
      </c>
      <c r="F1854" s="61" t="s">
        <v>309</v>
      </c>
      <c r="H1854" s="61" t="s">
        <v>309</v>
      </c>
      <c r="J1854" s="60">
        <v>2</v>
      </c>
      <c r="L1854" s="60">
        <v>0</v>
      </c>
      <c r="M1854" s="61">
        <v>44826</v>
      </c>
      <c r="O1854" s="62" t="s">
        <v>331</v>
      </c>
      <c r="P1854" s="60" t="s">
        <v>77</v>
      </c>
      <c r="Q1854" s="62" t="s">
        <v>46</v>
      </c>
      <c r="R1854" s="62" t="s">
        <v>5087</v>
      </c>
      <c r="S1854" s="177" t="s">
        <v>5009</v>
      </c>
      <c r="T1854" s="177" t="s">
        <v>1081</v>
      </c>
      <c r="U1854" s="178">
        <v>65000</v>
      </c>
      <c r="V1854" s="178">
        <v>71500</v>
      </c>
      <c r="W1854" s="178">
        <v>65000</v>
      </c>
      <c r="X1854" s="178">
        <v>71500</v>
      </c>
      <c r="Y1854" s="178">
        <v>0</v>
      </c>
      <c r="Z1854" s="178">
        <v>0</v>
      </c>
      <c r="AA1854" s="179" t="s">
        <v>4898</v>
      </c>
      <c r="AY1854" s="107">
        <f t="shared" si="12"/>
        <v>65000</v>
      </c>
      <c r="AZ1854" s="107">
        <f>ROUNDDOWN(AY1854+(AY1854*MASTER!$A$2/100),0)</f>
        <v>71500</v>
      </c>
    </row>
    <row r="1855" spans="1:52" x14ac:dyDescent="0.15">
      <c r="A1855" s="60">
        <v>1</v>
      </c>
      <c r="C1855" s="61" t="s">
        <v>309</v>
      </c>
      <c r="F1855" s="61" t="s">
        <v>309</v>
      </c>
      <c r="H1855" s="61" t="s">
        <v>309</v>
      </c>
      <c r="J1855" s="60">
        <v>2</v>
      </c>
      <c r="L1855" s="60">
        <v>0</v>
      </c>
      <c r="M1855" s="61">
        <v>44826</v>
      </c>
      <c r="O1855" s="62" t="s">
        <v>331</v>
      </c>
      <c r="P1855" s="60" t="s">
        <v>77</v>
      </c>
      <c r="Q1855" s="62" t="s">
        <v>46</v>
      </c>
      <c r="R1855" s="62" t="s">
        <v>5088</v>
      </c>
      <c r="S1855" s="177" t="s">
        <v>5010</v>
      </c>
      <c r="T1855" s="177" t="s">
        <v>1081</v>
      </c>
      <c r="U1855" s="178">
        <v>65000</v>
      </c>
      <c r="V1855" s="178">
        <v>71500</v>
      </c>
      <c r="W1855" s="178">
        <v>65000</v>
      </c>
      <c r="X1855" s="178">
        <v>71500</v>
      </c>
      <c r="Y1855" s="178">
        <v>0</v>
      </c>
      <c r="Z1855" s="178">
        <v>0</v>
      </c>
      <c r="AA1855" s="179" t="s">
        <v>4898</v>
      </c>
      <c r="AY1855" s="107">
        <f t="shared" si="12"/>
        <v>65000</v>
      </c>
      <c r="AZ1855" s="107">
        <f>ROUNDDOWN(AY1855+(AY1855*MASTER!$A$2/100),0)</f>
        <v>71500</v>
      </c>
    </row>
    <row r="1856" spans="1:52" x14ac:dyDescent="0.15">
      <c r="A1856" s="60">
        <v>1</v>
      </c>
      <c r="C1856" s="61" t="s">
        <v>309</v>
      </c>
      <c r="F1856" s="61" t="s">
        <v>309</v>
      </c>
      <c r="H1856" s="61" t="s">
        <v>309</v>
      </c>
      <c r="J1856" s="60">
        <v>2</v>
      </c>
      <c r="L1856" s="60">
        <v>0</v>
      </c>
      <c r="M1856" s="61">
        <v>44826</v>
      </c>
      <c r="O1856" s="62" t="s">
        <v>331</v>
      </c>
      <c r="P1856" s="60" t="s">
        <v>77</v>
      </c>
      <c r="Q1856" s="62" t="s">
        <v>46</v>
      </c>
      <c r="R1856" s="62" t="s">
        <v>5089</v>
      </c>
      <c r="S1856" s="177" t="s">
        <v>4985</v>
      </c>
      <c r="T1856" s="177" t="s">
        <v>1081</v>
      </c>
      <c r="U1856" s="178">
        <v>65000</v>
      </c>
      <c r="V1856" s="178">
        <v>71500</v>
      </c>
      <c r="W1856" s="178">
        <v>65000</v>
      </c>
      <c r="X1856" s="178">
        <v>71500</v>
      </c>
      <c r="Y1856" s="178">
        <v>0</v>
      </c>
      <c r="Z1856" s="178">
        <v>0</v>
      </c>
      <c r="AA1856" s="179" t="s">
        <v>4898</v>
      </c>
      <c r="AY1856" s="107">
        <f t="shared" si="12"/>
        <v>65000</v>
      </c>
      <c r="AZ1856" s="107">
        <f>ROUNDDOWN(AY1856+(AY1856*MASTER!$A$2/100),0)</f>
        <v>71500</v>
      </c>
    </row>
    <row r="1857" spans="1:52" x14ac:dyDescent="0.15">
      <c r="A1857" s="60">
        <v>1</v>
      </c>
      <c r="C1857" s="61" t="s">
        <v>309</v>
      </c>
      <c r="F1857" s="61" t="s">
        <v>309</v>
      </c>
      <c r="H1857" s="61" t="s">
        <v>309</v>
      </c>
      <c r="J1857" s="60">
        <v>2</v>
      </c>
      <c r="L1857" s="60">
        <v>0</v>
      </c>
      <c r="M1857" s="61">
        <v>44826</v>
      </c>
      <c r="O1857" s="62" t="s">
        <v>331</v>
      </c>
      <c r="P1857" s="60" t="s">
        <v>77</v>
      </c>
      <c r="Q1857" s="62" t="s">
        <v>46</v>
      </c>
      <c r="R1857" s="62" t="s">
        <v>5090</v>
      </c>
      <c r="S1857" s="177" t="s">
        <v>5011</v>
      </c>
      <c r="T1857" s="177" t="s">
        <v>1081</v>
      </c>
      <c r="U1857" s="178">
        <v>65000</v>
      </c>
      <c r="V1857" s="178">
        <v>71500</v>
      </c>
      <c r="W1857" s="178">
        <v>65000</v>
      </c>
      <c r="X1857" s="178">
        <v>71500</v>
      </c>
      <c r="Y1857" s="178">
        <v>0</v>
      </c>
      <c r="Z1857" s="178">
        <v>0</v>
      </c>
      <c r="AA1857" s="179" t="s">
        <v>4898</v>
      </c>
      <c r="AY1857" s="107">
        <f t="shared" si="12"/>
        <v>65000</v>
      </c>
      <c r="AZ1857" s="107">
        <f>ROUNDDOWN(AY1857+(AY1857*MASTER!$A$2/100),0)</f>
        <v>71500</v>
      </c>
    </row>
    <row r="1858" spans="1:52" x14ac:dyDescent="0.15">
      <c r="A1858" s="60">
        <v>1</v>
      </c>
      <c r="C1858" s="61" t="s">
        <v>309</v>
      </c>
      <c r="F1858" s="61" t="s">
        <v>309</v>
      </c>
      <c r="H1858" s="61" t="s">
        <v>309</v>
      </c>
      <c r="J1858" s="60">
        <v>2</v>
      </c>
      <c r="L1858" s="60">
        <v>0</v>
      </c>
      <c r="M1858" s="61">
        <v>44826</v>
      </c>
      <c r="O1858" s="62" t="s">
        <v>331</v>
      </c>
      <c r="P1858" s="60" t="s">
        <v>77</v>
      </c>
      <c r="Q1858" s="62" t="s">
        <v>46</v>
      </c>
      <c r="R1858" s="62" t="s">
        <v>5091</v>
      </c>
      <c r="S1858" s="177" t="s">
        <v>5012</v>
      </c>
      <c r="T1858" s="177" t="s">
        <v>1081</v>
      </c>
      <c r="U1858" s="178">
        <v>65000</v>
      </c>
      <c r="V1858" s="178">
        <v>71500</v>
      </c>
      <c r="W1858" s="178">
        <v>65000</v>
      </c>
      <c r="X1858" s="178">
        <v>71500</v>
      </c>
      <c r="Y1858" s="178">
        <v>0</v>
      </c>
      <c r="Z1858" s="178">
        <v>0</v>
      </c>
      <c r="AA1858" s="179" t="s">
        <v>4898</v>
      </c>
      <c r="AY1858" s="107">
        <f t="shared" si="12"/>
        <v>65000</v>
      </c>
      <c r="AZ1858" s="107">
        <f>ROUNDDOWN(AY1858+(AY1858*MASTER!$A$2/100),0)</f>
        <v>71500</v>
      </c>
    </row>
    <row r="1859" spans="1:52" x14ac:dyDescent="0.15">
      <c r="A1859" s="60">
        <v>1</v>
      </c>
      <c r="C1859" s="61" t="s">
        <v>309</v>
      </c>
      <c r="F1859" s="61" t="s">
        <v>309</v>
      </c>
      <c r="H1859" s="61" t="s">
        <v>309</v>
      </c>
      <c r="J1859" s="60">
        <v>2</v>
      </c>
      <c r="L1859" s="60">
        <v>0</v>
      </c>
      <c r="M1859" s="61">
        <v>44826</v>
      </c>
      <c r="O1859" s="62" t="s">
        <v>331</v>
      </c>
      <c r="P1859" s="60" t="s">
        <v>77</v>
      </c>
      <c r="Q1859" s="62" t="s">
        <v>46</v>
      </c>
      <c r="R1859" s="62" t="s">
        <v>5092</v>
      </c>
      <c r="S1859" s="177" t="s">
        <v>5013</v>
      </c>
      <c r="T1859" s="177" t="s">
        <v>1081</v>
      </c>
      <c r="U1859" s="178">
        <v>65000</v>
      </c>
      <c r="V1859" s="178">
        <v>71500</v>
      </c>
      <c r="W1859" s="178">
        <v>65000</v>
      </c>
      <c r="X1859" s="178">
        <v>71500</v>
      </c>
      <c r="Y1859" s="178">
        <v>0</v>
      </c>
      <c r="Z1859" s="178">
        <v>0</v>
      </c>
      <c r="AA1859" s="179" t="s">
        <v>4898</v>
      </c>
      <c r="AY1859" s="107">
        <f t="shared" si="12"/>
        <v>65000</v>
      </c>
      <c r="AZ1859" s="107">
        <f>ROUNDDOWN(AY1859+(AY1859*MASTER!$A$2/100),0)</f>
        <v>71500</v>
      </c>
    </row>
    <row r="1860" spans="1:52" x14ac:dyDescent="0.15">
      <c r="A1860" s="60">
        <v>1</v>
      </c>
      <c r="C1860" s="61" t="s">
        <v>309</v>
      </c>
      <c r="F1860" s="61" t="s">
        <v>309</v>
      </c>
      <c r="H1860" s="61" t="s">
        <v>309</v>
      </c>
      <c r="J1860" s="60">
        <v>2</v>
      </c>
      <c r="L1860" s="60">
        <v>0</v>
      </c>
      <c r="M1860" s="61">
        <v>44826</v>
      </c>
      <c r="O1860" s="62" t="s">
        <v>331</v>
      </c>
      <c r="P1860" s="60" t="s">
        <v>77</v>
      </c>
      <c r="Q1860" s="62" t="s">
        <v>46</v>
      </c>
      <c r="R1860" s="62" t="s">
        <v>5093</v>
      </c>
      <c r="S1860" s="177" t="s">
        <v>5014</v>
      </c>
      <c r="T1860" s="177" t="s">
        <v>1081</v>
      </c>
      <c r="U1860" s="178">
        <v>65000</v>
      </c>
      <c r="V1860" s="178">
        <v>71500</v>
      </c>
      <c r="W1860" s="178">
        <v>65000</v>
      </c>
      <c r="X1860" s="178">
        <v>71500</v>
      </c>
      <c r="Y1860" s="178">
        <v>0</v>
      </c>
      <c r="Z1860" s="178">
        <v>0</v>
      </c>
      <c r="AA1860" s="179" t="s">
        <v>4898</v>
      </c>
      <c r="AY1860" s="107">
        <f t="shared" si="12"/>
        <v>65000</v>
      </c>
      <c r="AZ1860" s="107">
        <f>ROUNDDOWN(AY1860+(AY1860*MASTER!$A$2/100),0)</f>
        <v>71500</v>
      </c>
    </row>
    <row r="1861" spans="1:52" x14ac:dyDescent="0.15">
      <c r="A1861" s="60">
        <v>1</v>
      </c>
      <c r="C1861" s="61" t="s">
        <v>309</v>
      </c>
      <c r="F1861" s="61" t="s">
        <v>309</v>
      </c>
      <c r="H1861" s="61" t="s">
        <v>309</v>
      </c>
      <c r="J1861" s="60">
        <v>2</v>
      </c>
      <c r="L1861" s="60">
        <v>0</v>
      </c>
      <c r="M1861" s="61">
        <v>44826</v>
      </c>
      <c r="O1861" s="62" t="s">
        <v>331</v>
      </c>
      <c r="P1861" s="60" t="s">
        <v>77</v>
      </c>
      <c r="Q1861" s="62" t="s">
        <v>46</v>
      </c>
      <c r="R1861" s="62" t="s">
        <v>5094</v>
      </c>
      <c r="S1861" s="177" t="s">
        <v>5015</v>
      </c>
      <c r="T1861" s="177" t="s">
        <v>1081</v>
      </c>
      <c r="U1861" s="178">
        <v>65000</v>
      </c>
      <c r="V1861" s="178">
        <v>71500</v>
      </c>
      <c r="W1861" s="178">
        <v>65000</v>
      </c>
      <c r="X1861" s="178">
        <v>71500</v>
      </c>
      <c r="Y1861" s="178">
        <v>0</v>
      </c>
      <c r="Z1861" s="178">
        <v>0</v>
      </c>
      <c r="AA1861" s="179" t="s">
        <v>4898</v>
      </c>
      <c r="AY1861" s="107">
        <f t="shared" si="12"/>
        <v>65000</v>
      </c>
      <c r="AZ1861" s="107">
        <f>ROUNDDOWN(AY1861+(AY1861*MASTER!$A$2/100),0)</f>
        <v>71500</v>
      </c>
    </row>
    <row r="1862" spans="1:52" x14ac:dyDescent="0.15">
      <c r="A1862" s="60">
        <v>1</v>
      </c>
      <c r="C1862" s="61" t="s">
        <v>309</v>
      </c>
      <c r="F1862" s="61" t="s">
        <v>309</v>
      </c>
      <c r="H1862" s="61" t="s">
        <v>309</v>
      </c>
      <c r="J1862" s="60">
        <v>2</v>
      </c>
      <c r="L1862" s="60">
        <v>0</v>
      </c>
      <c r="M1862" s="61">
        <v>44826</v>
      </c>
      <c r="O1862" s="62" t="s">
        <v>331</v>
      </c>
      <c r="P1862" s="60" t="s">
        <v>77</v>
      </c>
      <c r="Q1862" s="62" t="s">
        <v>46</v>
      </c>
      <c r="R1862" s="62" t="s">
        <v>5095</v>
      </c>
      <c r="S1862" s="177" t="s">
        <v>5016</v>
      </c>
      <c r="T1862" s="177" t="s">
        <v>1081</v>
      </c>
      <c r="U1862" s="178">
        <v>65000</v>
      </c>
      <c r="V1862" s="178">
        <v>71500</v>
      </c>
      <c r="W1862" s="178">
        <v>65000</v>
      </c>
      <c r="X1862" s="178">
        <v>71500</v>
      </c>
      <c r="Y1862" s="178">
        <v>0</v>
      </c>
      <c r="Z1862" s="178">
        <v>0</v>
      </c>
      <c r="AA1862" s="179" t="s">
        <v>4898</v>
      </c>
      <c r="AY1862" s="107">
        <f t="shared" si="12"/>
        <v>65000</v>
      </c>
      <c r="AZ1862" s="107">
        <f>ROUNDDOWN(AY1862+(AY1862*MASTER!$A$2/100),0)</f>
        <v>71500</v>
      </c>
    </row>
    <row r="1863" spans="1:52" x14ac:dyDescent="0.15">
      <c r="A1863" s="60">
        <v>1</v>
      </c>
      <c r="C1863" s="61" t="s">
        <v>309</v>
      </c>
      <c r="F1863" s="61" t="s">
        <v>309</v>
      </c>
      <c r="H1863" s="61" t="s">
        <v>309</v>
      </c>
      <c r="J1863" s="60">
        <v>2</v>
      </c>
      <c r="L1863" s="60">
        <v>0</v>
      </c>
      <c r="M1863" s="61">
        <v>44826</v>
      </c>
      <c r="O1863" s="62" t="s">
        <v>331</v>
      </c>
      <c r="P1863" s="60" t="s">
        <v>77</v>
      </c>
      <c r="Q1863" s="62" t="s">
        <v>46</v>
      </c>
      <c r="R1863" s="62" t="s">
        <v>5096</v>
      </c>
      <c r="S1863" s="177" t="s">
        <v>5017</v>
      </c>
      <c r="T1863" s="177" t="s">
        <v>1081</v>
      </c>
      <c r="U1863" s="178">
        <v>65000</v>
      </c>
      <c r="V1863" s="178">
        <v>71500</v>
      </c>
      <c r="W1863" s="178">
        <v>65000</v>
      </c>
      <c r="X1863" s="178">
        <v>71500</v>
      </c>
      <c r="Y1863" s="178">
        <v>0</v>
      </c>
      <c r="Z1863" s="178">
        <v>0</v>
      </c>
      <c r="AA1863" s="179" t="s">
        <v>4898</v>
      </c>
      <c r="AY1863" s="107">
        <f t="shared" si="12"/>
        <v>65000</v>
      </c>
      <c r="AZ1863" s="107">
        <f>ROUNDDOWN(AY1863+(AY1863*MASTER!$A$2/100),0)</f>
        <v>71500</v>
      </c>
    </row>
    <row r="1864" spans="1:52" x14ac:dyDescent="0.15">
      <c r="A1864" s="60">
        <v>1</v>
      </c>
      <c r="C1864" s="61" t="s">
        <v>309</v>
      </c>
      <c r="F1864" s="61" t="s">
        <v>309</v>
      </c>
      <c r="H1864" s="61" t="s">
        <v>309</v>
      </c>
      <c r="J1864" s="60">
        <v>2</v>
      </c>
      <c r="L1864" s="60">
        <v>0</v>
      </c>
      <c r="M1864" s="61">
        <v>44826</v>
      </c>
      <c r="O1864" s="62" t="s">
        <v>331</v>
      </c>
      <c r="P1864" s="60" t="s">
        <v>77</v>
      </c>
      <c r="Q1864" s="62" t="s">
        <v>46</v>
      </c>
      <c r="R1864" s="62" t="s">
        <v>5097</v>
      </c>
      <c r="S1864" s="177" t="s">
        <v>5018</v>
      </c>
      <c r="T1864" s="177" t="s">
        <v>1081</v>
      </c>
      <c r="U1864" s="178">
        <v>65000</v>
      </c>
      <c r="V1864" s="178">
        <v>71500</v>
      </c>
      <c r="W1864" s="178">
        <v>65000</v>
      </c>
      <c r="X1864" s="178">
        <v>71500</v>
      </c>
      <c r="Y1864" s="178">
        <v>0</v>
      </c>
      <c r="Z1864" s="178">
        <v>0</v>
      </c>
      <c r="AA1864" s="179" t="s">
        <v>4898</v>
      </c>
      <c r="AY1864" s="107">
        <f t="shared" si="12"/>
        <v>65000</v>
      </c>
      <c r="AZ1864" s="107">
        <f>ROUNDDOWN(AY1864+(AY1864*MASTER!$A$2/100),0)</f>
        <v>71500</v>
      </c>
    </row>
    <row r="1865" spans="1:52" x14ac:dyDescent="0.15">
      <c r="A1865" s="60">
        <v>1</v>
      </c>
      <c r="C1865" s="61" t="s">
        <v>309</v>
      </c>
      <c r="F1865" s="61" t="s">
        <v>309</v>
      </c>
      <c r="H1865" s="61" t="s">
        <v>309</v>
      </c>
      <c r="J1865" s="60">
        <v>2</v>
      </c>
      <c r="L1865" s="60">
        <v>0</v>
      </c>
      <c r="M1865" s="61">
        <v>44826</v>
      </c>
      <c r="O1865" s="62" t="s">
        <v>331</v>
      </c>
      <c r="P1865" s="60" t="s">
        <v>77</v>
      </c>
      <c r="Q1865" s="62" t="s">
        <v>46</v>
      </c>
      <c r="R1865" s="62" t="s">
        <v>5098</v>
      </c>
      <c r="S1865" s="177" t="s">
        <v>5019</v>
      </c>
      <c r="T1865" s="177" t="s">
        <v>1081</v>
      </c>
      <c r="U1865" s="178">
        <v>65000</v>
      </c>
      <c r="V1865" s="178">
        <v>71500</v>
      </c>
      <c r="W1865" s="178">
        <v>65000</v>
      </c>
      <c r="X1865" s="178">
        <v>71500</v>
      </c>
      <c r="Y1865" s="178">
        <v>0</v>
      </c>
      <c r="Z1865" s="178">
        <v>0</v>
      </c>
      <c r="AA1865" s="179" t="s">
        <v>4898</v>
      </c>
      <c r="AY1865" s="107">
        <f t="shared" si="12"/>
        <v>65000</v>
      </c>
      <c r="AZ1865" s="107">
        <f>ROUNDDOWN(AY1865+(AY1865*MASTER!$A$2/100),0)</f>
        <v>71500</v>
      </c>
    </row>
    <row r="1866" spans="1:52" x14ac:dyDescent="0.15">
      <c r="A1866" s="60">
        <v>1</v>
      </c>
      <c r="C1866" s="61" t="s">
        <v>309</v>
      </c>
      <c r="F1866" s="61" t="s">
        <v>309</v>
      </c>
      <c r="H1866" s="61" t="s">
        <v>309</v>
      </c>
      <c r="J1866" s="60">
        <v>2</v>
      </c>
      <c r="L1866" s="60">
        <v>0</v>
      </c>
      <c r="M1866" s="61">
        <v>44826</v>
      </c>
      <c r="O1866" s="62" t="s">
        <v>331</v>
      </c>
      <c r="P1866" s="60" t="s">
        <v>77</v>
      </c>
      <c r="Q1866" s="62" t="s">
        <v>46</v>
      </c>
      <c r="R1866" s="62" t="s">
        <v>5099</v>
      </c>
      <c r="S1866" s="177" t="s">
        <v>5020</v>
      </c>
      <c r="T1866" s="177" t="s">
        <v>1081</v>
      </c>
      <c r="U1866" s="178">
        <v>65000</v>
      </c>
      <c r="V1866" s="178">
        <v>71500</v>
      </c>
      <c r="W1866" s="178">
        <v>65000</v>
      </c>
      <c r="X1866" s="178">
        <v>71500</v>
      </c>
      <c r="Y1866" s="178">
        <v>0</v>
      </c>
      <c r="Z1866" s="178">
        <v>0</v>
      </c>
      <c r="AA1866" s="179" t="s">
        <v>4898</v>
      </c>
      <c r="AY1866" s="107">
        <f t="shared" si="12"/>
        <v>65000</v>
      </c>
      <c r="AZ1866" s="107">
        <f>ROUNDDOWN(AY1866+(AY1866*MASTER!$A$2/100),0)</f>
        <v>71500</v>
      </c>
    </row>
    <row r="1867" spans="1:52" x14ac:dyDescent="0.15">
      <c r="A1867" s="60">
        <v>1</v>
      </c>
      <c r="C1867" s="61" t="s">
        <v>309</v>
      </c>
      <c r="F1867" s="61" t="s">
        <v>309</v>
      </c>
      <c r="H1867" s="61" t="s">
        <v>309</v>
      </c>
      <c r="J1867" s="60">
        <v>2</v>
      </c>
      <c r="L1867" s="60">
        <v>0</v>
      </c>
      <c r="M1867" s="61">
        <v>44826</v>
      </c>
      <c r="O1867" s="62" t="s">
        <v>331</v>
      </c>
      <c r="P1867" s="60" t="s">
        <v>77</v>
      </c>
      <c r="Q1867" s="62" t="s">
        <v>46</v>
      </c>
      <c r="R1867" s="62" t="s">
        <v>5100</v>
      </c>
      <c r="S1867" s="177" t="s">
        <v>5021</v>
      </c>
      <c r="T1867" s="177" t="s">
        <v>1081</v>
      </c>
      <c r="U1867" s="178">
        <v>65000</v>
      </c>
      <c r="V1867" s="178">
        <v>71500</v>
      </c>
      <c r="W1867" s="178">
        <v>65000</v>
      </c>
      <c r="X1867" s="178">
        <v>71500</v>
      </c>
      <c r="Y1867" s="178">
        <v>0</v>
      </c>
      <c r="Z1867" s="178">
        <v>0</v>
      </c>
      <c r="AA1867" s="179" t="s">
        <v>4898</v>
      </c>
      <c r="AY1867" s="107">
        <f t="shared" si="12"/>
        <v>65000</v>
      </c>
      <c r="AZ1867" s="107">
        <f>ROUNDDOWN(AY1867+(AY1867*MASTER!$A$2/100),0)</f>
        <v>71500</v>
      </c>
    </row>
    <row r="1868" spans="1:52" x14ac:dyDescent="0.15">
      <c r="A1868" s="60">
        <v>1</v>
      </c>
      <c r="C1868" s="61" t="s">
        <v>309</v>
      </c>
      <c r="F1868" s="61" t="s">
        <v>309</v>
      </c>
      <c r="H1868" s="61" t="s">
        <v>309</v>
      </c>
      <c r="J1868" s="60">
        <v>2</v>
      </c>
      <c r="L1868" s="60">
        <v>0</v>
      </c>
      <c r="M1868" s="61">
        <v>44826</v>
      </c>
      <c r="O1868" s="62" t="s">
        <v>331</v>
      </c>
      <c r="P1868" s="60" t="s">
        <v>77</v>
      </c>
      <c r="Q1868" s="62" t="s">
        <v>46</v>
      </c>
      <c r="R1868" s="62" t="s">
        <v>5101</v>
      </c>
      <c r="S1868" s="177" t="s">
        <v>5022</v>
      </c>
      <c r="T1868" s="177" t="s">
        <v>1081</v>
      </c>
      <c r="U1868" s="178">
        <v>65000</v>
      </c>
      <c r="V1868" s="178">
        <v>71500</v>
      </c>
      <c r="W1868" s="178">
        <v>65000</v>
      </c>
      <c r="X1868" s="178">
        <v>71500</v>
      </c>
      <c r="Y1868" s="178">
        <v>0</v>
      </c>
      <c r="Z1868" s="178">
        <v>0</v>
      </c>
      <c r="AA1868" s="179" t="s">
        <v>4898</v>
      </c>
      <c r="AY1868" s="107">
        <f t="shared" si="12"/>
        <v>65000</v>
      </c>
      <c r="AZ1868" s="107">
        <f>ROUNDDOWN(AY1868+(AY1868*MASTER!$A$2/100),0)</f>
        <v>71500</v>
      </c>
    </row>
    <row r="1869" spans="1:52" x14ac:dyDescent="0.15">
      <c r="A1869" s="60">
        <v>1</v>
      </c>
      <c r="C1869" s="61" t="s">
        <v>309</v>
      </c>
      <c r="F1869" s="61" t="s">
        <v>309</v>
      </c>
      <c r="H1869" s="61" t="s">
        <v>309</v>
      </c>
      <c r="J1869" s="60">
        <v>2</v>
      </c>
      <c r="L1869" s="60">
        <v>0</v>
      </c>
      <c r="M1869" s="61">
        <v>44826</v>
      </c>
      <c r="O1869" s="62" t="s">
        <v>331</v>
      </c>
      <c r="P1869" s="60" t="s">
        <v>77</v>
      </c>
      <c r="Q1869" s="62" t="s">
        <v>46</v>
      </c>
      <c r="R1869" s="62" t="s">
        <v>5102</v>
      </c>
      <c r="S1869" s="177" t="s">
        <v>5023</v>
      </c>
      <c r="T1869" s="177" t="s">
        <v>1081</v>
      </c>
      <c r="U1869" s="178">
        <v>65000</v>
      </c>
      <c r="V1869" s="178">
        <v>71500</v>
      </c>
      <c r="W1869" s="178">
        <v>65000</v>
      </c>
      <c r="X1869" s="178">
        <v>71500</v>
      </c>
      <c r="Y1869" s="178">
        <v>0</v>
      </c>
      <c r="Z1869" s="178">
        <v>0</v>
      </c>
      <c r="AA1869" s="179" t="s">
        <v>4898</v>
      </c>
      <c r="AY1869" s="107">
        <f t="shared" si="12"/>
        <v>65000</v>
      </c>
      <c r="AZ1869" s="107">
        <f>ROUNDDOWN(AY1869+(AY1869*MASTER!$A$2/100),0)</f>
        <v>71500</v>
      </c>
    </row>
    <row r="1870" spans="1:52" x14ac:dyDescent="0.15">
      <c r="A1870" s="60">
        <v>1</v>
      </c>
      <c r="C1870" s="61" t="s">
        <v>309</v>
      </c>
      <c r="F1870" s="61" t="s">
        <v>309</v>
      </c>
      <c r="H1870" s="61" t="s">
        <v>309</v>
      </c>
      <c r="J1870" s="60">
        <v>2</v>
      </c>
      <c r="L1870" s="60">
        <v>0</v>
      </c>
      <c r="M1870" s="61">
        <v>44826</v>
      </c>
      <c r="O1870" s="62" t="s">
        <v>331</v>
      </c>
      <c r="P1870" s="60" t="s">
        <v>77</v>
      </c>
      <c r="Q1870" s="62" t="s">
        <v>46</v>
      </c>
      <c r="R1870" s="62" t="s">
        <v>5103</v>
      </c>
      <c r="S1870" s="177" t="s">
        <v>5024</v>
      </c>
      <c r="T1870" s="177" t="s">
        <v>1081</v>
      </c>
      <c r="U1870" s="178">
        <v>65000</v>
      </c>
      <c r="V1870" s="178">
        <v>71500</v>
      </c>
      <c r="W1870" s="178">
        <v>65000</v>
      </c>
      <c r="X1870" s="178">
        <v>71500</v>
      </c>
      <c r="Y1870" s="178">
        <v>0</v>
      </c>
      <c r="Z1870" s="178">
        <v>0</v>
      </c>
      <c r="AA1870" s="179" t="s">
        <v>4898</v>
      </c>
      <c r="AY1870" s="107">
        <f t="shared" ref="AY1870:AY1886" si="13">U1870</f>
        <v>65000</v>
      </c>
      <c r="AZ1870" s="107">
        <f>ROUNDDOWN(AY1870+(AY1870*MASTER!$A$2/100),0)</f>
        <v>71500</v>
      </c>
    </row>
    <row r="1871" spans="1:52" x14ac:dyDescent="0.15">
      <c r="A1871" s="60">
        <v>1</v>
      </c>
      <c r="C1871" s="61" t="s">
        <v>309</v>
      </c>
      <c r="F1871" s="61" t="s">
        <v>309</v>
      </c>
      <c r="H1871" s="61" t="s">
        <v>309</v>
      </c>
      <c r="J1871" s="60">
        <v>2</v>
      </c>
      <c r="L1871" s="60">
        <v>0</v>
      </c>
      <c r="M1871" s="61">
        <v>44826</v>
      </c>
      <c r="O1871" s="62" t="s">
        <v>331</v>
      </c>
      <c r="P1871" s="60" t="s">
        <v>77</v>
      </c>
      <c r="Q1871" s="62" t="s">
        <v>46</v>
      </c>
      <c r="R1871" s="62" t="s">
        <v>5104</v>
      </c>
      <c r="S1871" s="177" t="s">
        <v>5025</v>
      </c>
      <c r="T1871" s="177" t="s">
        <v>1081</v>
      </c>
      <c r="U1871" s="178">
        <v>65000</v>
      </c>
      <c r="V1871" s="178">
        <v>71500</v>
      </c>
      <c r="W1871" s="178">
        <v>65000</v>
      </c>
      <c r="X1871" s="178">
        <v>71500</v>
      </c>
      <c r="Y1871" s="178">
        <v>0</v>
      </c>
      <c r="Z1871" s="178">
        <v>0</v>
      </c>
      <c r="AA1871" s="179" t="s">
        <v>4898</v>
      </c>
      <c r="AY1871" s="107">
        <f t="shared" si="13"/>
        <v>65000</v>
      </c>
      <c r="AZ1871" s="107">
        <f>ROUNDDOWN(AY1871+(AY1871*MASTER!$A$2/100),0)</f>
        <v>71500</v>
      </c>
    </row>
    <row r="1872" spans="1:52" x14ac:dyDescent="0.15">
      <c r="A1872" s="60">
        <v>1</v>
      </c>
      <c r="C1872" s="61" t="s">
        <v>309</v>
      </c>
      <c r="F1872" s="61" t="s">
        <v>309</v>
      </c>
      <c r="H1872" s="61" t="s">
        <v>309</v>
      </c>
      <c r="J1872" s="60">
        <v>2</v>
      </c>
      <c r="L1872" s="60">
        <v>0</v>
      </c>
      <c r="M1872" s="61">
        <v>44826</v>
      </c>
      <c r="O1872" s="62" t="s">
        <v>331</v>
      </c>
      <c r="P1872" s="60" t="s">
        <v>77</v>
      </c>
      <c r="Q1872" s="62" t="s">
        <v>46</v>
      </c>
      <c r="R1872" s="62" t="s">
        <v>5105</v>
      </c>
      <c r="S1872" s="177" t="s">
        <v>4989</v>
      </c>
      <c r="T1872" s="177" t="s">
        <v>1081</v>
      </c>
      <c r="U1872" s="178">
        <v>65000</v>
      </c>
      <c r="V1872" s="178">
        <v>71500</v>
      </c>
      <c r="W1872" s="178">
        <v>65000</v>
      </c>
      <c r="X1872" s="178">
        <v>71500</v>
      </c>
      <c r="Y1872" s="178">
        <v>0</v>
      </c>
      <c r="Z1872" s="178">
        <v>0</v>
      </c>
      <c r="AA1872" s="179" t="s">
        <v>4898</v>
      </c>
      <c r="AY1872" s="107">
        <f t="shared" si="13"/>
        <v>65000</v>
      </c>
      <c r="AZ1872" s="107">
        <f>ROUNDDOWN(AY1872+(AY1872*MASTER!$A$2/100),0)</f>
        <v>71500</v>
      </c>
    </row>
    <row r="1873" spans="1:78" x14ac:dyDescent="0.15">
      <c r="A1873" s="60">
        <v>1</v>
      </c>
      <c r="C1873" s="61" t="s">
        <v>309</v>
      </c>
      <c r="F1873" s="61" t="s">
        <v>309</v>
      </c>
      <c r="H1873" s="61" t="s">
        <v>309</v>
      </c>
      <c r="J1873" s="60">
        <v>2</v>
      </c>
      <c r="L1873" s="60">
        <v>0</v>
      </c>
      <c r="M1873" s="61">
        <v>44826</v>
      </c>
      <c r="O1873" s="62" t="s">
        <v>331</v>
      </c>
      <c r="P1873" s="60" t="s">
        <v>77</v>
      </c>
      <c r="Q1873" s="62" t="s">
        <v>46</v>
      </c>
      <c r="R1873" s="62" t="s">
        <v>5106</v>
      </c>
      <c r="S1873" s="177" t="s">
        <v>5026</v>
      </c>
      <c r="T1873" s="177" t="s">
        <v>1081</v>
      </c>
      <c r="U1873" s="178">
        <v>65000</v>
      </c>
      <c r="V1873" s="178">
        <v>71500</v>
      </c>
      <c r="W1873" s="178">
        <v>65000</v>
      </c>
      <c r="X1873" s="178">
        <v>71500</v>
      </c>
      <c r="Y1873" s="178">
        <v>0</v>
      </c>
      <c r="Z1873" s="178">
        <v>0</v>
      </c>
      <c r="AA1873" s="179" t="s">
        <v>4898</v>
      </c>
      <c r="AY1873" s="107">
        <f t="shared" si="13"/>
        <v>65000</v>
      </c>
      <c r="AZ1873" s="107">
        <f>ROUNDDOWN(AY1873+(AY1873*MASTER!$A$2/100),0)</f>
        <v>71500</v>
      </c>
    </row>
    <row r="1874" spans="1:78" x14ac:dyDescent="0.15">
      <c r="A1874" s="60">
        <v>1</v>
      </c>
      <c r="C1874" s="61" t="s">
        <v>309</v>
      </c>
      <c r="F1874" s="61" t="s">
        <v>309</v>
      </c>
      <c r="H1874" s="61" t="s">
        <v>309</v>
      </c>
      <c r="J1874" s="60">
        <v>2</v>
      </c>
      <c r="L1874" s="60">
        <v>0</v>
      </c>
      <c r="M1874" s="61">
        <v>44826</v>
      </c>
      <c r="O1874" s="62" t="s">
        <v>331</v>
      </c>
      <c r="P1874" s="60" t="s">
        <v>77</v>
      </c>
      <c r="Q1874" s="62" t="s">
        <v>46</v>
      </c>
      <c r="R1874" s="62" t="s">
        <v>5107</v>
      </c>
      <c r="S1874" s="177" t="s">
        <v>5027</v>
      </c>
      <c r="T1874" s="177" t="s">
        <v>1081</v>
      </c>
      <c r="U1874" s="178">
        <v>65000</v>
      </c>
      <c r="V1874" s="178">
        <v>71500</v>
      </c>
      <c r="W1874" s="178">
        <v>65000</v>
      </c>
      <c r="X1874" s="178">
        <v>71500</v>
      </c>
      <c r="Y1874" s="178">
        <v>0</v>
      </c>
      <c r="Z1874" s="178">
        <v>0</v>
      </c>
      <c r="AA1874" s="179" t="s">
        <v>4898</v>
      </c>
      <c r="AY1874" s="107">
        <f t="shared" si="13"/>
        <v>65000</v>
      </c>
      <c r="AZ1874" s="107">
        <f>ROUNDDOWN(AY1874+(AY1874*MASTER!$A$2/100),0)</f>
        <v>71500</v>
      </c>
    </row>
    <row r="1875" spans="1:78" x14ac:dyDescent="0.15">
      <c r="A1875" s="60">
        <v>1</v>
      </c>
      <c r="C1875" s="61" t="s">
        <v>309</v>
      </c>
      <c r="F1875" s="61" t="s">
        <v>309</v>
      </c>
      <c r="H1875" s="61" t="s">
        <v>309</v>
      </c>
      <c r="J1875" s="60">
        <v>2</v>
      </c>
      <c r="L1875" s="60">
        <v>0</v>
      </c>
      <c r="M1875" s="61">
        <v>44826</v>
      </c>
      <c r="O1875" s="62" t="s">
        <v>331</v>
      </c>
      <c r="P1875" s="60" t="s">
        <v>77</v>
      </c>
      <c r="Q1875" s="62" t="s">
        <v>46</v>
      </c>
      <c r="R1875" s="62" t="s">
        <v>5108</v>
      </c>
      <c r="S1875" s="177" t="s">
        <v>5028</v>
      </c>
      <c r="T1875" s="177" t="s">
        <v>1081</v>
      </c>
      <c r="U1875" s="178">
        <v>65000</v>
      </c>
      <c r="V1875" s="178">
        <v>71500</v>
      </c>
      <c r="W1875" s="178">
        <v>65000</v>
      </c>
      <c r="X1875" s="178">
        <v>71500</v>
      </c>
      <c r="Y1875" s="178">
        <v>0</v>
      </c>
      <c r="Z1875" s="178">
        <v>0</v>
      </c>
      <c r="AA1875" s="179" t="s">
        <v>4898</v>
      </c>
      <c r="AY1875" s="107">
        <f t="shared" si="13"/>
        <v>65000</v>
      </c>
      <c r="AZ1875" s="107">
        <f>ROUNDDOWN(AY1875+(AY1875*MASTER!$A$2/100),0)</f>
        <v>71500</v>
      </c>
    </row>
    <row r="1876" spans="1:78" x14ac:dyDescent="0.15">
      <c r="A1876" s="60">
        <v>1</v>
      </c>
      <c r="C1876" s="61" t="s">
        <v>309</v>
      </c>
      <c r="F1876" s="61" t="s">
        <v>309</v>
      </c>
      <c r="H1876" s="61" t="s">
        <v>309</v>
      </c>
      <c r="J1876" s="60">
        <v>2</v>
      </c>
      <c r="L1876" s="60">
        <v>0</v>
      </c>
      <c r="M1876" s="61">
        <v>44826</v>
      </c>
      <c r="O1876" s="62" t="s">
        <v>331</v>
      </c>
      <c r="P1876" s="60" t="s">
        <v>77</v>
      </c>
      <c r="Q1876" s="62" t="s">
        <v>46</v>
      </c>
      <c r="R1876" s="62" t="s">
        <v>5109</v>
      </c>
      <c r="S1876" s="177" t="s">
        <v>5029</v>
      </c>
      <c r="T1876" s="177" t="s">
        <v>1081</v>
      </c>
      <c r="U1876" s="178">
        <v>65000</v>
      </c>
      <c r="V1876" s="178">
        <v>71500</v>
      </c>
      <c r="W1876" s="178">
        <v>65000</v>
      </c>
      <c r="X1876" s="178">
        <v>71500</v>
      </c>
      <c r="Y1876" s="178">
        <v>0</v>
      </c>
      <c r="Z1876" s="178">
        <v>0</v>
      </c>
      <c r="AA1876" s="179" t="s">
        <v>4898</v>
      </c>
      <c r="AY1876" s="107">
        <f t="shared" si="13"/>
        <v>65000</v>
      </c>
      <c r="AZ1876" s="107">
        <f>ROUNDDOWN(AY1876+(AY1876*MASTER!$A$2/100),0)</f>
        <v>71500</v>
      </c>
    </row>
    <row r="1877" spans="1:78" x14ac:dyDescent="0.15">
      <c r="A1877" s="60">
        <v>1</v>
      </c>
      <c r="C1877" s="61" t="s">
        <v>309</v>
      </c>
      <c r="F1877" s="61" t="s">
        <v>309</v>
      </c>
      <c r="H1877" s="61" t="s">
        <v>309</v>
      </c>
      <c r="J1877" s="60">
        <v>2</v>
      </c>
      <c r="L1877" s="60">
        <v>0</v>
      </c>
      <c r="M1877" s="61">
        <v>44826</v>
      </c>
      <c r="O1877" s="62" t="s">
        <v>331</v>
      </c>
      <c r="P1877" s="60" t="s">
        <v>77</v>
      </c>
      <c r="Q1877" s="62" t="s">
        <v>46</v>
      </c>
      <c r="R1877" s="62" t="s">
        <v>5110</v>
      </c>
      <c r="S1877" s="177" t="s">
        <v>5030</v>
      </c>
      <c r="T1877" s="177" t="s">
        <v>1081</v>
      </c>
      <c r="U1877" s="178">
        <v>65000</v>
      </c>
      <c r="V1877" s="178">
        <v>71500</v>
      </c>
      <c r="W1877" s="178">
        <v>65000</v>
      </c>
      <c r="X1877" s="178">
        <v>71500</v>
      </c>
      <c r="Y1877" s="178">
        <v>0</v>
      </c>
      <c r="Z1877" s="178">
        <v>0</v>
      </c>
      <c r="AA1877" s="179" t="s">
        <v>4898</v>
      </c>
      <c r="AY1877" s="107">
        <f t="shared" si="13"/>
        <v>65000</v>
      </c>
      <c r="AZ1877" s="107">
        <f>ROUNDDOWN(AY1877+(AY1877*MASTER!$A$2/100),0)</f>
        <v>71500</v>
      </c>
    </row>
    <row r="1878" spans="1:78" x14ac:dyDescent="0.15">
      <c r="A1878" s="60">
        <v>1</v>
      </c>
      <c r="C1878" s="61" t="s">
        <v>309</v>
      </c>
      <c r="F1878" s="61" t="s">
        <v>309</v>
      </c>
      <c r="H1878" s="61" t="s">
        <v>309</v>
      </c>
      <c r="J1878" s="60">
        <v>2</v>
      </c>
      <c r="L1878" s="60">
        <v>0</v>
      </c>
      <c r="M1878" s="61">
        <v>44826</v>
      </c>
      <c r="O1878" s="62" t="s">
        <v>331</v>
      </c>
      <c r="P1878" s="60" t="s">
        <v>77</v>
      </c>
      <c r="Q1878" s="62" t="s">
        <v>46</v>
      </c>
      <c r="R1878" s="62" t="s">
        <v>5111</v>
      </c>
      <c r="S1878" s="177" t="s">
        <v>5031</v>
      </c>
      <c r="T1878" s="177" t="s">
        <v>1081</v>
      </c>
      <c r="U1878" s="178">
        <v>65000</v>
      </c>
      <c r="V1878" s="178">
        <v>71500</v>
      </c>
      <c r="W1878" s="178">
        <v>65000</v>
      </c>
      <c r="X1878" s="178">
        <v>71500</v>
      </c>
      <c r="Y1878" s="178">
        <v>0</v>
      </c>
      <c r="Z1878" s="178">
        <v>0</v>
      </c>
      <c r="AA1878" s="179" t="s">
        <v>4898</v>
      </c>
      <c r="AY1878" s="107">
        <f t="shared" si="13"/>
        <v>65000</v>
      </c>
      <c r="AZ1878" s="107">
        <f>ROUNDDOWN(AY1878+(AY1878*MASTER!$A$2/100),0)</f>
        <v>71500</v>
      </c>
    </row>
    <row r="1879" spans="1:78" x14ac:dyDescent="0.15">
      <c r="A1879" s="60">
        <v>1</v>
      </c>
      <c r="C1879" s="61" t="s">
        <v>309</v>
      </c>
      <c r="F1879" s="61" t="s">
        <v>309</v>
      </c>
      <c r="H1879" s="61" t="s">
        <v>309</v>
      </c>
      <c r="J1879" s="60">
        <v>2</v>
      </c>
      <c r="L1879" s="60">
        <v>0</v>
      </c>
      <c r="M1879" s="61">
        <v>44826</v>
      </c>
      <c r="O1879" s="62" t="s">
        <v>331</v>
      </c>
      <c r="P1879" s="60" t="s">
        <v>77</v>
      </c>
      <c r="Q1879" s="62" t="s">
        <v>46</v>
      </c>
      <c r="R1879" s="62" t="s">
        <v>5112</v>
      </c>
      <c r="S1879" s="177" t="s">
        <v>5032</v>
      </c>
      <c r="T1879" s="177" t="s">
        <v>1081</v>
      </c>
      <c r="U1879" s="178">
        <v>65000</v>
      </c>
      <c r="V1879" s="178">
        <v>71500</v>
      </c>
      <c r="W1879" s="178">
        <v>65000</v>
      </c>
      <c r="X1879" s="178">
        <v>71500</v>
      </c>
      <c r="Y1879" s="178">
        <v>0</v>
      </c>
      <c r="Z1879" s="178">
        <v>0</v>
      </c>
      <c r="AA1879" s="179" t="s">
        <v>4898</v>
      </c>
      <c r="AY1879" s="107">
        <f t="shared" si="13"/>
        <v>65000</v>
      </c>
      <c r="AZ1879" s="107">
        <f>ROUNDDOWN(AY1879+(AY1879*MASTER!$A$2/100),0)</f>
        <v>71500</v>
      </c>
    </row>
    <row r="1880" spans="1:78" x14ac:dyDescent="0.15">
      <c r="A1880" s="60">
        <v>1</v>
      </c>
      <c r="C1880" s="61" t="s">
        <v>309</v>
      </c>
      <c r="F1880" s="61" t="s">
        <v>309</v>
      </c>
      <c r="H1880" s="61" t="s">
        <v>309</v>
      </c>
      <c r="J1880" s="60">
        <v>2</v>
      </c>
      <c r="L1880" s="60">
        <v>0</v>
      </c>
      <c r="M1880" s="61">
        <v>44826</v>
      </c>
      <c r="O1880" s="62" t="s">
        <v>331</v>
      </c>
      <c r="P1880" s="60" t="s">
        <v>77</v>
      </c>
      <c r="Q1880" s="62" t="s">
        <v>46</v>
      </c>
      <c r="R1880" s="62" t="s">
        <v>5113</v>
      </c>
      <c r="S1880" s="177" t="s">
        <v>5033</v>
      </c>
      <c r="T1880" s="177" t="s">
        <v>1081</v>
      </c>
      <c r="U1880" s="178">
        <v>65000</v>
      </c>
      <c r="V1880" s="178">
        <v>71500</v>
      </c>
      <c r="W1880" s="178">
        <v>65000</v>
      </c>
      <c r="X1880" s="178">
        <v>71500</v>
      </c>
      <c r="Y1880" s="178">
        <v>0</v>
      </c>
      <c r="Z1880" s="178">
        <v>0</v>
      </c>
      <c r="AA1880" s="179" t="s">
        <v>4898</v>
      </c>
      <c r="AY1880" s="107">
        <f t="shared" si="13"/>
        <v>65000</v>
      </c>
      <c r="AZ1880" s="107">
        <f>ROUNDDOWN(AY1880+(AY1880*MASTER!$A$2/100),0)</f>
        <v>71500</v>
      </c>
    </row>
    <row r="1881" spans="1:78" x14ac:dyDescent="0.15">
      <c r="A1881" s="60">
        <v>1</v>
      </c>
      <c r="C1881" s="61" t="s">
        <v>309</v>
      </c>
      <c r="F1881" s="61" t="s">
        <v>309</v>
      </c>
      <c r="H1881" s="61" t="s">
        <v>309</v>
      </c>
      <c r="J1881" s="60">
        <v>2</v>
      </c>
      <c r="L1881" s="60">
        <v>0</v>
      </c>
      <c r="M1881" s="61">
        <v>44826</v>
      </c>
      <c r="O1881" s="62" t="s">
        <v>331</v>
      </c>
      <c r="P1881" s="60" t="s">
        <v>77</v>
      </c>
      <c r="Q1881" s="62" t="s">
        <v>46</v>
      </c>
      <c r="R1881" s="62" t="s">
        <v>5114</v>
      </c>
      <c r="S1881" s="177" t="s">
        <v>5034</v>
      </c>
      <c r="T1881" s="177" t="s">
        <v>1081</v>
      </c>
      <c r="U1881" s="178">
        <v>65000</v>
      </c>
      <c r="V1881" s="178">
        <v>71500</v>
      </c>
      <c r="W1881" s="178">
        <v>65000</v>
      </c>
      <c r="X1881" s="178">
        <v>71500</v>
      </c>
      <c r="Y1881" s="178">
        <v>0</v>
      </c>
      <c r="Z1881" s="178">
        <v>0</v>
      </c>
      <c r="AA1881" s="179" t="s">
        <v>4898</v>
      </c>
      <c r="AY1881" s="107">
        <f t="shared" si="13"/>
        <v>65000</v>
      </c>
      <c r="AZ1881" s="107">
        <f>ROUNDDOWN(AY1881+(AY1881*MASTER!$A$2/100),0)</f>
        <v>71500</v>
      </c>
    </row>
    <row r="1882" spans="1:78" x14ac:dyDescent="0.15">
      <c r="A1882" s="60">
        <v>1</v>
      </c>
      <c r="C1882" s="61" t="s">
        <v>309</v>
      </c>
      <c r="F1882" s="61" t="s">
        <v>309</v>
      </c>
      <c r="H1882" s="61" t="s">
        <v>309</v>
      </c>
      <c r="J1882" s="60">
        <v>2</v>
      </c>
      <c r="L1882" s="60">
        <v>0</v>
      </c>
      <c r="M1882" s="61">
        <v>44826</v>
      </c>
      <c r="O1882" s="62" t="s">
        <v>331</v>
      </c>
      <c r="P1882" s="60" t="s">
        <v>77</v>
      </c>
      <c r="Q1882" s="62" t="s">
        <v>46</v>
      </c>
      <c r="R1882" s="62" t="s">
        <v>5115</v>
      </c>
      <c r="S1882" s="177" t="s">
        <v>4990</v>
      </c>
      <c r="T1882" s="177" t="s">
        <v>1081</v>
      </c>
      <c r="U1882" s="178">
        <v>65000</v>
      </c>
      <c r="V1882" s="178">
        <v>71500</v>
      </c>
      <c r="W1882" s="178">
        <v>65000</v>
      </c>
      <c r="X1882" s="178">
        <v>71500</v>
      </c>
      <c r="Y1882" s="178">
        <v>0</v>
      </c>
      <c r="Z1882" s="178">
        <v>0</v>
      </c>
      <c r="AA1882" s="179" t="s">
        <v>4898</v>
      </c>
      <c r="AY1882" s="107">
        <f t="shared" si="13"/>
        <v>65000</v>
      </c>
      <c r="AZ1882" s="107">
        <f>ROUNDDOWN(AY1882+(AY1882*MASTER!$A$2/100),0)</f>
        <v>71500</v>
      </c>
    </row>
    <row r="1883" spans="1:78" x14ac:dyDescent="0.15">
      <c r="A1883" s="60">
        <v>1</v>
      </c>
      <c r="C1883" s="61" t="s">
        <v>309</v>
      </c>
      <c r="F1883" s="61" t="s">
        <v>309</v>
      </c>
      <c r="H1883" s="61" t="s">
        <v>309</v>
      </c>
      <c r="J1883" s="60">
        <v>2</v>
      </c>
      <c r="L1883" s="60">
        <v>0</v>
      </c>
      <c r="M1883" s="61">
        <v>44826</v>
      </c>
      <c r="O1883" s="62" t="s">
        <v>331</v>
      </c>
      <c r="P1883" s="60" t="s">
        <v>77</v>
      </c>
      <c r="Q1883" s="62" t="s">
        <v>46</v>
      </c>
      <c r="R1883" s="62" t="s">
        <v>5116</v>
      </c>
      <c r="S1883" s="177" t="s">
        <v>5035</v>
      </c>
      <c r="T1883" s="177" t="s">
        <v>1081</v>
      </c>
      <c r="U1883" s="178">
        <v>65000</v>
      </c>
      <c r="V1883" s="178">
        <v>71500</v>
      </c>
      <c r="W1883" s="178">
        <v>65000</v>
      </c>
      <c r="X1883" s="178">
        <v>71500</v>
      </c>
      <c r="Y1883" s="178">
        <v>0</v>
      </c>
      <c r="Z1883" s="178">
        <v>0</v>
      </c>
      <c r="AA1883" s="179" t="s">
        <v>4898</v>
      </c>
      <c r="AY1883" s="107">
        <f t="shared" si="13"/>
        <v>65000</v>
      </c>
      <c r="AZ1883" s="107">
        <f>ROUNDDOWN(AY1883+(AY1883*MASTER!$A$2/100),0)</f>
        <v>71500</v>
      </c>
    </row>
    <row r="1884" spans="1:78" x14ac:dyDescent="0.15">
      <c r="A1884" s="60">
        <v>1</v>
      </c>
      <c r="C1884" s="61" t="s">
        <v>309</v>
      </c>
      <c r="F1884" s="61" t="s">
        <v>309</v>
      </c>
      <c r="H1884" s="61" t="s">
        <v>309</v>
      </c>
      <c r="J1884" s="60">
        <v>2</v>
      </c>
      <c r="L1884" s="60">
        <v>0</v>
      </c>
      <c r="M1884" s="61">
        <v>44826</v>
      </c>
      <c r="O1884" s="62" t="s">
        <v>331</v>
      </c>
      <c r="P1884" s="60" t="s">
        <v>77</v>
      </c>
      <c r="Q1884" s="62" t="s">
        <v>46</v>
      </c>
      <c r="R1884" s="62" t="s">
        <v>5117</v>
      </c>
      <c r="S1884" s="177" t="s">
        <v>5036</v>
      </c>
      <c r="T1884" s="177" t="s">
        <v>1081</v>
      </c>
      <c r="U1884" s="178">
        <v>65000</v>
      </c>
      <c r="V1884" s="178">
        <v>71500</v>
      </c>
      <c r="W1884" s="178">
        <v>65000</v>
      </c>
      <c r="X1884" s="178">
        <v>71500</v>
      </c>
      <c r="Y1884" s="178">
        <v>0</v>
      </c>
      <c r="Z1884" s="178">
        <v>0</v>
      </c>
      <c r="AA1884" s="179" t="s">
        <v>4898</v>
      </c>
      <c r="AY1884" s="107">
        <f t="shared" si="13"/>
        <v>65000</v>
      </c>
      <c r="AZ1884" s="107">
        <f>ROUNDDOWN(AY1884+(AY1884*MASTER!$A$2/100),0)</f>
        <v>71500</v>
      </c>
    </row>
    <row r="1885" spans="1:78" x14ac:dyDescent="0.15">
      <c r="A1885" s="60">
        <v>1</v>
      </c>
      <c r="C1885" s="61" t="s">
        <v>309</v>
      </c>
      <c r="F1885" s="61" t="s">
        <v>309</v>
      </c>
      <c r="H1885" s="61" t="s">
        <v>309</v>
      </c>
      <c r="J1885" s="60">
        <v>2</v>
      </c>
      <c r="L1885" s="60">
        <v>0</v>
      </c>
      <c r="M1885" s="61">
        <v>44826</v>
      </c>
      <c r="O1885" s="62" t="s">
        <v>331</v>
      </c>
      <c r="P1885" s="60" t="s">
        <v>77</v>
      </c>
      <c r="Q1885" s="62" t="s">
        <v>46</v>
      </c>
      <c r="R1885" s="62" t="s">
        <v>5118</v>
      </c>
      <c r="S1885" s="177" t="s">
        <v>5037</v>
      </c>
      <c r="T1885" s="177" t="s">
        <v>1081</v>
      </c>
      <c r="U1885" s="178">
        <v>65000</v>
      </c>
      <c r="V1885" s="178">
        <v>71500</v>
      </c>
      <c r="W1885" s="178">
        <v>65000</v>
      </c>
      <c r="X1885" s="178">
        <v>71500</v>
      </c>
      <c r="Y1885" s="178">
        <v>0</v>
      </c>
      <c r="Z1885" s="178">
        <v>0</v>
      </c>
      <c r="AA1885" s="179" t="s">
        <v>4898</v>
      </c>
      <c r="AY1885" s="107">
        <f t="shared" si="13"/>
        <v>65000</v>
      </c>
      <c r="AZ1885" s="107">
        <f>ROUNDDOWN(AY1885+(AY1885*MASTER!$A$2/100),0)</f>
        <v>71500</v>
      </c>
    </row>
    <row r="1886" spans="1:78" x14ac:dyDescent="0.15">
      <c r="A1886" s="60">
        <v>1</v>
      </c>
      <c r="C1886" s="61" t="s">
        <v>309</v>
      </c>
      <c r="F1886" s="61" t="s">
        <v>309</v>
      </c>
      <c r="H1886" s="61" t="s">
        <v>309</v>
      </c>
      <c r="J1886" s="60">
        <v>2</v>
      </c>
      <c r="L1886" s="60">
        <v>0</v>
      </c>
      <c r="M1886" s="61">
        <v>44826</v>
      </c>
      <c r="O1886" s="62" t="s">
        <v>331</v>
      </c>
      <c r="P1886" s="60" t="s">
        <v>77</v>
      </c>
      <c r="Q1886" s="62" t="s">
        <v>46</v>
      </c>
      <c r="R1886" s="62" t="s">
        <v>5119</v>
      </c>
      <c r="S1886" s="177" t="s">
        <v>5038</v>
      </c>
      <c r="T1886" s="177" t="s">
        <v>1081</v>
      </c>
      <c r="U1886" s="178">
        <v>65000</v>
      </c>
      <c r="V1886" s="178">
        <v>71500</v>
      </c>
      <c r="W1886" s="178">
        <v>65000</v>
      </c>
      <c r="X1886" s="178">
        <v>71500</v>
      </c>
      <c r="Y1886" s="178">
        <v>0</v>
      </c>
      <c r="Z1886" s="178">
        <v>0</v>
      </c>
      <c r="AA1886" s="179" t="s">
        <v>4898</v>
      </c>
      <c r="AY1886" s="107">
        <f t="shared" si="13"/>
        <v>65000</v>
      </c>
      <c r="AZ1886" s="107">
        <f>ROUNDDOWN(AY1886+(AY1886*MASTER!$A$2/100),0)</f>
        <v>71500</v>
      </c>
    </row>
    <row r="1887" spans="1:78" x14ac:dyDescent="0.15">
      <c r="A1887" s="60">
        <v>2</v>
      </c>
      <c r="C1887" s="61" t="s">
        <v>309</v>
      </c>
      <c r="F1887" s="61" t="s">
        <v>309</v>
      </c>
      <c r="H1887" s="61" t="s">
        <v>309</v>
      </c>
      <c r="J1887" s="60">
        <v>4</v>
      </c>
      <c r="L1887" s="60">
        <v>0</v>
      </c>
      <c r="M1887" s="61">
        <v>44828</v>
      </c>
      <c r="O1887" s="62" t="s">
        <v>335</v>
      </c>
      <c r="P1887" s="60" t="s">
        <v>430</v>
      </c>
      <c r="Q1887" s="62" t="s">
        <v>4659</v>
      </c>
      <c r="R1887" s="62" t="s">
        <v>5121</v>
      </c>
      <c r="S1887" s="63" t="s">
        <v>602</v>
      </c>
      <c r="T1887" s="63" t="s">
        <v>5122</v>
      </c>
      <c r="U1887" s="64">
        <v>0</v>
      </c>
      <c r="V1887" s="64">
        <v>0</v>
      </c>
      <c r="W1887" s="64">
        <v>0</v>
      </c>
      <c r="X1887" s="64">
        <v>0</v>
      </c>
      <c r="Y1887" s="64">
        <v>0</v>
      </c>
      <c r="Z1887" s="64">
        <v>0</v>
      </c>
      <c r="AA1887" s="61">
        <v>44805</v>
      </c>
      <c r="AB1887" s="61">
        <v>44834</v>
      </c>
      <c r="AD1887" s="60">
        <v>0</v>
      </c>
      <c r="AG1887" s="60">
        <v>0</v>
      </c>
      <c r="AJ1887" s="60">
        <v>0</v>
      </c>
      <c r="AN1887" s="60" t="s">
        <v>309</v>
      </c>
      <c r="AY1887" s="99">
        <f t="shared" ref="AY1887:AY1892" si="14">ROUNDDOWN((0.96*U1887),0)</f>
        <v>0</v>
      </c>
      <c r="AZ1887" s="99">
        <f>ROUNDDOWN(AY1887+(AY1887*MASTER!$A$2/100),0)</f>
        <v>0</v>
      </c>
      <c r="BC1887" s="64">
        <v>0</v>
      </c>
      <c r="BG1887" s="64">
        <v>0</v>
      </c>
      <c r="BK1887" s="64">
        <v>0</v>
      </c>
      <c r="BS1887" s="64">
        <v>0</v>
      </c>
      <c r="BV1887" s="65">
        <v>0</v>
      </c>
      <c r="BW1887" s="65">
        <v>0</v>
      </c>
      <c r="BX1887" s="65">
        <v>44828</v>
      </c>
      <c r="BY1887" s="65">
        <v>0</v>
      </c>
      <c r="BZ1887" s="81" t="s">
        <v>309</v>
      </c>
    </row>
    <row r="1888" spans="1:78" x14ac:dyDescent="0.15">
      <c r="A1888" s="60">
        <v>1</v>
      </c>
      <c r="C1888" s="61" t="s">
        <v>309</v>
      </c>
      <c r="F1888" s="61" t="s">
        <v>309</v>
      </c>
      <c r="H1888" s="61" t="s">
        <v>309</v>
      </c>
      <c r="J1888" s="60">
        <v>4</v>
      </c>
      <c r="L1888" s="60">
        <v>0</v>
      </c>
      <c r="M1888" s="61">
        <v>44828</v>
      </c>
      <c r="O1888" s="62" t="s">
        <v>331</v>
      </c>
      <c r="P1888" s="60" t="s">
        <v>77</v>
      </c>
      <c r="Q1888" s="62" t="s">
        <v>46</v>
      </c>
      <c r="R1888" s="62" t="s">
        <v>5123</v>
      </c>
      <c r="S1888" s="63" t="s">
        <v>354</v>
      </c>
      <c r="T1888" s="63" t="s">
        <v>5124</v>
      </c>
      <c r="U1888" s="64">
        <v>0</v>
      </c>
      <c r="V1888" s="64">
        <v>0</v>
      </c>
      <c r="W1888" s="64">
        <v>0</v>
      </c>
      <c r="X1888" s="64">
        <v>0</v>
      </c>
      <c r="Y1888" s="64">
        <v>0</v>
      </c>
      <c r="Z1888" s="64">
        <v>0</v>
      </c>
      <c r="AA1888" s="61">
        <v>44805</v>
      </c>
      <c r="AB1888" s="61">
        <v>44834</v>
      </c>
      <c r="AD1888" s="60">
        <v>0</v>
      </c>
      <c r="AG1888" s="60">
        <v>0</v>
      </c>
      <c r="AJ1888" s="60">
        <v>0</v>
      </c>
      <c r="AN1888" s="60" t="s">
        <v>309</v>
      </c>
      <c r="AY1888" s="99">
        <f t="shared" si="14"/>
        <v>0</v>
      </c>
      <c r="AZ1888" s="99">
        <f>ROUNDDOWN(AY1888+(AY1888*MASTER!$A$2/100),0)</f>
        <v>0</v>
      </c>
      <c r="BA1888" s="60" t="s">
        <v>321</v>
      </c>
      <c r="BC1888" s="64">
        <v>0</v>
      </c>
      <c r="BG1888" s="64">
        <v>0</v>
      </c>
      <c r="BK1888" s="64">
        <v>0</v>
      </c>
      <c r="BS1888" s="64">
        <v>0</v>
      </c>
      <c r="BV1888" s="65">
        <v>0</v>
      </c>
      <c r="BW1888" s="65">
        <v>0</v>
      </c>
      <c r="BX1888" s="65">
        <v>44828</v>
      </c>
      <c r="BY1888" s="65">
        <v>0</v>
      </c>
      <c r="BZ1888" s="81" t="s">
        <v>309</v>
      </c>
    </row>
    <row r="1889" spans="1:78" x14ac:dyDescent="0.15">
      <c r="A1889" s="60">
        <v>1</v>
      </c>
      <c r="C1889" s="61" t="s">
        <v>309</v>
      </c>
      <c r="F1889" s="61" t="s">
        <v>309</v>
      </c>
      <c r="H1889" s="61" t="s">
        <v>309</v>
      </c>
      <c r="J1889" s="60">
        <v>4</v>
      </c>
      <c r="L1889" s="60">
        <v>0</v>
      </c>
      <c r="M1889" s="61">
        <v>44828</v>
      </c>
      <c r="O1889" s="62" t="s">
        <v>335</v>
      </c>
      <c r="P1889" s="60" t="s">
        <v>672</v>
      </c>
      <c r="Q1889" s="62" t="s">
        <v>4659</v>
      </c>
      <c r="R1889" s="62" t="s">
        <v>5125</v>
      </c>
      <c r="S1889" s="63" t="s">
        <v>602</v>
      </c>
      <c r="T1889" s="63" t="s">
        <v>5126</v>
      </c>
      <c r="U1889" s="64">
        <v>0</v>
      </c>
      <c r="V1889" s="64">
        <v>0</v>
      </c>
      <c r="W1889" s="64">
        <v>0</v>
      </c>
      <c r="X1889" s="64">
        <v>0</v>
      </c>
      <c r="Y1889" s="64">
        <v>0</v>
      </c>
      <c r="Z1889" s="64">
        <v>0</v>
      </c>
      <c r="AA1889" s="61">
        <v>44805</v>
      </c>
      <c r="AB1889" s="61">
        <v>44834</v>
      </c>
      <c r="AD1889" s="60">
        <v>0</v>
      </c>
      <c r="AG1889" s="60">
        <v>0</v>
      </c>
      <c r="AJ1889" s="60">
        <v>0</v>
      </c>
      <c r="AN1889" s="60" t="s">
        <v>309</v>
      </c>
      <c r="AY1889" s="99">
        <f t="shared" si="14"/>
        <v>0</v>
      </c>
      <c r="AZ1889" s="99">
        <f>ROUNDDOWN(AY1889+(AY1889*MASTER!$A$2/100),0)</f>
        <v>0</v>
      </c>
      <c r="BA1889" s="60" t="s">
        <v>673</v>
      </c>
      <c r="BC1889" s="64">
        <v>0</v>
      </c>
      <c r="BG1889" s="64">
        <v>0</v>
      </c>
      <c r="BK1889" s="64">
        <v>0</v>
      </c>
      <c r="BS1889" s="64">
        <v>0</v>
      </c>
      <c r="BV1889" s="65">
        <v>0</v>
      </c>
      <c r="BW1889" s="65">
        <v>0</v>
      </c>
      <c r="BX1889" s="65">
        <v>44828</v>
      </c>
      <c r="BY1889" s="65">
        <v>0</v>
      </c>
      <c r="BZ1889" s="81" t="s">
        <v>309</v>
      </c>
    </row>
    <row r="1890" spans="1:78" x14ac:dyDescent="0.15">
      <c r="A1890" s="60">
        <v>1</v>
      </c>
      <c r="C1890" s="61" t="s">
        <v>309</v>
      </c>
      <c r="F1890" s="61" t="s">
        <v>309</v>
      </c>
      <c r="H1890" s="61" t="s">
        <v>309</v>
      </c>
      <c r="J1890" s="60">
        <v>4</v>
      </c>
      <c r="L1890" s="60">
        <v>0</v>
      </c>
      <c r="M1890" s="61">
        <v>44828</v>
      </c>
      <c r="O1890" s="62" t="s">
        <v>331</v>
      </c>
      <c r="P1890" s="60" t="s">
        <v>263</v>
      </c>
      <c r="Q1890" s="62" t="s">
        <v>46</v>
      </c>
      <c r="R1890" s="62" t="s">
        <v>5127</v>
      </c>
      <c r="S1890" s="63" t="s">
        <v>354</v>
      </c>
      <c r="T1890" s="63" t="s">
        <v>5128</v>
      </c>
      <c r="U1890" s="64">
        <v>0</v>
      </c>
      <c r="V1890" s="64">
        <v>0</v>
      </c>
      <c r="W1890" s="64">
        <v>0</v>
      </c>
      <c r="X1890" s="64">
        <v>0</v>
      </c>
      <c r="Y1890" s="64">
        <v>0</v>
      </c>
      <c r="Z1890" s="64">
        <v>0</v>
      </c>
      <c r="AA1890" s="61">
        <v>44805</v>
      </c>
      <c r="AB1890" s="61">
        <v>44834</v>
      </c>
      <c r="AD1890" s="60">
        <v>0</v>
      </c>
      <c r="AG1890" s="60">
        <v>0</v>
      </c>
      <c r="AJ1890" s="60">
        <v>0</v>
      </c>
      <c r="AN1890" s="60" t="s">
        <v>309</v>
      </c>
      <c r="AY1890" s="99">
        <f t="shared" si="14"/>
        <v>0</v>
      </c>
      <c r="AZ1890" s="99">
        <f>ROUNDDOWN(AY1890+(AY1890*MASTER!$A$2/100),0)</f>
        <v>0</v>
      </c>
      <c r="BA1890" s="60" t="s">
        <v>318</v>
      </c>
      <c r="BC1890" s="64">
        <v>0</v>
      </c>
      <c r="BG1890" s="64">
        <v>0</v>
      </c>
      <c r="BK1890" s="64">
        <v>0</v>
      </c>
      <c r="BS1890" s="64">
        <v>0</v>
      </c>
      <c r="BV1890" s="65">
        <v>0</v>
      </c>
      <c r="BW1890" s="65">
        <v>0</v>
      </c>
      <c r="BX1890" s="65">
        <v>44828</v>
      </c>
      <c r="BY1890" s="65">
        <v>0</v>
      </c>
      <c r="BZ1890" s="81" t="s">
        <v>309</v>
      </c>
    </row>
    <row r="1891" spans="1:78" x14ac:dyDescent="0.15">
      <c r="A1891" s="60">
        <v>1</v>
      </c>
      <c r="C1891" s="61" t="s">
        <v>309</v>
      </c>
      <c r="F1891" s="61" t="s">
        <v>309</v>
      </c>
      <c r="H1891" s="61" t="s">
        <v>309</v>
      </c>
      <c r="J1891" s="60">
        <v>2</v>
      </c>
      <c r="L1891" s="60">
        <v>0</v>
      </c>
      <c r="M1891" s="61">
        <v>44830</v>
      </c>
      <c r="O1891" s="62" t="s">
        <v>335</v>
      </c>
      <c r="P1891" s="60" t="s">
        <v>369</v>
      </c>
      <c r="Q1891" s="62" t="s">
        <v>4659</v>
      </c>
      <c r="R1891" s="62" t="s">
        <v>5134</v>
      </c>
      <c r="S1891" s="63" t="s">
        <v>5135</v>
      </c>
      <c r="T1891" s="63" t="s">
        <v>373</v>
      </c>
      <c r="U1891" s="64">
        <v>35000</v>
      </c>
      <c r="V1891" s="64">
        <v>38500</v>
      </c>
      <c r="W1891" s="64">
        <v>35000</v>
      </c>
      <c r="X1891" s="64">
        <v>38500</v>
      </c>
      <c r="Z1891" s="64">
        <v>0</v>
      </c>
      <c r="AD1891" s="60">
        <v>0</v>
      </c>
      <c r="AG1891" s="60">
        <v>0</v>
      </c>
      <c r="AJ1891" s="60">
        <v>0</v>
      </c>
      <c r="AN1891" s="60" t="s">
        <v>309</v>
      </c>
      <c r="AQ1891" s="60" t="s">
        <v>5216</v>
      </c>
      <c r="AR1891" s="61">
        <v>44833</v>
      </c>
      <c r="AS1891" s="60">
        <v>6002077654</v>
      </c>
      <c r="AT1891" s="61">
        <v>44833</v>
      </c>
      <c r="AU1891" s="60" t="s">
        <v>5218</v>
      </c>
      <c r="AV1891" s="61">
        <v>44841</v>
      </c>
      <c r="AY1891" s="99">
        <f t="shared" si="14"/>
        <v>33600</v>
      </c>
      <c r="AZ1891" s="99">
        <f>ROUNDDOWN(AY1891+(AY1891*MASTER!$A$2/100),0)</f>
        <v>36960</v>
      </c>
      <c r="BC1891" s="64">
        <v>0</v>
      </c>
      <c r="BG1891" s="64">
        <v>0</v>
      </c>
      <c r="BK1891" s="64">
        <v>0</v>
      </c>
      <c r="BS1891" s="64">
        <v>0</v>
      </c>
      <c r="BV1891" s="65">
        <v>38500</v>
      </c>
      <c r="BW1891" s="65">
        <v>0</v>
      </c>
      <c r="BX1891" s="65">
        <v>44830</v>
      </c>
      <c r="BY1891" s="65">
        <v>38500</v>
      </c>
      <c r="BZ1891" s="81">
        <v>100</v>
      </c>
    </row>
    <row r="1892" spans="1:78" x14ac:dyDescent="0.15">
      <c r="A1892" s="60">
        <v>1</v>
      </c>
      <c r="C1892" s="61" t="s">
        <v>309</v>
      </c>
      <c r="F1892" s="61" t="s">
        <v>309</v>
      </c>
      <c r="H1892" s="61" t="s">
        <v>309</v>
      </c>
      <c r="J1892" s="60">
        <v>2</v>
      </c>
      <c r="L1892" s="60">
        <v>0</v>
      </c>
      <c r="M1892" s="61">
        <v>44830</v>
      </c>
      <c r="O1892" s="62" t="s">
        <v>335</v>
      </c>
      <c r="P1892" s="60" t="s">
        <v>369</v>
      </c>
      <c r="Q1892" s="62" t="s">
        <v>4659</v>
      </c>
      <c r="R1892" s="62" t="s">
        <v>5136</v>
      </c>
      <c r="S1892" s="63" t="s">
        <v>5137</v>
      </c>
      <c r="T1892" s="63" t="s">
        <v>373</v>
      </c>
      <c r="U1892" s="64">
        <v>51000</v>
      </c>
      <c r="V1892" s="64">
        <v>56100</v>
      </c>
      <c r="W1892" s="64">
        <v>51000</v>
      </c>
      <c r="X1892" s="64">
        <v>56100</v>
      </c>
      <c r="Z1892" s="64">
        <v>0</v>
      </c>
      <c r="AD1892" s="60">
        <v>0</v>
      </c>
      <c r="AG1892" s="60">
        <v>0</v>
      </c>
      <c r="AJ1892" s="60">
        <v>0</v>
      </c>
      <c r="AN1892" s="60" t="s">
        <v>309</v>
      </c>
      <c r="AY1892" s="99">
        <f t="shared" si="14"/>
        <v>48960</v>
      </c>
      <c r="AZ1892" s="99">
        <f>ROUNDDOWN(AY1892+(AY1892*MASTER!$A$2/100),0)</f>
        <v>53856</v>
      </c>
      <c r="BC1892" s="64">
        <v>0</v>
      </c>
      <c r="BG1892" s="64">
        <v>0</v>
      </c>
      <c r="BK1892" s="64">
        <v>0</v>
      </c>
      <c r="BS1892" s="64">
        <v>0</v>
      </c>
      <c r="BV1892" s="65">
        <v>56100</v>
      </c>
      <c r="BW1892" s="65">
        <v>0</v>
      </c>
      <c r="BX1892" s="65">
        <v>44830</v>
      </c>
      <c r="BY1892" s="65">
        <v>56100</v>
      </c>
      <c r="BZ1892" s="81">
        <v>100</v>
      </c>
    </row>
    <row r="1893" spans="1:78" x14ac:dyDescent="0.15">
      <c r="A1893" s="60">
        <v>1</v>
      </c>
      <c r="C1893" s="61" t="s">
        <v>309</v>
      </c>
      <c r="F1893" s="61" t="s">
        <v>309</v>
      </c>
      <c r="H1893" s="61" t="s">
        <v>309</v>
      </c>
      <c r="J1893" s="60">
        <v>2</v>
      </c>
      <c r="L1893" s="60">
        <v>0</v>
      </c>
      <c r="M1893" s="61">
        <v>44830</v>
      </c>
      <c r="O1893" s="62" t="s">
        <v>331</v>
      </c>
      <c r="P1893" s="60" t="s">
        <v>77</v>
      </c>
      <c r="Q1893" s="62" t="s">
        <v>46</v>
      </c>
      <c r="R1893" s="62" t="s">
        <v>5144</v>
      </c>
      <c r="S1893" s="63" t="s">
        <v>489</v>
      </c>
      <c r="T1893" s="63" t="s">
        <v>490</v>
      </c>
      <c r="U1893" s="64">
        <v>11960</v>
      </c>
      <c r="V1893" s="64">
        <v>13156</v>
      </c>
      <c r="W1893" s="64">
        <v>11960</v>
      </c>
      <c r="X1893" s="64">
        <v>13156</v>
      </c>
      <c r="Z1893" s="64">
        <v>0</v>
      </c>
      <c r="AD1893" s="60">
        <v>0</v>
      </c>
      <c r="AG1893" s="60">
        <v>0</v>
      </c>
      <c r="AJ1893" s="60">
        <v>0</v>
      </c>
      <c r="AQ1893" s="60" t="s">
        <v>5148</v>
      </c>
      <c r="AR1893" s="61">
        <v>44830</v>
      </c>
      <c r="AS1893" s="60">
        <v>6002076239</v>
      </c>
      <c r="AT1893" s="61">
        <v>44830</v>
      </c>
      <c r="AU1893" s="60" t="s">
        <v>5173</v>
      </c>
      <c r="AV1893" s="61">
        <v>44840</v>
      </c>
      <c r="AY1893" s="174">
        <v>11960</v>
      </c>
      <c r="AZ1893" s="107">
        <f>ROUNDDOWN(AY1893+(AY1893*MASTER!$A$2/100),0)</f>
        <v>13156</v>
      </c>
      <c r="BC1893" s="64">
        <v>0</v>
      </c>
      <c r="BG1893" s="64">
        <v>0</v>
      </c>
      <c r="BK1893" s="64">
        <v>0</v>
      </c>
      <c r="BS1893" s="64">
        <v>0</v>
      </c>
      <c r="BV1893" s="65">
        <v>13156</v>
      </c>
      <c r="BW1893" s="65">
        <v>0</v>
      </c>
      <c r="BX1893" s="65">
        <v>44830</v>
      </c>
      <c r="BY1893" s="65">
        <v>13156</v>
      </c>
      <c r="BZ1893" s="81">
        <v>100</v>
      </c>
    </row>
    <row r="1894" spans="1:78" x14ac:dyDescent="0.15">
      <c r="A1894" s="60">
        <v>1</v>
      </c>
      <c r="C1894" s="61" t="s">
        <v>309</v>
      </c>
      <c r="F1894" s="61" t="s">
        <v>309</v>
      </c>
      <c r="H1894" s="61" t="s">
        <v>309</v>
      </c>
      <c r="J1894" s="60">
        <v>1</v>
      </c>
      <c r="L1894" s="60">
        <v>0</v>
      </c>
      <c r="M1894" s="61">
        <v>44831</v>
      </c>
      <c r="O1894" s="62" t="s">
        <v>335</v>
      </c>
      <c r="P1894" s="60" t="s">
        <v>349</v>
      </c>
      <c r="Q1894" s="62" t="s">
        <v>4659</v>
      </c>
      <c r="R1894" s="62" t="s">
        <v>5160</v>
      </c>
      <c r="S1894" s="63" t="s">
        <v>5161</v>
      </c>
      <c r="T1894" s="63" t="s">
        <v>5162</v>
      </c>
      <c r="U1894" s="64">
        <v>59000</v>
      </c>
      <c r="V1894" s="64">
        <v>64900</v>
      </c>
      <c r="W1894" s="64">
        <v>47000</v>
      </c>
      <c r="X1894" s="64">
        <v>51700</v>
      </c>
      <c r="Y1894" s="64">
        <v>12000</v>
      </c>
      <c r="Z1894" s="64">
        <v>13200</v>
      </c>
      <c r="AA1894" s="61">
        <v>44879</v>
      </c>
      <c r="AB1894" s="61">
        <v>44880</v>
      </c>
      <c r="AD1894" s="60">
        <v>0</v>
      </c>
      <c r="AG1894" s="60">
        <v>0</v>
      </c>
      <c r="AJ1894" s="60">
        <v>0</v>
      </c>
      <c r="AM1894" s="60" t="s">
        <v>350</v>
      </c>
      <c r="AN1894" s="60" t="s">
        <v>5163</v>
      </c>
      <c r="AY1894" s="99">
        <f t="shared" ref="AY1894:AY1903" si="15">ROUNDDOWN((0.96*U1894),0)</f>
        <v>56640</v>
      </c>
      <c r="AZ1894" s="99">
        <f>ROUNDDOWN(AY1894+(AY1894*MASTER!$A$2/100),0)</f>
        <v>62304</v>
      </c>
      <c r="BC1894" s="64">
        <v>0</v>
      </c>
      <c r="BG1894" s="64">
        <v>0</v>
      </c>
      <c r="BK1894" s="64">
        <v>0</v>
      </c>
      <c r="BS1894" s="64">
        <v>0</v>
      </c>
      <c r="BV1894" s="65">
        <v>51700</v>
      </c>
      <c r="BW1894" s="65">
        <v>0</v>
      </c>
      <c r="BX1894" s="65">
        <v>44831</v>
      </c>
      <c r="BY1894" s="65">
        <v>51700</v>
      </c>
      <c r="BZ1894" s="81">
        <v>100</v>
      </c>
    </row>
    <row r="1895" spans="1:78" x14ac:dyDescent="0.15">
      <c r="A1895" s="60">
        <v>1</v>
      </c>
      <c r="C1895" s="61" t="s">
        <v>309</v>
      </c>
      <c r="F1895" s="61" t="s">
        <v>309</v>
      </c>
      <c r="H1895" s="61" t="s">
        <v>309</v>
      </c>
      <c r="J1895" s="60">
        <v>1</v>
      </c>
      <c r="L1895" s="60">
        <v>0</v>
      </c>
      <c r="M1895" s="61">
        <v>44831</v>
      </c>
      <c r="O1895" s="62" t="s">
        <v>335</v>
      </c>
      <c r="P1895" s="60" t="s">
        <v>349</v>
      </c>
      <c r="Q1895" s="62" t="s">
        <v>4659</v>
      </c>
      <c r="R1895" s="62" t="s">
        <v>5164</v>
      </c>
      <c r="S1895" s="63" t="s">
        <v>5165</v>
      </c>
      <c r="T1895" s="63" t="s">
        <v>5166</v>
      </c>
      <c r="U1895" s="64">
        <v>178500</v>
      </c>
      <c r="V1895" s="64">
        <v>196350</v>
      </c>
      <c r="W1895" s="64">
        <v>86000</v>
      </c>
      <c r="X1895" s="64">
        <v>94600</v>
      </c>
      <c r="Y1895" s="64">
        <v>92500</v>
      </c>
      <c r="Z1895" s="64">
        <v>101750</v>
      </c>
      <c r="AD1895" s="60">
        <v>0</v>
      </c>
      <c r="AG1895" s="60">
        <v>0</v>
      </c>
      <c r="AJ1895" s="60">
        <v>0</v>
      </c>
      <c r="AM1895" s="60" t="s">
        <v>350</v>
      </c>
      <c r="AN1895" s="60" t="s">
        <v>5167</v>
      </c>
      <c r="AY1895" s="99">
        <f t="shared" si="15"/>
        <v>171360</v>
      </c>
      <c r="AZ1895" s="99">
        <f>ROUNDDOWN(AY1895+(AY1895*MASTER!$A$2/100),0)</f>
        <v>188496</v>
      </c>
      <c r="BC1895" s="64">
        <v>0</v>
      </c>
      <c r="BG1895" s="64">
        <v>0</v>
      </c>
      <c r="BK1895" s="64">
        <v>0</v>
      </c>
      <c r="BS1895" s="64">
        <v>0</v>
      </c>
      <c r="BV1895" s="65">
        <v>94600</v>
      </c>
      <c r="BW1895" s="65">
        <v>0</v>
      </c>
      <c r="BX1895" s="65">
        <v>44831</v>
      </c>
      <c r="BY1895" s="65">
        <v>94600</v>
      </c>
      <c r="BZ1895" s="81">
        <v>100</v>
      </c>
    </row>
    <row r="1896" spans="1:78" x14ac:dyDescent="0.15">
      <c r="A1896" s="60">
        <v>1</v>
      </c>
      <c r="C1896" s="61" t="s">
        <v>309</v>
      </c>
      <c r="F1896" s="61" t="s">
        <v>309</v>
      </c>
      <c r="H1896" s="61" t="s">
        <v>309</v>
      </c>
      <c r="J1896" s="60">
        <v>2</v>
      </c>
      <c r="L1896" s="60">
        <v>0</v>
      </c>
      <c r="M1896" s="61">
        <v>44831</v>
      </c>
      <c r="O1896" s="62" t="s">
        <v>335</v>
      </c>
      <c r="P1896" s="60" t="s">
        <v>349</v>
      </c>
      <c r="Q1896" s="62" t="s">
        <v>4659</v>
      </c>
      <c r="R1896" s="62" t="s">
        <v>5168</v>
      </c>
      <c r="S1896" s="63" t="s">
        <v>5169</v>
      </c>
      <c r="T1896" s="63" t="s">
        <v>5170</v>
      </c>
      <c r="U1896" s="64">
        <v>230295</v>
      </c>
      <c r="V1896" s="64">
        <v>253324.5</v>
      </c>
      <c r="W1896" s="64">
        <v>230295</v>
      </c>
      <c r="X1896" s="64">
        <v>253324.5</v>
      </c>
      <c r="Z1896" s="64">
        <v>0</v>
      </c>
      <c r="AA1896" s="61">
        <v>44852</v>
      </c>
      <c r="AB1896" s="61">
        <v>44854</v>
      </c>
      <c r="AD1896" s="60">
        <v>0</v>
      </c>
      <c r="AG1896" s="60">
        <v>0</v>
      </c>
      <c r="AJ1896" s="60">
        <v>0</v>
      </c>
      <c r="AM1896" s="60" t="s">
        <v>350</v>
      </c>
      <c r="AN1896" s="60" t="s">
        <v>5171</v>
      </c>
      <c r="AY1896" s="99">
        <f t="shared" si="15"/>
        <v>221083</v>
      </c>
      <c r="AZ1896" s="99">
        <f>ROUNDDOWN(AY1896+(AY1896*MASTER!$A$2/100),0)</f>
        <v>243191</v>
      </c>
      <c r="BC1896" s="64">
        <v>0</v>
      </c>
      <c r="BG1896" s="64">
        <v>0</v>
      </c>
      <c r="BK1896" s="64">
        <v>0</v>
      </c>
      <c r="BS1896" s="64">
        <v>0</v>
      </c>
      <c r="BV1896" s="65">
        <v>253324.5</v>
      </c>
      <c r="BW1896" s="65">
        <v>0</v>
      </c>
      <c r="BX1896" s="65">
        <v>44831</v>
      </c>
      <c r="BY1896" s="65">
        <v>253324.5</v>
      </c>
      <c r="BZ1896" s="81">
        <v>100</v>
      </c>
    </row>
    <row r="1897" spans="1:78" x14ac:dyDescent="0.15">
      <c r="A1897" s="60">
        <v>1</v>
      </c>
      <c r="C1897" s="61" t="s">
        <v>309</v>
      </c>
      <c r="F1897" s="61" t="s">
        <v>309</v>
      </c>
      <c r="H1897" s="61" t="s">
        <v>309</v>
      </c>
      <c r="J1897" s="60">
        <v>1</v>
      </c>
      <c r="L1897" s="60">
        <v>0</v>
      </c>
      <c r="M1897" s="61">
        <v>44831</v>
      </c>
      <c r="O1897" s="62" t="s">
        <v>335</v>
      </c>
      <c r="P1897" s="60" t="s">
        <v>349</v>
      </c>
      <c r="Q1897" s="62" t="s">
        <v>4659</v>
      </c>
      <c r="R1897" s="62" t="s">
        <v>5175</v>
      </c>
      <c r="S1897" s="63" t="s">
        <v>5176</v>
      </c>
      <c r="T1897" s="63" t="s">
        <v>5177</v>
      </c>
      <c r="U1897" s="64">
        <v>186500</v>
      </c>
      <c r="V1897" s="64">
        <v>205150</v>
      </c>
      <c r="W1897" s="64">
        <v>94000</v>
      </c>
      <c r="X1897" s="64">
        <v>103400</v>
      </c>
      <c r="Y1897" s="64">
        <v>92500</v>
      </c>
      <c r="Z1897" s="64">
        <v>101750</v>
      </c>
      <c r="AD1897" s="60">
        <v>0</v>
      </c>
      <c r="AG1897" s="60">
        <v>0</v>
      </c>
      <c r="AJ1897" s="60">
        <v>0</v>
      </c>
      <c r="AM1897" s="60" t="s">
        <v>350</v>
      </c>
      <c r="AN1897" s="60" t="s">
        <v>5178</v>
      </c>
      <c r="AY1897" s="99">
        <f t="shared" si="15"/>
        <v>179040</v>
      </c>
      <c r="AZ1897" s="99">
        <f>ROUNDDOWN(AY1897+(AY1897*MASTER!$A$2/100),0)</f>
        <v>196944</v>
      </c>
      <c r="BC1897" s="64">
        <v>0</v>
      </c>
      <c r="BG1897" s="64">
        <v>0</v>
      </c>
      <c r="BK1897" s="64">
        <v>0</v>
      </c>
      <c r="BS1897" s="64">
        <v>0</v>
      </c>
      <c r="BV1897" s="65">
        <v>103400</v>
      </c>
      <c r="BW1897" s="65">
        <v>0</v>
      </c>
      <c r="BX1897" s="65">
        <v>44831</v>
      </c>
      <c r="BY1897" s="65">
        <v>103400</v>
      </c>
      <c r="BZ1897" s="81">
        <v>100</v>
      </c>
    </row>
    <row r="1898" spans="1:78" x14ac:dyDescent="0.15">
      <c r="A1898" s="60">
        <v>1</v>
      </c>
      <c r="C1898" s="61" t="s">
        <v>309</v>
      </c>
      <c r="F1898" s="61" t="s">
        <v>309</v>
      </c>
      <c r="H1898" s="61" t="s">
        <v>309</v>
      </c>
      <c r="J1898" s="60">
        <v>1</v>
      </c>
      <c r="L1898" s="60">
        <v>0</v>
      </c>
      <c r="M1898" s="61">
        <v>44832</v>
      </c>
      <c r="O1898" s="62" t="s">
        <v>331</v>
      </c>
      <c r="P1898" s="60" t="s">
        <v>26</v>
      </c>
      <c r="Q1898" s="62" t="s">
        <v>46</v>
      </c>
      <c r="R1898" s="62" t="s">
        <v>5192</v>
      </c>
      <c r="S1898" s="63" t="s">
        <v>1099</v>
      </c>
      <c r="T1898" s="63" t="s">
        <v>1100</v>
      </c>
      <c r="U1898" s="64">
        <v>210500</v>
      </c>
      <c r="V1898" s="64">
        <v>231550</v>
      </c>
      <c r="W1898" s="64">
        <v>118000</v>
      </c>
      <c r="X1898" s="64">
        <v>129800</v>
      </c>
      <c r="Y1898" s="64">
        <v>92500</v>
      </c>
      <c r="Z1898" s="64">
        <v>101750</v>
      </c>
      <c r="AA1898" s="61">
        <v>44857</v>
      </c>
      <c r="AB1898" s="61">
        <v>44858</v>
      </c>
      <c r="AD1898" s="60">
        <v>0</v>
      </c>
      <c r="AG1898" s="60">
        <v>0</v>
      </c>
      <c r="AJ1898" s="60">
        <v>0</v>
      </c>
      <c r="AM1898" s="60" t="s">
        <v>350</v>
      </c>
      <c r="AN1898" s="60" t="s">
        <v>5193</v>
      </c>
      <c r="AY1898" s="99">
        <f t="shared" si="15"/>
        <v>202080</v>
      </c>
      <c r="AZ1898" s="99">
        <f>ROUNDDOWN(AY1898+(AY1898*MASTER!$A$2/100),0)</f>
        <v>222288</v>
      </c>
      <c r="BC1898" s="64">
        <v>0</v>
      </c>
      <c r="BG1898" s="64">
        <v>0</v>
      </c>
      <c r="BK1898" s="64">
        <v>0</v>
      </c>
      <c r="BS1898" s="64">
        <v>0</v>
      </c>
      <c r="BV1898" s="65">
        <v>129800</v>
      </c>
      <c r="BW1898" s="65">
        <v>0</v>
      </c>
      <c r="BX1898" s="65">
        <v>44832</v>
      </c>
      <c r="BY1898" s="65">
        <v>129800</v>
      </c>
      <c r="BZ1898" s="81">
        <v>100</v>
      </c>
    </row>
    <row r="1899" spans="1:78" x14ac:dyDescent="0.15">
      <c r="A1899" s="60">
        <v>1</v>
      </c>
      <c r="C1899" s="61" t="s">
        <v>309</v>
      </c>
      <c r="F1899" s="61" t="s">
        <v>309</v>
      </c>
      <c r="H1899" s="61" t="s">
        <v>309</v>
      </c>
      <c r="J1899" s="60">
        <v>1</v>
      </c>
      <c r="L1899" s="60">
        <v>0</v>
      </c>
      <c r="M1899" s="61">
        <v>44832</v>
      </c>
      <c r="O1899" s="62" t="s">
        <v>331</v>
      </c>
      <c r="P1899" s="60" t="s">
        <v>26</v>
      </c>
      <c r="Q1899" s="62" t="s">
        <v>46</v>
      </c>
      <c r="R1899" s="62" t="s">
        <v>5195</v>
      </c>
      <c r="S1899" s="63" t="s">
        <v>1166</v>
      </c>
      <c r="T1899" s="63" t="s">
        <v>5194</v>
      </c>
      <c r="U1899" s="64">
        <v>192700</v>
      </c>
      <c r="V1899" s="64">
        <v>211970</v>
      </c>
      <c r="W1899" s="64">
        <v>94000</v>
      </c>
      <c r="X1899" s="64">
        <v>103400</v>
      </c>
      <c r="Y1899" s="64">
        <v>98700</v>
      </c>
      <c r="Z1899" s="64">
        <v>108570</v>
      </c>
      <c r="AA1899" s="61">
        <v>44857</v>
      </c>
      <c r="AB1899" s="61">
        <v>44858</v>
      </c>
      <c r="AD1899" s="60">
        <v>0</v>
      </c>
      <c r="AG1899" s="60">
        <v>0</v>
      </c>
      <c r="AJ1899" s="60">
        <v>0</v>
      </c>
      <c r="AM1899" s="60" t="s">
        <v>273</v>
      </c>
      <c r="AN1899" s="60" t="s">
        <v>5196</v>
      </c>
      <c r="AY1899" s="99">
        <f t="shared" si="15"/>
        <v>184992</v>
      </c>
      <c r="AZ1899" s="99">
        <f>ROUNDDOWN(AY1899+(AY1899*MASTER!$A$2/100),0)</f>
        <v>203491</v>
      </c>
      <c r="BC1899" s="64">
        <v>0</v>
      </c>
      <c r="BG1899" s="64">
        <v>0</v>
      </c>
      <c r="BK1899" s="64">
        <v>0</v>
      </c>
      <c r="BS1899" s="64">
        <v>0</v>
      </c>
      <c r="BV1899" s="65">
        <v>103400</v>
      </c>
      <c r="BW1899" s="65">
        <v>0</v>
      </c>
      <c r="BX1899" s="65">
        <v>44832</v>
      </c>
      <c r="BY1899" s="65">
        <v>103400</v>
      </c>
      <c r="BZ1899" s="81">
        <v>100</v>
      </c>
    </row>
    <row r="1900" spans="1:78" x14ac:dyDescent="0.15">
      <c r="A1900" s="60">
        <v>1</v>
      </c>
      <c r="C1900" s="61" t="s">
        <v>309</v>
      </c>
      <c r="F1900" s="61" t="s">
        <v>309</v>
      </c>
      <c r="H1900" s="61" t="s">
        <v>309</v>
      </c>
      <c r="J1900" s="60">
        <v>1</v>
      </c>
      <c r="L1900" s="60">
        <v>0</v>
      </c>
      <c r="M1900" s="61">
        <v>44832</v>
      </c>
      <c r="O1900" s="62" t="s">
        <v>331</v>
      </c>
      <c r="P1900" s="60" t="s">
        <v>26</v>
      </c>
      <c r="Q1900" s="62" t="s">
        <v>46</v>
      </c>
      <c r="R1900" s="62" t="s">
        <v>5198</v>
      </c>
      <c r="S1900" s="63" t="s">
        <v>689</v>
      </c>
      <c r="T1900" s="63" t="s">
        <v>5197</v>
      </c>
      <c r="U1900" s="64">
        <v>225700</v>
      </c>
      <c r="V1900" s="64">
        <v>248270</v>
      </c>
      <c r="W1900" s="64">
        <v>102000</v>
      </c>
      <c r="X1900" s="64">
        <v>112200</v>
      </c>
      <c r="Y1900" s="64">
        <v>123700</v>
      </c>
      <c r="Z1900" s="64">
        <v>136070</v>
      </c>
      <c r="AA1900" s="61">
        <v>44857</v>
      </c>
      <c r="AB1900" s="61">
        <v>44858</v>
      </c>
      <c r="AD1900" s="60">
        <v>0</v>
      </c>
      <c r="AG1900" s="60">
        <v>0</v>
      </c>
      <c r="AJ1900" s="60">
        <v>0</v>
      </c>
      <c r="AM1900" s="60" t="s">
        <v>273</v>
      </c>
      <c r="AN1900" s="60" t="s">
        <v>5199</v>
      </c>
      <c r="AY1900" s="99">
        <f t="shared" si="15"/>
        <v>216672</v>
      </c>
      <c r="AZ1900" s="99">
        <f>ROUNDDOWN(AY1900+(AY1900*MASTER!$A$2/100),0)</f>
        <v>238339</v>
      </c>
      <c r="BC1900" s="64">
        <v>0</v>
      </c>
      <c r="BG1900" s="64">
        <v>0</v>
      </c>
      <c r="BK1900" s="64">
        <v>0</v>
      </c>
      <c r="BS1900" s="64">
        <v>0</v>
      </c>
      <c r="BV1900" s="65">
        <v>112200</v>
      </c>
      <c r="BW1900" s="65">
        <v>0</v>
      </c>
      <c r="BX1900" s="65">
        <v>44832</v>
      </c>
      <c r="BY1900" s="65">
        <v>112200</v>
      </c>
      <c r="BZ1900" s="81">
        <v>100</v>
      </c>
    </row>
    <row r="1901" spans="1:78" x14ac:dyDescent="0.15">
      <c r="A1901" s="60">
        <v>1</v>
      </c>
      <c r="C1901" s="61" t="s">
        <v>309</v>
      </c>
      <c r="F1901" s="61" t="s">
        <v>309</v>
      </c>
      <c r="H1901" s="61" t="s">
        <v>309</v>
      </c>
      <c r="J1901" s="60">
        <v>1</v>
      </c>
      <c r="L1901" s="60">
        <v>0</v>
      </c>
      <c r="M1901" s="61">
        <v>44833</v>
      </c>
      <c r="O1901" s="62" t="s">
        <v>335</v>
      </c>
      <c r="P1901" s="60" t="s">
        <v>349</v>
      </c>
      <c r="Q1901" s="62" t="s">
        <v>4659</v>
      </c>
      <c r="R1901" s="62" t="s">
        <v>5203</v>
      </c>
      <c r="S1901" s="63" t="s">
        <v>5204</v>
      </c>
      <c r="T1901" s="63" t="s">
        <v>5166</v>
      </c>
      <c r="U1901" s="64">
        <v>203500</v>
      </c>
      <c r="V1901" s="64">
        <v>223850</v>
      </c>
      <c r="W1901" s="64">
        <v>86000</v>
      </c>
      <c r="X1901" s="64">
        <v>94600</v>
      </c>
      <c r="Y1901" s="64">
        <v>117500</v>
      </c>
      <c r="Z1901" s="64">
        <v>129250</v>
      </c>
      <c r="AA1901" s="61">
        <v>44857</v>
      </c>
      <c r="AB1901" s="61">
        <v>44858</v>
      </c>
      <c r="AD1901" s="60">
        <v>0</v>
      </c>
      <c r="AG1901" s="60">
        <v>0</v>
      </c>
      <c r="AJ1901" s="60">
        <v>0</v>
      </c>
      <c r="AM1901" s="60" t="s">
        <v>350</v>
      </c>
      <c r="AN1901" s="60" t="s">
        <v>5205</v>
      </c>
      <c r="AY1901" s="99">
        <f t="shared" si="15"/>
        <v>195360</v>
      </c>
      <c r="AZ1901" s="99">
        <f>ROUNDDOWN(AY1901+(AY1901*MASTER!$A$2/100),0)</f>
        <v>214896</v>
      </c>
      <c r="BC1901" s="64">
        <v>0</v>
      </c>
      <c r="BG1901" s="64">
        <v>0</v>
      </c>
      <c r="BK1901" s="64">
        <v>0</v>
      </c>
      <c r="BS1901" s="64">
        <v>0</v>
      </c>
      <c r="BV1901" s="65">
        <v>94600</v>
      </c>
      <c r="BW1901" s="65">
        <v>0</v>
      </c>
      <c r="BX1901" s="65">
        <v>44833</v>
      </c>
      <c r="BY1901" s="65">
        <v>94600</v>
      </c>
      <c r="BZ1901" s="81">
        <v>100</v>
      </c>
    </row>
    <row r="1902" spans="1:78" x14ac:dyDescent="0.15">
      <c r="A1902" s="60">
        <v>1</v>
      </c>
      <c r="C1902" s="61" t="s">
        <v>309</v>
      </c>
      <c r="F1902" s="61" t="s">
        <v>309</v>
      </c>
      <c r="H1902" s="61" t="s">
        <v>309</v>
      </c>
      <c r="J1902" s="60">
        <v>1</v>
      </c>
      <c r="L1902" s="60">
        <v>0</v>
      </c>
      <c r="M1902" s="61">
        <v>44833</v>
      </c>
      <c r="O1902" s="62" t="s">
        <v>335</v>
      </c>
      <c r="P1902" s="60" t="s">
        <v>349</v>
      </c>
      <c r="Q1902" s="62" t="s">
        <v>4659</v>
      </c>
      <c r="R1902" s="62" t="s">
        <v>5206</v>
      </c>
      <c r="S1902" s="63" t="s">
        <v>5207</v>
      </c>
      <c r="T1902" s="63" t="s">
        <v>4856</v>
      </c>
      <c r="U1902" s="64">
        <v>23900</v>
      </c>
      <c r="V1902" s="64">
        <v>26290</v>
      </c>
      <c r="W1902" s="64">
        <v>14700</v>
      </c>
      <c r="X1902" s="64">
        <v>16170</v>
      </c>
      <c r="Y1902" s="64">
        <v>9200</v>
      </c>
      <c r="Z1902" s="64">
        <v>10120</v>
      </c>
      <c r="AA1902" s="61">
        <v>44850</v>
      </c>
      <c r="AB1902" s="61">
        <v>44851</v>
      </c>
      <c r="AD1902" s="60">
        <v>0</v>
      </c>
      <c r="AG1902" s="60">
        <v>0</v>
      </c>
      <c r="AJ1902" s="60">
        <v>0</v>
      </c>
      <c r="AM1902" s="60" t="s">
        <v>350</v>
      </c>
      <c r="AN1902" s="60" t="s">
        <v>5208</v>
      </c>
      <c r="AY1902" s="99">
        <f t="shared" si="15"/>
        <v>22944</v>
      </c>
      <c r="AZ1902" s="99">
        <f>ROUNDDOWN(AY1902+(AY1902*MASTER!$A$2/100),0)</f>
        <v>25238</v>
      </c>
      <c r="BC1902" s="64">
        <v>0</v>
      </c>
      <c r="BG1902" s="64">
        <v>0</v>
      </c>
      <c r="BK1902" s="64">
        <v>0</v>
      </c>
      <c r="BS1902" s="64">
        <v>0</v>
      </c>
      <c r="BV1902" s="65">
        <v>16170</v>
      </c>
      <c r="BW1902" s="65">
        <v>0</v>
      </c>
      <c r="BX1902" s="65">
        <v>44833</v>
      </c>
      <c r="BY1902" s="65">
        <v>16170</v>
      </c>
      <c r="BZ1902" s="81">
        <v>100</v>
      </c>
    </row>
    <row r="1903" spans="1:78" x14ac:dyDescent="0.15">
      <c r="A1903" s="60">
        <v>1</v>
      </c>
      <c r="C1903" s="61" t="s">
        <v>309</v>
      </c>
      <c r="F1903" s="61" t="s">
        <v>309</v>
      </c>
      <c r="H1903" s="61" t="s">
        <v>309</v>
      </c>
      <c r="J1903" s="60">
        <v>2</v>
      </c>
      <c r="L1903" s="60">
        <v>0</v>
      </c>
      <c r="M1903" s="61">
        <v>44833</v>
      </c>
      <c r="O1903" s="62" t="s">
        <v>335</v>
      </c>
      <c r="P1903" s="60" t="s">
        <v>349</v>
      </c>
      <c r="Q1903" s="62" t="s">
        <v>4659</v>
      </c>
      <c r="R1903" s="62" t="s">
        <v>5209</v>
      </c>
      <c r="S1903" s="63" t="s">
        <v>5210</v>
      </c>
      <c r="T1903" s="63" t="s">
        <v>5211</v>
      </c>
      <c r="U1903" s="64">
        <v>441000</v>
      </c>
      <c r="V1903" s="64">
        <v>485100</v>
      </c>
      <c r="W1903" s="64">
        <v>441000</v>
      </c>
      <c r="X1903" s="64">
        <v>485100</v>
      </c>
      <c r="Z1903" s="64">
        <v>0</v>
      </c>
      <c r="AD1903" s="60">
        <v>0</v>
      </c>
      <c r="AG1903" s="60">
        <v>0</v>
      </c>
      <c r="AJ1903" s="60">
        <v>0</v>
      </c>
      <c r="AM1903" s="60" t="s">
        <v>350</v>
      </c>
      <c r="AN1903" s="60" t="s">
        <v>5212</v>
      </c>
      <c r="AY1903" s="99">
        <f t="shared" si="15"/>
        <v>423360</v>
      </c>
      <c r="AZ1903" s="99">
        <f>ROUNDDOWN(AY1903+(AY1903*MASTER!$A$2/100),0)</f>
        <v>465696</v>
      </c>
      <c r="BC1903" s="64">
        <v>0</v>
      </c>
      <c r="BG1903" s="64">
        <v>0</v>
      </c>
      <c r="BK1903" s="64">
        <v>0</v>
      </c>
      <c r="BS1903" s="64">
        <v>0</v>
      </c>
      <c r="BV1903" s="65">
        <v>485100</v>
      </c>
      <c r="BW1903" s="65">
        <v>0</v>
      </c>
      <c r="BX1903" s="65">
        <v>44833</v>
      </c>
      <c r="BY1903" s="65">
        <v>485100</v>
      </c>
      <c r="BZ1903" s="81">
        <v>100</v>
      </c>
    </row>
    <row r="1904" spans="1:78" x14ac:dyDescent="0.15">
      <c r="A1904" s="60">
        <v>1</v>
      </c>
      <c r="C1904" s="61" t="s">
        <v>309</v>
      </c>
      <c r="F1904" s="61" t="s">
        <v>309</v>
      </c>
      <c r="H1904" s="61" t="s">
        <v>309</v>
      </c>
      <c r="J1904" s="60">
        <v>2</v>
      </c>
      <c r="L1904" s="60">
        <v>0</v>
      </c>
      <c r="M1904" s="61">
        <v>44833</v>
      </c>
      <c r="O1904" s="62" t="s">
        <v>331</v>
      </c>
      <c r="P1904" s="60" t="s">
        <v>77</v>
      </c>
      <c r="Q1904" s="62" t="s">
        <v>46</v>
      </c>
      <c r="R1904" s="62" t="s">
        <v>5213</v>
      </c>
      <c r="S1904" s="63" t="s">
        <v>489</v>
      </c>
      <c r="T1904" s="63" t="s">
        <v>490</v>
      </c>
      <c r="U1904" s="64">
        <v>11960</v>
      </c>
      <c r="V1904" s="64">
        <v>13156</v>
      </c>
      <c r="W1904" s="64">
        <v>11960</v>
      </c>
      <c r="X1904" s="64">
        <v>13156</v>
      </c>
      <c r="Z1904" s="64">
        <v>0</v>
      </c>
      <c r="AD1904" s="60">
        <v>0</v>
      </c>
      <c r="AG1904" s="60">
        <v>0</v>
      </c>
      <c r="AJ1904" s="60">
        <v>0</v>
      </c>
      <c r="AQ1904" s="60" t="s">
        <v>5214</v>
      </c>
      <c r="AR1904" s="61">
        <v>44833</v>
      </c>
      <c r="AS1904" s="60">
        <v>6002077650</v>
      </c>
      <c r="AV1904" s="61">
        <v>44846</v>
      </c>
      <c r="AY1904" s="107">
        <v>11960</v>
      </c>
      <c r="AZ1904" s="107">
        <f>ROUNDDOWN(AY1904+(AY1904*MASTER!$A$2/100),0)</f>
        <v>13156</v>
      </c>
      <c r="BC1904" s="64">
        <v>0</v>
      </c>
      <c r="BG1904" s="64">
        <v>0</v>
      </c>
      <c r="BK1904" s="64">
        <v>0</v>
      </c>
      <c r="BS1904" s="64">
        <v>0</v>
      </c>
      <c r="BV1904" s="65">
        <v>13156</v>
      </c>
      <c r="BW1904" s="65">
        <v>0</v>
      </c>
      <c r="BX1904" s="65">
        <v>44833</v>
      </c>
      <c r="BY1904" s="65">
        <v>13156</v>
      </c>
      <c r="BZ1904" s="81">
        <v>100</v>
      </c>
    </row>
    <row r="1905" spans="1:89" x14ac:dyDescent="0.15">
      <c r="A1905" s="60">
        <v>1</v>
      </c>
      <c r="C1905" s="61" t="s">
        <v>309</v>
      </c>
      <c r="F1905" s="61" t="s">
        <v>309</v>
      </c>
      <c r="H1905" s="61" t="s">
        <v>309</v>
      </c>
      <c r="J1905" s="60">
        <v>1</v>
      </c>
      <c r="L1905" s="60">
        <v>0</v>
      </c>
      <c r="M1905" s="61">
        <v>44834</v>
      </c>
      <c r="O1905" s="62" t="s">
        <v>331</v>
      </c>
      <c r="P1905" s="60" t="s">
        <v>26</v>
      </c>
      <c r="Q1905" s="62" t="s">
        <v>46</v>
      </c>
      <c r="R1905" s="62" t="s">
        <v>5217</v>
      </c>
      <c r="S1905" s="63" t="s">
        <v>1387</v>
      </c>
      <c r="T1905" s="63" t="s">
        <v>340</v>
      </c>
      <c r="U1905" s="64">
        <v>84000</v>
      </c>
      <c r="V1905" s="64">
        <v>92400</v>
      </c>
      <c r="W1905" s="64">
        <v>68000</v>
      </c>
      <c r="X1905" s="64">
        <v>74800</v>
      </c>
      <c r="Y1905" s="64">
        <v>16000</v>
      </c>
      <c r="Z1905" s="64">
        <v>17600</v>
      </c>
      <c r="AA1905" s="61" t="s">
        <v>433</v>
      </c>
      <c r="AD1905" s="60">
        <v>0</v>
      </c>
      <c r="AG1905" s="60">
        <v>0</v>
      </c>
      <c r="AJ1905" s="60">
        <v>0</v>
      </c>
      <c r="AY1905" s="99">
        <f>ROUNDDOWN((0.96*U1905),0)</f>
        <v>80640</v>
      </c>
      <c r="AZ1905" s="99">
        <f>ROUNDDOWN(AY1905+(AY1905*MASTER!$A$2/100),0)</f>
        <v>88704</v>
      </c>
      <c r="BC1905" s="64">
        <v>0</v>
      </c>
      <c r="BG1905" s="64">
        <v>0</v>
      </c>
      <c r="BK1905" s="64">
        <v>0</v>
      </c>
      <c r="BS1905" s="64">
        <v>0</v>
      </c>
      <c r="BV1905" s="65">
        <v>74800</v>
      </c>
      <c r="BW1905" s="65">
        <v>0</v>
      </c>
      <c r="BX1905" s="65">
        <v>44834</v>
      </c>
      <c r="BY1905" s="65">
        <v>74800</v>
      </c>
      <c r="BZ1905" s="81">
        <v>100</v>
      </c>
    </row>
    <row r="1906" spans="1:89" s="152" customFormat="1" x14ac:dyDescent="0.15">
      <c r="A1906" s="142">
        <v>3</v>
      </c>
      <c r="B1906" s="143"/>
      <c r="C1906" s="143" t="s">
        <v>309</v>
      </c>
      <c r="D1906" s="143"/>
      <c r="E1906" s="143"/>
      <c r="F1906" s="143" t="s">
        <v>309</v>
      </c>
      <c r="G1906" s="143"/>
      <c r="H1906" s="143" t="s">
        <v>309</v>
      </c>
      <c r="I1906" s="142"/>
      <c r="J1906" s="142">
        <v>2</v>
      </c>
      <c r="K1906" s="143"/>
      <c r="L1906" s="142">
        <v>0</v>
      </c>
      <c r="M1906" s="143">
        <v>44834</v>
      </c>
      <c r="N1906" s="143"/>
      <c r="O1906" s="144" t="s">
        <v>335</v>
      </c>
      <c r="P1906" s="142" t="s">
        <v>369</v>
      </c>
      <c r="Q1906" s="144" t="s">
        <v>4659</v>
      </c>
      <c r="R1906" s="144" t="s">
        <v>5223</v>
      </c>
      <c r="S1906" s="145" t="s">
        <v>4320</v>
      </c>
      <c r="T1906" s="145" t="s">
        <v>373</v>
      </c>
      <c r="U1906" s="146">
        <v>35000</v>
      </c>
      <c r="V1906" s="146">
        <v>38500</v>
      </c>
      <c r="W1906" s="146">
        <v>35000</v>
      </c>
      <c r="X1906" s="146">
        <v>38500</v>
      </c>
      <c r="Y1906" s="146"/>
      <c r="Z1906" s="146">
        <v>0</v>
      </c>
      <c r="AA1906" s="143"/>
      <c r="AB1906" s="143"/>
      <c r="AC1906" s="143"/>
      <c r="AD1906" s="142">
        <v>0</v>
      </c>
      <c r="AE1906" s="142"/>
      <c r="AF1906" s="142"/>
      <c r="AG1906" s="142">
        <v>0</v>
      </c>
      <c r="AH1906" s="142"/>
      <c r="AI1906" s="142"/>
      <c r="AJ1906" s="142">
        <v>0</v>
      </c>
      <c r="AK1906" s="142"/>
      <c r="AL1906" s="142"/>
      <c r="AM1906" s="142"/>
      <c r="AN1906" s="142" t="s">
        <v>309</v>
      </c>
      <c r="AO1906" s="143"/>
      <c r="AP1906" s="142"/>
      <c r="AQ1906" s="142"/>
      <c r="AR1906" s="143"/>
      <c r="AS1906" s="142"/>
      <c r="AT1906" s="143"/>
      <c r="AU1906" s="142"/>
      <c r="AV1906" s="143"/>
      <c r="AW1906" s="147"/>
      <c r="AX1906" s="147"/>
      <c r="AY1906" s="148">
        <f>ROUNDDOWN((0.96*U1906),0)</f>
        <v>33600</v>
      </c>
      <c r="AZ1906" s="148">
        <f>ROUNDDOWN(AY1906+(AY1906*MASTER!$A$2/100),0)</f>
        <v>36960</v>
      </c>
      <c r="BA1906" s="142"/>
      <c r="BB1906" s="146"/>
      <c r="BC1906" s="146">
        <v>0</v>
      </c>
      <c r="BD1906" s="142"/>
      <c r="BE1906" s="142"/>
      <c r="BF1906" s="146"/>
      <c r="BG1906" s="146">
        <v>0</v>
      </c>
      <c r="BH1906" s="142"/>
      <c r="BI1906" s="142"/>
      <c r="BJ1906" s="146"/>
      <c r="BK1906" s="146">
        <v>0</v>
      </c>
      <c r="BL1906" s="142"/>
      <c r="BM1906" s="146"/>
      <c r="BN1906" s="146"/>
      <c r="BO1906" s="146"/>
      <c r="BP1906" s="146"/>
      <c r="BQ1906" s="146"/>
      <c r="BR1906" s="146"/>
      <c r="BS1906" s="146">
        <v>0</v>
      </c>
      <c r="BT1906" s="149"/>
      <c r="BU1906" s="149"/>
      <c r="BV1906" s="150">
        <v>38500</v>
      </c>
      <c r="BW1906" s="150">
        <v>0</v>
      </c>
      <c r="BX1906" s="150">
        <v>44834</v>
      </c>
      <c r="BY1906" s="150">
        <v>38500</v>
      </c>
      <c r="BZ1906" s="151">
        <v>100</v>
      </c>
      <c r="CA1906" s="142"/>
      <c r="CB1906" s="142"/>
      <c r="CC1906" s="142"/>
      <c r="CD1906" s="145"/>
      <c r="CE1906" s="143"/>
      <c r="CF1906" s="143"/>
      <c r="CG1906" s="143"/>
      <c r="CH1906" s="143"/>
      <c r="CI1906" s="143"/>
      <c r="CJ1906" s="143"/>
      <c r="CK1906" s="146"/>
    </row>
    <row r="1907" spans="1:89" x14ac:dyDescent="0.15">
      <c r="A1907" s="60">
        <v>1</v>
      </c>
      <c r="C1907" s="61" t="s">
        <v>309</v>
      </c>
      <c r="F1907" s="61" t="s">
        <v>309</v>
      </c>
      <c r="H1907" s="61" t="s">
        <v>309</v>
      </c>
      <c r="J1907" s="60">
        <v>1</v>
      </c>
      <c r="L1907" s="60">
        <v>0</v>
      </c>
      <c r="M1907" s="61">
        <v>44834</v>
      </c>
      <c r="O1907" s="62" t="s">
        <v>331</v>
      </c>
      <c r="P1907" s="60" t="s">
        <v>26</v>
      </c>
      <c r="Q1907" s="62" t="s">
        <v>46</v>
      </c>
      <c r="R1907" s="62" t="s">
        <v>5232</v>
      </c>
      <c r="S1907" s="63" t="s">
        <v>1096</v>
      </c>
      <c r="T1907" s="63" t="s">
        <v>1524</v>
      </c>
      <c r="U1907" s="64">
        <v>78600</v>
      </c>
      <c r="V1907" s="64">
        <v>86460</v>
      </c>
      <c r="W1907" s="64">
        <v>78600</v>
      </c>
      <c r="X1907" s="64">
        <v>86460</v>
      </c>
      <c r="Y1907" s="64">
        <v>0</v>
      </c>
      <c r="Z1907" s="64">
        <v>0</v>
      </c>
      <c r="AA1907" s="61" t="s">
        <v>4898</v>
      </c>
      <c r="AY1907" s="107">
        <f>U1907</f>
        <v>78600</v>
      </c>
      <c r="AZ1907" s="107">
        <f>ROUNDDOWN(AY1907+(AY1907*MASTER!$A$2/100),0)</f>
        <v>86460</v>
      </c>
    </row>
    <row r="1908" spans="1:89" x14ac:dyDescent="0.15">
      <c r="A1908" s="60">
        <v>1</v>
      </c>
      <c r="C1908" s="61" t="s">
        <v>309</v>
      </c>
      <c r="F1908" s="61" t="s">
        <v>309</v>
      </c>
      <c r="H1908" s="61" t="s">
        <v>309</v>
      </c>
      <c r="J1908" s="60">
        <v>1</v>
      </c>
      <c r="L1908" s="60">
        <v>0</v>
      </c>
      <c r="M1908" s="61">
        <v>44834</v>
      </c>
      <c r="O1908" s="62" t="s">
        <v>331</v>
      </c>
      <c r="P1908" s="60" t="s">
        <v>26</v>
      </c>
      <c r="Q1908" s="62" t="s">
        <v>46</v>
      </c>
      <c r="R1908" s="62" t="s">
        <v>5233</v>
      </c>
      <c r="S1908" s="63" t="s">
        <v>647</v>
      </c>
      <c r="T1908" s="63" t="s">
        <v>1524</v>
      </c>
      <c r="U1908" s="64">
        <v>78600</v>
      </c>
      <c r="V1908" s="64">
        <v>86460</v>
      </c>
      <c r="W1908" s="64">
        <v>78600</v>
      </c>
      <c r="X1908" s="64">
        <v>86460</v>
      </c>
      <c r="Y1908" s="64">
        <v>0</v>
      </c>
      <c r="Z1908" s="64">
        <v>0</v>
      </c>
      <c r="AA1908" s="61" t="s">
        <v>4898</v>
      </c>
      <c r="AY1908" s="107">
        <f t="shared" ref="AY1908:AY1951" si="16">U1908</f>
        <v>78600</v>
      </c>
      <c r="AZ1908" s="107">
        <f>ROUNDDOWN(AY1908+(AY1908*MASTER!$A$2/100),0)</f>
        <v>86460</v>
      </c>
    </row>
    <row r="1909" spans="1:89" x14ac:dyDescent="0.15">
      <c r="A1909" s="60">
        <v>1</v>
      </c>
      <c r="C1909" s="61" t="s">
        <v>309</v>
      </c>
      <c r="F1909" s="61" t="s">
        <v>309</v>
      </c>
      <c r="H1909" s="61" t="s">
        <v>309</v>
      </c>
      <c r="J1909" s="60">
        <v>1</v>
      </c>
      <c r="L1909" s="60">
        <v>0</v>
      </c>
      <c r="M1909" s="61">
        <v>44834</v>
      </c>
      <c r="O1909" s="62" t="s">
        <v>331</v>
      </c>
      <c r="P1909" s="60" t="s">
        <v>26</v>
      </c>
      <c r="Q1909" s="62" t="s">
        <v>46</v>
      </c>
      <c r="R1909" s="62" t="s">
        <v>5234</v>
      </c>
      <c r="S1909" s="63" t="s">
        <v>627</v>
      </c>
      <c r="T1909" s="63" t="s">
        <v>1524</v>
      </c>
      <c r="U1909" s="64">
        <v>78600</v>
      </c>
      <c r="V1909" s="64">
        <v>86460</v>
      </c>
      <c r="W1909" s="64">
        <v>78600</v>
      </c>
      <c r="X1909" s="64">
        <v>86460</v>
      </c>
      <c r="Y1909" s="64">
        <v>0</v>
      </c>
      <c r="Z1909" s="64">
        <v>0</v>
      </c>
      <c r="AA1909" s="61" t="s">
        <v>4898</v>
      </c>
      <c r="AY1909" s="107">
        <f t="shared" si="16"/>
        <v>78600</v>
      </c>
      <c r="AZ1909" s="107">
        <f>ROUNDDOWN(AY1909+(AY1909*MASTER!$A$2/100),0)</f>
        <v>86460</v>
      </c>
    </row>
    <row r="1910" spans="1:89" x14ac:dyDescent="0.15">
      <c r="A1910" s="60">
        <v>1</v>
      </c>
      <c r="C1910" s="61" t="s">
        <v>309</v>
      </c>
      <c r="F1910" s="61" t="s">
        <v>309</v>
      </c>
      <c r="H1910" s="61" t="s">
        <v>309</v>
      </c>
      <c r="J1910" s="60">
        <v>1</v>
      </c>
      <c r="L1910" s="60">
        <v>0</v>
      </c>
      <c r="M1910" s="61">
        <v>44834</v>
      </c>
      <c r="O1910" s="62" t="s">
        <v>331</v>
      </c>
      <c r="P1910" s="60" t="s">
        <v>26</v>
      </c>
      <c r="Q1910" s="62" t="s">
        <v>46</v>
      </c>
      <c r="R1910" s="62" t="s">
        <v>5235</v>
      </c>
      <c r="S1910" s="63" t="s">
        <v>1894</v>
      </c>
      <c r="T1910" s="63" t="s">
        <v>1524</v>
      </c>
      <c r="U1910" s="64">
        <v>78600</v>
      </c>
      <c r="V1910" s="64">
        <v>86460</v>
      </c>
      <c r="W1910" s="64">
        <v>78600</v>
      </c>
      <c r="X1910" s="64">
        <v>86460</v>
      </c>
      <c r="Y1910" s="64">
        <v>0</v>
      </c>
      <c r="Z1910" s="64">
        <v>0</v>
      </c>
      <c r="AA1910" s="61" t="s">
        <v>4898</v>
      </c>
      <c r="AY1910" s="107">
        <f t="shared" si="16"/>
        <v>78600</v>
      </c>
      <c r="AZ1910" s="107">
        <f>ROUNDDOWN(AY1910+(AY1910*MASTER!$A$2/100),0)</f>
        <v>86460</v>
      </c>
    </row>
    <row r="1911" spans="1:89" x14ac:dyDescent="0.15">
      <c r="A1911" s="60">
        <v>1</v>
      </c>
      <c r="C1911" s="61" t="s">
        <v>309</v>
      </c>
      <c r="F1911" s="61" t="s">
        <v>309</v>
      </c>
      <c r="H1911" s="61" t="s">
        <v>309</v>
      </c>
      <c r="J1911" s="60">
        <v>1</v>
      </c>
      <c r="L1911" s="60">
        <v>0</v>
      </c>
      <c r="M1911" s="61">
        <v>44834</v>
      </c>
      <c r="O1911" s="62" t="s">
        <v>331</v>
      </c>
      <c r="P1911" s="60" t="s">
        <v>26</v>
      </c>
      <c r="Q1911" s="62" t="s">
        <v>46</v>
      </c>
      <c r="R1911" s="62" t="s">
        <v>5236</v>
      </c>
      <c r="S1911" s="63" t="s">
        <v>367</v>
      </c>
      <c r="T1911" s="63" t="s">
        <v>1524</v>
      </c>
      <c r="U1911" s="64">
        <v>78600</v>
      </c>
      <c r="V1911" s="64">
        <v>86460</v>
      </c>
      <c r="W1911" s="64">
        <v>78600</v>
      </c>
      <c r="X1911" s="64">
        <v>86460</v>
      </c>
      <c r="Y1911" s="64">
        <v>0</v>
      </c>
      <c r="Z1911" s="64">
        <v>0</v>
      </c>
      <c r="AA1911" s="61" t="s">
        <v>4898</v>
      </c>
      <c r="AY1911" s="107">
        <f t="shared" si="16"/>
        <v>78600</v>
      </c>
      <c r="AZ1911" s="107">
        <f>ROUNDDOWN(AY1911+(AY1911*MASTER!$A$2/100),0)</f>
        <v>86460</v>
      </c>
    </row>
    <row r="1912" spans="1:89" x14ac:dyDescent="0.15">
      <c r="A1912" s="60">
        <v>1</v>
      </c>
      <c r="C1912" s="61" t="s">
        <v>309</v>
      </c>
      <c r="F1912" s="61" t="s">
        <v>309</v>
      </c>
      <c r="H1912" s="61" t="s">
        <v>309</v>
      </c>
      <c r="J1912" s="60">
        <v>1</v>
      </c>
      <c r="L1912" s="60">
        <v>0</v>
      </c>
      <c r="M1912" s="61">
        <v>44834</v>
      </c>
      <c r="O1912" s="62" t="s">
        <v>331</v>
      </c>
      <c r="P1912" s="60" t="s">
        <v>26</v>
      </c>
      <c r="Q1912" s="62" t="s">
        <v>46</v>
      </c>
      <c r="R1912" s="62" t="s">
        <v>5237</v>
      </c>
      <c r="S1912" s="63" t="s">
        <v>3246</v>
      </c>
      <c r="T1912" s="63" t="s">
        <v>1524</v>
      </c>
      <c r="U1912" s="64">
        <v>78600</v>
      </c>
      <c r="V1912" s="64">
        <v>86460</v>
      </c>
      <c r="W1912" s="64">
        <v>78600</v>
      </c>
      <c r="X1912" s="64">
        <v>86460</v>
      </c>
      <c r="Y1912" s="64">
        <v>0</v>
      </c>
      <c r="Z1912" s="64">
        <v>0</v>
      </c>
      <c r="AA1912" s="61" t="s">
        <v>4898</v>
      </c>
      <c r="AY1912" s="107">
        <f t="shared" si="16"/>
        <v>78600</v>
      </c>
      <c r="AZ1912" s="107">
        <f>ROUNDDOWN(AY1912+(AY1912*MASTER!$A$2/100),0)</f>
        <v>86460</v>
      </c>
    </row>
    <row r="1913" spans="1:89" x14ac:dyDescent="0.15">
      <c r="A1913" s="60">
        <v>1</v>
      </c>
      <c r="C1913" s="61" t="s">
        <v>309</v>
      </c>
      <c r="F1913" s="61" t="s">
        <v>309</v>
      </c>
      <c r="H1913" s="61" t="s">
        <v>309</v>
      </c>
      <c r="J1913" s="60">
        <v>1</v>
      </c>
      <c r="L1913" s="60">
        <v>0</v>
      </c>
      <c r="M1913" s="61">
        <v>44834</v>
      </c>
      <c r="O1913" s="62" t="s">
        <v>331</v>
      </c>
      <c r="P1913" s="60" t="s">
        <v>26</v>
      </c>
      <c r="Q1913" s="62" t="s">
        <v>46</v>
      </c>
      <c r="R1913" s="62" t="s">
        <v>5238</v>
      </c>
      <c r="S1913" s="63" t="s">
        <v>388</v>
      </c>
      <c r="T1913" s="63" t="s">
        <v>1524</v>
      </c>
      <c r="U1913" s="64">
        <v>78600</v>
      </c>
      <c r="V1913" s="64">
        <v>86460</v>
      </c>
      <c r="W1913" s="64">
        <v>78600</v>
      </c>
      <c r="X1913" s="64">
        <v>86460</v>
      </c>
      <c r="Y1913" s="64">
        <v>0</v>
      </c>
      <c r="Z1913" s="64">
        <v>0</v>
      </c>
      <c r="AA1913" s="61" t="s">
        <v>4898</v>
      </c>
      <c r="AY1913" s="107">
        <f t="shared" si="16"/>
        <v>78600</v>
      </c>
      <c r="AZ1913" s="107">
        <f>ROUNDDOWN(AY1913+(AY1913*MASTER!$A$2/100),0)</f>
        <v>86460</v>
      </c>
    </row>
    <row r="1914" spans="1:89" x14ac:dyDescent="0.15">
      <c r="A1914" s="60">
        <v>1</v>
      </c>
      <c r="C1914" s="61" t="s">
        <v>309</v>
      </c>
      <c r="F1914" s="61" t="s">
        <v>309</v>
      </c>
      <c r="H1914" s="61" t="s">
        <v>309</v>
      </c>
      <c r="J1914" s="60">
        <v>1</v>
      </c>
      <c r="L1914" s="60">
        <v>0</v>
      </c>
      <c r="M1914" s="61">
        <v>44834</v>
      </c>
      <c r="O1914" s="62" t="s">
        <v>331</v>
      </c>
      <c r="P1914" s="60" t="s">
        <v>26</v>
      </c>
      <c r="Q1914" s="62" t="s">
        <v>46</v>
      </c>
      <c r="R1914" s="62" t="s">
        <v>5239</v>
      </c>
      <c r="S1914" s="63" t="s">
        <v>1066</v>
      </c>
      <c r="T1914" s="63" t="s">
        <v>1524</v>
      </c>
      <c r="U1914" s="64">
        <v>78600</v>
      </c>
      <c r="V1914" s="64">
        <v>86460</v>
      </c>
      <c r="W1914" s="64">
        <v>78600</v>
      </c>
      <c r="X1914" s="64">
        <v>86460</v>
      </c>
      <c r="Y1914" s="64">
        <v>0</v>
      </c>
      <c r="Z1914" s="64">
        <v>0</v>
      </c>
      <c r="AA1914" s="61" t="s">
        <v>4898</v>
      </c>
      <c r="AY1914" s="107">
        <f t="shared" si="16"/>
        <v>78600</v>
      </c>
      <c r="AZ1914" s="107">
        <f>ROUNDDOWN(AY1914+(AY1914*MASTER!$A$2/100),0)</f>
        <v>86460</v>
      </c>
    </row>
    <row r="1915" spans="1:89" x14ac:dyDescent="0.15">
      <c r="A1915" s="60">
        <v>1</v>
      </c>
      <c r="C1915" s="61" t="s">
        <v>309</v>
      </c>
      <c r="F1915" s="61" t="s">
        <v>309</v>
      </c>
      <c r="H1915" s="61" t="s">
        <v>309</v>
      </c>
      <c r="J1915" s="60">
        <v>1</v>
      </c>
      <c r="L1915" s="60">
        <v>0</v>
      </c>
      <c r="M1915" s="61">
        <v>44834</v>
      </c>
      <c r="O1915" s="62" t="s">
        <v>331</v>
      </c>
      <c r="P1915" s="60" t="s">
        <v>26</v>
      </c>
      <c r="Q1915" s="62" t="s">
        <v>46</v>
      </c>
      <c r="R1915" s="62" t="s">
        <v>5240</v>
      </c>
      <c r="S1915" s="63" t="s">
        <v>712</v>
      </c>
      <c r="T1915" s="63" t="s">
        <v>1524</v>
      </c>
      <c r="U1915" s="64">
        <v>78600</v>
      </c>
      <c r="V1915" s="64">
        <v>86460</v>
      </c>
      <c r="W1915" s="64">
        <v>78600</v>
      </c>
      <c r="X1915" s="64">
        <v>86460</v>
      </c>
      <c r="Y1915" s="64">
        <v>0</v>
      </c>
      <c r="Z1915" s="64">
        <v>0</v>
      </c>
      <c r="AA1915" s="61" t="s">
        <v>4898</v>
      </c>
      <c r="AY1915" s="107">
        <f t="shared" si="16"/>
        <v>78600</v>
      </c>
      <c r="AZ1915" s="107">
        <f>ROUNDDOWN(AY1915+(AY1915*MASTER!$A$2/100),0)</f>
        <v>86460</v>
      </c>
    </row>
    <row r="1916" spans="1:89" x14ac:dyDescent="0.15">
      <c r="A1916" s="60">
        <v>1</v>
      </c>
      <c r="C1916" s="61" t="s">
        <v>309</v>
      </c>
      <c r="F1916" s="61" t="s">
        <v>309</v>
      </c>
      <c r="H1916" s="61" t="s">
        <v>309</v>
      </c>
      <c r="J1916" s="60">
        <v>1</v>
      </c>
      <c r="L1916" s="60">
        <v>0</v>
      </c>
      <c r="M1916" s="61">
        <v>44834</v>
      </c>
      <c r="O1916" s="62" t="s">
        <v>331</v>
      </c>
      <c r="P1916" s="60" t="s">
        <v>26</v>
      </c>
      <c r="Q1916" s="62" t="s">
        <v>46</v>
      </c>
      <c r="R1916" s="62" t="s">
        <v>5241</v>
      </c>
      <c r="S1916" s="63" t="s">
        <v>1339</v>
      </c>
      <c r="T1916" s="63" t="s">
        <v>1524</v>
      </c>
      <c r="U1916" s="64">
        <v>78600</v>
      </c>
      <c r="V1916" s="64">
        <v>86460</v>
      </c>
      <c r="W1916" s="64">
        <v>78600</v>
      </c>
      <c r="X1916" s="64">
        <v>86460</v>
      </c>
      <c r="Y1916" s="64">
        <v>0</v>
      </c>
      <c r="Z1916" s="64">
        <v>0</v>
      </c>
      <c r="AA1916" s="61" t="s">
        <v>4898</v>
      </c>
      <c r="AY1916" s="107">
        <f t="shared" si="16"/>
        <v>78600</v>
      </c>
      <c r="AZ1916" s="107">
        <f>ROUNDDOWN(AY1916+(AY1916*MASTER!$A$2/100),0)</f>
        <v>86460</v>
      </c>
    </row>
    <row r="1917" spans="1:89" x14ac:dyDescent="0.15">
      <c r="A1917" s="60">
        <v>1</v>
      </c>
      <c r="C1917" s="61" t="s">
        <v>309</v>
      </c>
      <c r="F1917" s="61" t="s">
        <v>309</v>
      </c>
      <c r="H1917" s="61" t="s">
        <v>309</v>
      </c>
      <c r="J1917" s="60">
        <v>1</v>
      </c>
      <c r="L1917" s="60">
        <v>0</v>
      </c>
      <c r="M1917" s="61">
        <v>44834</v>
      </c>
      <c r="O1917" s="62" t="s">
        <v>331</v>
      </c>
      <c r="P1917" s="60" t="s">
        <v>26</v>
      </c>
      <c r="Q1917" s="62" t="s">
        <v>46</v>
      </c>
      <c r="R1917" s="62" t="s">
        <v>5242</v>
      </c>
      <c r="S1917" s="63" t="s">
        <v>1387</v>
      </c>
      <c r="T1917" s="63" t="s">
        <v>1524</v>
      </c>
      <c r="U1917" s="64">
        <v>78600</v>
      </c>
      <c r="V1917" s="64">
        <v>86460</v>
      </c>
      <c r="W1917" s="64">
        <v>78600</v>
      </c>
      <c r="X1917" s="64">
        <v>86460</v>
      </c>
      <c r="Y1917" s="64">
        <v>0</v>
      </c>
      <c r="Z1917" s="64">
        <v>0</v>
      </c>
      <c r="AA1917" s="61" t="s">
        <v>4898</v>
      </c>
      <c r="AY1917" s="107">
        <f t="shared" si="16"/>
        <v>78600</v>
      </c>
      <c r="AZ1917" s="107">
        <f>ROUNDDOWN(AY1917+(AY1917*MASTER!$A$2/100),0)</f>
        <v>86460</v>
      </c>
    </row>
    <row r="1918" spans="1:89" x14ac:dyDescent="0.15">
      <c r="A1918" s="60">
        <v>1</v>
      </c>
      <c r="C1918" s="61" t="s">
        <v>309</v>
      </c>
      <c r="F1918" s="61" t="s">
        <v>309</v>
      </c>
      <c r="H1918" s="61" t="s">
        <v>309</v>
      </c>
      <c r="J1918" s="60">
        <v>1</v>
      </c>
      <c r="L1918" s="60">
        <v>0</v>
      </c>
      <c r="M1918" s="61">
        <v>44834</v>
      </c>
      <c r="O1918" s="62" t="s">
        <v>331</v>
      </c>
      <c r="P1918" s="60" t="s">
        <v>26</v>
      </c>
      <c r="Q1918" s="62" t="s">
        <v>46</v>
      </c>
      <c r="R1918" s="62" t="s">
        <v>5243</v>
      </c>
      <c r="S1918" s="63" t="s">
        <v>2629</v>
      </c>
      <c r="T1918" s="63" t="s">
        <v>1524</v>
      </c>
      <c r="U1918" s="64">
        <v>78600</v>
      </c>
      <c r="V1918" s="64">
        <v>86460</v>
      </c>
      <c r="W1918" s="64">
        <v>78600</v>
      </c>
      <c r="X1918" s="64">
        <v>86460</v>
      </c>
      <c r="Y1918" s="64">
        <v>0</v>
      </c>
      <c r="Z1918" s="64">
        <v>0</v>
      </c>
      <c r="AA1918" s="61" t="s">
        <v>4898</v>
      </c>
      <c r="AY1918" s="107">
        <f t="shared" si="16"/>
        <v>78600</v>
      </c>
      <c r="AZ1918" s="107">
        <f>ROUNDDOWN(AY1918+(AY1918*MASTER!$A$2/100),0)</f>
        <v>86460</v>
      </c>
    </row>
    <row r="1919" spans="1:89" x14ac:dyDescent="0.15">
      <c r="A1919" s="60">
        <v>1</v>
      </c>
      <c r="C1919" s="61" t="s">
        <v>309</v>
      </c>
      <c r="F1919" s="61" t="s">
        <v>309</v>
      </c>
      <c r="H1919" s="61" t="s">
        <v>309</v>
      </c>
      <c r="J1919" s="60">
        <v>1</v>
      </c>
      <c r="L1919" s="60">
        <v>0</v>
      </c>
      <c r="M1919" s="61">
        <v>44834</v>
      </c>
      <c r="O1919" s="62" t="s">
        <v>331</v>
      </c>
      <c r="P1919" s="60" t="s">
        <v>26</v>
      </c>
      <c r="Q1919" s="62" t="s">
        <v>46</v>
      </c>
      <c r="R1919" s="62" t="s">
        <v>5244</v>
      </c>
      <c r="S1919" s="63" t="s">
        <v>3119</v>
      </c>
      <c r="T1919" s="63" t="s">
        <v>1524</v>
      </c>
      <c r="U1919" s="64">
        <v>78600</v>
      </c>
      <c r="V1919" s="64">
        <v>86460</v>
      </c>
      <c r="W1919" s="64">
        <v>78600</v>
      </c>
      <c r="X1919" s="64">
        <v>86460</v>
      </c>
      <c r="Y1919" s="64">
        <v>0</v>
      </c>
      <c r="Z1919" s="64">
        <v>0</v>
      </c>
      <c r="AA1919" s="61" t="s">
        <v>4898</v>
      </c>
      <c r="AY1919" s="107">
        <f t="shared" si="16"/>
        <v>78600</v>
      </c>
      <c r="AZ1919" s="107">
        <f>ROUNDDOWN(AY1919+(AY1919*MASTER!$A$2/100),0)</f>
        <v>86460</v>
      </c>
    </row>
    <row r="1920" spans="1:89" x14ac:dyDescent="0.15">
      <c r="A1920" s="60">
        <v>1</v>
      </c>
      <c r="C1920" s="61" t="s">
        <v>309</v>
      </c>
      <c r="F1920" s="61" t="s">
        <v>309</v>
      </c>
      <c r="H1920" s="61" t="s">
        <v>309</v>
      </c>
      <c r="J1920" s="60">
        <v>1</v>
      </c>
      <c r="L1920" s="60">
        <v>0</v>
      </c>
      <c r="M1920" s="61">
        <v>44834</v>
      </c>
      <c r="O1920" s="62" t="s">
        <v>331</v>
      </c>
      <c r="P1920" s="60" t="s">
        <v>26</v>
      </c>
      <c r="Q1920" s="62" t="s">
        <v>46</v>
      </c>
      <c r="R1920" s="62" t="s">
        <v>5245</v>
      </c>
      <c r="S1920" s="63" t="s">
        <v>3783</v>
      </c>
      <c r="T1920" s="63" t="s">
        <v>1524</v>
      </c>
      <c r="U1920" s="64">
        <v>78600</v>
      </c>
      <c r="V1920" s="64">
        <v>86460</v>
      </c>
      <c r="W1920" s="64">
        <v>78600</v>
      </c>
      <c r="X1920" s="64">
        <v>86460</v>
      </c>
      <c r="Y1920" s="64">
        <v>0</v>
      </c>
      <c r="Z1920" s="64">
        <v>0</v>
      </c>
      <c r="AA1920" s="61" t="s">
        <v>4898</v>
      </c>
      <c r="AY1920" s="107">
        <f t="shared" si="16"/>
        <v>78600</v>
      </c>
      <c r="AZ1920" s="107">
        <f>ROUNDDOWN(AY1920+(AY1920*MASTER!$A$2/100),0)</f>
        <v>86460</v>
      </c>
    </row>
    <row r="1921" spans="1:52" x14ac:dyDescent="0.15">
      <c r="A1921" s="60">
        <v>1</v>
      </c>
      <c r="C1921" s="61" t="s">
        <v>309</v>
      </c>
      <c r="F1921" s="61" t="s">
        <v>309</v>
      </c>
      <c r="H1921" s="61" t="s">
        <v>309</v>
      </c>
      <c r="J1921" s="60">
        <v>1</v>
      </c>
      <c r="L1921" s="60">
        <v>0</v>
      </c>
      <c r="M1921" s="61">
        <v>44834</v>
      </c>
      <c r="O1921" s="62" t="s">
        <v>331</v>
      </c>
      <c r="P1921" s="60" t="s">
        <v>26</v>
      </c>
      <c r="Q1921" s="62" t="s">
        <v>46</v>
      </c>
      <c r="R1921" s="62" t="s">
        <v>5246</v>
      </c>
      <c r="S1921" s="63" t="s">
        <v>501</v>
      </c>
      <c r="T1921" s="63" t="s">
        <v>1524</v>
      </c>
      <c r="U1921" s="64">
        <v>78600</v>
      </c>
      <c r="V1921" s="64">
        <v>86460</v>
      </c>
      <c r="W1921" s="64">
        <v>78600</v>
      </c>
      <c r="X1921" s="64">
        <v>86460</v>
      </c>
      <c r="Y1921" s="64">
        <v>0</v>
      </c>
      <c r="Z1921" s="64">
        <v>0</v>
      </c>
      <c r="AA1921" s="61" t="s">
        <v>4898</v>
      </c>
      <c r="AY1921" s="107">
        <f t="shared" si="16"/>
        <v>78600</v>
      </c>
      <c r="AZ1921" s="107">
        <f>ROUNDDOWN(AY1921+(AY1921*MASTER!$A$2/100),0)</f>
        <v>86460</v>
      </c>
    </row>
    <row r="1922" spans="1:52" x14ac:dyDescent="0.15">
      <c r="A1922" s="60">
        <v>1</v>
      </c>
      <c r="C1922" s="61" t="s">
        <v>309</v>
      </c>
      <c r="F1922" s="61" t="s">
        <v>309</v>
      </c>
      <c r="H1922" s="61" t="s">
        <v>309</v>
      </c>
      <c r="J1922" s="60">
        <v>1</v>
      </c>
      <c r="L1922" s="60">
        <v>0</v>
      </c>
      <c r="M1922" s="61">
        <v>44834</v>
      </c>
      <c r="O1922" s="62" t="s">
        <v>331</v>
      </c>
      <c r="P1922" s="60" t="s">
        <v>26</v>
      </c>
      <c r="Q1922" s="62" t="s">
        <v>46</v>
      </c>
      <c r="R1922" s="62" t="s">
        <v>5247</v>
      </c>
      <c r="S1922" s="63" t="s">
        <v>1647</v>
      </c>
      <c r="T1922" s="63" t="s">
        <v>1524</v>
      </c>
      <c r="U1922" s="64">
        <v>78600</v>
      </c>
      <c r="V1922" s="64">
        <v>86460</v>
      </c>
      <c r="W1922" s="64">
        <v>78600</v>
      </c>
      <c r="X1922" s="64">
        <v>86460</v>
      </c>
      <c r="Y1922" s="64">
        <v>0</v>
      </c>
      <c r="Z1922" s="64">
        <v>0</v>
      </c>
      <c r="AA1922" s="61" t="s">
        <v>4898</v>
      </c>
      <c r="AY1922" s="107">
        <f t="shared" si="16"/>
        <v>78600</v>
      </c>
      <c r="AZ1922" s="107">
        <f>ROUNDDOWN(AY1922+(AY1922*MASTER!$A$2/100),0)</f>
        <v>86460</v>
      </c>
    </row>
    <row r="1923" spans="1:52" x14ac:dyDescent="0.15">
      <c r="A1923" s="60">
        <v>1</v>
      </c>
      <c r="C1923" s="61" t="s">
        <v>309</v>
      </c>
      <c r="F1923" s="61" t="s">
        <v>309</v>
      </c>
      <c r="H1923" s="61" t="s">
        <v>309</v>
      </c>
      <c r="J1923" s="60">
        <v>1</v>
      </c>
      <c r="L1923" s="60">
        <v>0</v>
      </c>
      <c r="M1923" s="61">
        <v>44834</v>
      </c>
      <c r="O1923" s="62" t="s">
        <v>331</v>
      </c>
      <c r="P1923" s="60" t="s">
        <v>26</v>
      </c>
      <c r="Q1923" s="62" t="s">
        <v>46</v>
      </c>
      <c r="R1923" s="62" t="s">
        <v>5248</v>
      </c>
      <c r="S1923" s="63" t="s">
        <v>696</v>
      </c>
      <c r="T1923" s="63" t="s">
        <v>1524</v>
      </c>
      <c r="U1923" s="64">
        <v>78600</v>
      </c>
      <c r="V1923" s="64">
        <v>86460</v>
      </c>
      <c r="W1923" s="64">
        <v>78600</v>
      </c>
      <c r="X1923" s="64">
        <v>86460</v>
      </c>
      <c r="Y1923" s="64">
        <v>0</v>
      </c>
      <c r="Z1923" s="64">
        <v>0</v>
      </c>
      <c r="AA1923" s="61" t="s">
        <v>4898</v>
      </c>
      <c r="AY1923" s="107">
        <f t="shared" si="16"/>
        <v>78600</v>
      </c>
      <c r="AZ1923" s="107">
        <f>ROUNDDOWN(AY1923+(AY1923*MASTER!$A$2/100),0)</f>
        <v>86460</v>
      </c>
    </row>
    <row r="1924" spans="1:52" x14ac:dyDescent="0.15">
      <c r="A1924" s="60">
        <v>1</v>
      </c>
      <c r="C1924" s="61" t="s">
        <v>309</v>
      </c>
      <c r="F1924" s="61" t="s">
        <v>309</v>
      </c>
      <c r="H1924" s="61" t="s">
        <v>309</v>
      </c>
      <c r="J1924" s="60">
        <v>1</v>
      </c>
      <c r="L1924" s="60">
        <v>0</v>
      </c>
      <c r="M1924" s="61">
        <v>44834</v>
      </c>
      <c r="O1924" s="62" t="s">
        <v>331</v>
      </c>
      <c r="P1924" s="60" t="s">
        <v>26</v>
      </c>
      <c r="Q1924" s="62" t="s">
        <v>46</v>
      </c>
      <c r="R1924" s="62" t="s">
        <v>5249</v>
      </c>
      <c r="S1924" s="63" t="s">
        <v>840</v>
      </c>
      <c r="T1924" s="63" t="s">
        <v>1524</v>
      </c>
      <c r="U1924" s="64">
        <v>78600</v>
      </c>
      <c r="V1924" s="64">
        <v>86460</v>
      </c>
      <c r="W1924" s="64">
        <v>78600</v>
      </c>
      <c r="X1924" s="64">
        <v>86460</v>
      </c>
      <c r="Y1924" s="64">
        <v>0</v>
      </c>
      <c r="Z1924" s="64">
        <v>0</v>
      </c>
      <c r="AA1924" s="61" t="s">
        <v>4898</v>
      </c>
      <c r="AY1924" s="107">
        <f t="shared" si="16"/>
        <v>78600</v>
      </c>
      <c r="AZ1924" s="107">
        <f>ROUNDDOWN(AY1924+(AY1924*MASTER!$A$2/100),0)</f>
        <v>86460</v>
      </c>
    </row>
    <row r="1925" spans="1:52" x14ac:dyDescent="0.15">
      <c r="A1925" s="60">
        <v>1</v>
      </c>
      <c r="C1925" s="61" t="s">
        <v>309</v>
      </c>
      <c r="F1925" s="61" t="s">
        <v>309</v>
      </c>
      <c r="H1925" s="61" t="s">
        <v>309</v>
      </c>
      <c r="J1925" s="60">
        <v>1</v>
      </c>
      <c r="L1925" s="60">
        <v>0</v>
      </c>
      <c r="M1925" s="61">
        <v>44834</v>
      </c>
      <c r="O1925" s="62" t="s">
        <v>331</v>
      </c>
      <c r="P1925" s="60" t="s">
        <v>26</v>
      </c>
      <c r="Q1925" s="62" t="s">
        <v>46</v>
      </c>
      <c r="R1925" s="62" t="s">
        <v>5250</v>
      </c>
      <c r="S1925" s="63" t="s">
        <v>1315</v>
      </c>
      <c r="T1925" s="63" t="s">
        <v>1524</v>
      </c>
      <c r="U1925" s="64">
        <v>78600</v>
      </c>
      <c r="V1925" s="64">
        <v>86460</v>
      </c>
      <c r="W1925" s="64">
        <v>78600</v>
      </c>
      <c r="X1925" s="64">
        <v>86460</v>
      </c>
      <c r="Y1925" s="64">
        <v>0</v>
      </c>
      <c r="Z1925" s="64">
        <v>0</v>
      </c>
      <c r="AA1925" s="61" t="s">
        <v>4898</v>
      </c>
      <c r="AY1925" s="107">
        <f t="shared" si="16"/>
        <v>78600</v>
      </c>
      <c r="AZ1925" s="107">
        <f>ROUNDDOWN(AY1925+(AY1925*MASTER!$A$2/100),0)</f>
        <v>86460</v>
      </c>
    </row>
    <row r="1926" spans="1:52" x14ac:dyDescent="0.15">
      <c r="A1926" s="60">
        <v>1</v>
      </c>
      <c r="C1926" s="61" t="s">
        <v>309</v>
      </c>
      <c r="F1926" s="61" t="s">
        <v>309</v>
      </c>
      <c r="H1926" s="61" t="s">
        <v>309</v>
      </c>
      <c r="J1926" s="60">
        <v>1</v>
      </c>
      <c r="L1926" s="60">
        <v>0</v>
      </c>
      <c r="M1926" s="61">
        <v>44834</v>
      </c>
      <c r="O1926" s="62" t="s">
        <v>331</v>
      </c>
      <c r="P1926" s="60" t="s">
        <v>26</v>
      </c>
      <c r="Q1926" s="62" t="s">
        <v>46</v>
      </c>
      <c r="R1926" s="62" t="s">
        <v>5251</v>
      </c>
      <c r="S1926" s="63" t="s">
        <v>801</v>
      </c>
      <c r="T1926" s="63" t="s">
        <v>1524</v>
      </c>
      <c r="U1926" s="64">
        <v>78600</v>
      </c>
      <c r="V1926" s="64">
        <v>86460</v>
      </c>
      <c r="W1926" s="64">
        <v>78600</v>
      </c>
      <c r="X1926" s="64">
        <v>86460</v>
      </c>
      <c r="Y1926" s="64">
        <v>0</v>
      </c>
      <c r="Z1926" s="64">
        <v>0</v>
      </c>
      <c r="AA1926" s="61" t="s">
        <v>4898</v>
      </c>
      <c r="AY1926" s="107">
        <f t="shared" si="16"/>
        <v>78600</v>
      </c>
      <c r="AZ1926" s="107">
        <f>ROUNDDOWN(AY1926+(AY1926*MASTER!$A$2/100),0)</f>
        <v>86460</v>
      </c>
    </row>
    <row r="1927" spans="1:52" x14ac:dyDescent="0.15">
      <c r="A1927" s="60">
        <v>1</v>
      </c>
      <c r="C1927" s="61" t="s">
        <v>309</v>
      </c>
      <c r="F1927" s="61" t="s">
        <v>309</v>
      </c>
      <c r="H1927" s="61" t="s">
        <v>309</v>
      </c>
      <c r="J1927" s="60">
        <v>1</v>
      </c>
      <c r="L1927" s="60">
        <v>0</v>
      </c>
      <c r="M1927" s="61">
        <v>44834</v>
      </c>
      <c r="O1927" s="62" t="s">
        <v>331</v>
      </c>
      <c r="P1927" s="60" t="s">
        <v>26</v>
      </c>
      <c r="Q1927" s="62" t="s">
        <v>46</v>
      </c>
      <c r="R1927" s="62" t="s">
        <v>5252</v>
      </c>
      <c r="S1927" s="63" t="s">
        <v>700</v>
      </c>
      <c r="T1927" s="63" t="s">
        <v>1524</v>
      </c>
      <c r="U1927" s="64">
        <v>78600</v>
      </c>
      <c r="V1927" s="64">
        <v>86460</v>
      </c>
      <c r="W1927" s="64">
        <v>78600</v>
      </c>
      <c r="X1927" s="64">
        <v>86460</v>
      </c>
      <c r="Y1927" s="64">
        <v>0</v>
      </c>
      <c r="Z1927" s="64">
        <v>0</v>
      </c>
      <c r="AA1927" s="61" t="s">
        <v>4898</v>
      </c>
      <c r="AY1927" s="107">
        <f t="shared" si="16"/>
        <v>78600</v>
      </c>
      <c r="AZ1927" s="107">
        <f>ROUNDDOWN(AY1927+(AY1927*MASTER!$A$2/100),0)</f>
        <v>86460</v>
      </c>
    </row>
    <row r="1928" spans="1:52" x14ac:dyDescent="0.15">
      <c r="A1928" s="60">
        <v>1</v>
      </c>
      <c r="C1928" s="61" t="s">
        <v>309</v>
      </c>
      <c r="F1928" s="61" t="s">
        <v>309</v>
      </c>
      <c r="H1928" s="61" t="s">
        <v>309</v>
      </c>
      <c r="J1928" s="60">
        <v>1</v>
      </c>
      <c r="L1928" s="60">
        <v>0</v>
      </c>
      <c r="M1928" s="61">
        <v>44834</v>
      </c>
      <c r="O1928" s="62" t="s">
        <v>331</v>
      </c>
      <c r="P1928" s="60" t="s">
        <v>26</v>
      </c>
      <c r="Q1928" s="62" t="s">
        <v>46</v>
      </c>
      <c r="R1928" s="62" t="s">
        <v>5253</v>
      </c>
      <c r="S1928" s="63" t="s">
        <v>497</v>
      </c>
      <c r="T1928" s="63" t="s">
        <v>1524</v>
      </c>
      <c r="U1928" s="64">
        <v>78600</v>
      </c>
      <c r="V1928" s="64">
        <v>86460</v>
      </c>
      <c r="W1928" s="64">
        <v>78600</v>
      </c>
      <c r="X1928" s="64">
        <v>86460</v>
      </c>
      <c r="Y1928" s="64">
        <v>0</v>
      </c>
      <c r="Z1928" s="64">
        <v>0</v>
      </c>
      <c r="AA1928" s="61" t="s">
        <v>4898</v>
      </c>
      <c r="AY1928" s="107">
        <f t="shared" si="16"/>
        <v>78600</v>
      </c>
      <c r="AZ1928" s="107">
        <f>ROUNDDOWN(AY1928+(AY1928*MASTER!$A$2/100),0)</f>
        <v>86460</v>
      </c>
    </row>
    <row r="1929" spans="1:52" x14ac:dyDescent="0.15">
      <c r="A1929" s="60">
        <v>1</v>
      </c>
      <c r="C1929" s="61" t="s">
        <v>309</v>
      </c>
      <c r="F1929" s="61" t="s">
        <v>309</v>
      </c>
      <c r="H1929" s="61" t="s">
        <v>309</v>
      </c>
      <c r="J1929" s="60">
        <v>1</v>
      </c>
      <c r="L1929" s="60">
        <v>0</v>
      </c>
      <c r="M1929" s="61">
        <v>44834</v>
      </c>
      <c r="O1929" s="62" t="s">
        <v>331</v>
      </c>
      <c r="P1929" s="60" t="s">
        <v>26</v>
      </c>
      <c r="Q1929" s="62" t="s">
        <v>46</v>
      </c>
      <c r="R1929" s="62" t="s">
        <v>5254</v>
      </c>
      <c r="S1929" s="63" t="s">
        <v>563</v>
      </c>
      <c r="T1929" s="63" t="s">
        <v>1524</v>
      </c>
      <c r="U1929" s="64">
        <v>78600</v>
      </c>
      <c r="V1929" s="64">
        <v>86460</v>
      </c>
      <c r="W1929" s="64">
        <v>78600</v>
      </c>
      <c r="X1929" s="64">
        <v>86460</v>
      </c>
      <c r="Y1929" s="64">
        <v>0</v>
      </c>
      <c r="Z1929" s="64">
        <v>0</v>
      </c>
      <c r="AA1929" s="61" t="s">
        <v>4898</v>
      </c>
      <c r="AY1929" s="107">
        <f t="shared" si="16"/>
        <v>78600</v>
      </c>
      <c r="AZ1929" s="107">
        <f>ROUNDDOWN(AY1929+(AY1929*MASTER!$A$2/100),0)</f>
        <v>86460</v>
      </c>
    </row>
    <row r="1930" spans="1:52" x14ac:dyDescent="0.15">
      <c r="A1930" s="60">
        <v>1</v>
      </c>
      <c r="C1930" s="61" t="s">
        <v>309</v>
      </c>
      <c r="F1930" s="61" t="s">
        <v>309</v>
      </c>
      <c r="H1930" s="61" t="s">
        <v>309</v>
      </c>
      <c r="J1930" s="60">
        <v>1</v>
      </c>
      <c r="L1930" s="60">
        <v>0</v>
      </c>
      <c r="M1930" s="61">
        <v>44834</v>
      </c>
      <c r="O1930" s="62" t="s">
        <v>331</v>
      </c>
      <c r="P1930" s="60" t="s">
        <v>26</v>
      </c>
      <c r="Q1930" s="62" t="s">
        <v>46</v>
      </c>
      <c r="R1930" s="62" t="s">
        <v>5255</v>
      </c>
      <c r="S1930" s="63" t="s">
        <v>623</v>
      </c>
      <c r="T1930" s="63" t="s">
        <v>1524</v>
      </c>
      <c r="U1930" s="64">
        <v>78600</v>
      </c>
      <c r="V1930" s="64">
        <v>86460</v>
      </c>
      <c r="W1930" s="64">
        <v>78600</v>
      </c>
      <c r="X1930" s="64">
        <v>86460</v>
      </c>
      <c r="Y1930" s="64">
        <v>0</v>
      </c>
      <c r="Z1930" s="64">
        <v>0</v>
      </c>
      <c r="AA1930" s="61" t="s">
        <v>4898</v>
      </c>
      <c r="AY1930" s="107">
        <f t="shared" si="16"/>
        <v>78600</v>
      </c>
      <c r="AZ1930" s="107">
        <f>ROUNDDOWN(AY1930+(AY1930*MASTER!$A$2/100),0)</f>
        <v>86460</v>
      </c>
    </row>
    <row r="1931" spans="1:52" x14ac:dyDescent="0.15">
      <c r="A1931" s="60">
        <v>1</v>
      </c>
      <c r="C1931" s="61" t="s">
        <v>309</v>
      </c>
      <c r="F1931" s="61" t="s">
        <v>309</v>
      </c>
      <c r="H1931" s="61" t="s">
        <v>309</v>
      </c>
      <c r="J1931" s="60">
        <v>1</v>
      </c>
      <c r="L1931" s="60">
        <v>0</v>
      </c>
      <c r="M1931" s="61">
        <v>44834</v>
      </c>
      <c r="O1931" s="62" t="s">
        <v>331</v>
      </c>
      <c r="P1931" s="60" t="s">
        <v>26</v>
      </c>
      <c r="Q1931" s="62" t="s">
        <v>46</v>
      </c>
      <c r="R1931" s="62" t="s">
        <v>5256</v>
      </c>
      <c r="S1931" s="63" t="s">
        <v>2029</v>
      </c>
      <c r="T1931" s="63" t="s">
        <v>1524</v>
      </c>
      <c r="U1931" s="64">
        <v>78600</v>
      </c>
      <c r="V1931" s="64">
        <v>86460</v>
      </c>
      <c r="W1931" s="64">
        <v>78600</v>
      </c>
      <c r="X1931" s="64">
        <v>86460</v>
      </c>
      <c r="Y1931" s="64">
        <v>0</v>
      </c>
      <c r="Z1931" s="64">
        <v>0</v>
      </c>
      <c r="AA1931" s="61" t="s">
        <v>4898</v>
      </c>
      <c r="AY1931" s="107">
        <f t="shared" si="16"/>
        <v>78600</v>
      </c>
      <c r="AZ1931" s="107">
        <f>ROUNDDOWN(AY1931+(AY1931*MASTER!$A$2/100),0)</f>
        <v>86460</v>
      </c>
    </row>
    <row r="1932" spans="1:52" x14ac:dyDescent="0.15">
      <c r="A1932" s="60">
        <v>1</v>
      </c>
      <c r="C1932" s="61" t="s">
        <v>309</v>
      </c>
      <c r="F1932" s="61" t="s">
        <v>309</v>
      </c>
      <c r="H1932" s="61" t="s">
        <v>309</v>
      </c>
      <c r="J1932" s="60">
        <v>1</v>
      </c>
      <c r="L1932" s="60">
        <v>0</v>
      </c>
      <c r="M1932" s="61">
        <v>44834</v>
      </c>
      <c r="O1932" s="62" t="s">
        <v>331</v>
      </c>
      <c r="P1932" s="60" t="s">
        <v>26</v>
      </c>
      <c r="Q1932" s="62" t="s">
        <v>46</v>
      </c>
      <c r="R1932" s="62" t="s">
        <v>5257</v>
      </c>
      <c r="S1932" s="63" t="s">
        <v>630</v>
      </c>
      <c r="T1932" s="63" t="s">
        <v>1524</v>
      </c>
      <c r="U1932" s="64">
        <v>78600</v>
      </c>
      <c r="V1932" s="64">
        <v>86460</v>
      </c>
      <c r="W1932" s="64">
        <v>78600</v>
      </c>
      <c r="X1932" s="64">
        <v>86460</v>
      </c>
      <c r="Y1932" s="64">
        <v>0</v>
      </c>
      <c r="Z1932" s="64">
        <v>0</v>
      </c>
      <c r="AA1932" s="61" t="s">
        <v>4898</v>
      </c>
      <c r="AY1932" s="107">
        <f t="shared" si="16"/>
        <v>78600</v>
      </c>
      <c r="AZ1932" s="107">
        <f>ROUNDDOWN(AY1932+(AY1932*MASTER!$A$2/100),0)</f>
        <v>86460</v>
      </c>
    </row>
    <row r="1933" spans="1:52" x14ac:dyDescent="0.15">
      <c r="A1933" s="60">
        <v>1</v>
      </c>
      <c r="C1933" s="61" t="s">
        <v>309</v>
      </c>
      <c r="F1933" s="61" t="s">
        <v>309</v>
      </c>
      <c r="H1933" s="61" t="s">
        <v>309</v>
      </c>
      <c r="J1933" s="60">
        <v>1</v>
      </c>
      <c r="L1933" s="60">
        <v>0</v>
      </c>
      <c r="M1933" s="61">
        <v>44834</v>
      </c>
      <c r="O1933" s="62" t="s">
        <v>331</v>
      </c>
      <c r="P1933" s="60" t="s">
        <v>26</v>
      </c>
      <c r="Q1933" s="62" t="s">
        <v>46</v>
      </c>
      <c r="R1933" s="62" t="s">
        <v>5258</v>
      </c>
      <c r="S1933" s="63" t="s">
        <v>2378</v>
      </c>
      <c r="T1933" s="63" t="s">
        <v>1524</v>
      </c>
      <c r="U1933" s="64">
        <v>78600</v>
      </c>
      <c r="V1933" s="64">
        <v>86460</v>
      </c>
      <c r="W1933" s="64">
        <v>78600</v>
      </c>
      <c r="X1933" s="64">
        <v>86460</v>
      </c>
      <c r="Y1933" s="64">
        <v>0</v>
      </c>
      <c r="Z1933" s="64">
        <v>0</v>
      </c>
      <c r="AA1933" s="61" t="s">
        <v>4898</v>
      </c>
      <c r="AY1933" s="107">
        <f t="shared" si="16"/>
        <v>78600</v>
      </c>
      <c r="AZ1933" s="107">
        <f>ROUNDDOWN(AY1933+(AY1933*MASTER!$A$2/100),0)</f>
        <v>86460</v>
      </c>
    </row>
    <row r="1934" spans="1:52" x14ac:dyDescent="0.15">
      <c r="A1934" s="60">
        <v>1</v>
      </c>
      <c r="C1934" s="61" t="s">
        <v>309</v>
      </c>
      <c r="F1934" s="61" t="s">
        <v>309</v>
      </c>
      <c r="H1934" s="61" t="s">
        <v>309</v>
      </c>
      <c r="J1934" s="60">
        <v>1</v>
      </c>
      <c r="L1934" s="60">
        <v>0</v>
      </c>
      <c r="M1934" s="61">
        <v>44834</v>
      </c>
      <c r="O1934" s="62" t="s">
        <v>331</v>
      </c>
      <c r="P1934" s="60" t="s">
        <v>26</v>
      </c>
      <c r="Q1934" s="62" t="s">
        <v>46</v>
      </c>
      <c r="R1934" s="62" t="s">
        <v>5259</v>
      </c>
      <c r="S1934" s="63" t="s">
        <v>4322</v>
      </c>
      <c r="T1934" s="63" t="s">
        <v>1524</v>
      </c>
      <c r="U1934" s="64">
        <v>78600</v>
      </c>
      <c r="V1934" s="64">
        <v>86460</v>
      </c>
      <c r="W1934" s="64">
        <v>78600</v>
      </c>
      <c r="X1934" s="64">
        <v>86460</v>
      </c>
      <c r="Y1934" s="64">
        <v>0</v>
      </c>
      <c r="Z1934" s="64">
        <v>0</v>
      </c>
      <c r="AA1934" s="61" t="s">
        <v>4898</v>
      </c>
      <c r="AY1934" s="107">
        <f t="shared" si="16"/>
        <v>78600</v>
      </c>
      <c r="AZ1934" s="107">
        <f>ROUNDDOWN(AY1934+(AY1934*MASTER!$A$2/100),0)</f>
        <v>86460</v>
      </c>
    </row>
    <row r="1935" spans="1:52" x14ac:dyDescent="0.15">
      <c r="A1935" s="60">
        <v>1</v>
      </c>
      <c r="C1935" s="61" t="s">
        <v>309</v>
      </c>
      <c r="F1935" s="61" t="s">
        <v>309</v>
      </c>
      <c r="H1935" s="61" t="s">
        <v>309</v>
      </c>
      <c r="J1935" s="60">
        <v>1</v>
      </c>
      <c r="L1935" s="60">
        <v>0</v>
      </c>
      <c r="M1935" s="61">
        <v>44834</v>
      </c>
      <c r="O1935" s="62" t="s">
        <v>331</v>
      </c>
      <c r="P1935" s="60" t="s">
        <v>26</v>
      </c>
      <c r="Q1935" s="62" t="s">
        <v>46</v>
      </c>
      <c r="R1935" s="62" t="s">
        <v>5260</v>
      </c>
      <c r="S1935" s="63" t="s">
        <v>1230</v>
      </c>
      <c r="T1935" s="63" t="s">
        <v>1524</v>
      </c>
      <c r="U1935" s="64">
        <v>78600</v>
      </c>
      <c r="V1935" s="64">
        <v>86460</v>
      </c>
      <c r="W1935" s="64">
        <v>78600</v>
      </c>
      <c r="X1935" s="64">
        <v>86460</v>
      </c>
      <c r="Y1935" s="64">
        <v>0</v>
      </c>
      <c r="Z1935" s="64">
        <v>0</v>
      </c>
      <c r="AA1935" s="61" t="s">
        <v>4898</v>
      </c>
      <c r="AY1935" s="107">
        <f t="shared" si="16"/>
        <v>78600</v>
      </c>
      <c r="AZ1935" s="107">
        <f>ROUNDDOWN(AY1935+(AY1935*MASTER!$A$2/100),0)</f>
        <v>86460</v>
      </c>
    </row>
    <row r="1936" spans="1:52" x14ac:dyDescent="0.15">
      <c r="A1936" s="60">
        <v>1</v>
      </c>
      <c r="C1936" s="61" t="s">
        <v>309</v>
      </c>
      <c r="F1936" s="61" t="s">
        <v>309</v>
      </c>
      <c r="H1936" s="61" t="s">
        <v>309</v>
      </c>
      <c r="J1936" s="60">
        <v>1</v>
      </c>
      <c r="L1936" s="60">
        <v>0</v>
      </c>
      <c r="M1936" s="61">
        <v>44834</v>
      </c>
      <c r="O1936" s="62" t="s">
        <v>331</v>
      </c>
      <c r="P1936" s="60" t="s">
        <v>26</v>
      </c>
      <c r="Q1936" s="62" t="s">
        <v>46</v>
      </c>
      <c r="R1936" s="62" t="s">
        <v>5261</v>
      </c>
      <c r="S1936" s="63" t="s">
        <v>4896</v>
      </c>
      <c r="T1936" s="63" t="s">
        <v>1524</v>
      </c>
      <c r="U1936" s="64">
        <v>78600</v>
      </c>
      <c r="V1936" s="64">
        <v>86460</v>
      </c>
      <c r="W1936" s="64">
        <v>78600</v>
      </c>
      <c r="X1936" s="64">
        <v>86460</v>
      </c>
      <c r="Y1936" s="64">
        <v>0</v>
      </c>
      <c r="Z1936" s="64">
        <v>0</v>
      </c>
      <c r="AA1936" s="61" t="s">
        <v>4898</v>
      </c>
      <c r="AY1936" s="107">
        <f t="shared" si="16"/>
        <v>78600</v>
      </c>
      <c r="AZ1936" s="107">
        <f>ROUNDDOWN(AY1936+(AY1936*MASTER!$A$2/100),0)</f>
        <v>86460</v>
      </c>
    </row>
    <row r="1937" spans="1:52" x14ac:dyDescent="0.15">
      <c r="A1937" s="60">
        <v>1</v>
      </c>
      <c r="C1937" s="61" t="s">
        <v>309</v>
      </c>
      <c r="F1937" s="61" t="s">
        <v>309</v>
      </c>
      <c r="H1937" s="61" t="s">
        <v>309</v>
      </c>
      <c r="J1937" s="60">
        <v>1</v>
      </c>
      <c r="L1937" s="60">
        <v>0</v>
      </c>
      <c r="M1937" s="61">
        <v>44834</v>
      </c>
      <c r="O1937" s="62" t="s">
        <v>331</v>
      </c>
      <c r="P1937" s="60" t="s">
        <v>26</v>
      </c>
      <c r="Q1937" s="62" t="s">
        <v>46</v>
      </c>
      <c r="R1937" s="62" t="s">
        <v>5262</v>
      </c>
      <c r="S1937" s="63" t="s">
        <v>5228</v>
      </c>
      <c r="T1937" s="63" t="s">
        <v>1524</v>
      </c>
      <c r="U1937" s="64">
        <v>78600</v>
      </c>
      <c r="V1937" s="64">
        <v>86460</v>
      </c>
      <c r="W1937" s="64">
        <v>78600</v>
      </c>
      <c r="X1937" s="64">
        <v>86460</v>
      </c>
      <c r="Y1937" s="64">
        <v>0</v>
      </c>
      <c r="Z1937" s="64">
        <v>0</v>
      </c>
      <c r="AA1937" s="61" t="s">
        <v>4898</v>
      </c>
      <c r="AY1937" s="107">
        <f t="shared" si="16"/>
        <v>78600</v>
      </c>
      <c r="AZ1937" s="107">
        <f>ROUNDDOWN(AY1937+(AY1937*MASTER!$A$2/100),0)</f>
        <v>86460</v>
      </c>
    </row>
    <row r="1938" spans="1:52" x14ac:dyDescent="0.15">
      <c r="A1938" s="60">
        <v>1</v>
      </c>
      <c r="C1938" s="61" t="s">
        <v>309</v>
      </c>
      <c r="F1938" s="61" t="s">
        <v>309</v>
      </c>
      <c r="H1938" s="61" t="s">
        <v>309</v>
      </c>
      <c r="J1938" s="60">
        <v>1</v>
      </c>
      <c r="L1938" s="60">
        <v>0</v>
      </c>
      <c r="M1938" s="61">
        <v>44834</v>
      </c>
      <c r="O1938" s="62" t="s">
        <v>331</v>
      </c>
      <c r="P1938" s="60" t="s">
        <v>26</v>
      </c>
      <c r="Q1938" s="62" t="s">
        <v>46</v>
      </c>
      <c r="R1938" s="62" t="s">
        <v>5263</v>
      </c>
      <c r="S1938" s="63" t="s">
        <v>889</v>
      </c>
      <c r="T1938" s="63" t="s">
        <v>1524</v>
      </c>
      <c r="U1938" s="64">
        <v>78600</v>
      </c>
      <c r="V1938" s="64">
        <v>86460</v>
      </c>
      <c r="W1938" s="64">
        <v>78600</v>
      </c>
      <c r="X1938" s="64">
        <v>86460</v>
      </c>
      <c r="Y1938" s="64">
        <v>0</v>
      </c>
      <c r="Z1938" s="64">
        <v>0</v>
      </c>
      <c r="AA1938" s="61" t="s">
        <v>4898</v>
      </c>
      <c r="AY1938" s="107">
        <f t="shared" si="16"/>
        <v>78600</v>
      </c>
      <c r="AZ1938" s="107">
        <f>ROUNDDOWN(AY1938+(AY1938*MASTER!$A$2/100),0)</f>
        <v>86460</v>
      </c>
    </row>
    <row r="1939" spans="1:52" x14ac:dyDescent="0.15">
      <c r="A1939" s="60">
        <v>1</v>
      </c>
      <c r="C1939" s="61" t="s">
        <v>309</v>
      </c>
      <c r="F1939" s="61" t="s">
        <v>309</v>
      </c>
      <c r="H1939" s="61" t="s">
        <v>309</v>
      </c>
      <c r="J1939" s="60">
        <v>1</v>
      </c>
      <c r="L1939" s="60">
        <v>0</v>
      </c>
      <c r="M1939" s="61">
        <v>44834</v>
      </c>
      <c r="O1939" s="62" t="s">
        <v>331</v>
      </c>
      <c r="P1939" s="60" t="s">
        <v>26</v>
      </c>
      <c r="Q1939" s="62" t="s">
        <v>46</v>
      </c>
      <c r="R1939" s="62" t="s">
        <v>5264</v>
      </c>
      <c r="S1939" s="63" t="s">
        <v>4088</v>
      </c>
      <c r="T1939" s="63" t="s">
        <v>1524</v>
      </c>
      <c r="U1939" s="64">
        <v>78600</v>
      </c>
      <c r="V1939" s="64">
        <v>86460</v>
      </c>
      <c r="W1939" s="64">
        <v>78600</v>
      </c>
      <c r="X1939" s="64">
        <v>86460</v>
      </c>
      <c r="Y1939" s="64">
        <v>0</v>
      </c>
      <c r="Z1939" s="64">
        <v>0</v>
      </c>
      <c r="AA1939" s="61" t="s">
        <v>4898</v>
      </c>
      <c r="AY1939" s="107">
        <f t="shared" si="16"/>
        <v>78600</v>
      </c>
      <c r="AZ1939" s="107">
        <f>ROUNDDOWN(AY1939+(AY1939*MASTER!$A$2/100),0)</f>
        <v>86460</v>
      </c>
    </row>
    <row r="1940" spans="1:52" x14ac:dyDescent="0.15">
      <c r="A1940" s="60">
        <v>1</v>
      </c>
      <c r="C1940" s="61" t="s">
        <v>309</v>
      </c>
      <c r="F1940" s="61" t="s">
        <v>309</v>
      </c>
      <c r="H1940" s="61" t="s">
        <v>309</v>
      </c>
      <c r="J1940" s="60">
        <v>1</v>
      </c>
      <c r="L1940" s="60">
        <v>0</v>
      </c>
      <c r="M1940" s="61">
        <v>44834</v>
      </c>
      <c r="O1940" s="62" t="s">
        <v>331</v>
      </c>
      <c r="P1940" s="60" t="s">
        <v>26</v>
      </c>
      <c r="Q1940" s="62" t="s">
        <v>46</v>
      </c>
      <c r="R1940" s="62" t="s">
        <v>5265</v>
      </c>
      <c r="S1940" s="63" t="s">
        <v>5229</v>
      </c>
      <c r="T1940" s="63" t="s">
        <v>1524</v>
      </c>
      <c r="U1940" s="64">
        <v>78600</v>
      </c>
      <c r="V1940" s="64">
        <v>86460</v>
      </c>
      <c r="W1940" s="64">
        <v>78600</v>
      </c>
      <c r="X1940" s="64">
        <v>86460</v>
      </c>
      <c r="Y1940" s="64">
        <v>0</v>
      </c>
      <c r="Z1940" s="64">
        <v>0</v>
      </c>
      <c r="AA1940" s="61" t="s">
        <v>4898</v>
      </c>
      <c r="AY1940" s="107">
        <f t="shared" si="16"/>
        <v>78600</v>
      </c>
      <c r="AZ1940" s="107">
        <f>ROUNDDOWN(AY1940+(AY1940*MASTER!$A$2/100),0)</f>
        <v>86460</v>
      </c>
    </row>
    <row r="1941" spans="1:52" x14ac:dyDescent="0.15">
      <c r="A1941" s="60">
        <v>1</v>
      </c>
      <c r="C1941" s="61" t="s">
        <v>309</v>
      </c>
      <c r="F1941" s="61" t="s">
        <v>309</v>
      </c>
      <c r="H1941" s="61" t="s">
        <v>309</v>
      </c>
      <c r="J1941" s="60">
        <v>1</v>
      </c>
      <c r="L1941" s="60">
        <v>0</v>
      </c>
      <c r="M1941" s="61">
        <v>44834</v>
      </c>
      <c r="O1941" s="62" t="s">
        <v>331</v>
      </c>
      <c r="P1941" s="60" t="s">
        <v>26</v>
      </c>
      <c r="Q1941" s="62" t="s">
        <v>46</v>
      </c>
      <c r="R1941" s="62" t="s">
        <v>5266</v>
      </c>
      <c r="S1941" s="63" t="s">
        <v>579</v>
      </c>
      <c r="T1941" s="63" t="s">
        <v>1524</v>
      </c>
      <c r="U1941" s="64">
        <v>78600</v>
      </c>
      <c r="V1941" s="64">
        <v>86460</v>
      </c>
      <c r="W1941" s="64">
        <v>78600</v>
      </c>
      <c r="X1941" s="64">
        <v>86460</v>
      </c>
      <c r="Y1941" s="64">
        <v>0</v>
      </c>
      <c r="Z1941" s="64">
        <v>0</v>
      </c>
      <c r="AA1941" s="61" t="s">
        <v>4898</v>
      </c>
      <c r="AY1941" s="107">
        <f t="shared" si="16"/>
        <v>78600</v>
      </c>
      <c r="AZ1941" s="107">
        <f>ROUNDDOWN(AY1941+(AY1941*MASTER!$A$2/100),0)</f>
        <v>86460</v>
      </c>
    </row>
    <row r="1942" spans="1:52" x14ac:dyDescent="0.15">
      <c r="A1942" s="60">
        <v>1</v>
      </c>
      <c r="C1942" s="61" t="s">
        <v>309</v>
      </c>
      <c r="F1942" s="61" t="s">
        <v>309</v>
      </c>
      <c r="H1942" s="61" t="s">
        <v>309</v>
      </c>
      <c r="J1942" s="60">
        <v>1</v>
      </c>
      <c r="L1942" s="60">
        <v>0</v>
      </c>
      <c r="M1942" s="61">
        <v>44834</v>
      </c>
      <c r="O1942" s="62" t="s">
        <v>331</v>
      </c>
      <c r="P1942" s="60" t="s">
        <v>26</v>
      </c>
      <c r="Q1942" s="62" t="s">
        <v>46</v>
      </c>
      <c r="R1942" s="62" t="s">
        <v>5267</v>
      </c>
      <c r="S1942" s="63" t="s">
        <v>4448</v>
      </c>
      <c r="T1942" s="63" t="s">
        <v>1524</v>
      </c>
      <c r="U1942" s="64">
        <v>78600</v>
      </c>
      <c r="V1942" s="64">
        <v>86460</v>
      </c>
      <c r="W1942" s="64">
        <v>78600</v>
      </c>
      <c r="X1942" s="64">
        <v>86460</v>
      </c>
      <c r="Y1942" s="64">
        <v>0</v>
      </c>
      <c r="Z1942" s="64">
        <v>0</v>
      </c>
      <c r="AA1942" s="61" t="s">
        <v>4898</v>
      </c>
      <c r="AY1942" s="107">
        <f t="shared" si="16"/>
        <v>78600</v>
      </c>
      <c r="AZ1942" s="107">
        <f>ROUNDDOWN(AY1942+(AY1942*MASTER!$A$2/100),0)</f>
        <v>86460</v>
      </c>
    </row>
    <row r="1943" spans="1:52" x14ac:dyDescent="0.15">
      <c r="A1943" s="60">
        <v>1</v>
      </c>
      <c r="C1943" s="61" t="s">
        <v>309</v>
      </c>
      <c r="F1943" s="61" t="s">
        <v>309</v>
      </c>
      <c r="H1943" s="61" t="s">
        <v>309</v>
      </c>
      <c r="J1943" s="60">
        <v>1</v>
      </c>
      <c r="L1943" s="60">
        <v>0</v>
      </c>
      <c r="M1943" s="61">
        <v>44834</v>
      </c>
      <c r="O1943" s="62" t="s">
        <v>331</v>
      </c>
      <c r="P1943" s="60" t="s">
        <v>26</v>
      </c>
      <c r="Q1943" s="62" t="s">
        <v>46</v>
      </c>
      <c r="R1943" s="62" t="s">
        <v>5268</v>
      </c>
      <c r="S1943" s="63" t="s">
        <v>5230</v>
      </c>
      <c r="T1943" s="63" t="s">
        <v>1524</v>
      </c>
      <c r="U1943" s="64">
        <v>78600</v>
      </c>
      <c r="V1943" s="64">
        <v>86460</v>
      </c>
      <c r="W1943" s="64">
        <v>78600</v>
      </c>
      <c r="X1943" s="64">
        <v>86460</v>
      </c>
      <c r="Y1943" s="64">
        <v>0</v>
      </c>
      <c r="Z1943" s="64">
        <v>0</v>
      </c>
      <c r="AA1943" s="61" t="s">
        <v>4898</v>
      </c>
      <c r="AY1943" s="107">
        <f t="shared" si="16"/>
        <v>78600</v>
      </c>
      <c r="AZ1943" s="107">
        <f>ROUNDDOWN(AY1943+(AY1943*MASTER!$A$2/100),0)</f>
        <v>86460</v>
      </c>
    </row>
    <row r="1944" spans="1:52" x14ac:dyDescent="0.15">
      <c r="A1944" s="60">
        <v>1</v>
      </c>
      <c r="C1944" s="61" t="s">
        <v>309</v>
      </c>
      <c r="F1944" s="61" t="s">
        <v>309</v>
      </c>
      <c r="H1944" s="61" t="s">
        <v>309</v>
      </c>
      <c r="J1944" s="60">
        <v>1</v>
      </c>
      <c r="L1944" s="60">
        <v>0</v>
      </c>
      <c r="M1944" s="61">
        <v>44834</v>
      </c>
      <c r="O1944" s="62" t="s">
        <v>331</v>
      </c>
      <c r="P1944" s="60" t="s">
        <v>26</v>
      </c>
      <c r="Q1944" s="62" t="s">
        <v>46</v>
      </c>
      <c r="R1944" s="62" t="s">
        <v>5269</v>
      </c>
      <c r="S1944" s="63" t="s">
        <v>5231</v>
      </c>
      <c r="T1944" s="63" t="s">
        <v>1524</v>
      </c>
      <c r="U1944" s="64">
        <v>78600</v>
      </c>
      <c r="V1944" s="64">
        <v>86460</v>
      </c>
      <c r="W1944" s="64">
        <v>78600</v>
      </c>
      <c r="X1944" s="64">
        <v>86460</v>
      </c>
      <c r="Y1944" s="64">
        <v>0</v>
      </c>
      <c r="Z1944" s="64">
        <v>0</v>
      </c>
      <c r="AA1944" s="61" t="s">
        <v>4898</v>
      </c>
      <c r="AY1944" s="107">
        <f t="shared" si="16"/>
        <v>78600</v>
      </c>
      <c r="AZ1944" s="107">
        <f>ROUNDDOWN(AY1944+(AY1944*MASTER!$A$2/100),0)</f>
        <v>86460</v>
      </c>
    </row>
    <row r="1945" spans="1:52" x14ac:dyDescent="0.15">
      <c r="A1945" s="60">
        <v>1</v>
      </c>
      <c r="C1945" s="61" t="s">
        <v>309</v>
      </c>
      <c r="F1945" s="61" t="s">
        <v>309</v>
      </c>
      <c r="H1945" s="61" t="s">
        <v>309</v>
      </c>
      <c r="J1945" s="60">
        <v>1</v>
      </c>
      <c r="L1945" s="60">
        <v>0</v>
      </c>
      <c r="M1945" s="61">
        <v>44834</v>
      </c>
      <c r="O1945" s="62" t="s">
        <v>331</v>
      </c>
      <c r="P1945" s="60" t="s">
        <v>26</v>
      </c>
      <c r="Q1945" s="62" t="s">
        <v>46</v>
      </c>
      <c r="R1945" s="62" t="s">
        <v>5270</v>
      </c>
      <c r="S1945" s="63" t="s">
        <v>2492</v>
      </c>
      <c r="T1945" s="63" t="s">
        <v>1524</v>
      </c>
      <c r="U1945" s="64">
        <v>78600</v>
      </c>
      <c r="V1945" s="64">
        <v>86460</v>
      </c>
      <c r="W1945" s="64">
        <v>78600</v>
      </c>
      <c r="X1945" s="64">
        <v>86460</v>
      </c>
      <c r="Y1945" s="64">
        <v>0</v>
      </c>
      <c r="Z1945" s="64">
        <v>0</v>
      </c>
      <c r="AA1945" s="61" t="s">
        <v>4898</v>
      </c>
      <c r="AY1945" s="107">
        <f t="shared" si="16"/>
        <v>78600</v>
      </c>
      <c r="AZ1945" s="107">
        <f>ROUNDDOWN(AY1945+(AY1945*MASTER!$A$2/100),0)</f>
        <v>86460</v>
      </c>
    </row>
    <row r="1946" spans="1:52" x14ac:dyDescent="0.15">
      <c r="A1946" s="60">
        <v>1</v>
      </c>
      <c r="C1946" s="61" t="s">
        <v>309</v>
      </c>
      <c r="F1946" s="61" t="s">
        <v>309</v>
      </c>
      <c r="H1946" s="61" t="s">
        <v>309</v>
      </c>
      <c r="J1946" s="60">
        <v>1</v>
      </c>
      <c r="L1946" s="60">
        <v>0</v>
      </c>
      <c r="M1946" s="61">
        <v>44834</v>
      </c>
      <c r="O1946" s="62" t="s">
        <v>331</v>
      </c>
      <c r="P1946" s="60" t="s">
        <v>26</v>
      </c>
      <c r="Q1946" s="62" t="s">
        <v>46</v>
      </c>
      <c r="R1946" s="62" t="s">
        <v>5271</v>
      </c>
      <c r="S1946" s="63" t="s">
        <v>460</v>
      </c>
      <c r="T1946" s="63" t="s">
        <v>1524</v>
      </c>
      <c r="U1946" s="64">
        <v>78600</v>
      </c>
      <c r="V1946" s="64">
        <v>86460</v>
      </c>
      <c r="W1946" s="64">
        <v>78600</v>
      </c>
      <c r="X1946" s="64">
        <v>86460</v>
      </c>
      <c r="Y1946" s="64">
        <v>0</v>
      </c>
      <c r="Z1946" s="64">
        <v>0</v>
      </c>
      <c r="AA1946" s="61" t="s">
        <v>4898</v>
      </c>
      <c r="AY1946" s="107">
        <f t="shared" si="16"/>
        <v>78600</v>
      </c>
      <c r="AZ1946" s="107">
        <f>ROUNDDOWN(AY1946+(AY1946*MASTER!$A$2/100),0)</f>
        <v>86460</v>
      </c>
    </row>
    <row r="1947" spans="1:52" x14ac:dyDescent="0.15">
      <c r="A1947" s="60">
        <v>1</v>
      </c>
      <c r="C1947" s="61" t="s">
        <v>309</v>
      </c>
      <c r="F1947" s="61" t="s">
        <v>309</v>
      </c>
      <c r="H1947" s="61" t="s">
        <v>309</v>
      </c>
      <c r="J1947" s="60">
        <v>1</v>
      </c>
      <c r="L1947" s="60">
        <v>0</v>
      </c>
      <c r="M1947" s="61">
        <v>44834</v>
      </c>
      <c r="O1947" s="62" t="s">
        <v>331</v>
      </c>
      <c r="P1947" s="60" t="s">
        <v>26</v>
      </c>
      <c r="Q1947" s="62" t="s">
        <v>46</v>
      </c>
      <c r="R1947" s="62" t="s">
        <v>5272</v>
      </c>
      <c r="S1947" s="63" t="s">
        <v>3268</v>
      </c>
      <c r="T1947" s="63" t="s">
        <v>1524</v>
      </c>
      <c r="U1947" s="64">
        <v>78600</v>
      </c>
      <c r="V1947" s="64">
        <v>86460</v>
      </c>
      <c r="W1947" s="64">
        <v>78600</v>
      </c>
      <c r="X1947" s="64">
        <v>86460</v>
      </c>
      <c r="Y1947" s="64">
        <v>0</v>
      </c>
      <c r="Z1947" s="64">
        <v>0</v>
      </c>
      <c r="AA1947" s="61" t="s">
        <v>4898</v>
      </c>
      <c r="AY1947" s="107">
        <f t="shared" si="16"/>
        <v>78600</v>
      </c>
      <c r="AZ1947" s="107">
        <f>ROUNDDOWN(AY1947+(AY1947*MASTER!$A$2/100),0)</f>
        <v>86460</v>
      </c>
    </row>
    <row r="1948" spans="1:52" x14ac:dyDescent="0.15">
      <c r="A1948" s="60">
        <v>1</v>
      </c>
      <c r="C1948" s="61" t="s">
        <v>309</v>
      </c>
      <c r="F1948" s="61" t="s">
        <v>309</v>
      </c>
      <c r="H1948" s="61" t="s">
        <v>309</v>
      </c>
      <c r="J1948" s="60">
        <v>1</v>
      </c>
      <c r="L1948" s="60">
        <v>0</v>
      </c>
      <c r="M1948" s="61">
        <v>44834</v>
      </c>
      <c r="O1948" s="62" t="s">
        <v>331</v>
      </c>
      <c r="P1948" s="60" t="s">
        <v>26</v>
      </c>
      <c r="Q1948" s="62" t="s">
        <v>46</v>
      </c>
      <c r="R1948" s="62" t="s">
        <v>5273</v>
      </c>
      <c r="S1948" s="63" t="s">
        <v>4460</v>
      </c>
      <c r="T1948" s="63" t="s">
        <v>1524</v>
      </c>
      <c r="U1948" s="64">
        <v>78600</v>
      </c>
      <c r="V1948" s="64">
        <v>86460</v>
      </c>
      <c r="W1948" s="64">
        <v>78600</v>
      </c>
      <c r="X1948" s="64">
        <v>86460</v>
      </c>
      <c r="Y1948" s="64">
        <v>0</v>
      </c>
      <c r="Z1948" s="64">
        <v>0</v>
      </c>
      <c r="AA1948" s="61" t="s">
        <v>4898</v>
      </c>
      <c r="AY1948" s="107">
        <f t="shared" si="16"/>
        <v>78600</v>
      </c>
      <c r="AZ1948" s="107">
        <f>ROUNDDOWN(AY1948+(AY1948*MASTER!$A$2/100),0)</f>
        <v>86460</v>
      </c>
    </row>
    <row r="1949" spans="1:52" x14ac:dyDescent="0.15">
      <c r="A1949" s="60">
        <v>1</v>
      </c>
      <c r="C1949" s="61" t="s">
        <v>309</v>
      </c>
      <c r="F1949" s="61" t="s">
        <v>309</v>
      </c>
      <c r="H1949" s="61" t="s">
        <v>309</v>
      </c>
      <c r="J1949" s="60">
        <v>1</v>
      </c>
      <c r="L1949" s="60">
        <v>0</v>
      </c>
      <c r="M1949" s="61">
        <v>44834</v>
      </c>
      <c r="O1949" s="62" t="s">
        <v>331</v>
      </c>
      <c r="P1949" s="60" t="s">
        <v>26</v>
      </c>
      <c r="Q1949" s="62" t="s">
        <v>46</v>
      </c>
      <c r="R1949" s="62" t="s">
        <v>5274</v>
      </c>
      <c r="S1949" s="63" t="s">
        <v>589</v>
      </c>
      <c r="T1949" s="63" t="s">
        <v>1524</v>
      </c>
      <c r="U1949" s="64">
        <v>78600</v>
      </c>
      <c r="V1949" s="64">
        <v>86460</v>
      </c>
      <c r="W1949" s="64">
        <v>78600</v>
      </c>
      <c r="X1949" s="64">
        <v>86460</v>
      </c>
      <c r="Y1949" s="64">
        <v>0</v>
      </c>
      <c r="Z1949" s="64">
        <v>0</v>
      </c>
      <c r="AA1949" s="61" t="s">
        <v>4898</v>
      </c>
      <c r="AY1949" s="107">
        <f t="shared" si="16"/>
        <v>78600</v>
      </c>
      <c r="AZ1949" s="107">
        <f>ROUNDDOWN(AY1949+(AY1949*MASTER!$A$2/100),0)</f>
        <v>86460</v>
      </c>
    </row>
    <row r="1950" spans="1:52" x14ac:dyDescent="0.15">
      <c r="A1950" s="60">
        <v>1</v>
      </c>
      <c r="C1950" s="61" t="s">
        <v>309</v>
      </c>
      <c r="F1950" s="61" t="s">
        <v>309</v>
      </c>
      <c r="H1950" s="61" t="s">
        <v>309</v>
      </c>
      <c r="J1950" s="60">
        <v>1</v>
      </c>
      <c r="L1950" s="60">
        <v>0</v>
      </c>
      <c r="M1950" s="61">
        <v>44834</v>
      </c>
      <c r="O1950" s="62" t="s">
        <v>331</v>
      </c>
      <c r="P1950" s="60" t="s">
        <v>26</v>
      </c>
      <c r="Q1950" s="62" t="s">
        <v>46</v>
      </c>
      <c r="R1950" s="62" t="s">
        <v>5275</v>
      </c>
      <c r="S1950" s="63" t="s">
        <v>2210</v>
      </c>
      <c r="T1950" s="63" t="s">
        <v>1524</v>
      </c>
      <c r="U1950" s="64">
        <v>78600</v>
      </c>
      <c r="V1950" s="64">
        <v>86460</v>
      </c>
      <c r="W1950" s="64">
        <v>78600</v>
      </c>
      <c r="X1950" s="64">
        <v>86460</v>
      </c>
      <c r="Y1950" s="64">
        <v>0</v>
      </c>
      <c r="Z1950" s="64">
        <v>0</v>
      </c>
      <c r="AA1950" s="61" t="s">
        <v>4898</v>
      </c>
      <c r="AY1950" s="107">
        <f t="shared" si="16"/>
        <v>78600</v>
      </c>
      <c r="AZ1950" s="107">
        <f>ROUNDDOWN(AY1950+(AY1950*MASTER!$A$2/100),0)</f>
        <v>86460</v>
      </c>
    </row>
    <row r="1951" spans="1:52" x14ac:dyDescent="0.15">
      <c r="A1951" s="60">
        <v>1</v>
      </c>
      <c r="C1951" s="61" t="s">
        <v>309</v>
      </c>
      <c r="F1951" s="61" t="s">
        <v>309</v>
      </c>
      <c r="H1951" s="61" t="s">
        <v>309</v>
      </c>
      <c r="J1951" s="60">
        <v>1</v>
      </c>
      <c r="L1951" s="60">
        <v>0</v>
      </c>
      <c r="M1951" s="61">
        <v>44834</v>
      </c>
      <c r="O1951" s="62" t="s">
        <v>331</v>
      </c>
      <c r="P1951" s="60" t="s">
        <v>26</v>
      </c>
      <c r="Q1951" s="62" t="s">
        <v>46</v>
      </c>
      <c r="R1951" s="62" t="s">
        <v>5276</v>
      </c>
      <c r="S1951" s="63" t="s">
        <v>462</v>
      </c>
      <c r="T1951" s="63" t="s">
        <v>1524</v>
      </c>
      <c r="U1951" s="64">
        <v>78600</v>
      </c>
      <c r="V1951" s="64">
        <v>86460</v>
      </c>
      <c r="W1951" s="64">
        <v>78600</v>
      </c>
      <c r="X1951" s="64">
        <v>86460</v>
      </c>
      <c r="Y1951" s="64">
        <v>0</v>
      </c>
      <c r="Z1951" s="64">
        <v>0</v>
      </c>
      <c r="AA1951" s="61" t="s">
        <v>4898</v>
      </c>
      <c r="AY1951" s="107">
        <f t="shared" si="16"/>
        <v>78600</v>
      </c>
      <c r="AZ1951" s="107">
        <f>ROUNDDOWN(AY1951+(AY1951*MASTER!$A$2/100),0)</f>
        <v>86460</v>
      </c>
    </row>
  </sheetData>
  <autoFilter ref="A5:CK1905"/>
  <mergeCells count="55">
    <mergeCell ref="CD2:CD4"/>
    <mergeCell ref="CJ3:CJ4"/>
    <mergeCell ref="CF3:CF4"/>
    <mergeCell ref="CG3:CG4"/>
    <mergeCell ref="CH3:CH4"/>
    <mergeCell ref="CI3:CI4"/>
    <mergeCell ref="CA2:CC2"/>
    <mergeCell ref="BV2:BZ2"/>
    <mergeCell ref="S3:S4"/>
    <mergeCell ref="AM3:AQ3"/>
    <mergeCell ref="AX3:AX4"/>
    <mergeCell ref="CA3:CC3"/>
    <mergeCell ref="BM3:BS3"/>
    <mergeCell ref="AV3:AV4"/>
    <mergeCell ref="AM4:AN4"/>
    <mergeCell ref="BA3:BD3"/>
    <mergeCell ref="A3:A4"/>
    <mergeCell ref="M3:M4"/>
    <mergeCell ref="O3:R4"/>
    <mergeCell ref="J3:J4"/>
    <mergeCell ref="I3:I4"/>
    <mergeCell ref="G3:H3"/>
    <mergeCell ref="E3:F3"/>
    <mergeCell ref="D3:D4"/>
    <mergeCell ref="K3:L3"/>
    <mergeCell ref="N3:N4"/>
    <mergeCell ref="AW3:AW4"/>
    <mergeCell ref="BA2:BU2"/>
    <mergeCell ref="BU3:BU4"/>
    <mergeCell ref="AM2:AX2"/>
    <mergeCell ref="AR3:AS3"/>
    <mergeCell ref="AT3:AU3"/>
    <mergeCell ref="BT3:BT4"/>
    <mergeCell ref="BI3:BL3"/>
    <mergeCell ref="AY3:AZ3"/>
    <mergeCell ref="T3:T4"/>
    <mergeCell ref="CE3:CE4"/>
    <mergeCell ref="CE2:CJ2"/>
    <mergeCell ref="BZ3:BZ4"/>
    <mergeCell ref="BY3:BY4"/>
    <mergeCell ref="BV3:BV4"/>
    <mergeCell ref="BW3:BW4"/>
    <mergeCell ref="BX3:BX4"/>
    <mergeCell ref="AG3:AI3"/>
    <mergeCell ref="BE3:BH3"/>
    <mergeCell ref="I1:J1"/>
    <mergeCell ref="AJ3:AL3"/>
    <mergeCell ref="W3:X3"/>
    <mergeCell ref="Y3:Z3"/>
    <mergeCell ref="A2:I2"/>
    <mergeCell ref="J2:AL2"/>
    <mergeCell ref="B3:C3"/>
    <mergeCell ref="U3:V3"/>
    <mergeCell ref="AA3:AC3"/>
    <mergeCell ref="AD3:AF3"/>
  </mergeCells>
  <phoneticPr fontId="2"/>
  <dataValidations disablePrompts="1" count="1">
    <dataValidation type="date" allowBlank="1" showInputMessage="1" showErrorMessage="1" sqref="AW1:AX1048576">
      <formula1>36526</formula1>
      <formula2>50771</formula2>
    </dataValidation>
  </dataValidations>
  <pageMargins left="0.74803149606299213" right="0.74803149606299213" top="0.98425196850393704" bottom="0.98425196850393704" header="0.51181102362204722" footer="0.51181102362204722"/>
  <pageSetup paperSize="9" scale="10" orientation="landscape" horizontalDpi="300" verticalDpi="300" r:id="rId1"/>
  <headerFooter alignWithMargins="0"/>
  <colBreaks count="1" manualBreakCount="1">
    <brk id="78" max="1999" man="1"/>
  </colBreaks>
  <drawing r:id="rId2"/>
  <legacyDrawing r:id="rId3"/>
  <controls>
    <mc:AlternateContent xmlns:mc="http://schemas.openxmlformats.org/markup-compatibility/2006">
      <mc:Choice Requires="x14">
        <control shapeId="2401" r:id="rId4" name="cmdFFButton">
          <controlPr defaultSize="0" autoLine="0" r:id="rId5">
            <anchor>
              <from>
                <xdr:col>14</xdr:col>
                <xdr:colOff>19050</xdr:colOff>
                <xdr:row>0</xdr:row>
                <xdr:rowOff>19050</xdr:rowOff>
              </from>
              <to>
                <xdr:col>16</xdr:col>
                <xdr:colOff>190500</xdr:colOff>
                <xdr:row>0</xdr:row>
                <xdr:rowOff>276225</xdr:rowOff>
              </to>
            </anchor>
          </controlPr>
        </control>
      </mc:Choice>
      <mc:Fallback>
        <control shapeId="2401" r:id="rId4" name="cmdFFButton"/>
      </mc:Fallback>
    </mc:AlternateContent>
    <mc:AlternateContent xmlns:mc="http://schemas.openxmlformats.org/markup-compatibility/2006">
      <mc:Choice Requires="x14">
        <control shapeId="2398" r:id="rId6" name="cmdGoToLatestData">
          <controlPr defaultSize="0" autoLine="0" autoPict="0" r:id="rId7">
            <anchor moveWithCells="1" sizeWithCells="1">
              <from>
                <xdr:col>6</xdr:col>
                <xdr:colOff>19050</xdr:colOff>
                <xdr:row>0</xdr:row>
                <xdr:rowOff>19050</xdr:rowOff>
              </from>
              <to>
                <xdr:col>7</xdr:col>
                <xdr:colOff>476250</xdr:colOff>
                <xdr:row>1</xdr:row>
                <xdr:rowOff>0</xdr:rowOff>
              </to>
            </anchor>
          </controlPr>
        </control>
      </mc:Choice>
      <mc:Fallback>
        <control shapeId="2398" r:id="rId6" name="cmdGoToLatestData"/>
      </mc:Fallback>
    </mc:AlternateContent>
    <mc:AlternateContent xmlns:mc="http://schemas.openxmlformats.org/markup-compatibility/2006">
      <mc:Choice Requires="x14">
        <control shapeId="2397" r:id="rId8" name="cmdForTamae">
          <controlPr defaultSize="0" autoLine="0" r:id="rId9">
            <anchor moveWithCells="1" sizeWithCells="1">
              <from>
                <xdr:col>4</xdr:col>
                <xdr:colOff>19050</xdr:colOff>
                <xdr:row>0</xdr:row>
                <xdr:rowOff>19050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397" r:id="rId8" name="cmdForTamae"/>
      </mc:Fallback>
    </mc:AlternateContent>
    <mc:AlternateContent xmlns:mc="http://schemas.openxmlformats.org/markup-compatibility/2006">
      <mc:Choice Requires="x14">
        <control shapeId="2155" r:id="rId10" name="cmdProgressChecker">
          <controlPr defaultSize="0" autoLine="0" r:id="rId11">
            <anchor moveWithCells="1" sizeWithCells="1">
              <from>
                <xdr:col>2</xdr:col>
                <xdr:colOff>19050</xdr:colOff>
                <xdr:row>0</xdr:row>
                <xdr:rowOff>19050</xdr:rowOff>
              </from>
              <to>
                <xdr:col>4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2155" r:id="rId10" name="cmdProgressChecker"/>
      </mc:Fallback>
    </mc:AlternateContent>
    <mc:AlternateContent xmlns:mc="http://schemas.openxmlformats.org/markup-compatibility/2006">
      <mc:Choice Requires="x14">
        <control shapeId="2154" r:id="rId12" name="cmdSelectDisp">
          <controlPr defaultSize="0" autoLine="0" autoPict="0" r:id="rId13">
            <anchor moveWithCells="1" sizeWithCells="1">
              <from>
                <xdr:col>0</xdr:col>
                <xdr:colOff>19050</xdr:colOff>
                <xdr:row>0</xdr:row>
                <xdr:rowOff>19050</xdr:rowOff>
              </from>
              <to>
                <xdr:col>2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2154" r:id="rId12" name="cmdSelectDisp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C11"/>
  <sheetViews>
    <sheetView workbookViewId="0">
      <selection activeCell="N17" sqref="N17"/>
    </sheetView>
  </sheetViews>
  <sheetFormatPr defaultRowHeight="13.5" x14ac:dyDescent="0.15"/>
  <sheetData>
    <row r="2" spans="2:3" x14ac:dyDescent="0.15">
      <c r="B2" t="s">
        <v>91</v>
      </c>
    </row>
    <row r="3" spans="2:3" x14ac:dyDescent="0.15">
      <c r="B3" t="s">
        <v>92</v>
      </c>
    </row>
    <row r="4" spans="2:3" x14ac:dyDescent="0.15">
      <c r="C4" t="s">
        <v>198</v>
      </c>
    </row>
    <row r="5" spans="2:3" x14ac:dyDescent="0.15">
      <c r="B5" t="s">
        <v>52</v>
      </c>
    </row>
    <row r="6" spans="2:3" x14ac:dyDescent="0.15">
      <c r="C6" t="s">
        <v>199</v>
      </c>
    </row>
    <row r="8" spans="2:3" x14ac:dyDescent="0.15">
      <c r="B8" t="s">
        <v>276</v>
      </c>
    </row>
    <row r="11" spans="2:3" x14ac:dyDescent="0.15">
      <c r="B11" t="s">
        <v>325</v>
      </c>
    </row>
  </sheetData>
  <phoneticPr fontId="2"/>
  <pageMargins left="0.75" right="0.75" top="1" bottom="1" header="0.51200000000000001" footer="0.5120000000000000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Z55"/>
  <sheetViews>
    <sheetView zoomScaleNormal="100" zoomScaleSheetLayoutView="100" workbookViewId="0">
      <selection activeCell="I12" sqref="I12:K12"/>
    </sheetView>
  </sheetViews>
  <sheetFormatPr defaultColWidth="0" defaultRowHeight="18" customHeight="1" zeroHeight="1" x14ac:dyDescent="0.15"/>
  <cols>
    <col min="1" max="19" width="5" style="55" customWidth="1"/>
    <col min="20" max="78" width="5" style="55" hidden="1" customWidth="1"/>
    <col min="79" max="16384" width="5" style="33" hidden="1"/>
  </cols>
  <sheetData>
    <row r="1" spans="1:78" ht="18" customHeight="1" x14ac:dyDescent="0.15">
      <c r="A1" s="307" t="s">
        <v>67</v>
      </c>
      <c r="B1" s="308"/>
      <c r="C1" s="308"/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9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</row>
    <row r="2" spans="1:78" ht="18" customHeight="1" x14ac:dyDescent="0.15">
      <c r="A2" s="110" t="s">
        <v>41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2" t="s">
        <v>111</v>
      </c>
      <c r="N2" s="111"/>
      <c r="O2" s="111"/>
      <c r="P2" s="111"/>
      <c r="Q2" s="111"/>
      <c r="R2" s="111"/>
      <c r="S2" s="113"/>
    </row>
    <row r="3" spans="1:78" ht="18" customHeight="1" x14ac:dyDescent="0.15">
      <c r="A3" s="109"/>
      <c r="B3" s="114"/>
      <c r="C3" s="114"/>
      <c r="D3" s="115">
        <v>14</v>
      </c>
      <c r="E3" s="114"/>
      <c r="F3" s="114"/>
      <c r="G3" s="114"/>
      <c r="H3" s="114"/>
      <c r="I3" s="114"/>
      <c r="J3" s="114"/>
      <c r="K3" s="114"/>
      <c r="L3" s="114"/>
      <c r="M3" s="289" t="s">
        <v>103</v>
      </c>
      <c r="N3" s="289"/>
      <c r="O3" s="289" t="s">
        <v>61</v>
      </c>
      <c r="P3" s="289"/>
      <c r="Q3" s="114"/>
      <c r="R3" s="109"/>
      <c r="S3" s="113"/>
    </row>
    <row r="4" spans="1:78" ht="18" customHeight="1" x14ac:dyDescent="0.15">
      <c r="A4" s="109"/>
      <c r="B4" s="289" t="s">
        <v>151</v>
      </c>
      <c r="C4" s="289"/>
      <c r="D4" s="290">
        <v>13</v>
      </c>
      <c r="E4" s="290"/>
      <c r="F4" s="290"/>
      <c r="G4" s="109" t="s">
        <v>144</v>
      </c>
      <c r="H4" s="115">
        <v>12</v>
      </c>
      <c r="I4" s="290">
        <v>11</v>
      </c>
      <c r="J4" s="290"/>
      <c r="K4" s="290"/>
      <c r="L4" s="109"/>
      <c r="M4" s="109" t="s">
        <v>7</v>
      </c>
      <c r="N4" s="115">
        <v>30</v>
      </c>
      <c r="O4" s="109" t="s">
        <v>145</v>
      </c>
      <c r="P4" s="115">
        <v>33</v>
      </c>
      <c r="Q4" s="109"/>
      <c r="R4" s="109"/>
      <c r="S4" s="113"/>
    </row>
    <row r="5" spans="1:78" ht="18" customHeight="1" x14ac:dyDescent="0.15">
      <c r="A5" s="109"/>
      <c r="B5" s="289" t="s">
        <v>106</v>
      </c>
      <c r="C5" s="289"/>
      <c r="D5" s="115">
        <v>15</v>
      </c>
      <c r="E5" s="115">
        <v>16</v>
      </c>
      <c r="F5" s="115">
        <v>17</v>
      </c>
      <c r="G5" s="290">
        <v>18</v>
      </c>
      <c r="H5" s="290"/>
      <c r="I5" s="109"/>
      <c r="J5" s="109"/>
      <c r="K5" s="109"/>
      <c r="L5" s="109"/>
      <c r="M5" s="109" t="s">
        <v>77</v>
      </c>
      <c r="N5" s="115">
        <v>31</v>
      </c>
      <c r="O5" s="109" t="s">
        <v>89</v>
      </c>
      <c r="P5" s="115">
        <v>34</v>
      </c>
      <c r="Q5" s="109"/>
      <c r="R5" s="109"/>
      <c r="S5" s="113"/>
    </row>
    <row r="6" spans="1:78" ht="18" customHeight="1" x14ac:dyDescent="0.15">
      <c r="A6" s="109"/>
      <c r="B6" s="295" t="s">
        <v>49</v>
      </c>
      <c r="C6" s="295"/>
      <c r="D6" s="290">
        <v>19</v>
      </c>
      <c r="E6" s="290"/>
      <c r="F6" s="290"/>
      <c r="G6" s="290"/>
      <c r="H6" s="290"/>
      <c r="I6" s="290"/>
      <c r="J6" s="290"/>
      <c r="K6" s="290"/>
      <c r="L6" s="109"/>
      <c r="M6" s="109" t="s">
        <v>50</v>
      </c>
      <c r="N6" s="115">
        <v>32</v>
      </c>
      <c r="O6" s="109" t="s">
        <v>11</v>
      </c>
      <c r="P6" s="115">
        <v>35</v>
      </c>
      <c r="Q6" s="109"/>
      <c r="R6" s="109"/>
      <c r="S6" s="113"/>
    </row>
    <row r="7" spans="1:78" ht="18" customHeight="1" x14ac:dyDescent="0.15">
      <c r="A7" s="109"/>
      <c r="B7" s="289" t="s">
        <v>42</v>
      </c>
      <c r="C7" s="289"/>
      <c r="D7" s="290">
        <v>20</v>
      </c>
      <c r="E7" s="290"/>
      <c r="F7" s="290"/>
      <c r="G7" s="290"/>
      <c r="H7" s="290"/>
      <c r="I7" s="290"/>
      <c r="J7" s="290"/>
      <c r="K7" s="290"/>
      <c r="L7" s="109"/>
      <c r="M7" s="112" t="s">
        <v>177</v>
      </c>
      <c r="N7" s="109"/>
      <c r="O7" s="109"/>
      <c r="P7" s="109"/>
      <c r="Q7" s="109"/>
      <c r="R7" s="109"/>
      <c r="S7" s="113"/>
    </row>
    <row r="8" spans="1:78" ht="18" customHeight="1" x14ac:dyDescent="0.15">
      <c r="A8" s="109"/>
      <c r="B8" s="289" t="s">
        <v>43</v>
      </c>
      <c r="C8" s="289"/>
      <c r="D8" s="109" t="s">
        <v>62</v>
      </c>
      <c r="E8" s="290">
        <v>27</v>
      </c>
      <c r="F8" s="290"/>
      <c r="G8" s="290"/>
      <c r="H8" s="109" t="s">
        <v>63</v>
      </c>
      <c r="I8" s="290">
        <v>28</v>
      </c>
      <c r="J8" s="290"/>
      <c r="K8" s="290"/>
      <c r="L8" s="109"/>
      <c r="M8" s="109" t="s">
        <v>7</v>
      </c>
      <c r="N8" s="115">
        <v>36</v>
      </c>
      <c r="O8" s="109"/>
      <c r="P8" s="109"/>
      <c r="Q8" s="109"/>
      <c r="R8" s="109"/>
      <c r="S8" s="113"/>
    </row>
    <row r="9" spans="1:78" ht="18" customHeight="1" x14ac:dyDescent="0.15">
      <c r="A9" s="109"/>
      <c r="B9" s="289" t="s">
        <v>188</v>
      </c>
      <c r="C9" s="289"/>
      <c r="D9" s="290">
        <v>29</v>
      </c>
      <c r="E9" s="290"/>
      <c r="F9" s="290"/>
      <c r="G9" s="290"/>
      <c r="H9" s="109"/>
      <c r="I9" s="109"/>
      <c r="J9" s="109"/>
      <c r="K9" s="109"/>
      <c r="L9" s="109"/>
      <c r="M9" s="109" t="s">
        <v>12</v>
      </c>
      <c r="N9" s="115">
        <v>37</v>
      </c>
      <c r="O9" s="109"/>
      <c r="P9" s="117"/>
      <c r="Q9" s="109"/>
      <c r="R9" s="109"/>
      <c r="S9" s="113"/>
    </row>
    <row r="10" spans="1:78" ht="18" customHeight="1" x14ac:dyDescent="0.15">
      <c r="A10" s="109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 t="s">
        <v>87</v>
      </c>
      <c r="N10" s="115">
        <v>38</v>
      </c>
      <c r="O10" s="109"/>
      <c r="P10" s="109"/>
      <c r="Q10" s="109"/>
      <c r="R10" s="109"/>
      <c r="S10" s="113"/>
    </row>
    <row r="11" spans="1:78" ht="18" customHeight="1" x14ac:dyDescent="0.15">
      <c r="A11" s="109"/>
      <c r="B11" s="118" t="s">
        <v>178</v>
      </c>
      <c r="C11" s="118"/>
      <c r="D11" s="118"/>
      <c r="E11" s="115">
        <v>10</v>
      </c>
      <c r="F11" s="114"/>
      <c r="G11" s="296" t="s">
        <v>175</v>
      </c>
      <c r="H11" s="296"/>
      <c r="I11" s="296"/>
      <c r="J11" s="296"/>
      <c r="K11" s="296"/>
      <c r="L11" s="114"/>
      <c r="M11" s="296" t="s">
        <v>128</v>
      </c>
      <c r="N11" s="296"/>
      <c r="O11" s="296"/>
      <c r="P11" s="296"/>
      <c r="Q11" s="296"/>
      <c r="R11" s="109"/>
      <c r="S11" s="119" t="s">
        <v>271</v>
      </c>
      <c r="T11" s="120"/>
      <c r="U11" s="121"/>
      <c r="V11" s="121"/>
      <c r="W11" s="121"/>
      <c r="X11" s="122"/>
      <c r="Y11" s="121"/>
      <c r="Z11" s="121"/>
      <c r="AA11" s="121"/>
      <c r="AB11" s="122"/>
      <c r="AC11" s="121"/>
      <c r="AD11" s="121"/>
      <c r="AE11" s="121"/>
    </row>
    <row r="12" spans="1:78" ht="18" customHeight="1" x14ac:dyDescent="0.15">
      <c r="A12" s="109"/>
      <c r="B12" s="123"/>
      <c r="C12" s="293" t="s">
        <v>161</v>
      </c>
      <c r="D12" s="293"/>
      <c r="E12" s="293"/>
      <c r="F12" s="114"/>
      <c r="G12" s="289" t="s">
        <v>164</v>
      </c>
      <c r="H12" s="289"/>
      <c r="I12" s="290">
        <v>21</v>
      </c>
      <c r="J12" s="290"/>
      <c r="K12" s="290"/>
      <c r="L12" s="109"/>
      <c r="M12" s="289" t="s">
        <v>164</v>
      </c>
      <c r="N12" s="289"/>
      <c r="O12" s="290">
        <v>23</v>
      </c>
      <c r="P12" s="290"/>
      <c r="Q12" s="290"/>
      <c r="R12" s="290">
        <v>89</v>
      </c>
      <c r="S12" s="290"/>
    </row>
    <row r="13" spans="1:78" ht="18" customHeight="1" x14ac:dyDescent="0.15">
      <c r="A13" s="109"/>
      <c r="B13" s="124"/>
      <c r="C13" s="293" t="s">
        <v>139</v>
      </c>
      <c r="D13" s="293"/>
      <c r="E13" s="293"/>
      <c r="F13" s="114"/>
      <c r="G13" s="295" t="s">
        <v>21</v>
      </c>
      <c r="H13" s="295"/>
      <c r="I13" s="290">
        <v>22</v>
      </c>
      <c r="J13" s="290"/>
      <c r="K13" s="290"/>
      <c r="L13" s="109"/>
      <c r="M13" s="295" t="s">
        <v>21</v>
      </c>
      <c r="N13" s="295"/>
      <c r="O13" s="290">
        <v>24</v>
      </c>
      <c r="P13" s="290"/>
      <c r="Q13" s="290"/>
      <c r="R13" s="109"/>
      <c r="S13" s="113"/>
    </row>
    <row r="14" spans="1:78" ht="18" customHeight="1" x14ac:dyDescent="0.15">
      <c r="A14" s="109"/>
      <c r="B14" s="124"/>
      <c r="C14" s="303" t="s">
        <v>167</v>
      </c>
      <c r="D14" s="303"/>
      <c r="E14" s="303"/>
      <c r="F14" s="119"/>
      <c r="G14" s="296" t="s">
        <v>251</v>
      </c>
      <c r="H14" s="296"/>
      <c r="I14" s="296"/>
      <c r="J14" s="296"/>
      <c r="K14" s="296"/>
      <c r="L14" s="109"/>
      <c r="M14" s="296" t="s">
        <v>202</v>
      </c>
      <c r="N14" s="296"/>
      <c r="O14" s="296"/>
      <c r="P14" s="296"/>
      <c r="Q14" s="296"/>
      <c r="R14" s="109"/>
      <c r="S14" s="113"/>
    </row>
    <row r="15" spans="1:78" ht="18" customHeight="1" x14ac:dyDescent="0.15">
      <c r="A15" s="109"/>
      <c r="B15" s="125"/>
      <c r="C15" s="304" t="s">
        <v>56</v>
      </c>
      <c r="D15" s="305"/>
      <c r="E15" s="306"/>
      <c r="F15" s="126"/>
      <c r="G15" s="289" t="s">
        <v>254</v>
      </c>
      <c r="H15" s="289"/>
      <c r="I15" s="290">
        <v>51</v>
      </c>
      <c r="J15" s="290"/>
      <c r="K15" s="290"/>
      <c r="L15" s="109"/>
      <c r="M15" s="289" t="s">
        <v>164</v>
      </c>
      <c r="N15" s="289"/>
      <c r="O15" s="290">
        <v>25</v>
      </c>
      <c r="P15" s="290"/>
      <c r="Q15" s="290"/>
      <c r="R15" s="109"/>
      <c r="S15" s="113"/>
    </row>
    <row r="16" spans="1:78" ht="18" customHeight="1" x14ac:dyDescent="0.15">
      <c r="A16" s="109"/>
      <c r="B16" s="116"/>
      <c r="C16" s="127"/>
      <c r="D16" s="127"/>
      <c r="E16" s="127"/>
      <c r="F16" s="128"/>
      <c r="G16" s="295" t="s">
        <v>21</v>
      </c>
      <c r="H16" s="295"/>
      <c r="I16" s="290"/>
      <c r="J16" s="290"/>
      <c r="K16" s="290"/>
      <c r="L16" s="109"/>
      <c r="M16" s="295" t="s">
        <v>21</v>
      </c>
      <c r="N16" s="289"/>
      <c r="O16" s="290">
        <v>26</v>
      </c>
      <c r="P16" s="290"/>
      <c r="Q16" s="290"/>
      <c r="R16" s="109"/>
      <c r="S16" s="113"/>
    </row>
    <row r="17" spans="1:19" ht="18" customHeight="1" x14ac:dyDescent="0.15">
      <c r="A17" s="109"/>
      <c r="B17" s="109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13"/>
    </row>
    <row r="18" spans="1:19" ht="18" customHeight="1" x14ac:dyDescent="0.15">
      <c r="A18" s="109"/>
      <c r="B18" s="116" t="s">
        <v>55</v>
      </c>
      <c r="C18" s="300">
        <v>82</v>
      </c>
      <c r="D18" s="301"/>
      <c r="E18" s="301"/>
      <c r="F18" s="301"/>
      <c r="G18" s="301"/>
      <c r="H18" s="301"/>
      <c r="I18" s="301"/>
      <c r="J18" s="301"/>
      <c r="K18" s="301"/>
      <c r="L18" s="301"/>
      <c r="M18" s="301"/>
      <c r="N18" s="301"/>
      <c r="O18" s="301"/>
      <c r="P18" s="301"/>
      <c r="Q18" s="302"/>
      <c r="R18" s="109"/>
      <c r="S18" s="113"/>
    </row>
    <row r="19" spans="1:19" ht="18" customHeight="1" x14ac:dyDescent="0.15">
      <c r="A19" s="289"/>
      <c r="B19" s="289"/>
      <c r="C19" s="289"/>
      <c r="D19" s="289"/>
      <c r="E19" s="289"/>
      <c r="F19" s="289"/>
      <c r="G19" s="289"/>
      <c r="H19" s="289"/>
      <c r="I19" s="289"/>
      <c r="J19" s="289"/>
      <c r="K19" s="289"/>
      <c r="L19" s="289"/>
      <c r="M19" s="289"/>
      <c r="N19" s="289"/>
      <c r="O19" s="289"/>
      <c r="P19" s="289"/>
      <c r="Q19" s="289"/>
      <c r="R19" s="289"/>
      <c r="S19" s="113"/>
    </row>
    <row r="20" spans="1:19" ht="18" customHeight="1" x14ac:dyDescent="0.15">
      <c r="A20" s="129" t="s">
        <v>142</v>
      </c>
      <c r="B20" s="130"/>
      <c r="C20" s="130"/>
      <c r="D20" s="130"/>
      <c r="E20" s="13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13"/>
    </row>
    <row r="21" spans="1:19" ht="18" customHeight="1" x14ac:dyDescent="0.15">
      <c r="A21" s="109"/>
      <c r="B21" s="114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09"/>
      <c r="S21" s="113"/>
    </row>
    <row r="22" spans="1:19" ht="18" customHeight="1" x14ac:dyDescent="0.15">
      <c r="A22" s="109"/>
      <c r="B22" s="289" t="s">
        <v>34</v>
      </c>
      <c r="C22" s="289"/>
      <c r="D22" s="290">
        <v>39</v>
      </c>
      <c r="E22" s="290"/>
      <c r="F22" s="290">
        <v>40</v>
      </c>
      <c r="G22" s="290"/>
      <c r="H22" s="109"/>
      <c r="I22" s="109"/>
      <c r="J22" s="109"/>
      <c r="K22" s="289" t="s">
        <v>78</v>
      </c>
      <c r="L22" s="289"/>
      <c r="M22" s="289" t="s">
        <v>74</v>
      </c>
      <c r="N22" s="289"/>
      <c r="O22" s="290">
        <v>44</v>
      </c>
      <c r="P22" s="290"/>
      <c r="Q22" s="109"/>
      <c r="R22" s="109"/>
      <c r="S22" s="113"/>
    </row>
    <row r="23" spans="1:19" ht="18" customHeight="1" x14ac:dyDescent="0.15">
      <c r="A23" s="109"/>
      <c r="B23" s="289" t="s">
        <v>83</v>
      </c>
      <c r="C23" s="289"/>
      <c r="D23" s="290">
        <v>41</v>
      </c>
      <c r="E23" s="290"/>
      <c r="F23" s="109"/>
      <c r="G23" s="109"/>
      <c r="H23" s="109"/>
      <c r="I23" s="109"/>
      <c r="J23" s="109"/>
      <c r="K23" s="289"/>
      <c r="L23" s="289"/>
      <c r="M23" s="289" t="s">
        <v>60</v>
      </c>
      <c r="N23" s="289"/>
      <c r="O23" s="290">
        <v>45</v>
      </c>
      <c r="P23" s="290"/>
      <c r="Q23" s="109"/>
      <c r="R23" s="109"/>
      <c r="S23" s="113"/>
    </row>
    <row r="24" spans="1:19" ht="18" customHeight="1" x14ac:dyDescent="0.15">
      <c r="A24" s="109"/>
      <c r="B24" s="289" t="s">
        <v>94</v>
      </c>
      <c r="C24" s="289"/>
      <c r="D24" s="290">
        <v>42</v>
      </c>
      <c r="E24" s="290"/>
      <c r="F24" s="289" t="s">
        <v>330</v>
      </c>
      <c r="G24" s="289"/>
      <c r="H24" s="290">
        <v>43</v>
      </c>
      <c r="I24" s="290"/>
      <c r="J24" s="109"/>
      <c r="K24" s="289" t="s">
        <v>86</v>
      </c>
      <c r="L24" s="289"/>
      <c r="M24" s="289" t="s">
        <v>127</v>
      </c>
      <c r="N24" s="289"/>
      <c r="O24" s="290">
        <v>46</v>
      </c>
      <c r="P24" s="290"/>
      <c r="Q24" s="109"/>
      <c r="R24" s="109"/>
      <c r="S24" s="113"/>
    </row>
    <row r="25" spans="1:19" ht="18" customHeight="1" x14ac:dyDescent="0.15">
      <c r="A25" s="109"/>
      <c r="B25" s="109"/>
      <c r="C25" s="109"/>
      <c r="D25" s="119"/>
      <c r="E25" s="119"/>
      <c r="F25" s="119"/>
      <c r="G25" s="109"/>
      <c r="H25" s="109"/>
      <c r="I25" s="109"/>
      <c r="J25" s="109"/>
      <c r="K25" s="289"/>
      <c r="L25" s="289"/>
      <c r="M25" s="289" t="s">
        <v>60</v>
      </c>
      <c r="N25" s="289"/>
      <c r="O25" s="290">
        <v>47</v>
      </c>
      <c r="P25" s="290"/>
      <c r="Q25" s="109"/>
      <c r="R25" s="109"/>
      <c r="S25" s="113"/>
    </row>
    <row r="26" spans="1:19" ht="18" customHeight="1" x14ac:dyDescent="0.15">
      <c r="A26" s="109"/>
      <c r="B26" s="109"/>
      <c r="C26" s="109"/>
      <c r="D26" s="109"/>
      <c r="E26" s="109"/>
      <c r="F26" s="109"/>
      <c r="G26" s="109"/>
      <c r="H26" s="109"/>
      <c r="I26" s="109"/>
      <c r="J26" s="109"/>
      <c r="K26" s="289" t="s">
        <v>85</v>
      </c>
      <c r="L26" s="289"/>
      <c r="M26" s="289"/>
      <c r="N26" s="289"/>
      <c r="O26" s="290">
        <v>48</v>
      </c>
      <c r="P26" s="290"/>
      <c r="Q26" s="109"/>
      <c r="R26" s="109"/>
      <c r="S26" s="113"/>
    </row>
    <row r="27" spans="1:19" ht="18" customHeight="1" x14ac:dyDescent="0.15">
      <c r="A27" s="289"/>
      <c r="B27" s="289"/>
      <c r="C27" s="289"/>
      <c r="D27" s="289"/>
      <c r="E27" s="289"/>
      <c r="F27" s="289"/>
      <c r="G27" s="289"/>
      <c r="H27" s="289"/>
      <c r="I27" s="289"/>
      <c r="J27" s="289"/>
      <c r="K27" s="289"/>
      <c r="L27" s="289"/>
      <c r="M27" s="289"/>
      <c r="N27" s="289"/>
      <c r="O27" s="289"/>
      <c r="P27" s="289"/>
      <c r="Q27" s="289"/>
      <c r="R27" s="289"/>
      <c r="S27" s="113"/>
    </row>
    <row r="28" spans="1:19" ht="18" customHeight="1" x14ac:dyDescent="0.15">
      <c r="A28" s="131" t="s">
        <v>69</v>
      </c>
      <c r="B28" s="114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3"/>
    </row>
    <row r="29" spans="1:19" ht="18" customHeight="1" x14ac:dyDescent="0.15">
      <c r="A29" s="109"/>
      <c r="B29" s="118" t="s">
        <v>112</v>
      </c>
      <c r="C29" s="118"/>
      <c r="D29" s="118"/>
      <c r="E29" s="118"/>
      <c r="F29" s="118"/>
      <c r="G29" s="118"/>
      <c r="H29" s="118" t="s">
        <v>72</v>
      </c>
      <c r="I29" s="118"/>
      <c r="J29" s="118"/>
      <c r="K29" s="118"/>
      <c r="L29" s="118"/>
      <c r="M29" s="118"/>
      <c r="N29" s="132" t="s">
        <v>15</v>
      </c>
      <c r="O29" s="132"/>
      <c r="P29" s="118"/>
      <c r="Q29" s="118"/>
      <c r="R29" s="109"/>
      <c r="S29" s="113"/>
    </row>
    <row r="30" spans="1:19" ht="18" customHeight="1" x14ac:dyDescent="0.15">
      <c r="A30" s="109"/>
      <c r="B30" s="289" t="s">
        <v>10</v>
      </c>
      <c r="C30" s="289"/>
      <c r="D30" s="297">
        <v>53</v>
      </c>
      <c r="E30" s="297"/>
      <c r="F30" s="297"/>
      <c r="G30" s="109"/>
      <c r="H30" s="289" t="s">
        <v>13</v>
      </c>
      <c r="I30" s="289"/>
      <c r="J30" s="290">
        <v>65</v>
      </c>
      <c r="K30" s="290"/>
      <c r="L30" s="290"/>
      <c r="M30" s="108"/>
      <c r="N30" s="298" t="s">
        <v>81</v>
      </c>
      <c r="O30" s="299"/>
      <c r="P30" s="292">
        <v>72</v>
      </c>
      <c r="Q30" s="290"/>
      <c r="R30" s="109"/>
      <c r="S30" s="113"/>
    </row>
    <row r="31" spans="1:19" ht="18" customHeight="1" x14ac:dyDescent="0.15">
      <c r="A31" s="109"/>
      <c r="B31" s="289" t="s">
        <v>192</v>
      </c>
      <c r="C31" s="289"/>
      <c r="D31" s="290">
        <v>54</v>
      </c>
      <c r="E31" s="290"/>
      <c r="F31" s="290"/>
      <c r="G31" s="109"/>
      <c r="H31" s="289" t="s">
        <v>206</v>
      </c>
      <c r="I31" s="289"/>
      <c r="J31" s="290">
        <v>66</v>
      </c>
      <c r="K31" s="290"/>
      <c r="L31" s="290"/>
      <c r="M31" s="108"/>
      <c r="N31" s="298" t="s">
        <v>101</v>
      </c>
      <c r="O31" s="299"/>
      <c r="P31" s="292">
        <v>73</v>
      </c>
      <c r="Q31" s="290"/>
      <c r="R31" s="109"/>
      <c r="S31" s="113"/>
    </row>
    <row r="32" spans="1:19" ht="18" customHeight="1" x14ac:dyDescent="0.15">
      <c r="A32" s="109"/>
      <c r="B32" s="295" t="s">
        <v>21</v>
      </c>
      <c r="C32" s="295"/>
      <c r="D32" s="290">
        <v>55</v>
      </c>
      <c r="E32" s="290"/>
      <c r="F32" s="290"/>
      <c r="G32" s="109"/>
      <c r="H32" s="289" t="s">
        <v>109</v>
      </c>
      <c r="I32" s="289"/>
      <c r="J32" s="290">
        <v>67</v>
      </c>
      <c r="K32" s="290"/>
      <c r="L32" s="290"/>
      <c r="M32" s="109"/>
      <c r="N32" s="133"/>
      <c r="O32" s="133"/>
      <c r="P32" s="109"/>
      <c r="Q32" s="109"/>
      <c r="R32" s="109"/>
      <c r="S32" s="113"/>
    </row>
    <row r="33" spans="1:19" ht="18" customHeight="1" x14ac:dyDescent="0.15">
      <c r="A33" s="109"/>
      <c r="B33" s="295" t="s">
        <v>47</v>
      </c>
      <c r="C33" s="295"/>
      <c r="D33" s="290">
        <v>56</v>
      </c>
      <c r="E33" s="290"/>
      <c r="F33" s="119"/>
      <c r="G33" s="109"/>
      <c r="H33" s="289" t="s">
        <v>187</v>
      </c>
      <c r="I33" s="289"/>
      <c r="J33" s="290">
        <v>68</v>
      </c>
      <c r="K33" s="290"/>
      <c r="L33" s="290"/>
      <c r="M33" s="134" t="s">
        <v>70</v>
      </c>
      <c r="N33" s="290">
        <v>79</v>
      </c>
      <c r="O33" s="290"/>
      <c r="P33" s="290"/>
      <c r="Q33" s="290"/>
      <c r="R33" s="109"/>
      <c r="S33" s="113"/>
    </row>
    <row r="34" spans="1:19" ht="18" customHeight="1" x14ac:dyDescent="0.15">
      <c r="A34" s="109"/>
      <c r="B34" s="289" t="s">
        <v>65</v>
      </c>
      <c r="C34" s="289"/>
      <c r="D34" s="297">
        <v>57</v>
      </c>
      <c r="E34" s="297"/>
      <c r="F34" s="297"/>
      <c r="G34" s="109"/>
      <c r="H34" s="289" t="s">
        <v>66</v>
      </c>
      <c r="I34" s="289"/>
      <c r="J34" s="290">
        <v>69</v>
      </c>
      <c r="K34" s="290"/>
      <c r="L34" s="290"/>
      <c r="M34" s="134" t="s">
        <v>131</v>
      </c>
      <c r="N34" s="290">
        <v>80</v>
      </c>
      <c r="O34" s="290"/>
      <c r="P34" s="290"/>
      <c r="Q34" s="290"/>
      <c r="R34" s="109"/>
      <c r="S34" s="113"/>
    </row>
    <row r="35" spans="1:19" ht="18" customHeight="1" x14ac:dyDescent="0.15">
      <c r="A35" s="109"/>
      <c r="B35" s="289" t="s">
        <v>192</v>
      </c>
      <c r="C35" s="289"/>
      <c r="D35" s="290">
        <v>58</v>
      </c>
      <c r="E35" s="290"/>
      <c r="F35" s="290"/>
      <c r="G35" s="109"/>
      <c r="H35" s="289" t="s">
        <v>129</v>
      </c>
      <c r="I35" s="289"/>
      <c r="J35" s="290">
        <v>60</v>
      </c>
      <c r="K35" s="290"/>
      <c r="L35" s="290"/>
      <c r="M35" s="134" t="s">
        <v>157</v>
      </c>
      <c r="N35" s="290">
        <v>81</v>
      </c>
      <c r="O35" s="290"/>
      <c r="P35" s="290"/>
      <c r="Q35" s="290"/>
      <c r="R35" s="109"/>
      <c r="S35" s="113"/>
    </row>
    <row r="36" spans="1:19" ht="18" customHeight="1" x14ac:dyDescent="0.15">
      <c r="A36" s="109"/>
      <c r="B36" s="295" t="s">
        <v>21</v>
      </c>
      <c r="C36" s="295"/>
      <c r="D36" s="290">
        <v>59</v>
      </c>
      <c r="E36" s="290"/>
      <c r="F36" s="290"/>
      <c r="G36" s="109"/>
      <c r="H36" s="289" t="s">
        <v>27</v>
      </c>
      <c r="I36" s="289"/>
      <c r="J36" s="290">
        <v>71</v>
      </c>
      <c r="K36" s="290"/>
      <c r="L36" s="290"/>
      <c r="M36" s="109"/>
      <c r="N36" s="109"/>
      <c r="O36" s="109"/>
      <c r="P36" s="109"/>
      <c r="Q36" s="109"/>
      <c r="R36" s="109"/>
      <c r="S36" s="113"/>
    </row>
    <row r="37" spans="1:19" ht="18" customHeight="1" x14ac:dyDescent="0.15">
      <c r="A37" s="109"/>
      <c r="B37" s="295" t="s">
        <v>47</v>
      </c>
      <c r="C37" s="295"/>
      <c r="D37" s="290">
        <v>60</v>
      </c>
      <c r="E37" s="290"/>
      <c r="F37" s="11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13"/>
    </row>
    <row r="38" spans="1:19" ht="18" customHeight="1" x14ac:dyDescent="0.15">
      <c r="A38" s="109"/>
      <c r="B38" s="289" t="s">
        <v>108</v>
      </c>
      <c r="C38" s="289"/>
      <c r="D38" s="297">
        <v>61</v>
      </c>
      <c r="E38" s="297"/>
      <c r="F38" s="297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13"/>
    </row>
    <row r="39" spans="1:19" ht="18" customHeight="1" x14ac:dyDescent="0.15">
      <c r="A39" s="109"/>
      <c r="B39" s="289" t="s">
        <v>192</v>
      </c>
      <c r="C39" s="289"/>
      <c r="D39" s="290">
        <v>62</v>
      </c>
      <c r="E39" s="290"/>
      <c r="F39" s="290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13"/>
    </row>
    <row r="40" spans="1:19" ht="18" customHeight="1" x14ac:dyDescent="0.15">
      <c r="A40" s="109"/>
      <c r="B40" s="295" t="s">
        <v>21</v>
      </c>
      <c r="C40" s="295"/>
      <c r="D40" s="290">
        <v>63</v>
      </c>
      <c r="E40" s="290"/>
      <c r="F40" s="290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13"/>
    </row>
    <row r="41" spans="1:19" ht="18" customHeight="1" x14ac:dyDescent="0.15">
      <c r="A41" s="109"/>
      <c r="B41" s="295" t="s">
        <v>47</v>
      </c>
      <c r="C41" s="295"/>
      <c r="D41" s="290">
        <v>64</v>
      </c>
      <c r="E41" s="290"/>
      <c r="F41" s="119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13"/>
    </row>
    <row r="42" spans="1:19" ht="18" customHeight="1" x14ac:dyDescent="0.15">
      <c r="A42" s="109"/>
      <c r="B42" s="10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13"/>
    </row>
    <row r="43" spans="1:19" ht="14.25" x14ac:dyDescent="0.15">
      <c r="A43" s="135" t="s">
        <v>0</v>
      </c>
      <c r="B43" s="114"/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35" t="s">
        <v>36</v>
      </c>
      <c r="P43" s="296"/>
      <c r="Q43" s="296"/>
      <c r="R43" s="296"/>
      <c r="S43" s="113"/>
    </row>
    <row r="44" spans="1:19" ht="18" customHeight="1" x14ac:dyDescent="0.15">
      <c r="A44" s="109"/>
      <c r="B44" s="114"/>
      <c r="C44" s="114"/>
      <c r="D44" s="114"/>
      <c r="E44" s="114"/>
      <c r="F44" s="114"/>
      <c r="G44" s="114"/>
      <c r="H44" s="114"/>
      <c r="I44" s="114"/>
      <c r="J44" s="114"/>
      <c r="K44" s="114"/>
      <c r="L44" s="294" t="s">
        <v>4</v>
      </c>
      <c r="M44" s="294"/>
      <c r="N44" s="113"/>
      <c r="O44" s="114"/>
      <c r="P44" s="118"/>
      <c r="Q44" s="115">
        <v>1</v>
      </c>
      <c r="R44" s="109"/>
      <c r="S44" s="113"/>
    </row>
    <row r="45" spans="1:19" ht="18" customHeight="1" x14ac:dyDescent="0.15">
      <c r="A45" s="109"/>
      <c r="B45" s="289" t="s">
        <v>140</v>
      </c>
      <c r="C45" s="289"/>
      <c r="D45" s="290">
        <v>9</v>
      </c>
      <c r="E45" s="290"/>
      <c r="F45" s="294" t="s">
        <v>117</v>
      </c>
      <c r="G45" s="294"/>
      <c r="H45" s="289" t="s">
        <v>18</v>
      </c>
      <c r="I45" s="289"/>
      <c r="J45" s="291">
        <v>2</v>
      </c>
      <c r="K45" s="292"/>
      <c r="L45" s="290">
        <v>3</v>
      </c>
      <c r="M45" s="290"/>
      <c r="N45" s="113"/>
      <c r="O45" s="109"/>
      <c r="P45" s="136"/>
      <c r="Q45" s="293" t="s">
        <v>122</v>
      </c>
      <c r="R45" s="293"/>
      <c r="S45" s="113"/>
    </row>
    <row r="46" spans="1:19" ht="18" customHeight="1" x14ac:dyDescent="0.15">
      <c r="A46" s="109"/>
      <c r="B46" s="289" t="s">
        <v>201</v>
      </c>
      <c r="C46" s="289"/>
      <c r="D46" s="290">
        <v>7</v>
      </c>
      <c r="E46" s="290"/>
      <c r="F46" s="290">
        <v>8</v>
      </c>
      <c r="G46" s="290"/>
      <c r="H46" s="289" t="s">
        <v>97</v>
      </c>
      <c r="I46" s="289"/>
      <c r="J46" s="290">
        <v>49</v>
      </c>
      <c r="K46" s="290"/>
      <c r="L46" s="109"/>
      <c r="M46" s="109"/>
      <c r="N46" s="113"/>
      <c r="O46" s="109"/>
      <c r="P46" s="136"/>
      <c r="Q46" s="293" t="s">
        <v>51</v>
      </c>
      <c r="R46" s="293"/>
      <c r="S46" s="113"/>
    </row>
    <row r="47" spans="1:19" ht="18" customHeight="1" x14ac:dyDescent="0.15">
      <c r="A47" s="109"/>
      <c r="B47" s="289" t="s">
        <v>53</v>
      </c>
      <c r="C47" s="289"/>
      <c r="D47" s="290">
        <v>5</v>
      </c>
      <c r="E47" s="290"/>
      <c r="F47" s="291">
        <v>6</v>
      </c>
      <c r="G47" s="292"/>
      <c r="H47" s="289" t="s">
        <v>146</v>
      </c>
      <c r="I47" s="289"/>
      <c r="J47" s="290">
        <v>50</v>
      </c>
      <c r="K47" s="290"/>
      <c r="L47" s="109"/>
      <c r="M47" s="109"/>
      <c r="N47" s="113"/>
      <c r="O47" s="109"/>
      <c r="P47" s="136"/>
      <c r="Q47" s="293" t="s">
        <v>17</v>
      </c>
      <c r="R47" s="293"/>
      <c r="S47" s="113"/>
    </row>
    <row r="48" spans="1:19" ht="18" customHeight="1" x14ac:dyDescent="0.15">
      <c r="A48" s="109"/>
      <c r="B48" s="200" t="s">
        <v>22</v>
      </c>
      <c r="C48" s="200"/>
      <c r="D48" s="290">
        <v>4</v>
      </c>
      <c r="E48" s="290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14"/>
      <c r="R48" s="109"/>
      <c r="S48" s="113"/>
    </row>
    <row r="49" spans="1:19" ht="18" customHeight="1" x14ac:dyDescent="0.15">
      <c r="A49" s="109"/>
      <c r="B49" s="10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14"/>
      <c r="R49" s="109"/>
      <c r="S49" s="113"/>
    </row>
    <row r="50" spans="1:19" ht="18" customHeight="1" x14ac:dyDescent="0.15">
      <c r="A50" s="137" t="s">
        <v>75</v>
      </c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 customHeight="1" x14ac:dyDescent="0.15">
      <c r="A51" s="113"/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 customHeight="1" x14ac:dyDescent="0.15">
      <c r="A52" s="113"/>
      <c r="B52" s="289" t="s">
        <v>19</v>
      </c>
      <c r="C52" s="289"/>
      <c r="D52" s="290">
        <v>74</v>
      </c>
      <c r="E52" s="290"/>
      <c r="F52" s="290"/>
      <c r="G52" s="113"/>
      <c r="H52" s="289" t="s">
        <v>173</v>
      </c>
      <c r="I52" s="289"/>
      <c r="J52" s="290">
        <v>75</v>
      </c>
      <c r="K52" s="290"/>
      <c r="L52" s="290"/>
      <c r="M52" s="113"/>
      <c r="N52" s="289" t="s">
        <v>25</v>
      </c>
      <c r="O52" s="289"/>
      <c r="P52" s="290">
        <v>77</v>
      </c>
      <c r="Q52" s="290"/>
      <c r="R52" s="290"/>
      <c r="S52" s="113"/>
    </row>
    <row r="53" spans="1:19" ht="18" customHeight="1" x14ac:dyDescent="0.15">
      <c r="A53" s="113"/>
      <c r="B53" s="113"/>
      <c r="C53" s="113"/>
      <c r="D53" s="113"/>
      <c r="E53" s="113"/>
      <c r="F53" s="113"/>
      <c r="G53" s="113"/>
      <c r="H53" s="289" t="s">
        <v>174</v>
      </c>
      <c r="I53" s="289"/>
      <c r="J53" s="290">
        <v>76</v>
      </c>
      <c r="K53" s="290"/>
      <c r="L53" s="290"/>
      <c r="M53" s="113"/>
      <c r="N53" s="289" t="s">
        <v>48</v>
      </c>
      <c r="O53" s="289"/>
      <c r="P53" s="290">
        <v>78</v>
      </c>
      <c r="Q53" s="290"/>
      <c r="R53" s="290"/>
      <c r="S53" s="113"/>
    </row>
    <row r="54" spans="1:19" ht="18" customHeight="1" x14ac:dyDescent="0.15">
      <c r="A54" s="113"/>
      <c r="B54" s="113"/>
      <c r="C54" s="113"/>
      <c r="D54" s="113"/>
      <c r="E54" s="113"/>
      <c r="F54" s="113"/>
      <c r="G54" s="113"/>
      <c r="H54" s="109"/>
      <c r="I54" s="109"/>
      <c r="J54" s="109"/>
      <c r="K54" s="109"/>
      <c r="L54" s="109"/>
      <c r="M54" s="113"/>
      <c r="N54" s="113"/>
      <c r="O54" s="113"/>
      <c r="P54" s="113"/>
      <c r="Q54" s="113"/>
      <c r="R54" s="113"/>
      <c r="S54" s="113"/>
    </row>
    <row r="55" spans="1:19" ht="18" customHeight="1" x14ac:dyDescent="0.15"/>
  </sheetData>
  <sheetProtection password="80CA" sheet="1"/>
  <dataConsolidate/>
  <mergeCells count="146">
    <mergeCell ref="A1:S1"/>
    <mergeCell ref="M3:N3"/>
    <mergeCell ref="O3:P3"/>
    <mergeCell ref="B4:C4"/>
    <mergeCell ref="D4:F4"/>
    <mergeCell ref="I4:K4"/>
    <mergeCell ref="B5:C5"/>
    <mergeCell ref="G5:H5"/>
    <mergeCell ref="B6:C6"/>
    <mergeCell ref="D6:K6"/>
    <mergeCell ref="B7:C7"/>
    <mergeCell ref="D7:K7"/>
    <mergeCell ref="B8:C8"/>
    <mergeCell ref="E8:G8"/>
    <mergeCell ref="I8:K8"/>
    <mergeCell ref="B9:C9"/>
    <mergeCell ref="D9:G9"/>
    <mergeCell ref="G11:K11"/>
    <mergeCell ref="M11:Q11"/>
    <mergeCell ref="C12:E12"/>
    <mergeCell ref="G12:H12"/>
    <mergeCell ref="I12:K12"/>
    <mergeCell ref="M12:N12"/>
    <mergeCell ref="O12:Q12"/>
    <mergeCell ref="R12:S12"/>
    <mergeCell ref="C13:E13"/>
    <mergeCell ref="G13:H13"/>
    <mergeCell ref="I13:K13"/>
    <mergeCell ref="M13:N13"/>
    <mergeCell ref="O13:Q13"/>
    <mergeCell ref="C14:E14"/>
    <mergeCell ref="G14:K14"/>
    <mergeCell ref="M14:Q14"/>
    <mergeCell ref="C15:E15"/>
    <mergeCell ref="G15:H15"/>
    <mergeCell ref="I15:K15"/>
    <mergeCell ref="M15:N15"/>
    <mergeCell ref="O15:Q15"/>
    <mergeCell ref="G16:H16"/>
    <mergeCell ref="I16:K16"/>
    <mergeCell ref="M16:N16"/>
    <mergeCell ref="O16:Q16"/>
    <mergeCell ref="C18:Q18"/>
    <mergeCell ref="A19:R19"/>
    <mergeCell ref="B22:C22"/>
    <mergeCell ref="D22:E22"/>
    <mergeCell ref="F22:G22"/>
    <mergeCell ref="K22:L22"/>
    <mergeCell ref="M22:N22"/>
    <mergeCell ref="O22:P22"/>
    <mergeCell ref="B23:C23"/>
    <mergeCell ref="D23:E23"/>
    <mergeCell ref="K23:L23"/>
    <mergeCell ref="M23:N23"/>
    <mergeCell ref="O23:P23"/>
    <mergeCell ref="B24:C24"/>
    <mergeCell ref="D24:E24"/>
    <mergeCell ref="F24:G24"/>
    <mergeCell ref="H24:I24"/>
    <mergeCell ref="K24:L24"/>
    <mergeCell ref="M24:N24"/>
    <mergeCell ref="O24:P24"/>
    <mergeCell ref="K25:L25"/>
    <mergeCell ref="M25:N25"/>
    <mergeCell ref="O25:P25"/>
    <mergeCell ref="K26:N26"/>
    <mergeCell ref="O26:P26"/>
    <mergeCell ref="A27:R27"/>
    <mergeCell ref="B30:C30"/>
    <mergeCell ref="D30:F30"/>
    <mergeCell ref="H30:I30"/>
    <mergeCell ref="J30:L30"/>
    <mergeCell ref="N30:O30"/>
    <mergeCell ref="P30:Q30"/>
    <mergeCell ref="B31:C31"/>
    <mergeCell ref="D31:F31"/>
    <mergeCell ref="H31:I31"/>
    <mergeCell ref="J31:L31"/>
    <mergeCell ref="N31:O31"/>
    <mergeCell ref="P31:Q31"/>
    <mergeCell ref="B32:C32"/>
    <mergeCell ref="D32:F32"/>
    <mergeCell ref="H32:I32"/>
    <mergeCell ref="J32:L32"/>
    <mergeCell ref="B33:C33"/>
    <mergeCell ref="D33:E33"/>
    <mergeCell ref="H33:I33"/>
    <mergeCell ref="J33:L33"/>
    <mergeCell ref="N33:Q33"/>
    <mergeCell ref="B34:C34"/>
    <mergeCell ref="D34:F34"/>
    <mergeCell ref="H34:I34"/>
    <mergeCell ref="J34:L34"/>
    <mergeCell ref="N34:Q34"/>
    <mergeCell ref="B35:C35"/>
    <mergeCell ref="D35:F35"/>
    <mergeCell ref="H35:I35"/>
    <mergeCell ref="J35:L35"/>
    <mergeCell ref="N35:Q35"/>
    <mergeCell ref="B36:C36"/>
    <mergeCell ref="D36:F36"/>
    <mergeCell ref="H36:I36"/>
    <mergeCell ref="J36:L36"/>
    <mergeCell ref="P43:R43"/>
    <mergeCell ref="L44:M44"/>
    <mergeCell ref="B37:C37"/>
    <mergeCell ref="D37:E37"/>
    <mergeCell ref="B38:C38"/>
    <mergeCell ref="D38:F38"/>
    <mergeCell ref="B39:C39"/>
    <mergeCell ref="D39:F39"/>
    <mergeCell ref="H45:I45"/>
    <mergeCell ref="J45:K45"/>
    <mergeCell ref="L45:M45"/>
    <mergeCell ref="B40:C40"/>
    <mergeCell ref="D40:F40"/>
    <mergeCell ref="B41:C41"/>
    <mergeCell ref="D41:E41"/>
    <mergeCell ref="Q45:R45"/>
    <mergeCell ref="B46:C46"/>
    <mergeCell ref="D46:E46"/>
    <mergeCell ref="F46:G46"/>
    <mergeCell ref="H46:I46"/>
    <mergeCell ref="J46:K46"/>
    <mergeCell ref="Q46:R46"/>
    <mergeCell ref="B45:C45"/>
    <mergeCell ref="D45:E45"/>
    <mergeCell ref="F45:G45"/>
    <mergeCell ref="B47:C47"/>
    <mergeCell ref="D47:E47"/>
    <mergeCell ref="F47:G47"/>
    <mergeCell ref="H47:I47"/>
    <mergeCell ref="J47:K47"/>
    <mergeCell ref="Q47:R47"/>
    <mergeCell ref="B48:C48"/>
    <mergeCell ref="D48:E48"/>
    <mergeCell ref="B52:C52"/>
    <mergeCell ref="D52:F52"/>
    <mergeCell ref="H52:I52"/>
    <mergeCell ref="J52:L52"/>
    <mergeCell ref="N52:O52"/>
    <mergeCell ref="P52:R52"/>
    <mergeCell ref="H53:I53"/>
    <mergeCell ref="J53:L53"/>
    <mergeCell ref="N53:O53"/>
    <mergeCell ref="P53:R53"/>
  </mergeCells>
  <phoneticPr fontId="2"/>
  <pageMargins left="0.59055118110236227" right="0.19685039370078741" top="0.59055118110236227" bottom="0.39370078740157483" header="0.19685039370078741" footer="0.1968503937007874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Option Button 1">
              <controlPr defaultSize="0" autoFill="0" autoLine="0" autoPict="0">
                <anchor moveWithCells="1">
                  <from>
                    <xdr:col>15</xdr:col>
                    <xdr:colOff>19050</xdr:colOff>
                    <xdr:row>43</xdr:row>
                    <xdr:rowOff>0</xdr:rowOff>
                  </from>
                  <to>
                    <xdr:col>16</xdr:col>
                    <xdr:colOff>19050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Option Button 2">
              <controlPr defaultSize="0" autoFill="0" autoLine="0" autoPict="0">
                <anchor moveWithCells="1">
                  <from>
                    <xdr:col>15</xdr:col>
                    <xdr:colOff>19050</xdr:colOff>
                    <xdr:row>44</xdr:row>
                    <xdr:rowOff>0</xdr:rowOff>
                  </from>
                  <to>
                    <xdr:col>16</xdr:col>
                    <xdr:colOff>19050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Option Button 3">
              <controlPr defaultSize="0" autoFill="0" autoLine="0" autoPict="0">
                <anchor moveWithCells="1">
                  <from>
                    <xdr:col>15</xdr:col>
                    <xdr:colOff>19050</xdr:colOff>
                    <xdr:row>45</xdr:row>
                    <xdr:rowOff>0</xdr:rowOff>
                  </from>
                  <to>
                    <xdr:col>16</xdr:col>
                    <xdr:colOff>19050</xdr:colOff>
                    <xdr:row>47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Z55"/>
  <sheetViews>
    <sheetView zoomScaleNormal="100" zoomScaleSheetLayoutView="100" workbookViewId="0">
      <selection activeCell="I12" sqref="I12:K12"/>
    </sheetView>
  </sheetViews>
  <sheetFormatPr defaultColWidth="0" defaultRowHeight="18" customHeight="1" zeroHeight="1" x14ac:dyDescent="0.15"/>
  <cols>
    <col min="1" max="19" width="5" style="55" customWidth="1"/>
    <col min="20" max="78" width="5" style="55" hidden="1" customWidth="1"/>
    <col min="79" max="16384" width="5" style="33" hidden="1"/>
  </cols>
  <sheetData>
    <row r="1" spans="1:78" ht="18" customHeight="1" x14ac:dyDescent="0.15">
      <c r="A1" s="307" t="s">
        <v>67</v>
      </c>
      <c r="B1" s="308"/>
      <c r="C1" s="308"/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9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</row>
    <row r="2" spans="1:78" ht="18" customHeight="1" x14ac:dyDescent="0.15">
      <c r="A2" s="110" t="s">
        <v>41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2" t="s">
        <v>111</v>
      </c>
      <c r="N2" s="111"/>
      <c r="O2" s="111"/>
      <c r="P2" s="111"/>
      <c r="Q2" s="111"/>
      <c r="R2" s="111"/>
      <c r="S2" s="113"/>
    </row>
    <row r="3" spans="1:78" ht="18" customHeight="1" x14ac:dyDescent="0.15">
      <c r="A3" s="109"/>
      <c r="B3" s="114"/>
      <c r="C3" s="114"/>
      <c r="D3" s="115">
        <v>14</v>
      </c>
      <c r="E3" s="114"/>
      <c r="F3" s="114"/>
      <c r="G3" s="114"/>
      <c r="H3" s="114"/>
      <c r="I3" s="114"/>
      <c r="J3" s="114"/>
      <c r="K3" s="114"/>
      <c r="L3" s="114"/>
      <c r="M3" s="289" t="s">
        <v>103</v>
      </c>
      <c r="N3" s="289"/>
      <c r="O3" s="289" t="s">
        <v>61</v>
      </c>
      <c r="P3" s="289"/>
      <c r="Q3" s="114"/>
      <c r="R3" s="109"/>
      <c r="S3" s="113"/>
    </row>
    <row r="4" spans="1:78" ht="18" customHeight="1" x14ac:dyDescent="0.15">
      <c r="A4" s="109"/>
      <c r="B4" s="289" t="s">
        <v>151</v>
      </c>
      <c r="C4" s="289"/>
      <c r="D4" s="290">
        <v>13</v>
      </c>
      <c r="E4" s="290"/>
      <c r="F4" s="290"/>
      <c r="G4" s="109" t="s">
        <v>144</v>
      </c>
      <c r="H4" s="115">
        <v>12</v>
      </c>
      <c r="I4" s="290">
        <v>11</v>
      </c>
      <c r="J4" s="290"/>
      <c r="K4" s="290"/>
      <c r="L4" s="109"/>
      <c r="M4" s="109" t="s">
        <v>7</v>
      </c>
      <c r="N4" s="138">
        <v>30</v>
      </c>
      <c r="O4" s="109" t="s">
        <v>145</v>
      </c>
      <c r="P4" s="138">
        <v>32</v>
      </c>
      <c r="Q4" s="109"/>
      <c r="R4" s="109"/>
      <c r="S4" s="113"/>
    </row>
    <row r="5" spans="1:78" ht="18" customHeight="1" x14ac:dyDescent="0.15">
      <c r="A5" s="109"/>
      <c r="B5" s="289" t="s">
        <v>106</v>
      </c>
      <c r="C5" s="289"/>
      <c r="D5" s="115">
        <v>15</v>
      </c>
      <c r="E5" s="115">
        <v>16</v>
      </c>
      <c r="F5" s="115">
        <v>17</v>
      </c>
      <c r="G5" s="290">
        <v>18</v>
      </c>
      <c r="H5" s="290"/>
      <c r="I5" s="109"/>
      <c r="J5" s="109"/>
      <c r="K5" s="109"/>
      <c r="L5" s="109"/>
      <c r="M5" s="109" t="s">
        <v>77</v>
      </c>
      <c r="N5" s="115">
        <v>31</v>
      </c>
      <c r="O5" s="109" t="s">
        <v>89</v>
      </c>
      <c r="P5" s="115">
        <v>34</v>
      </c>
      <c r="Q5" s="109"/>
      <c r="R5" s="109"/>
      <c r="S5" s="113"/>
    </row>
    <row r="6" spans="1:78" ht="18" customHeight="1" x14ac:dyDescent="0.15">
      <c r="A6" s="109"/>
      <c r="B6" s="295" t="s">
        <v>49</v>
      </c>
      <c r="C6" s="295"/>
      <c r="D6" s="290">
        <v>19</v>
      </c>
      <c r="E6" s="290"/>
      <c r="F6" s="290"/>
      <c r="G6" s="290"/>
      <c r="H6" s="290"/>
      <c r="I6" s="290"/>
      <c r="J6" s="290"/>
      <c r="K6" s="290"/>
      <c r="L6" s="109"/>
      <c r="M6" s="109" t="s">
        <v>50</v>
      </c>
      <c r="N6" s="115">
        <v>32</v>
      </c>
      <c r="O6" s="109" t="s">
        <v>11</v>
      </c>
      <c r="P6" s="115">
        <v>35</v>
      </c>
      <c r="Q6" s="109"/>
      <c r="R6" s="109"/>
      <c r="S6" s="113"/>
    </row>
    <row r="7" spans="1:78" ht="18" customHeight="1" x14ac:dyDescent="0.15">
      <c r="A7" s="109"/>
      <c r="B7" s="289" t="s">
        <v>42</v>
      </c>
      <c r="C7" s="289"/>
      <c r="D7" s="290">
        <v>20</v>
      </c>
      <c r="E7" s="290"/>
      <c r="F7" s="290"/>
      <c r="G7" s="290"/>
      <c r="H7" s="290"/>
      <c r="I7" s="290"/>
      <c r="J7" s="290"/>
      <c r="K7" s="290"/>
      <c r="L7" s="109"/>
      <c r="M7" s="112" t="s">
        <v>177</v>
      </c>
      <c r="N7" s="109"/>
      <c r="O7" s="109"/>
      <c r="P7" s="109"/>
      <c r="Q7" s="109"/>
      <c r="R7" s="109"/>
      <c r="S7" s="113"/>
    </row>
    <row r="8" spans="1:78" ht="18" customHeight="1" x14ac:dyDescent="0.15">
      <c r="A8" s="109"/>
      <c r="B8" s="289" t="s">
        <v>43</v>
      </c>
      <c r="C8" s="289"/>
      <c r="D8" s="109" t="s">
        <v>62</v>
      </c>
      <c r="E8" s="290">
        <v>27</v>
      </c>
      <c r="F8" s="290"/>
      <c r="G8" s="290"/>
      <c r="H8" s="109" t="s">
        <v>63</v>
      </c>
      <c r="I8" s="290">
        <v>28</v>
      </c>
      <c r="J8" s="290"/>
      <c r="K8" s="290"/>
      <c r="L8" s="109"/>
      <c r="M8" s="109" t="s">
        <v>7</v>
      </c>
      <c r="N8" s="138">
        <v>36</v>
      </c>
      <c r="O8" s="109"/>
      <c r="P8" s="109"/>
      <c r="Q8" s="109"/>
      <c r="R8" s="109"/>
      <c r="S8" s="113"/>
    </row>
    <row r="9" spans="1:78" ht="18" customHeight="1" x14ac:dyDescent="0.15">
      <c r="A9" s="109"/>
      <c r="B9" s="289" t="s">
        <v>188</v>
      </c>
      <c r="C9" s="289"/>
      <c r="D9" s="290">
        <v>29</v>
      </c>
      <c r="E9" s="290"/>
      <c r="F9" s="290"/>
      <c r="G9" s="290"/>
      <c r="H9" s="109"/>
      <c r="I9" s="109"/>
      <c r="J9" s="109"/>
      <c r="K9" s="109"/>
      <c r="L9" s="109"/>
      <c r="M9" s="109" t="s">
        <v>12</v>
      </c>
      <c r="N9" s="115">
        <v>37</v>
      </c>
      <c r="O9" s="109"/>
      <c r="P9" s="117"/>
      <c r="Q9" s="109"/>
      <c r="R9" s="109"/>
      <c r="S9" s="113"/>
    </row>
    <row r="10" spans="1:78" ht="18" customHeight="1" x14ac:dyDescent="0.15">
      <c r="A10" s="109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 t="s">
        <v>87</v>
      </c>
      <c r="N10" s="115">
        <v>38</v>
      </c>
      <c r="O10" s="109"/>
      <c r="P10" s="109"/>
      <c r="Q10" s="109"/>
      <c r="R10" s="109"/>
      <c r="S10" s="113"/>
    </row>
    <row r="11" spans="1:78" ht="18" customHeight="1" x14ac:dyDescent="0.15">
      <c r="A11" s="109"/>
      <c r="B11" s="118" t="s">
        <v>178</v>
      </c>
      <c r="C11" s="118"/>
      <c r="D11" s="118"/>
      <c r="E11" s="115">
        <v>10</v>
      </c>
      <c r="F11" s="114"/>
      <c r="G11" s="296" t="s">
        <v>175</v>
      </c>
      <c r="H11" s="296"/>
      <c r="I11" s="296"/>
      <c r="J11" s="296"/>
      <c r="K11" s="296"/>
      <c r="L11" s="114"/>
      <c r="M11" s="296" t="s">
        <v>128</v>
      </c>
      <c r="N11" s="296"/>
      <c r="O11" s="296"/>
      <c r="P11" s="296"/>
      <c r="Q11" s="296"/>
      <c r="R11" s="109"/>
      <c r="S11" s="119" t="s">
        <v>271</v>
      </c>
      <c r="T11" s="120"/>
      <c r="U11" s="121"/>
      <c r="V11" s="121"/>
      <c r="W11" s="121"/>
      <c r="X11" s="122"/>
      <c r="Y11" s="121"/>
      <c r="Z11" s="121"/>
      <c r="AA11" s="121"/>
      <c r="AB11" s="122"/>
      <c r="AC11" s="121"/>
      <c r="AD11" s="121"/>
      <c r="AE11" s="121"/>
    </row>
    <row r="12" spans="1:78" ht="18" customHeight="1" x14ac:dyDescent="0.15">
      <c r="A12" s="109"/>
      <c r="B12" s="123"/>
      <c r="C12" s="293" t="s">
        <v>161</v>
      </c>
      <c r="D12" s="293"/>
      <c r="E12" s="293"/>
      <c r="F12" s="114"/>
      <c r="G12" s="289" t="s">
        <v>164</v>
      </c>
      <c r="H12" s="289"/>
      <c r="I12" s="290">
        <v>21</v>
      </c>
      <c r="J12" s="290"/>
      <c r="K12" s="290"/>
      <c r="L12" s="109"/>
      <c r="M12" s="289" t="s">
        <v>164</v>
      </c>
      <c r="N12" s="289"/>
      <c r="O12" s="290">
        <v>23</v>
      </c>
      <c r="P12" s="290"/>
      <c r="Q12" s="290"/>
      <c r="R12" s="290">
        <v>89</v>
      </c>
      <c r="S12" s="290"/>
    </row>
    <row r="13" spans="1:78" ht="18" customHeight="1" x14ac:dyDescent="0.15">
      <c r="A13" s="109"/>
      <c r="B13" s="124"/>
      <c r="C13" s="293" t="s">
        <v>139</v>
      </c>
      <c r="D13" s="293"/>
      <c r="E13" s="293"/>
      <c r="F13" s="114"/>
      <c r="G13" s="295" t="s">
        <v>21</v>
      </c>
      <c r="H13" s="295"/>
      <c r="I13" s="310">
        <v>22</v>
      </c>
      <c r="J13" s="310"/>
      <c r="K13" s="310"/>
      <c r="L13" s="109"/>
      <c r="M13" s="295" t="s">
        <v>21</v>
      </c>
      <c r="N13" s="295"/>
      <c r="O13" s="310">
        <v>24</v>
      </c>
      <c r="P13" s="310"/>
      <c r="Q13" s="310"/>
      <c r="R13" s="109"/>
      <c r="S13" s="113"/>
    </row>
    <row r="14" spans="1:78" ht="18" customHeight="1" x14ac:dyDescent="0.15">
      <c r="A14" s="109"/>
      <c r="B14" s="124"/>
      <c r="C14" s="293" t="s">
        <v>167</v>
      </c>
      <c r="D14" s="293"/>
      <c r="E14" s="293"/>
      <c r="F14" s="119"/>
      <c r="G14" s="296" t="s">
        <v>251</v>
      </c>
      <c r="H14" s="296"/>
      <c r="I14" s="296"/>
      <c r="J14" s="296"/>
      <c r="K14" s="296"/>
      <c r="L14" s="109"/>
      <c r="M14" s="296" t="s">
        <v>202</v>
      </c>
      <c r="N14" s="296"/>
      <c r="O14" s="296"/>
      <c r="P14" s="296"/>
      <c r="Q14" s="296"/>
      <c r="R14" s="109"/>
      <c r="S14" s="113"/>
    </row>
    <row r="15" spans="1:78" ht="18" customHeight="1" x14ac:dyDescent="0.15">
      <c r="A15" s="109"/>
      <c r="B15" s="125"/>
      <c r="C15" s="304" t="s">
        <v>56</v>
      </c>
      <c r="D15" s="305"/>
      <c r="E15" s="306"/>
      <c r="F15" s="119"/>
      <c r="G15" s="289" t="s">
        <v>254</v>
      </c>
      <c r="H15" s="289"/>
      <c r="I15" s="290">
        <v>51</v>
      </c>
      <c r="J15" s="290"/>
      <c r="K15" s="290"/>
      <c r="L15" s="109"/>
      <c r="M15" s="289" t="s">
        <v>164</v>
      </c>
      <c r="N15" s="289"/>
      <c r="O15" s="290">
        <v>25</v>
      </c>
      <c r="P15" s="290"/>
      <c r="Q15" s="290"/>
      <c r="R15" s="109"/>
      <c r="S15" s="113"/>
    </row>
    <row r="16" spans="1:78" ht="18" customHeight="1" x14ac:dyDescent="0.15">
      <c r="A16" s="109"/>
      <c r="B16" s="116"/>
      <c r="C16" s="128"/>
      <c r="D16" s="128"/>
      <c r="E16" s="128"/>
      <c r="F16" s="128"/>
      <c r="G16" s="295" t="s">
        <v>21</v>
      </c>
      <c r="H16" s="295"/>
      <c r="I16" s="310">
        <v>52</v>
      </c>
      <c r="J16" s="310"/>
      <c r="K16" s="310"/>
      <c r="L16" s="109"/>
      <c r="M16" s="116" t="s">
        <v>21</v>
      </c>
      <c r="N16" s="109"/>
      <c r="O16" s="138">
        <v>26</v>
      </c>
      <c r="P16" s="138"/>
      <c r="Q16" s="138"/>
      <c r="R16" s="109"/>
      <c r="S16" s="113"/>
    </row>
    <row r="17" spans="1:19" ht="18" customHeight="1" x14ac:dyDescent="0.15">
      <c r="A17" s="109"/>
      <c r="B17" s="109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13"/>
    </row>
    <row r="18" spans="1:19" ht="18" customHeight="1" x14ac:dyDescent="0.15">
      <c r="A18" s="109"/>
      <c r="B18" s="116" t="s">
        <v>55</v>
      </c>
      <c r="C18" s="300">
        <v>82</v>
      </c>
      <c r="D18" s="301"/>
      <c r="E18" s="301"/>
      <c r="F18" s="301"/>
      <c r="G18" s="301"/>
      <c r="H18" s="301"/>
      <c r="I18" s="301"/>
      <c r="J18" s="301"/>
      <c r="K18" s="301"/>
      <c r="L18" s="301"/>
      <c r="M18" s="301"/>
      <c r="N18" s="301"/>
      <c r="O18" s="301"/>
      <c r="P18" s="301"/>
      <c r="Q18" s="302"/>
      <c r="R18" s="109"/>
      <c r="S18" s="113"/>
    </row>
    <row r="19" spans="1:19" ht="18" customHeight="1" x14ac:dyDescent="0.15">
      <c r="A19" s="289"/>
      <c r="B19" s="289"/>
      <c r="C19" s="289"/>
      <c r="D19" s="289"/>
      <c r="E19" s="289"/>
      <c r="F19" s="289"/>
      <c r="G19" s="289"/>
      <c r="H19" s="289"/>
      <c r="I19" s="289"/>
      <c r="J19" s="289"/>
      <c r="K19" s="289"/>
      <c r="L19" s="289"/>
      <c r="M19" s="289"/>
      <c r="N19" s="289"/>
      <c r="O19" s="289"/>
      <c r="P19" s="289"/>
      <c r="Q19" s="289"/>
      <c r="R19" s="289"/>
      <c r="S19" s="113"/>
    </row>
    <row r="20" spans="1:19" ht="18" customHeight="1" x14ac:dyDescent="0.15">
      <c r="A20" s="129" t="s">
        <v>142</v>
      </c>
      <c r="B20" s="130"/>
      <c r="C20" s="130"/>
      <c r="D20" s="130"/>
      <c r="E20" s="13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13"/>
    </row>
    <row r="21" spans="1:19" ht="18" customHeight="1" x14ac:dyDescent="0.15">
      <c r="A21" s="109"/>
      <c r="B21" s="114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09"/>
      <c r="S21" s="113"/>
    </row>
    <row r="22" spans="1:19" ht="18" customHeight="1" x14ac:dyDescent="0.15">
      <c r="A22" s="109"/>
      <c r="B22" s="289" t="s">
        <v>34</v>
      </c>
      <c r="C22" s="289"/>
      <c r="D22" s="290">
        <v>39</v>
      </c>
      <c r="E22" s="290"/>
      <c r="F22" s="290">
        <v>40</v>
      </c>
      <c r="G22" s="290"/>
      <c r="H22" s="109"/>
      <c r="I22" s="109"/>
      <c r="J22" s="109"/>
      <c r="K22" s="289" t="s">
        <v>78</v>
      </c>
      <c r="L22" s="289"/>
      <c r="M22" s="289" t="s">
        <v>74</v>
      </c>
      <c r="N22" s="289"/>
      <c r="O22" s="290">
        <v>44</v>
      </c>
      <c r="P22" s="290"/>
      <c r="Q22" s="109"/>
      <c r="R22" s="109"/>
      <c r="S22" s="113"/>
    </row>
    <row r="23" spans="1:19" ht="18" customHeight="1" x14ac:dyDescent="0.15">
      <c r="A23" s="109"/>
      <c r="B23" s="289" t="s">
        <v>83</v>
      </c>
      <c r="C23" s="289"/>
      <c r="D23" s="290">
        <v>41</v>
      </c>
      <c r="E23" s="290"/>
      <c r="F23" s="109"/>
      <c r="G23" s="109"/>
      <c r="H23" s="109"/>
      <c r="I23" s="109"/>
      <c r="J23" s="109"/>
      <c r="K23" s="289"/>
      <c r="L23" s="289"/>
      <c r="M23" s="289" t="s">
        <v>60</v>
      </c>
      <c r="N23" s="289"/>
      <c r="O23" s="290">
        <v>45</v>
      </c>
      <c r="P23" s="290"/>
      <c r="Q23" s="109"/>
      <c r="R23" s="109"/>
      <c r="S23" s="113"/>
    </row>
    <row r="24" spans="1:19" ht="18" customHeight="1" x14ac:dyDescent="0.15">
      <c r="A24" s="109"/>
      <c r="B24" s="289" t="s">
        <v>94</v>
      </c>
      <c r="C24" s="289"/>
      <c r="D24" s="290">
        <v>42</v>
      </c>
      <c r="E24" s="290"/>
      <c r="F24" s="289" t="s">
        <v>330</v>
      </c>
      <c r="G24" s="289"/>
      <c r="H24" s="290">
        <v>43</v>
      </c>
      <c r="I24" s="290"/>
      <c r="J24" s="109"/>
      <c r="K24" s="289" t="s">
        <v>86</v>
      </c>
      <c r="L24" s="289"/>
      <c r="M24" s="289" t="s">
        <v>127</v>
      </c>
      <c r="N24" s="289"/>
      <c r="O24" s="290">
        <v>46</v>
      </c>
      <c r="P24" s="290"/>
      <c r="Q24" s="109"/>
      <c r="R24" s="109"/>
      <c r="S24" s="113"/>
    </row>
    <row r="25" spans="1:19" ht="18" customHeight="1" x14ac:dyDescent="0.15">
      <c r="A25" s="109"/>
      <c r="B25" s="109"/>
      <c r="C25" s="109"/>
      <c r="D25" s="119"/>
      <c r="E25" s="119"/>
      <c r="F25" s="119"/>
      <c r="G25" s="109"/>
      <c r="H25" s="109"/>
      <c r="I25" s="109"/>
      <c r="J25" s="109"/>
      <c r="K25" s="289"/>
      <c r="L25" s="289"/>
      <c r="M25" s="289" t="s">
        <v>60</v>
      </c>
      <c r="N25" s="289"/>
      <c r="O25" s="290">
        <v>47</v>
      </c>
      <c r="P25" s="290"/>
      <c r="Q25" s="109"/>
      <c r="R25" s="109"/>
      <c r="S25" s="113"/>
    </row>
    <row r="26" spans="1:19" ht="18" customHeight="1" x14ac:dyDescent="0.15">
      <c r="A26" s="109"/>
      <c r="B26" s="109"/>
      <c r="C26" s="109"/>
      <c r="D26" s="109"/>
      <c r="E26" s="109"/>
      <c r="F26" s="109"/>
      <c r="G26" s="109"/>
      <c r="H26" s="109"/>
      <c r="I26" s="109"/>
      <c r="J26" s="109"/>
      <c r="K26" s="289" t="s">
        <v>85</v>
      </c>
      <c r="L26" s="289"/>
      <c r="M26" s="289"/>
      <c r="N26" s="289"/>
      <c r="O26" s="290">
        <v>48</v>
      </c>
      <c r="P26" s="290"/>
      <c r="Q26" s="109"/>
      <c r="R26" s="109"/>
      <c r="S26" s="113"/>
    </row>
    <row r="27" spans="1:19" ht="18" customHeight="1" x14ac:dyDescent="0.15">
      <c r="A27" s="289"/>
      <c r="B27" s="289"/>
      <c r="C27" s="289"/>
      <c r="D27" s="289"/>
      <c r="E27" s="289"/>
      <c r="F27" s="289"/>
      <c r="G27" s="289"/>
      <c r="H27" s="289"/>
      <c r="I27" s="289"/>
      <c r="J27" s="289"/>
      <c r="K27" s="289"/>
      <c r="L27" s="289"/>
      <c r="M27" s="289"/>
      <c r="N27" s="289"/>
      <c r="O27" s="289"/>
      <c r="P27" s="289"/>
      <c r="Q27" s="289"/>
      <c r="R27" s="289"/>
      <c r="S27" s="113"/>
    </row>
    <row r="28" spans="1:19" ht="18" customHeight="1" x14ac:dyDescent="0.15">
      <c r="A28" s="131" t="s">
        <v>69</v>
      </c>
      <c r="B28" s="114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3"/>
    </row>
    <row r="29" spans="1:19" ht="18" customHeight="1" x14ac:dyDescent="0.15">
      <c r="A29" s="109"/>
      <c r="B29" s="118" t="s">
        <v>112</v>
      </c>
      <c r="C29" s="118"/>
      <c r="D29" s="118"/>
      <c r="E29" s="118"/>
      <c r="F29" s="118"/>
      <c r="G29" s="118"/>
      <c r="H29" s="118" t="s">
        <v>72</v>
      </c>
      <c r="I29" s="118"/>
      <c r="J29" s="118"/>
      <c r="K29" s="118"/>
      <c r="L29" s="118"/>
      <c r="M29" s="118"/>
      <c r="N29" s="132" t="s">
        <v>15</v>
      </c>
      <c r="O29" s="132"/>
      <c r="P29" s="118"/>
      <c r="Q29" s="118"/>
      <c r="R29" s="109"/>
      <c r="S29" s="113"/>
    </row>
    <row r="30" spans="1:19" ht="18" customHeight="1" x14ac:dyDescent="0.15">
      <c r="A30" s="109"/>
      <c r="B30" s="289" t="s">
        <v>10</v>
      </c>
      <c r="C30" s="289"/>
      <c r="D30" s="297">
        <v>53</v>
      </c>
      <c r="E30" s="297"/>
      <c r="F30" s="297"/>
      <c r="G30" s="109"/>
      <c r="H30" s="289" t="s">
        <v>13</v>
      </c>
      <c r="I30" s="289"/>
      <c r="J30" s="290">
        <v>65</v>
      </c>
      <c r="K30" s="290"/>
      <c r="L30" s="290"/>
      <c r="M30" s="108"/>
      <c r="N30" s="298" t="s">
        <v>81</v>
      </c>
      <c r="O30" s="299"/>
      <c r="P30" s="292">
        <v>72</v>
      </c>
      <c r="Q30" s="290"/>
      <c r="R30" s="109"/>
      <c r="S30" s="113"/>
    </row>
    <row r="31" spans="1:19" ht="18" customHeight="1" x14ac:dyDescent="0.15">
      <c r="A31" s="109"/>
      <c r="B31" s="289" t="s">
        <v>192</v>
      </c>
      <c r="C31" s="289"/>
      <c r="D31" s="290">
        <v>54</v>
      </c>
      <c r="E31" s="290"/>
      <c r="F31" s="290"/>
      <c r="G31" s="109"/>
      <c r="H31" s="289" t="s">
        <v>206</v>
      </c>
      <c r="I31" s="289"/>
      <c r="J31" s="290">
        <v>66</v>
      </c>
      <c r="K31" s="290"/>
      <c r="L31" s="290"/>
      <c r="M31" s="108"/>
      <c r="N31" s="298" t="s">
        <v>101</v>
      </c>
      <c r="O31" s="299"/>
      <c r="P31" s="292">
        <v>73</v>
      </c>
      <c r="Q31" s="290"/>
      <c r="R31" s="109"/>
      <c r="S31" s="113"/>
    </row>
    <row r="32" spans="1:19" ht="18" customHeight="1" x14ac:dyDescent="0.15">
      <c r="A32" s="109"/>
      <c r="B32" s="295" t="s">
        <v>21</v>
      </c>
      <c r="C32" s="295"/>
      <c r="D32" s="310">
        <v>55</v>
      </c>
      <c r="E32" s="310"/>
      <c r="F32" s="310"/>
      <c r="G32" s="109"/>
      <c r="H32" s="289" t="s">
        <v>109</v>
      </c>
      <c r="I32" s="289"/>
      <c r="J32" s="290">
        <v>67</v>
      </c>
      <c r="K32" s="290"/>
      <c r="L32" s="290"/>
      <c r="M32" s="109"/>
      <c r="N32" s="133"/>
      <c r="O32" s="133"/>
      <c r="P32" s="109"/>
      <c r="Q32" s="109"/>
      <c r="R32" s="109"/>
      <c r="S32" s="113"/>
    </row>
    <row r="33" spans="1:19" ht="18" customHeight="1" x14ac:dyDescent="0.15">
      <c r="A33" s="109"/>
      <c r="B33" s="295" t="s">
        <v>47</v>
      </c>
      <c r="C33" s="295"/>
      <c r="D33" s="290">
        <v>56</v>
      </c>
      <c r="E33" s="290"/>
      <c r="F33" s="119"/>
      <c r="G33" s="109"/>
      <c r="H33" s="289" t="s">
        <v>187</v>
      </c>
      <c r="I33" s="289"/>
      <c r="J33" s="290">
        <v>68</v>
      </c>
      <c r="K33" s="290"/>
      <c r="L33" s="290"/>
      <c r="M33" s="134" t="s">
        <v>70</v>
      </c>
      <c r="N33" s="290">
        <v>79</v>
      </c>
      <c r="O33" s="290"/>
      <c r="P33" s="290"/>
      <c r="Q33" s="290"/>
      <c r="R33" s="109"/>
      <c r="S33" s="113"/>
    </row>
    <row r="34" spans="1:19" ht="18" customHeight="1" x14ac:dyDescent="0.15">
      <c r="A34" s="109"/>
      <c r="B34" s="289" t="s">
        <v>65</v>
      </c>
      <c r="C34" s="289"/>
      <c r="D34" s="297">
        <v>57</v>
      </c>
      <c r="E34" s="297"/>
      <c r="F34" s="297"/>
      <c r="G34" s="109"/>
      <c r="H34" s="289" t="s">
        <v>66</v>
      </c>
      <c r="I34" s="289"/>
      <c r="J34" s="290">
        <v>69</v>
      </c>
      <c r="K34" s="290"/>
      <c r="L34" s="290"/>
      <c r="M34" s="134" t="s">
        <v>131</v>
      </c>
      <c r="N34" s="290">
        <v>80</v>
      </c>
      <c r="O34" s="290"/>
      <c r="P34" s="290"/>
      <c r="Q34" s="290"/>
      <c r="R34" s="109"/>
      <c r="S34" s="113"/>
    </row>
    <row r="35" spans="1:19" ht="18" customHeight="1" x14ac:dyDescent="0.15">
      <c r="A35" s="109"/>
      <c r="B35" s="289" t="s">
        <v>192</v>
      </c>
      <c r="C35" s="289"/>
      <c r="D35" s="290">
        <v>58</v>
      </c>
      <c r="E35" s="290"/>
      <c r="F35" s="290"/>
      <c r="G35" s="109"/>
      <c r="H35" s="289" t="s">
        <v>129</v>
      </c>
      <c r="I35" s="289"/>
      <c r="J35" s="290">
        <v>70</v>
      </c>
      <c r="K35" s="290"/>
      <c r="L35" s="290"/>
      <c r="M35" s="134" t="s">
        <v>157</v>
      </c>
      <c r="N35" s="290">
        <v>81</v>
      </c>
      <c r="O35" s="290"/>
      <c r="P35" s="290"/>
      <c r="Q35" s="290"/>
      <c r="R35" s="109"/>
      <c r="S35" s="113"/>
    </row>
    <row r="36" spans="1:19" ht="18" customHeight="1" x14ac:dyDescent="0.15">
      <c r="A36" s="109"/>
      <c r="B36" s="295" t="s">
        <v>21</v>
      </c>
      <c r="C36" s="295"/>
      <c r="D36" s="310">
        <v>59</v>
      </c>
      <c r="E36" s="310"/>
      <c r="F36" s="310"/>
      <c r="G36" s="109"/>
      <c r="H36" s="289" t="s">
        <v>27</v>
      </c>
      <c r="I36" s="289"/>
      <c r="J36" s="310">
        <v>71</v>
      </c>
      <c r="K36" s="310"/>
      <c r="L36" s="310"/>
      <c r="M36" s="109"/>
      <c r="N36" s="109"/>
      <c r="O36" s="109"/>
      <c r="P36" s="109"/>
      <c r="Q36" s="109"/>
      <c r="R36" s="109"/>
      <c r="S36" s="113"/>
    </row>
    <row r="37" spans="1:19" ht="18" customHeight="1" x14ac:dyDescent="0.15">
      <c r="A37" s="109"/>
      <c r="B37" s="295" t="s">
        <v>47</v>
      </c>
      <c r="C37" s="295"/>
      <c r="D37" s="290">
        <v>60</v>
      </c>
      <c r="E37" s="290"/>
      <c r="F37" s="11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13"/>
    </row>
    <row r="38" spans="1:19" ht="18" customHeight="1" x14ac:dyDescent="0.15">
      <c r="A38" s="109"/>
      <c r="B38" s="289" t="s">
        <v>108</v>
      </c>
      <c r="C38" s="289"/>
      <c r="D38" s="297">
        <v>61</v>
      </c>
      <c r="E38" s="297"/>
      <c r="F38" s="297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13"/>
    </row>
    <row r="39" spans="1:19" ht="18" customHeight="1" x14ac:dyDescent="0.15">
      <c r="A39" s="109"/>
      <c r="B39" s="289" t="s">
        <v>192</v>
      </c>
      <c r="C39" s="289"/>
      <c r="D39" s="290">
        <v>62</v>
      </c>
      <c r="E39" s="290"/>
      <c r="F39" s="290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13"/>
    </row>
    <row r="40" spans="1:19" ht="18" customHeight="1" x14ac:dyDescent="0.15">
      <c r="A40" s="109"/>
      <c r="B40" s="295" t="s">
        <v>21</v>
      </c>
      <c r="C40" s="295"/>
      <c r="D40" s="310">
        <v>63</v>
      </c>
      <c r="E40" s="310"/>
      <c r="F40" s="310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13"/>
    </row>
    <row r="41" spans="1:19" ht="18" customHeight="1" x14ac:dyDescent="0.15">
      <c r="A41" s="109"/>
      <c r="B41" s="295" t="s">
        <v>47</v>
      </c>
      <c r="C41" s="295"/>
      <c r="D41" s="290">
        <v>64</v>
      </c>
      <c r="E41" s="290"/>
      <c r="F41" s="119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13"/>
    </row>
    <row r="42" spans="1:19" ht="18" customHeight="1" x14ac:dyDescent="0.15">
      <c r="A42" s="109"/>
      <c r="B42" s="10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13"/>
    </row>
    <row r="43" spans="1:19" ht="14.25" x14ac:dyDescent="0.15">
      <c r="A43" s="135" t="s">
        <v>0</v>
      </c>
      <c r="B43" s="114"/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35" t="s">
        <v>36</v>
      </c>
      <c r="P43" s="296"/>
      <c r="Q43" s="296"/>
      <c r="R43" s="296"/>
      <c r="S43" s="113"/>
    </row>
    <row r="44" spans="1:19" ht="18" customHeight="1" x14ac:dyDescent="0.15">
      <c r="A44" s="109"/>
      <c r="B44" s="114"/>
      <c r="C44" s="114"/>
      <c r="D44" s="114"/>
      <c r="E44" s="114"/>
      <c r="F44" s="114"/>
      <c r="G44" s="114"/>
      <c r="H44" s="114"/>
      <c r="I44" s="114"/>
      <c r="J44" s="114"/>
      <c r="K44" s="114"/>
      <c r="L44" s="294" t="s">
        <v>4</v>
      </c>
      <c r="M44" s="294"/>
      <c r="N44" s="113"/>
      <c r="O44" s="114"/>
      <c r="P44" s="118"/>
      <c r="Q44" s="115">
        <v>1</v>
      </c>
      <c r="R44" s="109"/>
      <c r="S44" s="113"/>
    </row>
    <row r="45" spans="1:19" ht="18" customHeight="1" x14ac:dyDescent="0.15">
      <c r="A45" s="109"/>
      <c r="B45" s="289" t="s">
        <v>140</v>
      </c>
      <c r="C45" s="289"/>
      <c r="D45" s="290">
        <v>9</v>
      </c>
      <c r="E45" s="290"/>
      <c r="F45" s="294" t="s">
        <v>117</v>
      </c>
      <c r="G45" s="294"/>
      <c r="H45" s="289" t="s">
        <v>18</v>
      </c>
      <c r="I45" s="289"/>
      <c r="J45" s="290">
        <v>2</v>
      </c>
      <c r="K45" s="290"/>
      <c r="L45" s="311">
        <f>SUM(O26)</f>
        <v>48</v>
      </c>
      <c r="M45" s="311"/>
      <c r="N45" s="113"/>
      <c r="O45" s="109"/>
      <c r="P45" s="136"/>
      <c r="Q45" s="293" t="s">
        <v>122</v>
      </c>
      <c r="R45" s="293"/>
      <c r="S45" s="113"/>
    </row>
    <row r="46" spans="1:19" ht="18" customHeight="1" x14ac:dyDescent="0.15">
      <c r="A46" s="109"/>
      <c r="B46" s="289" t="s">
        <v>201</v>
      </c>
      <c r="C46" s="289"/>
      <c r="D46" s="290">
        <v>7</v>
      </c>
      <c r="E46" s="290"/>
      <c r="F46" s="311">
        <v>40069</v>
      </c>
      <c r="G46" s="311"/>
      <c r="H46" s="289" t="s">
        <v>97</v>
      </c>
      <c r="I46" s="289"/>
      <c r="J46" s="290">
        <v>49</v>
      </c>
      <c r="K46" s="290"/>
      <c r="L46" s="109"/>
      <c r="M46" s="109"/>
      <c r="N46" s="113"/>
      <c r="O46" s="109"/>
      <c r="P46" s="136"/>
      <c r="Q46" s="293" t="s">
        <v>51</v>
      </c>
      <c r="R46" s="293"/>
      <c r="S46" s="113"/>
    </row>
    <row r="47" spans="1:19" ht="18" customHeight="1" x14ac:dyDescent="0.15">
      <c r="A47" s="109"/>
      <c r="B47" s="289" t="s">
        <v>53</v>
      </c>
      <c r="C47" s="289"/>
      <c r="D47" s="290">
        <v>5</v>
      </c>
      <c r="E47" s="290"/>
      <c r="F47" s="311">
        <v>40073</v>
      </c>
      <c r="G47" s="311"/>
      <c r="H47" s="289" t="s">
        <v>146</v>
      </c>
      <c r="I47" s="289"/>
      <c r="J47" s="290">
        <v>50</v>
      </c>
      <c r="K47" s="290"/>
      <c r="L47" s="109"/>
      <c r="M47" s="109"/>
      <c r="N47" s="113"/>
      <c r="O47" s="109"/>
      <c r="P47" s="136"/>
      <c r="Q47" s="293" t="s">
        <v>17</v>
      </c>
      <c r="R47" s="293"/>
      <c r="S47" s="113"/>
    </row>
    <row r="48" spans="1:19" ht="18" customHeight="1" x14ac:dyDescent="0.15">
      <c r="A48" s="109"/>
      <c r="B48" s="200" t="s">
        <v>22</v>
      </c>
      <c r="C48" s="200"/>
      <c r="D48" s="290">
        <v>4</v>
      </c>
      <c r="E48" s="290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14"/>
      <c r="R48" s="109"/>
      <c r="S48" s="113"/>
    </row>
    <row r="49" spans="1:19" ht="18" customHeight="1" x14ac:dyDescent="0.15">
      <c r="A49" s="109"/>
      <c r="B49" s="10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14"/>
      <c r="R49" s="109"/>
      <c r="S49" s="113"/>
    </row>
    <row r="50" spans="1:19" ht="18" customHeight="1" x14ac:dyDescent="0.15">
      <c r="A50" s="137" t="s">
        <v>75</v>
      </c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 customHeight="1" x14ac:dyDescent="0.15">
      <c r="A51" s="113"/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 customHeight="1" x14ac:dyDescent="0.15">
      <c r="A52" s="113"/>
      <c r="B52" s="289" t="s">
        <v>19</v>
      </c>
      <c r="C52" s="289"/>
      <c r="D52" s="310">
        <v>73</v>
      </c>
      <c r="E52" s="310"/>
      <c r="F52" s="310"/>
      <c r="G52" s="113"/>
      <c r="H52" s="289" t="s">
        <v>173</v>
      </c>
      <c r="I52" s="289"/>
      <c r="J52" s="310">
        <v>74</v>
      </c>
      <c r="K52" s="310"/>
      <c r="L52" s="310"/>
      <c r="M52" s="113"/>
      <c r="N52" s="289" t="s">
        <v>25</v>
      </c>
      <c r="O52" s="289"/>
      <c r="P52" s="310">
        <v>76</v>
      </c>
      <c r="Q52" s="310"/>
      <c r="R52" s="310"/>
      <c r="S52" s="113"/>
    </row>
    <row r="53" spans="1:19" ht="18" customHeight="1" x14ac:dyDescent="0.15">
      <c r="A53" s="113"/>
      <c r="B53" s="113"/>
      <c r="C53" s="113"/>
      <c r="D53" s="113"/>
      <c r="E53" s="113"/>
      <c r="F53" s="113"/>
      <c r="G53" s="113"/>
      <c r="H53" s="289" t="s">
        <v>174</v>
      </c>
      <c r="I53" s="289"/>
      <c r="J53" s="310">
        <v>75</v>
      </c>
      <c r="K53" s="310"/>
      <c r="L53" s="310"/>
      <c r="M53" s="113"/>
      <c r="N53" s="289" t="s">
        <v>48</v>
      </c>
      <c r="O53" s="289"/>
      <c r="P53" s="310">
        <v>77</v>
      </c>
      <c r="Q53" s="310"/>
      <c r="R53" s="310"/>
      <c r="S53" s="113"/>
    </row>
    <row r="54" spans="1:19" ht="18" customHeight="1" x14ac:dyDescent="0.15">
      <c r="A54" s="113"/>
      <c r="B54" s="113"/>
      <c r="C54" s="113"/>
      <c r="D54" s="113"/>
      <c r="E54" s="113"/>
      <c r="F54" s="113"/>
      <c r="G54" s="113"/>
      <c r="H54" s="109"/>
      <c r="I54" s="109"/>
      <c r="J54" s="109"/>
      <c r="K54" s="109"/>
      <c r="L54" s="109"/>
      <c r="M54" s="113"/>
      <c r="N54" s="113"/>
      <c r="O54" s="113"/>
      <c r="P54" s="113"/>
      <c r="Q54" s="113"/>
      <c r="R54" s="113"/>
      <c r="S54" s="113"/>
    </row>
    <row r="55" spans="1:19" ht="18" customHeight="1" x14ac:dyDescent="0.15"/>
  </sheetData>
  <sheetProtection password="80CA" sheet="1"/>
  <dataConsolidate/>
  <mergeCells count="144">
    <mergeCell ref="A1:S1"/>
    <mergeCell ref="M3:N3"/>
    <mergeCell ref="O3:P3"/>
    <mergeCell ref="B4:C4"/>
    <mergeCell ref="D4:F4"/>
    <mergeCell ref="I4:K4"/>
    <mergeCell ref="B5:C5"/>
    <mergeCell ref="G5:H5"/>
    <mergeCell ref="B6:C6"/>
    <mergeCell ref="D6:K6"/>
    <mergeCell ref="B7:C7"/>
    <mergeCell ref="D7:K7"/>
    <mergeCell ref="B8:C8"/>
    <mergeCell ref="E8:G8"/>
    <mergeCell ref="I8:K8"/>
    <mergeCell ref="B9:C9"/>
    <mergeCell ref="D9:G9"/>
    <mergeCell ref="G11:K11"/>
    <mergeCell ref="M11:Q11"/>
    <mergeCell ref="C12:E12"/>
    <mergeCell ref="G12:H12"/>
    <mergeCell ref="I12:K12"/>
    <mergeCell ref="M12:N12"/>
    <mergeCell ref="O12:Q12"/>
    <mergeCell ref="R12:S12"/>
    <mergeCell ref="C13:E13"/>
    <mergeCell ref="G13:H13"/>
    <mergeCell ref="I13:K13"/>
    <mergeCell ref="M13:N13"/>
    <mergeCell ref="O13:Q13"/>
    <mergeCell ref="C14:E14"/>
    <mergeCell ref="G14:K14"/>
    <mergeCell ref="M14:Q14"/>
    <mergeCell ref="C15:E15"/>
    <mergeCell ref="G15:H15"/>
    <mergeCell ref="I15:K15"/>
    <mergeCell ref="M15:N15"/>
    <mergeCell ref="O15:Q15"/>
    <mergeCell ref="G16:H16"/>
    <mergeCell ref="I16:K16"/>
    <mergeCell ref="C18:Q18"/>
    <mergeCell ref="A19:R19"/>
    <mergeCell ref="B22:C22"/>
    <mergeCell ref="D22:E22"/>
    <mergeCell ref="F22:G22"/>
    <mergeCell ref="K22:L22"/>
    <mergeCell ref="M22:N22"/>
    <mergeCell ref="O22:P22"/>
    <mergeCell ref="B23:C23"/>
    <mergeCell ref="D23:E23"/>
    <mergeCell ref="K23:L23"/>
    <mergeCell ref="M23:N23"/>
    <mergeCell ref="O23:P23"/>
    <mergeCell ref="B24:C24"/>
    <mergeCell ref="D24:E24"/>
    <mergeCell ref="F24:G24"/>
    <mergeCell ref="H24:I24"/>
    <mergeCell ref="K24:L24"/>
    <mergeCell ref="M24:N24"/>
    <mergeCell ref="O24:P24"/>
    <mergeCell ref="K25:L25"/>
    <mergeCell ref="M25:N25"/>
    <mergeCell ref="O25:P25"/>
    <mergeCell ref="K26:N26"/>
    <mergeCell ref="O26:P26"/>
    <mergeCell ref="A27:R27"/>
    <mergeCell ref="B30:C30"/>
    <mergeCell ref="D30:F30"/>
    <mergeCell ref="H30:I30"/>
    <mergeCell ref="J30:L30"/>
    <mergeCell ref="N30:O30"/>
    <mergeCell ref="P30:Q30"/>
    <mergeCell ref="B31:C31"/>
    <mergeCell ref="D31:F31"/>
    <mergeCell ref="H31:I31"/>
    <mergeCell ref="J31:L31"/>
    <mergeCell ref="N31:O31"/>
    <mergeCell ref="P31:Q31"/>
    <mergeCell ref="B32:C32"/>
    <mergeCell ref="D32:F32"/>
    <mergeCell ref="H32:I32"/>
    <mergeCell ref="J32:L32"/>
    <mergeCell ref="B33:C33"/>
    <mergeCell ref="D33:E33"/>
    <mergeCell ref="H33:I33"/>
    <mergeCell ref="J33:L33"/>
    <mergeCell ref="N33:Q33"/>
    <mergeCell ref="B34:C34"/>
    <mergeCell ref="D34:F34"/>
    <mergeCell ref="H34:I34"/>
    <mergeCell ref="J34:L34"/>
    <mergeCell ref="N34:Q34"/>
    <mergeCell ref="B35:C35"/>
    <mergeCell ref="D35:F35"/>
    <mergeCell ref="H35:I35"/>
    <mergeCell ref="J35:L35"/>
    <mergeCell ref="N35:Q35"/>
    <mergeCell ref="B36:C36"/>
    <mergeCell ref="D36:F36"/>
    <mergeCell ref="H36:I36"/>
    <mergeCell ref="J36:L36"/>
    <mergeCell ref="P43:R43"/>
    <mergeCell ref="L44:M44"/>
    <mergeCell ref="B37:C37"/>
    <mergeCell ref="D37:E37"/>
    <mergeCell ref="B38:C38"/>
    <mergeCell ref="D38:F38"/>
    <mergeCell ref="B39:C39"/>
    <mergeCell ref="D39:F39"/>
    <mergeCell ref="H45:I45"/>
    <mergeCell ref="J45:K45"/>
    <mergeCell ref="L45:M45"/>
    <mergeCell ref="B40:C40"/>
    <mergeCell ref="D40:F40"/>
    <mergeCell ref="B41:C41"/>
    <mergeCell ref="D41:E41"/>
    <mergeCell ref="Q45:R45"/>
    <mergeCell ref="B46:C46"/>
    <mergeCell ref="D46:E46"/>
    <mergeCell ref="F46:G46"/>
    <mergeCell ref="H46:I46"/>
    <mergeCell ref="J46:K46"/>
    <mergeCell ref="Q46:R46"/>
    <mergeCell ref="B45:C45"/>
    <mergeCell ref="D45:E45"/>
    <mergeCell ref="F45:G45"/>
    <mergeCell ref="B47:C47"/>
    <mergeCell ref="D47:E47"/>
    <mergeCell ref="F47:G47"/>
    <mergeCell ref="H47:I47"/>
    <mergeCell ref="J47:K47"/>
    <mergeCell ref="Q47:R47"/>
    <mergeCell ref="B48:C48"/>
    <mergeCell ref="D48:E48"/>
    <mergeCell ref="B52:C52"/>
    <mergeCell ref="D52:F52"/>
    <mergeCell ref="H52:I52"/>
    <mergeCell ref="J52:L52"/>
    <mergeCell ref="N52:O52"/>
    <mergeCell ref="P52:R52"/>
    <mergeCell ref="H53:I53"/>
    <mergeCell ref="J53:L53"/>
    <mergeCell ref="N53:O53"/>
    <mergeCell ref="P53:R53"/>
  </mergeCells>
  <phoneticPr fontId="2"/>
  <pageMargins left="0.59055118110236227" right="0.19685039370078741" top="0.59055118110236227" bottom="0.39370078740157483" header="0.19685039370078741" footer="0.1968503937007874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Option Button 1">
              <controlPr defaultSize="0" autoFill="0" autoLine="0" autoPict="0">
                <anchor moveWithCells="1">
                  <from>
                    <xdr:col>15</xdr:col>
                    <xdr:colOff>19050</xdr:colOff>
                    <xdr:row>43</xdr:row>
                    <xdr:rowOff>0</xdr:rowOff>
                  </from>
                  <to>
                    <xdr:col>16</xdr:col>
                    <xdr:colOff>19050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5" name="Option Button 2">
              <controlPr defaultSize="0" autoFill="0" autoLine="0" autoPict="0">
                <anchor moveWithCells="1">
                  <from>
                    <xdr:col>15</xdr:col>
                    <xdr:colOff>19050</xdr:colOff>
                    <xdr:row>44</xdr:row>
                    <xdr:rowOff>0</xdr:rowOff>
                  </from>
                  <to>
                    <xdr:col>16</xdr:col>
                    <xdr:colOff>19050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6" name="Option Button 3">
              <controlPr defaultSize="0" autoFill="0" autoLine="0" autoPict="0">
                <anchor moveWithCells="1">
                  <from>
                    <xdr:col>15</xdr:col>
                    <xdr:colOff>19050</xdr:colOff>
                    <xdr:row>45</xdr:row>
                    <xdr:rowOff>0</xdr:rowOff>
                  </from>
                  <to>
                    <xdr:col>16</xdr:col>
                    <xdr:colOff>19050</xdr:colOff>
                    <xdr:row>47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Z55"/>
  <sheetViews>
    <sheetView zoomScaleNormal="100" zoomScaleSheetLayoutView="100" workbookViewId="0">
      <selection activeCell="F26" sqref="F26"/>
    </sheetView>
  </sheetViews>
  <sheetFormatPr defaultColWidth="0" defaultRowHeight="18" customHeight="1" zeroHeight="1" x14ac:dyDescent="0.15"/>
  <cols>
    <col min="1" max="19" width="5" style="55" customWidth="1"/>
    <col min="20" max="78" width="5" style="55" hidden="1" customWidth="1"/>
    <col min="79" max="16384" width="5" style="33" hidden="1"/>
  </cols>
  <sheetData>
    <row r="1" spans="1:78" ht="18" customHeight="1" x14ac:dyDescent="0.15">
      <c r="A1" s="307" t="s">
        <v>67</v>
      </c>
      <c r="B1" s="308"/>
      <c r="C1" s="308"/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9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</row>
    <row r="2" spans="1:78" ht="18" customHeight="1" x14ac:dyDescent="0.15">
      <c r="A2" s="110" t="s">
        <v>41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2" t="s">
        <v>111</v>
      </c>
      <c r="N2" s="111"/>
      <c r="O2" s="111"/>
      <c r="P2" s="111"/>
      <c r="Q2" s="111"/>
      <c r="R2" s="111"/>
      <c r="S2" s="113"/>
    </row>
    <row r="3" spans="1:78" ht="18" customHeight="1" x14ac:dyDescent="0.15">
      <c r="A3" s="109"/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289" t="s">
        <v>103</v>
      </c>
      <c r="N3" s="289"/>
      <c r="O3" s="289" t="s">
        <v>61</v>
      </c>
      <c r="P3" s="289"/>
      <c r="Q3" s="114"/>
      <c r="R3" s="109"/>
      <c r="S3" s="113"/>
    </row>
    <row r="4" spans="1:78" ht="18" customHeight="1" x14ac:dyDescent="0.15">
      <c r="A4" s="109"/>
      <c r="B4" s="289" t="s">
        <v>151</v>
      </c>
      <c r="C4" s="289"/>
      <c r="D4" s="316" t="s">
        <v>73</v>
      </c>
      <c r="E4" s="316"/>
      <c r="F4" s="316"/>
      <c r="G4" s="109" t="s">
        <v>144</v>
      </c>
      <c r="H4" s="136" t="s">
        <v>6</v>
      </c>
      <c r="I4" s="316" t="s">
        <v>26</v>
      </c>
      <c r="J4" s="316"/>
      <c r="K4" s="316"/>
      <c r="L4" s="109"/>
      <c r="M4" s="109" t="s">
        <v>7</v>
      </c>
      <c r="N4" s="136" t="s">
        <v>99</v>
      </c>
      <c r="O4" s="109" t="s">
        <v>145</v>
      </c>
      <c r="P4" s="136" t="s">
        <v>211</v>
      </c>
      <c r="Q4" s="109"/>
      <c r="R4" s="109"/>
      <c r="S4" s="113"/>
    </row>
    <row r="5" spans="1:78" ht="18" customHeight="1" x14ac:dyDescent="0.15">
      <c r="A5" s="109"/>
      <c r="B5" s="289" t="s">
        <v>106</v>
      </c>
      <c r="C5" s="289"/>
      <c r="D5" s="136" t="s">
        <v>275</v>
      </c>
      <c r="E5" s="136" t="s">
        <v>77</v>
      </c>
      <c r="F5" s="136" t="s">
        <v>59</v>
      </c>
      <c r="G5" s="316" t="s">
        <v>181</v>
      </c>
      <c r="H5" s="316"/>
      <c r="I5" s="109"/>
      <c r="J5" s="136" t="s">
        <v>171</v>
      </c>
      <c r="K5" s="109"/>
      <c r="L5" s="109"/>
      <c r="M5" s="109" t="s">
        <v>77</v>
      </c>
      <c r="N5" s="136" t="s">
        <v>30</v>
      </c>
      <c r="O5" s="109" t="s">
        <v>89</v>
      </c>
      <c r="P5" s="136" t="s">
        <v>194</v>
      </c>
      <c r="Q5" s="109"/>
      <c r="R5" s="109"/>
      <c r="S5" s="113"/>
    </row>
    <row r="6" spans="1:78" ht="18" customHeight="1" x14ac:dyDescent="0.15">
      <c r="A6" s="109"/>
      <c r="B6" s="295" t="s">
        <v>49</v>
      </c>
      <c r="C6" s="295"/>
      <c r="D6" s="327" t="s">
        <v>50</v>
      </c>
      <c r="E6" s="327"/>
      <c r="F6" s="327"/>
      <c r="G6" s="327"/>
      <c r="H6" s="327"/>
      <c r="I6" s="327"/>
      <c r="J6" s="327"/>
      <c r="K6" s="327"/>
      <c r="L6" s="109"/>
      <c r="M6" s="109" t="s">
        <v>50</v>
      </c>
      <c r="N6" s="136" t="s">
        <v>82</v>
      </c>
      <c r="O6" s="109" t="s">
        <v>11</v>
      </c>
      <c r="P6" s="136" t="s">
        <v>39</v>
      </c>
      <c r="Q6" s="109"/>
      <c r="R6" s="109"/>
      <c r="S6" s="113"/>
    </row>
    <row r="7" spans="1:78" ht="18" customHeight="1" x14ac:dyDescent="0.15">
      <c r="A7" s="109"/>
      <c r="B7" s="289" t="s">
        <v>42</v>
      </c>
      <c r="C7" s="289"/>
      <c r="D7" s="327" t="s">
        <v>7</v>
      </c>
      <c r="E7" s="327"/>
      <c r="F7" s="327"/>
      <c r="G7" s="327"/>
      <c r="H7" s="327"/>
      <c r="I7" s="327"/>
      <c r="J7" s="327"/>
      <c r="K7" s="327"/>
      <c r="L7" s="109"/>
      <c r="M7" s="112" t="s">
        <v>177</v>
      </c>
      <c r="N7" s="109"/>
      <c r="O7" s="109"/>
      <c r="P7" s="109"/>
      <c r="Q7" s="109"/>
      <c r="R7" s="109"/>
      <c r="S7" s="113"/>
    </row>
    <row r="8" spans="1:78" ht="18" customHeight="1" x14ac:dyDescent="0.15">
      <c r="A8" s="109"/>
      <c r="B8" s="289" t="s">
        <v>43</v>
      </c>
      <c r="C8" s="289"/>
      <c r="D8" s="109" t="s">
        <v>62</v>
      </c>
      <c r="E8" s="316" t="s">
        <v>100</v>
      </c>
      <c r="F8" s="316"/>
      <c r="G8" s="316"/>
      <c r="H8" s="109" t="s">
        <v>63</v>
      </c>
      <c r="I8" s="316" t="s">
        <v>90</v>
      </c>
      <c r="J8" s="316"/>
      <c r="K8" s="316"/>
      <c r="L8" s="109"/>
      <c r="M8" s="109" t="s">
        <v>7</v>
      </c>
      <c r="N8" s="136" t="s">
        <v>130</v>
      </c>
      <c r="O8" s="109"/>
      <c r="P8" s="109"/>
      <c r="Q8" s="109"/>
      <c r="R8" s="109"/>
      <c r="S8" s="113"/>
    </row>
    <row r="9" spans="1:78" ht="18" customHeight="1" x14ac:dyDescent="0.15">
      <c r="A9" s="109"/>
      <c r="B9" s="289" t="s">
        <v>188</v>
      </c>
      <c r="C9" s="289"/>
      <c r="D9" s="316" t="s">
        <v>172</v>
      </c>
      <c r="E9" s="316"/>
      <c r="F9" s="316"/>
      <c r="G9" s="316"/>
      <c r="H9" s="109"/>
      <c r="I9" s="109"/>
      <c r="J9" s="109"/>
      <c r="K9" s="109"/>
      <c r="L9" s="109"/>
      <c r="M9" s="109" t="s">
        <v>12</v>
      </c>
      <c r="N9" s="136" t="s">
        <v>168</v>
      </c>
      <c r="O9" s="109"/>
      <c r="P9" s="117"/>
      <c r="Q9" s="109"/>
      <c r="R9" s="109"/>
      <c r="S9" s="113"/>
    </row>
    <row r="10" spans="1:78" ht="18" customHeight="1" x14ac:dyDescent="0.15">
      <c r="A10" s="109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 t="s">
        <v>87</v>
      </c>
      <c r="N10" s="136" t="s">
        <v>189</v>
      </c>
      <c r="O10" s="109"/>
      <c r="P10" s="109"/>
      <c r="Q10" s="109"/>
      <c r="R10" s="109"/>
      <c r="S10" s="113"/>
    </row>
    <row r="11" spans="1:78" ht="18" customHeight="1" x14ac:dyDescent="0.15">
      <c r="A11" s="109"/>
      <c r="B11" s="118" t="s">
        <v>178</v>
      </c>
      <c r="C11" s="118"/>
      <c r="D11" s="118"/>
      <c r="E11" s="139" t="s">
        <v>170</v>
      </c>
      <c r="F11" s="114"/>
      <c r="G11" s="296" t="s">
        <v>175</v>
      </c>
      <c r="H11" s="296"/>
      <c r="I11" s="296"/>
      <c r="J11" s="296"/>
      <c r="K11" s="296"/>
      <c r="L11" s="114"/>
      <c r="M11" s="324" t="s">
        <v>128</v>
      </c>
      <c r="N11" s="325"/>
      <c r="O11" s="325"/>
      <c r="P11" s="326"/>
      <c r="Q11" s="118"/>
      <c r="R11" s="109"/>
      <c r="S11" s="119" t="s">
        <v>270</v>
      </c>
      <c r="T11" s="120"/>
      <c r="U11" s="121"/>
      <c r="V11" s="121"/>
      <c r="W11" s="121"/>
      <c r="X11" s="122"/>
      <c r="Y11" s="121"/>
      <c r="Z11" s="121"/>
      <c r="AA11" s="121"/>
      <c r="AB11" s="122"/>
      <c r="AC11" s="121"/>
      <c r="AD11" s="121"/>
      <c r="AE11" s="121"/>
    </row>
    <row r="12" spans="1:78" ht="18" customHeight="1" x14ac:dyDescent="0.15">
      <c r="A12" s="109"/>
      <c r="B12" s="123"/>
      <c r="C12" s="293" t="s">
        <v>161</v>
      </c>
      <c r="D12" s="293"/>
      <c r="E12" s="293"/>
      <c r="F12" s="114"/>
      <c r="G12" s="289" t="s">
        <v>164</v>
      </c>
      <c r="H12" s="289"/>
      <c r="I12" s="312" t="s">
        <v>258</v>
      </c>
      <c r="J12" s="312"/>
      <c r="K12" s="312"/>
      <c r="L12" s="109"/>
      <c r="M12" s="289" t="s">
        <v>164</v>
      </c>
      <c r="N12" s="289"/>
      <c r="O12" s="312" t="s">
        <v>260</v>
      </c>
      <c r="P12" s="312"/>
      <c r="Q12" s="312"/>
      <c r="R12" s="316" t="s">
        <v>268</v>
      </c>
      <c r="S12" s="316"/>
    </row>
    <row r="13" spans="1:78" ht="18" customHeight="1" x14ac:dyDescent="0.15">
      <c r="A13" s="109"/>
      <c r="B13" s="124"/>
      <c r="C13" s="293" t="s">
        <v>139</v>
      </c>
      <c r="D13" s="293"/>
      <c r="E13" s="293"/>
      <c r="F13" s="114"/>
      <c r="G13" s="295" t="s">
        <v>21</v>
      </c>
      <c r="H13" s="295"/>
      <c r="I13" s="312" t="s">
        <v>259</v>
      </c>
      <c r="J13" s="312"/>
      <c r="K13" s="312"/>
      <c r="L13" s="109"/>
      <c r="M13" s="295" t="s">
        <v>21</v>
      </c>
      <c r="N13" s="295"/>
      <c r="O13" s="312" t="s">
        <v>261</v>
      </c>
      <c r="P13" s="312"/>
      <c r="Q13" s="312"/>
      <c r="R13" s="109"/>
      <c r="S13" s="113"/>
    </row>
    <row r="14" spans="1:78" ht="18" customHeight="1" x14ac:dyDescent="0.15">
      <c r="A14" s="109"/>
      <c r="B14" s="124"/>
      <c r="C14" s="293" t="s">
        <v>167</v>
      </c>
      <c r="D14" s="293"/>
      <c r="E14" s="293"/>
      <c r="F14" s="119"/>
      <c r="G14" s="296" t="s">
        <v>251</v>
      </c>
      <c r="H14" s="296"/>
      <c r="I14" s="296"/>
      <c r="J14" s="296"/>
      <c r="K14" s="296"/>
      <c r="L14" s="109"/>
      <c r="M14" s="296" t="s">
        <v>202</v>
      </c>
      <c r="N14" s="296"/>
      <c r="O14" s="296"/>
      <c r="P14" s="296"/>
      <c r="Q14" s="296"/>
      <c r="R14" s="109"/>
      <c r="S14" s="113"/>
    </row>
    <row r="15" spans="1:78" ht="18" customHeight="1" x14ac:dyDescent="0.15">
      <c r="A15" s="109"/>
      <c r="B15" s="125"/>
      <c r="C15" s="304" t="s">
        <v>56</v>
      </c>
      <c r="D15" s="305"/>
      <c r="E15" s="306"/>
      <c r="F15" s="119"/>
      <c r="G15" s="289" t="s">
        <v>164</v>
      </c>
      <c r="H15" s="289"/>
      <c r="I15" s="312" t="s">
        <v>253</v>
      </c>
      <c r="J15" s="312"/>
      <c r="K15" s="312"/>
      <c r="L15" s="109"/>
      <c r="M15" s="289" t="s">
        <v>164</v>
      </c>
      <c r="N15" s="289"/>
      <c r="O15" s="312" t="s">
        <v>262</v>
      </c>
      <c r="P15" s="312"/>
      <c r="Q15" s="312"/>
      <c r="R15" s="109"/>
      <c r="S15" s="113"/>
    </row>
    <row r="16" spans="1:78" ht="18" customHeight="1" x14ac:dyDescent="0.15">
      <c r="A16" s="109"/>
      <c r="B16" s="116"/>
      <c r="C16" s="116"/>
      <c r="D16" s="119"/>
      <c r="E16" s="119"/>
      <c r="F16" s="119"/>
      <c r="G16" s="295" t="s">
        <v>21</v>
      </c>
      <c r="H16" s="295"/>
      <c r="I16" s="312" t="s">
        <v>222</v>
      </c>
      <c r="J16" s="312"/>
      <c r="K16" s="312"/>
      <c r="L16" s="109"/>
      <c r="M16" s="295" t="s">
        <v>21</v>
      </c>
      <c r="N16" s="289"/>
      <c r="O16" s="312" t="s">
        <v>263</v>
      </c>
      <c r="P16" s="312"/>
      <c r="Q16" s="312"/>
      <c r="R16" s="109"/>
      <c r="S16" s="113"/>
    </row>
    <row r="17" spans="1:19" ht="18" customHeight="1" x14ac:dyDescent="0.15">
      <c r="A17" s="109"/>
      <c r="B17" s="109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13"/>
    </row>
    <row r="18" spans="1:19" ht="18" customHeight="1" x14ac:dyDescent="0.15">
      <c r="A18" s="109"/>
      <c r="B18" s="116" t="s">
        <v>55</v>
      </c>
      <c r="C18" s="321" t="s">
        <v>264</v>
      </c>
      <c r="D18" s="322"/>
      <c r="E18" s="322"/>
      <c r="F18" s="322"/>
      <c r="G18" s="322"/>
      <c r="H18" s="322"/>
      <c r="I18" s="322"/>
      <c r="J18" s="322"/>
      <c r="K18" s="322"/>
      <c r="L18" s="322"/>
      <c r="M18" s="322"/>
      <c r="N18" s="322"/>
      <c r="O18" s="322"/>
      <c r="P18" s="322"/>
      <c r="Q18" s="323"/>
      <c r="R18" s="109"/>
      <c r="S18" s="113"/>
    </row>
    <row r="19" spans="1:19" ht="18" customHeight="1" x14ac:dyDescent="0.15">
      <c r="A19" s="289"/>
      <c r="B19" s="289"/>
      <c r="C19" s="289"/>
      <c r="D19" s="289"/>
      <c r="E19" s="289"/>
      <c r="F19" s="289"/>
      <c r="G19" s="289"/>
      <c r="H19" s="289"/>
      <c r="I19" s="289"/>
      <c r="J19" s="289"/>
      <c r="K19" s="289"/>
      <c r="L19" s="289"/>
      <c r="M19" s="289"/>
      <c r="N19" s="289"/>
      <c r="O19" s="289"/>
      <c r="P19" s="289"/>
      <c r="Q19" s="289"/>
      <c r="R19" s="289"/>
      <c r="S19" s="113"/>
    </row>
    <row r="20" spans="1:19" ht="18" customHeight="1" x14ac:dyDescent="0.15">
      <c r="A20" s="129" t="s">
        <v>142</v>
      </c>
      <c r="B20" s="130"/>
      <c r="C20" s="130"/>
      <c r="D20" s="130"/>
      <c r="E20" s="13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13"/>
    </row>
    <row r="21" spans="1:19" ht="18" customHeight="1" x14ac:dyDescent="0.15">
      <c r="A21" s="109"/>
      <c r="B21" s="114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09"/>
      <c r="S21" s="113"/>
    </row>
    <row r="22" spans="1:19" ht="18" customHeight="1" x14ac:dyDescent="0.15">
      <c r="A22" s="109"/>
      <c r="B22" s="289" t="s">
        <v>34</v>
      </c>
      <c r="C22" s="289"/>
      <c r="D22" s="316" t="s">
        <v>143</v>
      </c>
      <c r="E22" s="316"/>
      <c r="F22" s="316" t="s">
        <v>169</v>
      </c>
      <c r="G22" s="316"/>
      <c r="H22" s="109"/>
      <c r="I22" s="109"/>
      <c r="J22" s="109"/>
      <c r="K22" s="289" t="s">
        <v>78</v>
      </c>
      <c r="L22" s="289"/>
      <c r="M22" s="289" t="s">
        <v>74</v>
      </c>
      <c r="N22" s="289"/>
      <c r="O22" s="316" t="s">
        <v>152</v>
      </c>
      <c r="P22" s="316"/>
      <c r="Q22" s="109"/>
      <c r="R22" s="109"/>
      <c r="S22" s="113"/>
    </row>
    <row r="23" spans="1:19" ht="18" customHeight="1" x14ac:dyDescent="0.15">
      <c r="A23" s="109"/>
      <c r="B23" s="289" t="s">
        <v>83</v>
      </c>
      <c r="C23" s="289"/>
      <c r="D23" s="316" t="s">
        <v>2</v>
      </c>
      <c r="E23" s="316"/>
      <c r="F23" s="109"/>
      <c r="G23" s="109"/>
      <c r="H23" s="109"/>
      <c r="I23" s="109"/>
      <c r="J23" s="109"/>
      <c r="K23" s="289"/>
      <c r="L23" s="289"/>
      <c r="M23" s="289" t="s">
        <v>60</v>
      </c>
      <c r="N23" s="289"/>
      <c r="O23" s="316" t="s">
        <v>153</v>
      </c>
      <c r="P23" s="316"/>
      <c r="Q23" s="109"/>
      <c r="R23" s="109"/>
      <c r="S23" s="113"/>
    </row>
    <row r="24" spans="1:19" ht="18" customHeight="1" x14ac:dyDescent="0.15">
      <c r="A24" s="109"/>
      <c r="B24" s="289" t="s">
        <v>94</v>
      </c>
      <c r="C24" s="289"/>
      <c r="D24" s="316" t="s">
        <v>88</v>
      </c>
      <c r="E24" s="316"/>
      <c r="F24" s="289" t="s">
        <v>330</v>
      </c>
      <c r="G24" s="289"/>
      <c r="H24" s="316" t="s">
        <v>197</v>
      </c>
      <c r="I24" s="316"/>
      <c r="J24" s="109"/>
      <c r="K24" s="289" t="s">
        <v>86</v>
      </c>
      <c r="L24" s="289"/>
      <c r="M24" s="289" t="s">
        <v>127</v>
      </c>
      <c r="N24" s="289"/>
      <c r="O24" s="316" t="s">
        <v>154</v>
      </c>
      <c r="P24" s="316"/>
      <c r="Q24" s="109"/>
      <c r="R24" s="109"/>
      <c r="S24" s="113"/>
    </row>
    <row r="25" spans="1:19" ht="18" customHeight="1" x14ac:dyDescent="0.15">
      <c r="A25" s="109"/>
      <c r="B25" s="109"/>
      <c r="C25" s="109"/>
      <c r="D25" s="119"/>
      <c r="E25" s="119"/>
      <c r="F25" s="119"/>
      <c r="G25" s="109"/>
      <c r="H25" s="109"/>
      <c r="I25" s="109"/>
      <c r="J25" s="109"/>
      <c r="K25" s="289"/>
      <c r="L25" s="289"/>
      <c r="M25" s="289" t="s">
        <v>60</v>
      </c>
      <c r="N25" s="289"/>
      <c r="O25" s="316" t="s">
        <v>155</v>
      </c>
      <c r="P25" s="316"/>
      <c r="Q25" s="109"/>
      <c r="R25" s="109"/>
      <c r="S25" s="113"/>
    </row>
    <row r="26" spans="1:19" ht="18" customHeight="1" x14ac:dyDescent="0.15">
      <c r="A26" s="109"/>
      <c r="B26" s="109"/>
      <c r="C26" s="109"/>
      <c r="D26" s="109"/>
      <c r="E26" s="109"/>
      <c r="F26" s="109"/>
      <c r="G26" s="109"/>
      <c r="H26" s="109"/>
      <c r="I26" s="109"/>
      <c r="J26" s="109"/>
      <c r="K26" s="289" t="s">
        <v>85</v>
      </c>
      <c r="L26" s="289"/>
      <c r="M26" s="289"/>
      <c r="N26" s="289"/>
      <c r="O26" s="316" t="s">
        <v>98</v>
      </c>
      <c r="P26" s="316"/>
      <c r="Q26" s="109"/>
      <c r="R26" s="109"/>
      <c r="S26" s="113"/>
    </row>
    <row r="27" spans="1:19" ht="18" customHeight="1" x14ac:dyDescent="0.15">
      <c r="A27" s="289"/>
      <c r="B27" s="289"/>
      <c r="C27" s="289"/>
      <c r="D27" s="289"/>
      <c r="E27" s="289"/>
      <c r="F27" s="289"/>
      <c r="G27" s="289"/>
      <c r="H27" s="289"/>
      <c r="I27" s="289"/>
      <c r="J27" s="289"/>
      <c r="K27" s="289"/>
      <c r="L27" s="289"/>
      <c r="M27" s="289"/>
      <c r="N27" s="289"/>
      <c r="O27" s="289"/>
      <c r="P27" s="289"/>
      <c r="Q27" s="289"/>
      <c r="R27" s="289"/>
      <c r="S27" s="113"/>
    </row>
    <row r="28" spans="1:19" ht="18" customHeight="1" x14ac:dyDescent="0.15">
      <c r="A28" s="131" t="s">
        <v>69</v>
      </c>
      <c r="B28" s="114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3"/>
    </row>
    <row r="29" spans="1:19" ht="18" customHeight="1" x14ac:dyDescent="0.15">
      <c r="A29" s="109"/>
      <c r="B29" s="118" t="s">
        <v>112</v>
      </c>
      <c r="C29" s="118"/>
      <c r="D29" s="118"/>
      <c r="E29" s="118"/>
      <c r="F29" s="118"/>
      <c r="G29" s="118"/>
      <c r="H29" s="118" t="s">
        <v>72</v>
      </c>
      <c r="I29" s="118"/>
      <c r="J29" s="118"/>
      <c r="K29" s="118"/>
      <c r="L29" s="118"/>
      <c r="M29" s="118"/>
      <c r="N29" s="132" t="s">
        <v>15</v>
      </c>
      <c r="O29" s="132"/>
      <c r="P29" s="118"/>
      <c r="Q29" s="118"/>
      <c r="R29" s="109"/>
      <c r="S29" s="113"/>
    </row>
    <row r="30" spans="1:19" ht="18" customHeight="1" x14ac:dyDescent="0.15">
      <c r="A30" s="109"/>
      <c r="B30" s="289" t="s">
        <v>10</v>
      </c>
      <c r="C30" s="289"/>
      <c r="D30" s="317" t="s">
        <v>223</v>
      </c>
      <c r="E30" s="317"/>
      <c r="F30" s="317"/>
      <c r="G30" s="109"/>
      <c r="H30" s="289" t="s">
        <v>13</v>
      </c>
      <c r="I30" s="289"/>
      <c r="J30" s="312" t="s">
        <v>235</v>
      </c>
      <c r="K30" s="312"/>
      <c r="L30" s="312"/>
      <c r="M30" s="108"/>
      <c r="N30" s="318" t="s">
        <v>81</v>
      </c>
      <c r="O30" s="319"/>
      <c r="P30" s="320" t="s">
        <v>242</v>
      </c>
      <c r="Q30" s="312"/>
      <c r="R30" s="109"/>
      <c r="S30" s="113"/>
    </row>
    <row r="31" spans="1:19" ht="18" customHeight="1" x14ac:dyDescent="0.15">
      <c r="A31" s="109"/>
      <c r="B31" s="289" t="s">
        <v>192</v>
      </c>
      <c r="C31" s="289"/>
      <c r="D31" s="312" t="s">
        <v>224</v>
      </c>
      <c r="E31" s="312"/>
      <c r="F31" s="312"/>
      <c r="G31" s="109"/>
      <c r="H31" s="289" t="s">
        <v>206</v>
      </c>
      <c r="I31" s="289"/>
      <c r="J31" s="312" t="s">
        <v>236</v>
      </c>
      <c r="K31" s="312"/>
      <c r="L31" s="312"/>
      <c r="M31" s="108"/>
      <c r="N31" s="318" t="s">
        <v>101</v>
      </c>
      <c r="O31" s="319"/>
      <c r="P31" s="320" t="s">
        <v>243</v>
      </c>
      <c r="Q31" s="312"/>
      <c r="R31" s="109"/>
      <c r="S31" s="113"/>
    </row>
    <row r="32" spans="1:19" ht="18" customHeight="1" x14ac:dyDescent="0.15">
      <c r="A32" s="109"/>
      <c r="B32" s="295" t="s">
        <v>21</v>
      </c>
      <c r="C32" s="295"/>
      <c r="D32" s="312" t="s">
        <v>225</v>
      </c>
      <c r="E32" s="312"/>
      <c r="F32" s="312"/>
      <c r="G32" s="109"/>
      <c r="H32" s="289" t="s">
        <v>109</v>
      </c>
      <c r="I32" s="289"/>
      <c r="J32" s="312" t="s">
        <v>237</v>
      </c>
      <c r="K32" s="312"/>
      <c r="L32" s="312"/>
      <c r="M32" s="109"/>
      <c r="N32" s="133"/>
      <c r="O32" s="133"/>
      <c r="P32" s="109"/>
      <c r="Q32" s="109"/>
      <c r="R32" s="109"/>
      <c r="S32" s="113"/>
    </row>
    <row r="33" spans="1:19" ht="18" customHeight="1" x14ac:dyDescent="0.15">
      <c r="A33" s="109"/>
      <c r="B33" s="295" t="s">
        <v>47</v>
      </c>
      <c r="C33" s="295"/>
      <c r="D33" s="316" t="s">
        <v>226</v>
      </c>
      <c r="E33" s="316"/>
      <c r="F33" s="119"/>
      <c r="G33" s="109"/>
      <c r="H33" s="289" t="s">
        <v>187</v>
      </c>
      <c r="I33" s="289"/>
      <c r="J33" s="312" t="s">
        <v>238</v>
      </c>
      <c r="K33" s="312"/>
      <c r="L33" s="312"/>
      <c r="M33" s="134" t="s">
        <v>70</v>
      </c>
      <c r="N33" s="316" t="s">
        <v>249</v>
      </c>
      <c r="O33" s="316"/>
      <c r="P33" s="316"/>
      <c r="Q33" s="316"/>
      <c r="R33" s="109"/>
      <c r="S33" s="113"/>
    </row>
    <row r="34" spans="1:19" ht="18" customHeight="1" x14ac:dyDescent="0.15">
      <c r="A34" s="109"/>
      <c r="B34" s="289" t="s">
        <v>65</v>
      </c>
      <c r="C34" s="289"/>
      <c r="D34" s="317" t="s">
        <v>227</v>
      </c>
      <c r="E34" s="317"/>
      <c r="F34" s="317"/>
      <c r="G34" s="109"/>
      <c r="H34" s="289" t="s">
        <v>66</v>
      </c>
      <c r="I34" s="289"/>
      <c r="J34" s="312" t="s">
        <v>239</v>
      </c>
      <c r="K34" s="312"/>
      <c r="L34" s="312"/>
      <c r="M34" s="134" t="s">
        <v>131</v>
      </c>
      <c r="N34" s="316" t="s">
        <v>250</v>
      </c>
      <c r="O34" s="316"/>
      <c r="P34" s="316"/>
      <c r="Q34" s="316"/>
      <c r="R34" s="109"/>
      <c r="S34" s="113"/>
    </row>
    <row r="35" spans="1:19" ht="18" customHeight="1" x14ac:dyDescent="0.15">
      <c r="A35" s="109"/>
      <c r="B35" s="289" t="s">
        <v>192</v>
      </c>
      <c r="C35" s="289"/>
      <c r="D35" s="312" t="s">
        <v>228</v>
      </c>
      <c r="E35" s="312"/>
      <c r="F35" s="312"/>
      <c r="G35" s="109"/>
      <c r="H35" s="289" t="s">
        <v>129</v>
      </c>
      <c r="I35" s="289"/>
      <c r="J35" s="312" t="s">
        <v>240</v>
      </c>
      <c r="K35" s="312"/>
      <c r="L35" s="312"/>
      <c r="M35" s="134" t="s">
        <v>157</v>
      </c>
      <c r="N35" s="316" t="s">
        <v>221</v>
      </c>
      <c r="O35" s="316"/>
      <c r="P35" s="316"/>
      <c r="Q35" s="316"/>
      <c r="R35" s="109"/>
      <c r="S35" s="113"/>
    </row>
    <row r="36" spans="1:19" ht="18" customHeight="1" x14ac:dyDescent="0.15">
      <c r="A36" s="109"/>
      <c r="B36" s="295" t="s">
        <v>21</v>
      </c>
      <c r="C36" s="295"/>
      <c r="D36" s="312" t="s">
        <v>229</v>
      </c>
      <c r="E36" s="312"/>
      <c r="F36" s="312"/>
      <c r="G36" s="109"/>
      <c r="H36" s="289" t="s">
        <v>27</v>
      </c>
      <c r="I36" s="289"/>
      <c r="J36" s="312" t="s">
        <v>241</v>
      </c>
      <c r="K36" s="312"/>
      <c r="L36" s="312"/>
      <c r="M36" s="109"/>
      <c r="N36" s="109"/>
      <c r="O36" s="109"/>
      <c r="P36" s="109"/>
      <c r="Q36" s="109"/>
      <c r="R36" s="109"/>
      <c r="S36" s="113"/>
    </row>
    <row r="37" spans="1:19" ht="18" customHeight="1" x14ac:dyDescent="0.15">
      <c r="A37" s="109"/>
      <c r="B37" s="295" t="s">
        <v>47</v>
      </c>
      <c r="C37" s="295"/>
      <c r="D37" s="316" t="s">
        <v>230</v>
      </c>
      <c r="E37" s="316"/>
      <c r="F37" s="11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13"/>
    </row>
    <row r="38" spans="1:19" ht="18" customHeight="1" x14ac:dyDescent="0.15">
      <c r="A38" s="109"/>
      <c r="B38" s="289" t="s">
        <v>108</v>
      </c>
      <c r="C38" s="289"/>
      <c r="D38" s="317" t="s">
        <v>231</v>
      </c>
      <c r="E38" s="317"/>
      <c r="F38" s="317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13"/>
    </row>
    <row r="39" spans="1:19" ht="18" customHeight="1" x14ac:dyDescent="0.15">
      <c r="A39" s="109"/>
      <c r="B39" s="289" t="s">
        <v>192</v>
      </c>
      <c r="C39" s="289"/>
      <c r="D39" s="312" t="s">
        <v>232</v>
      </c>
      <c r="E39" s="312"/>
      <c r="F39" s="312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13"/>
    </row>
    <row r="40" spans="1:19" ht="18" customHeight="1" x14ac:dyDescent="0.15">
      <c r="A40" s="109"/>
      <c r="B40" s="295" t="s">
        <v>21</v>
      </c>
      <c r="C40" s="295"/>
      <c r="D40" s="312" t="s">
        <v>233</v>
      </c>
      <c r="E40" s="312"/>
      <c r="F40" s="312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13"/>
    </row>
    <row r="41" spans="1:19" ht="18" customHeight="1" x14ac:dyDescent="0.15">
      <c r="A41" s="109"/>
      <c r="B41" s="295" t="s">
        <v>47</v>
      </c>
      <c r="C41" s="295"/>
      <c r="D41" s="316" t="s">
        <v>234</v>
      </c>
      <c r="E41" s="316"/>
      <c r="F41" s="119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13"/>
    </row>
    <row r="42" spans="1:19" ht="18" customHeight="1" x14ac:dyDescent="0.15">
      <c r="A42" s="109"/>
      <c r="B42" s="10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13"/>
    </row>
    <row r="43" spans="1:19" ht="14.25" x14ac:dyDescent="0.15">
      <c r="A43" s="135" t="s">
        <v>0</v>
      </c>
      <c r="B43" s="114"/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35" t="s">
        <v>36</v>
      </c>
      <c r="P43" s="296"/>
      <c r="Q43" s="296"/>
      <c r="R43" s="296"/>
      <c r="S43" s="113"/>
    </row>
    <row r="44" spans="1:19" ht="18" customHeight="1" x14ac:dyDescent="0.15">
      <c r="A44" s="109"/>
      <c r="B44" s="114"/>
      <c r="C44" s="114"/>
      <c r="D44" s="114"/>
      <c r="E44" s="114"/>
      <c r="F44" s="114"/>
      <c r="G44" s="114"/>
      <c r="H44" s="114"/>
      <c r="I44" s="114"/>
      <c r="J44" s="114"/>
      <c r="K44" s="114"/>
      <c r="L44" s="294" t="s">
        <v>4</v>
      </c>
      <c r="M44" s="294"/>
      <c r="N44" s="113"/>
      <c r="O44" s="114"/>
      <c r="P44" s="118"/>
      <c r="Q44" s="139" t="s">
        <v>166</v>
      </c>
      <c r="R44" s="109"/>
      <c r="S44" s="113"/>
    </row>
    <row r="45" spans="1:19" ht="18" customHeight="1" x14ac:dyDescent="0.15">
      <c r="A45" s="109"/>
      <c r="B45" s="289" t="s">
        <v>140</v>
      </c>
      <c r="C45" s="289"/>
      <c r="D45" s="316" t="s">
        <v>44</v>
      </c>
      <c r="E45" s="316"/>
      <c r="F45" s="294" t="s">
        <v>117</v>
      </c>
      <c r="G45" s="294"/>
      <c r="H45" s="289" t="s">
        <v>18</v>
      </c>
      <c r="I45" s="289"/>
      <c r="J45" s="316" t="s">
        <v>38</v>
      </c>
      <c r="K45" s="316"/>
      <c r="L45" s="311">
        <f>SUM(O26)</f>
        <v>0</v>
      </c>
      <c r="M45" s="311"/>
      <c r="N45" s="113"/>
      <c r="O45" s="109"/>
      <c r="P45" s="136"/>
      <c r="Q45" s="293" t="s">
        <v>122</v>
      </c>
      <c r="R45" s="293"/>
      <c r="S45" s="113"/>
    </row>
    <row r="46" spans="1:19" ht="18" customHeight="1" x14ac:dyDescent="0.15">
      <c r="A46" s="109"/>
      <c r="B46" s="289" t="s">
        <v>201</v>
      </c>
      <c r="C46" s="289"/>
      <c r="D46" s="316" t="s">
        <v>119</v>
      </c>
      <c r="E46" s="316"/>
      <c r="F46" s="311">
        <v>40069</v>
      </c>
      <c r="G46" s="311"/>
      <c r="H46" s="289" t="s">
        <v>97</v>
      </c>
      <c r="I46" s="289"/>
      <c r="J46" s="316" t="s">
        <v>3</v>
      </c>
      <c r="K46" s="316"/>
      <c r="L46" s="109"/>
      <c r="M46" s="109"/>
      <c r="N46" s="113"/>
      <c r="O46" s="109"/>
      <c r="P46" s="136"/>
      <c r="Q46" s="293" t="s">
        <v>51</v>
      </c>
      <c r="R46" s="293"/>
      <c r="S46" s="113"/>
    </row>
    <row r="47" spans="1:19" ht="18" customHeight="1" x14ac:dyDescent="0.15">
      <c r="A47" s="109"/>
      <c r="B47" s="314" t="s">
        <v>53</v>
      </c>
      <c r="C47" s="314"/>
      <c r="D47" s="315" t="s">
        <v>24</v>
      </c>
      <c r="E47" s="315"/>
      <c r="F47" s="311">
        <v>40073</v>
      </c>
      <c r="G47" s="311"/>
      <c r="H47" s="289" t="s">
        <v>146</v>
      </c>
      <c r="I47" s="289"/>
      <c r="J47" s="316" t="s">
        <v>252</v>
      </c>
      <c r="K47" s="316"/>
      <c r="L47" s="109"/>
      <c r="M47" s="109"/>
      <c r="N47" s="113"/>
      <c r="O47" s="109"/>
      <c r="P47" s="136"/>
      <c r="Q47" s="293" t="s">
        <v>17</v>
      </c>
      <c r="R47" s="293"/>
      <c r="S47" s="113"/>
    </row>
    <row r="48" spans="1:19" ht="18" customHeight="1" x14ac:dyDescent="0.15">
      <c r="A48" s="109"/>
      <c r="B48" s="289" t="s">
        <v>22</v>
      </c>
      <c r="C48" s="289"/>
      <c r="D48" s="313" t="s">
        <v>156</v>
      </c>
      <c r="E48" s="313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14"/>
      <c r="R48" s="109"/>
      <c r="S48" s="113"/>
    </row>
    <row r="49" spans="1:19" ht="18" customHeight="1" x14ac:dyDescent="0.15">
      <c r="A49" s="109"/>
      <c r="B49" s="133"/>
      <c r="C49" s="133"/>
      <c r="D49" s="133"/>
      <c r="E49" s="133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14"/>
      <c r="R49" s="109"/>
      <c r="S49" s="113"/>
    </row>
    <row r="50" spans="1:19" ht="18" customHeight="1" x14ac:dyDescent="0.15">
      <c r="A50" s="137" t="s">
        <v>75</v>
      </c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 customHeight="1" x14ac:dyDescent="0.15">
      <c r="A51" s="113"/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 customHeight="1" x14ac:dyDescent="0.15">
      <c r="A52" s="113"/>
      <c r="B52" s="289" t="s">
        <v>19</v>
      </c>
      <c r="C52" s="289"/>
      <c r="D52" s="312" t="s">
        <v>244</v>
      </c>
      <c r="E52" s="312"/>
      <c r="F52" s="312"/>
      <c r="G52" s="113"/>
      <c r="H52" s="289" t="s">
        <v>173</v>
      </c>
      <c r="I52" s="289"/>
      <c r="J52" s="312" t="s">
        <v>245</v>
      </c>
      <c r="K52" s="312"/>
      <c r="L52" s="312"/>
      <c r="M52" s="113"/>
      <c r="N52" s="289" t="s">
        <v>25</v>
      </c>
      <c r="O52" s="289"/>
      <c r="P52" s="312" t="s">
        <v>247</v>
      </c>
      <c r="Q52" s="312"/>
      <c r="R52" s="312"/>
      <c r="S52" s="113"/>
    </row>
    <row r="53" spans="1:19" ht="18" customHeight="1" x14ac:dyDescent="0.15">
      <c r="A53" s="113"/>
      <c r="B53" s="113"/>
      <c r="C53" s="113"/>
      <c r="D53" s="113"/>
      <c r="E53" s="113"/>
      <c r="F53" s="113"/>
      <c r="G53" s="113"/>
      <c r="H53" s="289" t="s">
        <v>174</v>
      </c>
      <c r="I53" s="289"/>
      <c r="J53" s="312" t="s">
        <v>246</v>
      </c>
      <c r="K53" s="312"/>
      <c r="L53" s="312"/>
      <c r="M53" s="113"/>
      <c r="N53" s="289" t="s">
        <v>48</v>
      </c>
      <c r="O53" s="289"/>
      <c r="P53" s="312" t="s">
        <v>248</v>
      </c>
      <c r="Q53" s="312"/>
      <c r="R53" s="312"/>
      <c r="S53" s="113"/>
    </row>
    <row r="54" spans="1:19" ht="18" customHeight="1" x14ac:dyDescent="0.15">
      <c r="A54" s="113"/>
      <c r="B54" s="113"/>
      <c r="C54" s="113"/>
      <c r="D54" s="113"/>
      <c r="E54" s="113"/>
      <c r="F54" s="113"/>
      <c r="G54" s="113"/>
      <c r="H54" s="109"/>
      <c r="I54" s="109"/>
      <c r="J54" s="109"/>
      <c r="K54" s="109"/>
      <c r="L54" s="109"/>
      <c r="M54" s="113"/>
      <c r="N54" s="113"/>
      <c r="O54" s="113"/>
      <c r="P54" s="113"/>
      <c r="Q54" s="113"/>
      <c r="R54" s="113"/>
      <c r="S54" s="113"/>
    </row>
    <row r="55" spans="1:19" ht="18" customHeight="1" x14ac:dyDescent="0.15"/>
  </sheetData>
  <sheetProtection password="80CA" sheet="1"/>
  <mergeCells count="146">
    <mergeCell ref="A1:S1"/>
    <mergeCell ref="M3:N3"/>
    <mergeCell ref="O3:P3"/>
    <mergeCell ref="B4:C4"/>
    <mergeCell ref="D4:F4"/>
    <mergeCell ref="I4:K4"/>
    <mergeCell ref="B5:C5"/>
    <mergeCell ref="G5:H5"/>
    <mergeCell ref="B6:C6"/>
    <mergeCell ref="D6:K6"/>
    <mergeCell ref="B7:C7"/>
    <mergeCell ref="D7:K7"/>
    <mergeCell ref="B8:C8"/>
    <mergeCell ref="E8:G8"/>
    <mergeCell ref="I8:K8"/>
    <mergeCell ref="B9:C9"/>
    <mergeCell ref="D9:G9"/>
    <mergeCell ref="G11:K11"/>
    <mergeCell ref="M11:P11"/>
    <mergeCell ref="C12:E12"/>
    <mergeCell ref="G12:H12"/>
    <mergeCell ref="I12:K12"/>
    <mergeCell ref="M12:N12"/>
    <mergeCell ref="O12:Q12"/>
    <mergeCell ref="R12:S12"/>
    <mergeCell ref="C13:E13"/>
    <mergeCell ref="G13:H13"/>
    <mergeCell ref="I13:K13"/>
    <mergeCell ref="M13:N13"/>
    <mergeCell ref="O13:Q13"/>
    <mergeCell ref="C14:E14"/>
    <mergeCell ref="G14:K14"/>
    <mergeCell ref="M14:Q14"/>
    <mergeCell ref="C15:E15"/>
    <mergeCell ref="G15:H15"/>
    <mergeCell ref="I15:K15"/>
    <mergeCell ref="M15:N15"/>
    <mergeCell ref="O15:Q15"/>
    <mergeCell ref="G16:H16"/>
    <mergeCell ref="I16:K16"/>
    <mergeCell ref="M16:N16"/>
    <mergeCell ref="O16:Q16"/>
    <mergeCell ref="C18:Q18"/>
    <mergeCell ref="A19:R19"/>
    <mergeCell ref="B22:C22"/>
    <mergeCell ref="D22:E22"/>
    <mergeCell ref="F22:G22"/>
    <mergeCell ref="K22:L22"/>
    <mergeCell ref="M22:N22"/>
    <mergeCell ref="O22:P22"/>
    <mergeCell ref="B23:C23"/>
    <mergeCell ref="D23:E23"/>
    <mergeCell ref="K23:L23"/>
    <mergeCell ref="M23:N23"/>
    <mergeCell ref="O23:P23"/>
    <mergeCell ref="B24:C24"/>
    <mergeCell ref="D24:E24"/>
    <mergeCell ref="F24:G24"/>
    <mergeCell ref="H24:I24"/>
    <mergeCell ref="K24:L24"/>
    <mergeCell ref="M24:N24"/>
    <mergeCell ref="O24:P24"/>
    <mergeCell ref="K25:L25"/>
    <mergeCell ref="M25:N25"/>
    <mergeCell ref="O25:P25"/>
    <mergeCell ref="K26:N26"/>
    <mergeCell ref="O26:P26"/>
    <mergeCell ref="A27:R27"/>
    <mergeCell ref="B30:C30"/>
    <mergeCell ref="D30:F30"/>
    <mergeCell ref="H30:I30"/>
    <mergeCell ref="J30:L30"/>
    <mergeCell ref="N30:O30"/>
    <mergeCell ref="P30:Q30"/>
    <mergeCell ref="B31:C31"/>
    <mergeCell ref="D31:F31"/>
    <mergeCell ref="H31:I31"/>
    <mergeCell ref="J31:L31"/>
    <mergeCell ref="N31:O31"/>
    <mergeCell ref="P31:Q31"/>
    <mergeCell ref="B32:C32"/>
    <mergeCell ref="D32:F32"/>
    <mergeCell ref="H32:I32"/>
    <mergeCell ref="J32:L32"/>
    <mergeCell ref="B33:C33"/>
    <mergeCell ref="D33:E33"/>
    <mergeCell ref="H33:I33"/>
    <mergeCell ref="J33:L33"/>
    <mergeCell ref="N33:Q33"/>
    <mergeCell ref="B34:C34"/>
    <mergeCell ref="D34:F34"/>
    <mergeCell ref="H34:I34"/>
    <mergeCell ref="J34:L34"/>
    <mergeCell ref="N34:Q34"/>
    <mergeCell ref="B35:C35"/>
    <mergeCell ref="D35:F35"/>
    <mergeCell ref="H35:I35"/>
    <mergeCell ref="J35:L35"/>
    <mergeCell ref="N35:Q35"/>
    <mergeCell ref="B36:C36"/>
    <mergeCell ref="D36:F36"/>
    <mergeCell ref="H36:I36"/>
    <mergeCell ref="J36:L36"/>
    <mergeCell ref="P43:R43"/>
    <mergeCell ref="L44:M44"/>
    <mergeCell ref="B37:C37"/>
    <mergeCell ref="D37:E37"/>
    <mergeCell ref="B38:C38"/>
    <mergeCell ref="D38:F38"/>
    <mergeCell ref="B39:C39"/>
    <mergeCell ref="D39:F39"/>
    <mergeCell ref="H45:I45"/>
    <mergeCell ref="J45:K45"/>
    <mergeCell ref="L45:M45"/>
    <mergeCell ref="B40:C40"/>
    <mergeCell ref="D40:F40"/>
    <mergeCell ref="B41:C41"/>
    <mergeCell ref="D41:E41"/>
    <mergeCell ref="Q45:R45"/>
    <mergeCell ref="B46:C46"/>
    <mergeCell ref="D46:E46"/>
    <mergeCell ref="F46:G46"/>
    <mergeCell ref="H46:I46"/>
    <mergeCell ref="J46:K46"/>
    <mergeCell ref="Q46:R46"/>
    <mergeCell ref="B45:C45"/>
    <mergeCell ref="D45:E45"/>
    <mergeCell ref="F45:G45"/>
    <mergeCell ref="B47:C47"/>
    <mergeCell ref="D47:E47"/>
    <mergeCell ref="F47:G47"/>
    <mergeCell ref="H47:I47"/>
    <mergeCell ref="J47:K47"/>
    <mergeCell ref="Q47:R47"/>
    <mergeCell ref="B48:C48"/>
    <mergeCell ref="D48:E48"/>
    <mergeCell ref="B52:C52"/>
    <mergeCell ref="D52:F52"/>
    <mergeCell ref="H52:I52"/>
    <mergeCell ref="J52:L52"/>
    <mergeCell ref="N52:O52"/>
    <mergeCell ref="P52:R52"/>
    <mergeCell ref="H53:I53"/>
    <mergeCell ref="J53:L53"/>
    <mergeCell ref="N53:O53"/>
    <mergeCell ref="P53:R53"/>
  </mergeCells>
  <phoneticPr fontId="2"/>
  <conditionalFormatting sqref="D48">
    <cfRule type="cellIs" dxfId="0" priority="1" stopIfTrue="1" operator="equal">
      <formula>$D$49</formula>
    </cfRule>
  </conditionalFormatting>
  <pageMargins left="0.59055118110236227" right="0.19685039370078741" top="0.59055118110236227" bottom="0.39370078740157483" header="0.19685039370078741" footer="0.1968503937007874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Option Button 1">
              <controlPr defaultSize="0" autoFill="0" autoLine="0" autoPict="0">
                <anchor moveWithCells="1">
                  <from>
                    <xdr:col>15</xdr:col>
                    <xdr:colOff>19050</xdr:colOff>
                    <xdr:row>43</xdr:row>
                    <xdr:rowOff>0</xdr:rowOff>
                  </from>
                  <to>
                    <xdr:col>16</xdr:col>
                    <xdr:colOff>19050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8" r:id="rId5" name="Option Button 2">
              <controlPr defaultSize="0" autoFill="0" autoLine="0" autoPict="0">
                <anchor moveWithCells="1">
                  <from>
                    <xdr:col>15</xdr:col>
                    <xdr:colOff>19050</xdr:colOff>
                    <xdr:row>44</xdr:row>
                    <xdr:rowOff>0</xdr:rowOff>
                  </from>
                  <to>
                    <xdr:col>16</xdr:col>
                    <xdr:colOff>19050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9" r:id="rId6" name="Option Button 3">
              <controlPr defaultSize="0" autoFill="0" autoLine="0" autoPict="0">
                <anchor moveWithCells="1">
                  <from>
                    <xdr:col>15</xdr:col>
                    <xdr:colOff>19050</xdr:colOff>
                    <xdr:row>45</xdr:row>
                    <xdr:rowOff>0</xdr:rowOff>
                  </from>
                  <to>
                    <xdr:col>16</xdr:col>
                    <xdr:colOff>19050</xdr:colOff>
                    <xdr:row>47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2"/>
  <sheetViews>
    <sheetView workbookViewId="0">
      <selection activeCell="A4" sqref="A4"/>
    </sheetView>
  </sheetViews>
  <sheetFormatPr defaultRowHeight="13.5" x14ac:dyDescent="0.15"/>
  <sheetData>
    <row r="1" spans="1:1" x14ac:dyDescent="0.15">
      <c r="A1" t="s">
        <v>1</v>
      </c>
    </row>
    <row r="2" spans="1:1" x14ac:dyDescent="0.15">
      <c r="A2">
        <v>10</v>
      </c>
    </row>
  </sheetData>
  <phoneticPr fontId="2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受注伝票</vt:lpstr>
      <vt:lpstr>受注一覧</vt:lpstr>
      <vt:lpstr>メモ</vt:lpstr>
      <vt:lpstr>LISTCOLDEFNUM_W</vt:lpstr>
      <vt:lpstr>LISTCOLDEFNUM_R</vt:lpstr>
      <vt:lpstr>LISTCOLDEFALP</vt:lpstr>
      <vt:lpstr>MASTER</vt:lpstr>
    </vt:vector>
  </TitlesOfParts>
  <Company>施工部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Masashi.Moritani</dc:creator>
  <cp:lastModifiedBy>jun</cp:lastModifiedBy>
  <cp:lastPrinted>2022-09-30T01:50:24Z</cp:lastPrinted>
  <dcterms:created xsi:type="dcterms:W3CDTF">2009-09-28T12:50:03Z</dcterms:created>
  <dcterms:modified xsi:type="dcterms:W3CDTF">2022-09-30T03:18:16Z</dcterms:modified>
</cp:coreProperties>
</file>